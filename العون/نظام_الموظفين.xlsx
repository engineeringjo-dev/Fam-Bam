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عمال المهام" sheetId="6" state="visible" r:id="rId8"/>
    <sheet name="دفتر الأسابيع" sheetId="7" state="visible" r:id="rId9"/>
    <sheet name="السنة" sheetId="8" state="visible" r:id="rId10"/>
    <sheet name="القواعد" sheetId="9" state="visible" r:id="rId11"/>
    <sheet name="ملخص الأيدي العاملة" sheetId="10" state="visible" r:id="rId12"/>
    <sheet name="التعليمات" sheetId="11" state="visible" r:id="rId13"/>
    <sheet name="القوائم" sheetId="12" state="hidden" r:id="rId14"/>
  </sheets>
  <definedNames>
    <definedName function="false" hidden="false" name="ADV_AMT" vbProcedure="false">السلف!$C$10:$C$409</definedName>
    <definedName function="false" hidden="false" name="ADV_CAP" vbProcedure="false">القواعد!$C$8</definedName>
    <definedName function="false" hidden="false" name="ADV_D" vbProcedure="false">السلف!$G$10:$G$409</definedName>
    <definedName function="false" hidden="false" name="ADV_E" vbProcedure="false">السلف!$B$10:$B$409</definedName>
    <definedName function="false" hidden="false" name="ADV_M" vbProcedure="false">السلف!$I$10:$I$409</definedName>
    <definedName function="false" hidden="false" name="ADV_W" vbProcedure="false">السلف!$H$10:$H$409</definedName>
    <definedName function="false" hidden="false" name="CURWK" vbProcedure="false">القوائم!$G$3</definedName>
    <definedName function="false" hidden="false" name="INST_CAP" vbProcedure="false">القواعد!$C$9</definedName>
    <definedName function="false" hidden="false" name="LG_D" vbProcedure="false">'القروض والديون'!$K$11:$K$210</definedName>
    <definedName function="false" hidden="false" name="LG_DEBT" vbProcedure="false">'القروض والديون'!$D$11:$D$210</definedName>
    <definedName function="false" hidden="false" name="LG_E" vbProcedure="false">'القروض والديون'!$B$11:$B$210</definedName>
    <definedName function="false" hidden="false" name="LG_IDX" vbProcedure="false">'القروض والديون'!$J$11:$J$210</definedName>
    <definedName function="false" hidden="false" name="LG_INST" vbProcedure="false">'القروض والديون'!$E$11:$E$210</definedName>
    <definedName function="false" hidden="false" name="LG_M" vbProcedure="false">'القروض والديون'!$M$11:$M$210</definedName>
    <definedName function="false" hidden="false" name="LG_REP" vbProcedure="false">'القروض والديون'!$F$11:$F$210</definedName>
    <definedName function="false" hidden="false" name="LG_TYPE" vbProcedure="false">'القروض والديون'!$C$11:$C$210</definedName>
    <definedName function="false" hidden="false" name="LG_W" vbProcedure="false">'القروض والديون'!$L$11:$L$210</definedName>
    <definedName function="false" hidden="false" name="LO_ADV" vbProcedure="false">'دفتر الأسابيع'!$E$8:$E$60</definedName>
    <definedName function="false" hidden="false" name="LO_DAILY" vbProcedure="false">'دفتر الأسابيع'!$K$8:$K$60</definedName>
    <definedName function="false" hidden="false" name="LO_DEBT" vbProcedure="false">'دفتر الأسابيع'!$J$8:$J$60</definedName>
    <definedName function="false" hidden="false" name="LO_DUE" vbProcedure="false">'دفتر الأسابيع'!$D$8:$D$60</definedName>
    <definedName function="false" hidden="false" name="LO_FRI" vbProcedure="false">'دفتر الأسابيع'!$C$8:$C$60</definedName>
    <definedName function="false" hidden="false" name="LO_INST" vbProcedure="false">'دفتر الأسابيع'!$F$8:$F$60</definedName>
    <definedName function="false" hidden="false" name="LO_MON" vbProcedure="false">'دفتر الأسابيع'!$L$8:$L$60</definedName>
    <definedName function="false" hidden="false" name="LO_NET" vbProcedure="false">'دفتر الأسابيع'!$G$8:$G$60</definedName>
    <definedName function="false" hidden="false" name="LO_PAID" vbProcedure="false">'دفتر الأسابيع'!$H$8:$H$60</definedName>
    <definedName function="false" hidden="false" name="LO_REM" vbProcedure="false">'دفتر الأسابيع'!$I$8:$I$60</definedName>
    <definedName function="false" hidden="false" name="LO_SAT" vbProcedure="false">'دفتر الأسابيع'!$B$8:$B$60</definedName>
    <definedName function="false" hidden="false" name="LO_WK" vbProcedure="false">'دفتر الأسابيع'!$A$8:$A$60</definedName>
    <definedName function="false" hidden="false" name="LZ_ADV" vbProcedure="false">'دفتر الأسابيع'!$E$66:$E$118</definedName>
    <definedName function="false" hidden="false" name="LZ_DAILY" vbProcedure="false">'دفتر الأسابيع'!$K$66:$K$118</definedName>
    <definedName function="false" hidden="false" name="LZ_DEBT" vbProcedure="false">'دفتر الأسابيع'!$J$66:$J$118</definedName>
    <definedName function="false" hidden="false" name="LZ_DUE" vbProcedure="false">'دفتر الأسابيع'!$D$66:$D$118</definedName>
    <definedName function="false" hidden="false" name="LZ_FRI" vbProcedure="false">'دفتر الأسابيع'!$C$66:$C$118</definedName>
    <definedName function="false" hidden="false" name="LZ_INST" vbProcedure="false">'دفتر الأسابيع'!$F$66:$F$118</definedName>
    <definedName function="false" hidden="false" name="LZ_MON" vbProcedure="false">'دفتر الأسابيع'!$L$66:$L$118</definedName>
    <definedName function="false" hidden="false" name="LZ_NET" vbProcedure="false">'دفتر الأسابيع'!$G$66:$G$118</definedName>
    <definedName function="false" hidden="false" name="LZ_PAID" vbProcedure="false">'دفتر الأسابيع'!$H$66:$H$118</definedName>
    <definedName function="false" hidden="false" name="LZ_REM" vbProcedure="false">'دفتر الأسابيع'!$I$66:$I$118</definedName>
    <definedName function="false" hidden="false" name="LZ_SAT" vbProcedure="false">'دفتر الأسابيع'!$B$66:$B$118</definedName>
    <definedName function="false" hidden="false" name="LZ_WK" vbProcedure="false">'دفتر الأسابيع'!$A$66:$A$118</definedName>
    <definedName function="false" hidden="false" name="NET_FLOOR" vbProcedure="false">القواعد!$C$10</definedName>
    <definedName function="false" hidden="false" name="NW" vbProcedure="false">القوائم!$G$2</definedName>
    <definedName function="false" hidden="false" name="OMR_FRI_IN" vbProcedure="false">القواعد!$C$5</definedName>
    <definedName function="false" hidden="false" name="OMR_FRI_OUT" vbProcedure="false">القواعد!$C$6</definedName>
    <definedName function="false" hidden="false" name="OMR_OT_AT" vbProcedure="false">القواعد!$C$4</definedName>
    <definedName function="false" hidden="false" name="ROUND_MODE" vbProcedure="false">القواعد!$C$7</definedName>
    <definedName function="false" hidden="false" name="RT_AZZ" vbProcedure="false">القواعد!$D$14:$D$23</definedName>
    <definedName function="false" hidden="false" name="RT_GYP" vbProcedure="false">القواعد!$E$14:$E$23</definedName>
    <definedName function="false" hidden="false" name="RT_K" vbProcedure="false">القواعد!$G$14:$G$23</definedName>
    <definedName function="false" hidden="false" name="RT_OMR" vbProcedure="false">القواعد!$B$14:$B$23</definedName>
    <definedName function="false" hidden="false" name="RT_OT" vbProcedure="false">القواعد!$C$14:$C$23</definedName>
    <definedName function="false" hidden="false" name="SAT1" vbProcedure="false">القوائم!$G$1</definedName>
    <definedName function="false" hidden="false" name="START_O" vbProcedure="false">السنة!$B$6</definedName>
    <definedName function="false" hidden="false" name="START_Z" vbProcedure="false">السنة!$B$7</definedName>
    <definedName function="false" hidden="false" name="TASK_AMT" vbProcedure="false">'عمال المهام'!$D$6:$D$605</definedName>
    <definedName function="false" hidden="false" name="TASK_B" vbProcedure="false">'عمال المهام'!$B$6:$B$605</definedName>
    <definedName function="false" hidden="false" name="TASK_G" vbProcedure="false">'عمال المهام'!$G$6:$G$605</definedName>
    <definedName function="false" hidden="false" name="TASK_M" vbProcedure="false">'عمال المهام'!$J$6:$J$605</definedName>
    <definedName function="false" hidden="false" name="TASK_W" vbProcedure="false">'عمال المهام'!$I$6:$I$605</definedName>
    <definedName function="false" hidden="false" name="WFRI" vbProcedure="false">القوائم!$I$11:$I$63</definedName>
    <definedName function="false" hidden="false" name="WK" vbProcedure="false">التسوية!$N$5</definedName>
    <definedName function="false" hidden="false" name="WMON" vbProcedure="false">القوائم!$K$11:$K$63</definedName>
    <definedName function="false" hidden="false" name="WSAT" vbProcedure="false">القوائم!$H$11:$H$63</definedName>
    <definedName function="false" hidden="false" name="WTITLE" vbProcedure="false">القوائم!$J$11:$J$63</definedName>
    <definedName function="false" hidden="false" name="YR" vbProcedure="false">القوائم!$G$4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<sst xmlns="http://schemas.openxmlformats.org/spreadsheetml/2006/main" count="1447" uniqueCount="480">
  <si>
    <t xml:space="preserve">التسوية — قديش بدفع لكل موظف يوم الجمعة</t>
  </si>
  <si>
    <t xml:space="preserve">السنة</t>
  </si>
  <si>
    <t xml:space="preserve">الأسبوع</t>
  </si>
  <si>
    <t xml:space="preserve">أصفر = بتعبّيها إنت</t>
  </si>
  <si>
    <t xml:space="preserve">رمادي = محسوبة، ما بتنكتب</t>
  </si>
  <si>
    <t xml:space="preserve">أخضر = أسبوع مقبوض ومقفول</t>
  </si>
  <si>
    <t xml:space="preserve">أزرق = الأسبوع الحالي</t>
  </si>
  <si>
    <t xml:space="preserve">الموظف</t>
  </si>
  <si>
    <t xml:space="preserve">المستحق (مع الإكرامية)</t>
  </si>
  <si>
    <t xml:space="preserve">سلف</t>
  </si>
  <si>
    <t xml:space="preserve">قسط الدين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</si>
  <si>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</si>
  <si>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</si>
  <si>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</si>
  <si>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</si>
  <si>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عمر المصري</t>
  </si>
  <si>
    <t xml:space="preserve">عبدالعزيز</t>
  </si>
  <si>
    <t xml:space="preserve">الكاش اللي بتطلعه الجمعة (الاثنين)</t>
  </si>
  <si>
    <t xml:space="preserve">الإكرامية والمدفوع بتنكتبوا تحت كل أسبوع بورقة الساعات (الخانات الصفراء) — والإكرامية بتنجمع مع المستحق. · عبدالعزيز: الصافي بعد ما انخصم اللي قبضه يومياً. · «الباقي له» بينتقل لحاله للأسبوع الجاي.</t>
  </si>
  <si>
    <t xml:space="preserve">ساعات عمر المصري</t>
  </si>
  <si>
    <t xml:space="preserve">اختر الدخول والخروج (كل 5 دقائق، AM/PM) — عدد الساعات والعادي والإضافي والمستحق بيطلعوا لحالهم. تحت كل أسبوع: ساعات الجبسمبورد · المستحق النهائي · الإكرامية · المدفوع يوم الجمعة. أول ما تكتب «المدفوع» الأسبوع كله بيتلوّن أخضر = مقبوض ومقفول: ما تعدّله، أي تصحيح بسطر الأسبوع الجاي.</t>
  </si>
  <si>
    <t xml:space="preserve">رمادي غامق = برّا الفترة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</si>
  <si>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</si>
  <si>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</si>
  <si>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</si>
  <si>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</si>
  <si>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عدد الساعات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</si>
  <si>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</si>
  <si>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</si>
  <si>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</si>
  <si>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</si>
  <si>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 وبيتسوّى الجمعة</t>
  </si>
  <si>
    <t xml:space="preserve">دينار للساعة أي يوم. مستحق كل يوم مجبور لربع دينار. لما يقبض آخر اليوم: «قبض؟ نعم» — المبلغ = مستحق اليوم. اللي قبضه يومياً دفعة مقدّمة بتنخصم من تسوية الجمعة. تحت كل أسبوع: الجبسمبورد · المستحق النهائي · الإكرامية · المدفوع يوم الجمعة (التسوية).</t>
  </si>
  <si>
    <t xml:space="preserve">مستحق اليوم (دينار)</t>
  </si>
  <si>
    <t xml:space="preserve">قبض؟</t>
  </si>
  <si>
    <t xml:space="preserve">السلف الأسبوعية — بتنخصم كاملة من راتب نفس الأسبوع</t>
  </si>
  <si>
    <t xml:space="preserve">سلف هالسنة (دينار)</t>
  </si>
  <si>
    <t xml:space="preserve">سلف الأسبوع المختار (دينار)</t>
  </si>
  <si>
    <t xml:space="preserve">• كاش بياخذه وسط الأسبوع ← بينخصم كامل من صافي نفس الأسبوع. · لو السلفة أكثر من 60% من اللي اشتغله لحد يومها بتتلوّن برتقالي (تنبيه). · القروض والبضاعة بورقة «القروض والديون».</t>
  </si>
  <si>
    <t xml:space="preserve">المبلغ (دينار)</t>
  </si>
  <si>
    <t xml:space="preserve">البيان</t>
  </si>
  <si>
    <t xml:space="preserve">التنبيه</t>
  </si>
  <si>
    <t xml:space="preserve">مثال: 05/10/2026 · عمر المصري · 20.000 · «كاش من الصندوق»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</si>
  <si>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</si>
  <si>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</si>
  <si>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لحد الأسبوع المختار</t>
  </si>
  <si>
    <t xml:space="preserve">دفع كاش من جيبته</t>
  </si>
  <si>
    <t xml:space="preserve">القسط الأسبوعي الحالي</t>
  </si>
  <si>
    <t xml:space="preserve">قديش ضل</t>
  </si>
  <si>
    <t xml:space="preserve">• كل سطر: «النوع»: بضاعة (أخذ من المحل) · قرض كاش (مصاري) · دين قديم. والمبلغ والقسط الأسبوعي ← القسط بينخصم كل أسبوع لحاله لحد ما يخلص.</t>
  </si>
  <si>
    <t xml:space="preserve">• البضاعة: اكتب بالبيان الصنف والكمية (مثل: درم ديلوكس ابيض ×1) — بتنزل فاتورة بيع على أودو باسم الموظف. · تغيير القسط: سطر جديد فيه القسط بس. · «دفع كاش من جيبته» بينقص الدين فوراً.</t>
  </si>
  <si>
    <t xml:space="preserve">النوع</t>
  </si>
  <si>
    <t xml:space="preserve">القسط الأسبوعي (دينار)</t>
  </si>
  <si>
    <t xml:space="preserve">دفع كاش من جيبته (دينار)</t>
  </si>
  <si>
    <t xml:space="preserve">البيان — للبضاعة: الصنف والكمية</t>
  </si>
  <si>
    <t xml:space="preserve">أمثلة: 07/10/2026 · عمر المصري · بضاعة · 45.000 · القسط 15.000 · «درم ديلوكس ابيض ×2»   |   09/10/2026 · عمر المصري · قرض كاش · 497.000 · القسط 30.000   |   20/10/2026 · عمر المصري · دفع كاش من جيبته 50.000</t>
  </si>
  <si>
    <t xml:space="preserve">عمال المهام — بيندفعلهم مباشرة</t>
  </si>
  <si>
    <t xml:space="preserve">كل مهمة سطر: التاريخ، العامل، شو عمل، وقديش أخذ. بلا أسعار ثابتة. بتنحسب على شهر جمعة أسبوعها.</t>
  </si>
  <si>
    <t xml:space="preserve">اسم العامل</t>
  </si>
  <si>
    <t xml:space="preserve">المهمة</t>
  </si>
  <si>
    <t xml:space="preserve">المبلغ المدفوع (دينار)</t>
  </si>
  <si>
    <t xml:space="preserve">مجموع السنة</t>
  </si>
  <si>
    <t xml:space="preserve">مثال: 07/10/2026 · محمد · تنزيل طبلية جبسمبورد · 10.000</t>
  </si>
  <si>
    <t xml:space="preserve">دفتر الأسابيع — كل أسبوع بالسنة لكل موظف (محسوب، ما في كتابة هون)</t>
  </si>
  <si>
    <t xml:space="preserve">«الصافي للدفع» = الباقي من الأسبوع الماضي + المستحق (مع الإكرامية) − السلف − القسط (− اللي قبضه يومياً لعبدالعزيز). «الباقي له» = الصافي − المدفوع، وبينتقل لحاله للأسبوع الجاي.</t>
  </si>
  <si>
    <t xml:space="preserve">من السبت</t>
  </si>
  <si>
    <t xml:space="preserve">إلى الجمعة</t>
  </si>
  <si>
    <t xml:space="preserve">شهر</t>
  </si>
  <si>
    <t xml:space="preserve">قبض يومياً</t>
  </si>
  <si>
    <t xml:space="preserve">بداية ونهاية السنة — السنة، والنقل الوحيد اليدوي: مرة بالسنة</t>
  </si>
  <si>
    <t xml:space="preserve">السنة ←</t>
  </si>
  <si>
    <t xml:space="preserve">السنة — من «نهاية السنة» بملف السنة الماضية (أو الوضع يوم بدأت تستعمل الملف)</t>
  </si>
  <si>
    <t xml:space="preserve">أسبوع البداية</t>
  </si>
  <si>
    <t xml:space="preserve">مستحق له من قبل</t>
  </si>
  <si>
    <t xml:space="preserve">دين متبقي عليه</t>
  </si>
  <si>
    <t xml:space="preserve">القسط الأسبوعي</t>
  </si>
  <si>
    <t xml:space="preserve">بداية الأسبوع</t>
  </si>
  <si>
    <t xml:space="preserve">«أسبوع البداية»: أول أسبوع بتستعمل فيه هالملف (أسبوع 1 لسنة كاملة). الأسابيع اللي قبله رمادية وما بتنحسب. «مستحق له» بينضاف لصافي أسبوع البداية · «دين متبقي» والقسط بيكمّلوا ينخصموا كل أسبوع.</t>
  </si>
  <si>
    <t xml:space="preserve">نهاية السنة — هالأرقام بتنكتب بـ«السنة» بملف السنة الجاية (مع أسبوع بداية = 1)</t>
  </si>
  <si>
    <t xml:space="preserve">آخر أسبوع</t>
  </si>
  <si>
    <t xml:space="preserve">مستحق له لسا ما قبضه</t>
  </si>
  <si>
    <t xml:space="preserve">الوضع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</si>
  <si>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</si>
  <si>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</si>
  <si>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</si>
  <si>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</si>
  <si>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</si>
  <si>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بداية الإضافي</t>
  </si>
  <si>
    <t xml:space="preserve">السبت–الخميس بعد هالوقت إضافي. 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</si>
  <si>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</si>
  <si>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</si>
  <si>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</si>
  <si>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</si>
  <si>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</si>
  <si>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</si>
  <si>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السلفة (من اللي اشتغله لحد يومها)</t>
  </si>
  <si>
    <t xml:space="preserve">سلفة أكبر من هيك بتتلوّن برتقالي بورقة السلف — تنبيه بس، بتنخصم كاملة.</t>
  </si>
  <si>
    <t xml:space="preserve">سقف القسط الأسبوعي (من المستحق)</t>
  </si>
  <si>
    <t xml:space="preserve">القسط اللي بينخصم بالأسبوع ما بيزيد عن هالنسبة — الباقي بيتأجل.</t>
  </si>
  <si>
    <t xml:space="preserve">الحد الأدنى للصافي (من المستحق)</t>
  </si>
  <si>
    <t xml:space="preserve">القسط بيقل أو بيتأجل عشان الصافي ما ينزل تحت هالنسبة. السلف بتنخصم كاملة.</t>
  </si>
  <si>
    <t xml:space="preserve">أسعار الساعة — حسب التاريخ: كل سطر «ساري من» تاريخه لحد السطر اللي بعده. لما يتغيّر السعر: سطر جديد بتاريخه الكامل (الأسابيع القديمة ما بتتأثر). السطور مرتّبة بالتاريخ.</t>
  </si>
  <si>
    <t xml:space="preserve">ساري من</t>
  </si>
  <si>
    <t xml:space="preserve">عمر — الساعة العادية</t>
  </si>
  <si>
    <t xml:space="preserve">عمر — ساعة الإضافي</t>
  </si>
  <si>
    <t xml:space="preserve">عبدالعزيز — الساعة</t>
  </si>
  <si>
    <t xml:space="preserve">تحميل الجبسمبورد — الساعة</t>
  </si>
  <si>
    <t xml:space="preserve">مثال: صار سعر عمر 1.400 من 01/03/2027 ← سطر: 01/03/2027 · 1.400 · 1.500 · 1.000 · 2.500. الأسابيع اللي جمعتها قبل 01/03/2027 بتضل على السعر القديم.</t>
  </si>
  <si>
    <t xml:space="preserve">ملخص الأيدي العاملة — شهر بشهر (حسب جمعة الأسبوع) ووضع كل موظف</t>
  </si>
  <si>
    <t xml:space="preserve">قديش دفعت أيدي عاملة كل شهر (كاش طالع فعلياً) — الشهر = الأسابيع اللي جمعتها (يوم القبض) فيه</t>
  </si>
  <si>
    <t xml:space="preserve">الشهر</t>
  </si>
  <si>
    <t xml:space="preserve">عدد الجمع</t>
  </si>
  <si>
    <t xml:space="preserve">رواتب عمر</t>
  </si>
  <si>
    <t xml:space="preserve">عبدالعزيز (يومي + جمعة)</t>
  </si>
  <si>
    <t xml:space="preserve">سلف كاش</t>
  </si>
  <si>
    <t xml:space="preserve">عمال المهام</t>
  </si>
  <si>
    <t xml:space="preserve">المجموع كاش</t>
  </si>
  <si>
    <t xml:space="preserve">كلفة الشغل</t>
  </si>
  <si>
    <t xml:space="preserve">بضاعة أخذوها</t>
  </si>
  <si>
    <t xml:space="preserve">قروض كاش انعطت</t>
  </si>
  <si>
    <t xml:space="preserve">كانون الثاني (1)</t>
  </si>
  <si>
    <t xml:space="preserve">شباط (2)</t>
  </si>
  <si>
    <t xml:space="preserve">آذار (3)</t>
  </si>
  <si>
    <t xml:space="preserve">نيسان (4)</t>
  </si>
  <si>
    <t xml:space="preserve">أيار (5)</t>
  </si>
  <si>
    <t xml:space="preserve">حزيران (6)</t>
  </si>
  <si>
    <t xml:space="preserve">تموز (7)</t>
  </si>
  <si>
    <t xml:space="preserve">آب (8)</t>
  </si>
  <si>
    <t xml:space="preserve">أيلول (9)</t>
  </si>
  <si>
    <t xml:space="preserve">تشرين الأول (10)</t>
  </si>
  <si>
    <t xml:space="preserve">تشرين الثاني (11)</t>
  </si>
  <si>
    <t xml:space="preserve">كانون الأول (12)</t>
  </si>
  <si>
    <t xml:space="preserve">«كلفة الشغل» = المستحق (مع الإكرامية) + المهام (الأجر كامل، سواء انقبض كاش أو بضاعة). «المجموع كاش» = اللي طلع من الدرج فعلياً. السلف كاش فبتنعدّ · البضاعة والأقساط لا. الأشهر اللي فيها 5 جمع بتطلع أعلى — قارن بمعدل الأسبوع.</t>
  </si>
  <si>
    <t xml:space="preserve">ساعات</t>
  </si>
  <si>
    <t xml:space="preserve">قبض كاش</t>
  </si>
  <si>
    <t xml:space="preserve">+ سلف</t>
  </si>
  <si>
    <t xml:space="preserve">+ أقساط</t>
  </si>
  <si>
    <t xml:space="preserve">+ الباقي له</t>
  </si>
  <si>
    <t xml:space="preserve">المجموع</t>
  </si>
  <si>
    <t xml:space="preserve">النتيجة</t>
  </si>
  <si>
    <t xml:space="preserve">المطابقة: (مستحق له من قبل + كل المستحق مع الإكرامية) = قبض كاش + سلف + أقساط + الباقي له — ولا دينار مكرّر.</t>
  </si>
  <si>
    <t xml:space="preserve">عمال المهام — السنة، وشهر بتختاره</t>
  </si>
  <si>
    <t xml:space="preserve">الشهر:</t>
  </si>
  <si>
    <t xml:space="preserve">العامل</t>
  </si>
  <si>
    <t xml:space="preserve">مهام السنة</t>
  </si>
  <si>
    <t xml:space="preserve">قبض بالسنة</t>
  </si>
  <si>
    <t xml:space="preserve">مهام الشهر</t>
  </si>
  <si>
    <t xml:space="preserve">قبض بالشهر</t>
  </si>
  <si>
    <t xml:space="preserve">كيف يشتغل الملف (النظام الأسبوعي السنوي)</t>
  </si>
  <si>
    <t xml:space="preserve">الفكرة</t>
  </si>
  <si>
    <t xml:space="preserve">1</t>
  </si>
  <si>
    <t xml:space="preserve">ملف واحد للسنة كاملة. الأسبوع من السبت لمساء الجمعة، ومساء الجمعة الموظف بياخذ أجرته. الأسبوع كامل بينسب للشهر اللي فيه جمعته (يوم القبض) — ما بينقسم أبداً بين شهرين.</t>
  </si>
  <si>
    <t xml:space="preserve">2</t>
  </si>
  <si>
    <t xml:space="preserve">الأسبوع 1 = اللي جمعته أول جمعة بيناير. السنة فيها 52 أو 53 أسبوع (2027 فيها 53). الأيام اللي آخر ديسمبر وجمعتها بيناير بتروح لملف السنة الجاية.</t>
  </si>
  <si>
    <t xml:space="preserve">الألوان</t>
  </si>
  <si>
    <t xml:space="preserve">3</t>
  </si>
  <si>
    <t xml:space="preserve">أصفر ذهبي = خانة بتعبّيها إنت · رمادي فاتح = محسوبة (ما بتنكتب) · أخضر = أسبوع مقبوض ومقفول · أزرق = الأسبوع الحالي (عنوانه غامق وأيامه فاتح) · رمادي غامق = برّا الفترة. المفتاح موجود فوق كل ورقة.</t>
  </si>
  <si>
    <t xml:space="preserve">أول السنة (أو أول ما تبلّش)</t>
  </si>
  <si>
    <t xml:space="preserve">4</t>
  </si>
  <si>
    <t xml:space="preserve">بورقة «السنة»: اختر السنة من القائمة (كل الملف بيتبرمج عليها)، وأسبوع البداية (أسبوع 1 لسنة كاملة — أو رقم الأسبوع اللي بلّشت فيه)، ومستحق له من قبل، ودين عليه، والقسط — من «نهاية السنة» بملف السنة الماضية.</t>
  </si>
  <si>
    <t xml:space="preserve">كل يوم</t>
  </si>
  <si>
    <t xml:space="preserve">5</t>
  </si>
  <si>
    <t xml:space="preserve">بورقة الساعات: كل أسبوع عنوانه فيه تواريخه كاملة ورقمه، وتحته عناوين الأعمدة. الأسبوع الحالي عنوانه أزرق (أو من رابط «افتح ساعات…» بالتسوية). اختر الدخول والخروج من القائمة (كل 5 دقائق، AM/PM) أو اكتبه مثل 7:30 AM. عبدالعزيز: آخر اليوم «قبض؟ نعم».</t>
  </si>
  <si>
    <t xml:space="preserve">6</t>
  </si>
  <si>
    <t xml:space="preserve">سلفة كاش: سطر بورقة «السلف» — التاريخ: اختار من آخر 14 يوم أو اكتبه كامل (05/10/2026). قرض أو بضاعة: سطر بورقة «القروض والديون» فيه النوع والمبلغ والقسط — والبضاعة بالبيان: الصنف والكمية.</t>
  </si>
  <si>
    <t xml:space="preserve">7</t>
  </si>
  <si>
    <t xml:space="preserve">عامل مهمة: سطر بورقة «عمال المهام» نفس اليوم.</t>
  </si>
  <si>
    <t xml:space="preserve">آخر الأسبوع (الجمعة)</t>
  </si>
  <si>
    <t xml:space="preserve">8</t>
  </si>
  <si>
    <t xml:space="preserve">ورقة «التسوية» بتفتح على الأسبوع الحالي لحالها (أو تختار أسبوع من القائمة: من السبت … إلى الجمعة … · رقم الأسبوع): لكل موظف «الصافي للدفع» (البرتقالي) = الباقي من الأسبوع الماضي + المستحق (مع الإكرامية) − السلف − القسط (عبدالعزيز: − اللي قبضه يومياً). وتحتهم مجموع الكاش.</t>
  </si>
  <si>
    <t xml:space="preserve">9</t>
  </si>
  <si>
    <t xml:space="preserve">تحت الأسبوع بورقة الساعات: اكتب ساعات الجبسمبورد، والإكرامية (بتنجمع مع المستحق)، و«المدفوع». أول ما تكتب المدفوع الأسبوع كله بيتلوّن أخضر = مقبوض ومقفول. ما تعدّل أسبوع مقبوض — أي تصحيح بسطر الأسبوع الجاي.</t>
  </si>
  <si>
    <t xml:space="preserve">10</t>
  </si>
  <si>
    <t xml:space="preserve">«الباقي له» (لو دفعت أقل أو أكثر) بينتقل لحاله للأسبوع الجاي — ما في نقل يدوي. كل أسابيع السنة بورقة «دفتر الأسابيع» (من السبت … إلى الجمعة …).</t>
  </si>
  <si>
    <t xml:space="preserve">السقوف (بتشتغل لحالها)</t>
  </si>
  <si>
    <t xml:space="preserve">11</t>
  </si>
  <si>
    <t xml:space="preserve">السلفة أكثر من 60% من اللي اشتغله لحد يومها بتتلوّن برتقالي (تنبيه بس). القسط ما بيزيد عن 25% من المستحق، والصافي ما بينزل عن 65% من المستحق — الباقي من القسط بيتأجل لحاله. النسب بورقة «القواعد».</t>
  </si>
  <si>
    <t xml:space="preserve">الأسعار</t>
  </si>
  <si>
    <t xml:space="preserve">12</t>
  </si>
  <si>
    <t xml:space="preserve">جدول الأسعار بورقة «القواعد» فيه «ساري من»: لما يتغيّر سعر الساعة اكتب سطر جديد بتاريخه. الأسابيع القديمة بتضل على سعرها — ما بيتغيّر الماضي.</t>
  </si>
  <si>
    <t xml:space="preserve">آخر الشهر</t>
  </si>
  <si>
    <t xml:space="preserve">13</t>
  </si>
  <si>
    <t xml:space="preserve">ورقة «ملخص الأيدي العاملة»: جدول 12 شهر (كل شهر من السبت … إلى الجمعة … بالتواريخ الكاملة) — قديش دفعت كاش، كلفة الشغل، البضاعة، القروض. وتحته وضع كل موظف والمطابقة وعمال المهام.</t>
  </si>
  <si>
    <t xml:space="preserve">14</t>
  </si>
  <si>
    <t xml:space="preserve">ارفع الملف لكلود وقلّه «هاد ملف الموظفين لشهر كذا»: البضاعة بتنزل فواتير بيع على أودو باسم الموظف، والأقساط تحصيل. كل شي مسودة أول، وما بينرحّل إلا بـ«رحّل». والملف ما بينرحّل مرتين.</t>
  </si>
  <si>
    <t xml:space="preserve">الحماية والنسخ</t>
  </si>
  <si>
    <t xml:space="preserve">15</t>
  </si>
  <si>
    <t xml:space="preserve">الخلايا الصفراء بس بتنكتب. الباقي محمي بلا كلمة سر (مراجعة ← إلغاء حماية الورقة إذا لزم). الملف فيه سنة كاملة — خلّيه على الدرايف عشان النسخ تنحفظ لحالها.</t>
  </si>
  <si>
    <t xml:space="preserve">16</t>
  </si>
  <si>
    <t xml:space="preserve">كل التواريخ بالملف كاملة: يوم/شهر/سنة (05/10/2026). بخانات التاريخ اكتبه كامل أو اختاره من القائمة.</t>
  </si>
  <si>
    <t xml:space="preserve">6:00 AM</t>
  </si>
  <si>
    <t xml:space="preserve">ALAWN_PAYROLL</t>
  </si>
  <si>
    <t xml:space="preserve">6:05 AM</t>
  </si>
  <si>
    <t xml:space="preserve">6:10 AM</t>
  </si>
  <si>
    <t xml:space="preserve">سنوي</t>
  </si>
  <si>
    <t xml:space="preserve">6:15 AM</t>
  </si>
  <si>
    <t xml:space="preserve">6:20 AM</t>
  </si>
  <si>
    <t xml:space="preserve">6:25 AM</t>
  </si>
  <si>
    <t xml:space="preserve">6:30 AM</t>
  </si>
  <si>
    <t xml:space="preserve">6:35 AM</t>
  </si>
  <si>
    <t xml:space="preserve">6:40 AM</t>
  </si>
  <si>
    <t xml:space="preserve">6:45 AM</t>
  </si>
  <si>
    <t xml:space="preserve">6:50 AM</t>
  </si>
  <si>
    <t xml:space="preserve">6:55 AM</t>
  </si>
  <si>
    <t xml:space="preserve">7:00 AM</t>
  </si>
  <si>
    <t xml:space="preserve">7:05 AM</t>
  </si>
  <si>
    <t xml:space="preserve">7:10 AM</t>
  </si>
  <si>
    <t xml:space="preserve">7:15 AM</t>
  </si>
  <si>
    <t xml:space="preserve">7:20 AM</t>
  </si>
  <si>
    <t xml:space="preserve">7:25 AM</t>
  </si>
  <si>
    <t xml:space="preserve">7:30 AM</t>
  </si>
  <si>
    <t xml:space="preserve">7:35 AM</t>
  </si>
  <si>
    <t xml:space="preserve">7:40 AM</t>
  </si>
  <si>
    <t xml:space="preserve">7:45 AM</t>
  </si>
  <si>
    <t xml:space="preserve">7:50 AM</t>
  </si>
  <si>
    <t xml:space="preserve">7:55 AM</t>
  </si>
  <si>
    <t xml:space="preserve">8:00 AM</t>
  </si>
  <si>
    <t xml:space="preserve">8:05 AM</t>
  </si>
  <si>
    <t xml:space="preserve">8:10 AM</t>
  </si>
  <si>
    <t xml:space="preserve">8:15 AM</t>
  </si>
  <si>
    <t xml:space="preserve">8:20 AM</t>
  </si>
  <si>
    <t xml:space="preserve">8:25 AM</t>
  </si>
  <si>
    <t xml:space="preserve">8:30 AM</t>
  </si>
  <si>
    <t xml:space="preserve">8:35 AM</t>
  </si>
  <si>
    <t xml:space="preserve">8:40 AM</t>
  </si>
  <si>
    <t xml:space="preserve">8:45 AM</t>
  </si>
  <si>
    <t xml:space="preserve">8:50 AM</t>
  </si>
  <si>
    <t xml:space="preserve">8:55 AM</t>
  </si>
  <si>
    <t xml:space="preserve">9:00 AM</t>
  </si>
  <si>
    <t xml:space="preserve">9:05 AM</t>
  </si>
  <si>
    <t xml:space="preserve">9:10 AM</t>
  </si>
  <si>
    <t xml:space="preserve">9:15 AM</t>
  </si>
  <si>
    <t xml:space="preserve">9:20 AM</t>
  </si>
  <si>
    <t xml:space="preserve">9:25 AM</t>
  </si>
  <si>
    <t xml:space="preserve">9:30 AM</t>
  </si>
  <si>
    <t xml:space="preserve">9:35 AM</t>
  </si>
  <si>
    <t xml:space="preserve">9:40 AM</t>
  </si>
  <si>
    <t xml:space="preserve">9:45 AM</t>
  </si>
  <si>
    <t xml:space="preserve">9:50 AM</t>
  </si>
  <si>
    <t xml:space="preserve">9:55 AM</t>
  </si>
  <si>
    <t xml:space="preserve">10:00 AM</t>
  </si>
  <si>
    <t xml:space="preserve">10:05 AM</t>
  </si>
  <si>
    <t xml:space="preserve">10:10 AM</t>
  </si>
  <si>
    <t xml:space="preserve">10:15 AM</t>
  </si>
  <si>
    <t xml:space="preserve">10:20 AM</t>
  </si>
  <si>
    <t xml:space="preserve">10:25 AM</t>
  </si>
  <si>
    <t xml:space="preserve">10:30 AM</t>
  </si>
  <si>
    <t xml:space="preserve">10:35 AM</t>
  </si>
  <si>
    <t xml:space="preserve">10:40 AM</t>
  </si>
  <si>
    <t xml:space="preserve">10:45 AM</t>
  </si>
  <si>
    <t xml:space="preserve">10:50 AM</t>
  </si>
  <si>
    <t xml:space="preserve">10:55 AM</t>
  </si>
  <si>
    <t xml:space="preserve">11:00 AM</t>
  </si>
  <si>
    <t xml:space="preserve">11:05 AM</t>
  </si>
  <si>
    <t xml:space="preserve">11:10 AM</t>
  </si>
  <si>
    <t xml:space="preserve">11:15 AM</t>
  </si>
  <si>
    <t xml:space="preserve">11:20 AM</t>
  </si>
  <si>
    <t xml:space="preserve">11:25 AM</t>
  </si>
  <si>
    <t xml:space="preserve">11:30 AM</t>
  </si>
  <si>
    <t xml:space="preserve">11:35 AM</t>
  </si>
  <si>
    <t xml:space="preserve">11:40 AM</t>
  </si>
  <si>
    <t xml:space="preserve">11:45 AM</t>
  </si>
  <si>
    <t xml:space="preserve">11:50 AM</t>
  </si>
  <si>
    <t xml:space="preserve">11:55 AM</t>
  </si>
  <si>
    <t xml:space="preserve">12:00 PM</t>
  </si>
  <si>
    <t xml:space="preserve">12:05 PM</t>
  </si>
  <si>
    <t xml:space="preserve">12:10 PM</t>
  </si>
  <si>
    <t xml:space="preserve">12:15 PM</t>
  </si>
  <si>
    <t xml:space="preserve">12:20 PM</t>
  </si>
  <si>
    <t xml:space="preserve">12:25 PM</t>
  </si>
  <si>
    <t xml:space="preserve">12:30 PM</t>
  </si>
  <si>
    <t xml:space="preserve">12:35 PM</t>
  </si>
  <si>
    <t xml:space="preserve">12:40 PM</t>
  </si>
  <si>
    <t xml:space="preserve">12:45 PM</t>
  </si>
  <si>
    <t xml:space="preserve">12:50 PM</t>
  </si>
  <si>
    <t xml:space="preserve">12:55 PM</t>
  </si>
  <si>
    <t xml:space="preserve">1:00 PM</t>
  </si>
  <si>
    <t xml:space="preserve">1:05 PM</t>
  </si>
  <si>
    <t xml:space="preserve">1:10 PM</t>
  </si>
  <si>
    <t xml:space="preserve">1:15 PM</t>
  </si>
  <si>
    <t xml:space="preserve">1:20 PM</t>
  </si>
  <si>
    <t xml:space="preserve">1:25 PM</t>
  </si>
  <si>
    <t xml:space="preserve">1:30 PM</t>
  </si>
  <si>
    <t xml:space="preserve">1:35 PM</t>
  </si>
  <si>
    <t xml:space="preserve">1:40 PM</t>
  </si>
  <si>
    <t xml:space="preserve">1:45 PM</t>
  </si>
  <si>
    <t xml:space="preserve">1:50 PM</t>
  </si>
  <si>
    <t xml:space="preserve">1:55 PM</t>
  </si>
  <si>
    <t xml:space="preserve">2:00 PM</t>
  </si>
  <si>
    <t xml:space="preserve">2:05 PM</t>
  </si>
  <si>
    <t xml:space="preserve">2:10 PM</t>
  </si>
  <si>
    <t xml:space="preserve">2:15 PM</t>
  </si>
  <si>
    <t xml:space="preserve">2:20 PM</t>
  </si>
  <si>
    <t xml:space="preserve">2:25 PM</t>
  </si>
  <si>
    <t xml:space="preserve">2:30 PM</t>
  </si>
  <si>
    <t xml:space="preserve">2:35 PM</t>
  </si>
  <si>
    <t xml:space="preserve">2:40 PM</t>
  </si>
  <si>
    <t xml:space="preserve">2:45 PM</t>
  </si>
  <si>
    <t xml:space="preserve">2:50 PM</t>
  </si>
  <si>
    <t xml:space="preserve">2:55 PM</t>
  </si>
  <si>
    <t xml:space="preserve">3:00 PM</t>
  </si>
  <si>
    <t xml:space="preserve">3:05 PM</t>
  </si>
  <si>
    <t xml:space="preserve">3:10 PM</t>
  </si>
  <si>
    <t xml:space="preserve">3:15 PM</t>
  </si>
  <si>
    <t xml:space="preserve">3:20 PM</t>
  </si>
  <si>
    <t xml:space="preserve">3:25 PM</t>
  </si>
  <si>
    <t xml:space="preserve">3:30 PM</t>
  </si>
  <si>
    <t xml:space="preserve">3:35 PM</t>
  </si>
  <si>
    <t xml:space="preserve">3:40 PM</t>
  </si>
  <si>
    <t xml:space="preserve">3:45 PM</t>
  </si>
  <si>
    <t xml:space="preserve">3:50 PM</t>
  </si>
  <si>
    <t xml:space="preserve">3:55 PM</t>
  </si>
  <si>
    <t xml:space="preserve">4:00 PM</t>
  </si>
  <si>
    <t xml:space="preserve">4:05 PM</t>
  </si>
  <si>
    <t xml:space="preserve">4:10 PM</t>
  </si>
  <si>
    <t xml:space="preserve">4:15 PM</t>
  </si>
  <si>
    <t xml:space="preserve">4:20 PM</t>
  </si>
  <si>
    <t xml:space="preserve">4:25 PM</t>
  </si>
  <si>
    <t xml:space="preserve">4:30 PM</t>
  </si>
  <si>
    <t xml:space="preserve">4:35 PM</t>
  </si>
  <si>
    <t xml:space="preserve">4:40 PM</t>
  </si>
  <si>
    <t xml:space="preserve">4:45 PM</t>
  </si>
  <si>
    <t xml:space="preserve">4:50 PM</t>
  </si>
  <si>
    <t xml:space="preserve">4:55 PM</t>
  </si>
  <si>
    <t xml:space="preserve">5:00 PM</t>
  </si>
  <si>
    <t xml:space="preserve">5:05 PM</t>
  </si>
  <si>
    <t xml:space="preserve">5:10 PM</t>
  </si>
  <si>
    <t xml:space="preserve">5:15 PM</t>
  </si>
  <si>
    <t xml:space="preserve">5:20 PM</t>
  </si>
  <si>
    <t xml:space="preserve">5:25 PM</t>
  </si>
  <si>
    <t xml:space="preserve">5:30 PM</t>
  </si>
  <si>
    <t xml:space="preserve">5:35 PM</t>
  </si>
  <si>
    <t xml:space="preserve">5:40 PM</t>
  </si>
  <si>
    <t xml:space="preserve">5:45 PM</t>
  </si>
  <si>
    <t xml:space="preserve">5:50 PM</t>
  </si>
  <si>
    <t xml:space="preserve">5:55 PM</t>
  </si>
  <si>
    <t xml:space="preserve">6:00 PM</t>
  </si>
  <si>
    <t xml:space="preserve">6:05 PM</t>
  </si>
  <si>
    <t xml:space="preserve">6:10 PM</t>
  </si>
  <si>
    <t xml:space="preserve">6:15 PM</t>
  </si>
  <si>
    <t xml:space="preserve">6:20 PM</t>
  </si>
  <si>
    <t xml:space="preserve">6:25 PM</t>
  </si>
  <si>
    <t xml:space="preserve">6:30 PM</t>
  </si>
  <si>
    <t xml:space="preserve">6:35 PM</t>
  </si>
  <si>
    <t xml:space="preserve">6:40 PM</t>
  </si>
  <si>
    <t xml:space="preserve">6:45 PM</t>
  </si>
  <si>
    <t xml:space="preserve">6:50 PM</t>
  </si>
  <si>
    <t xml:space="preserve">6:55 PM</t>
  </si>
  <si>
    <t xml:space="preserve">7:00 PM</t>
  </si>
  <si>
    <t xml:space="preserve">7:05 PM</t>
  </si>
  <si>
    <t xml:space="preserve">7:10 PM</t>
  </si>
  <si>
    <t xml:space="preserve">7:15 PM</t>
  </si>
  <si>
    <t xml:space="preserve">7:20 PM</t>
  </si>
  <si>
    <t xml:space="preserve">7:25 PM</t>
  </si>
  <si>
    <t xml:space="preserve">7:30 PM</t>
  </si>
  <si>
    <t xml:space="preserve">7:35 PM</t>
  </si>
  <si>
    <t xml:space="preserve">7:40 PM</t>
  </si>
  <si>
    <t xml:space="preserve">7:45 PM</t>
  </si>
  <si>
    <t xml:space="preserve">7:50 PM</t>
  </si>
  <si>
    <t xml:space="preserve">7:55 PM</t>
  </si>
  <si>
    <t xml:space="preserve">8:00 PM</t>
  </si>
  <si>
    <t xml:space="preserve">8:05 PM</t>
  </si>
  <si>
    <t xml:space="preserve">8:10 PM</t>
  </si>
  <si>
    <t xml:space="preserve">8:15 PM</t>
  </si>
  <si>
    <t xml:space="preserve">8:20 PM</t>
  </si>
  <si>
    <t xml:space="preserve">8:25 PM</t>
  </si>
  <si>
    <t xml:space="preserve">8:30 PM</t>
  </si>
  <si>
    <t xml:space="preserve">8:35 PM</t>
  </si>
  <si>
    <t xml:space="preserve">8:40 PM</t>
  </si>
  <si>
    <t xml:space="preserve">8:45 PM</t>
  </si>
  <si>
    <t xml:space="preserve">8:50 PM</t>
  </si>
  <si>
    <t xml:space="preserve">8:55 PM</t>
  </si>
  <si>
    <t xml:space="preserve">9:00 PM</t>
  </si>
  <si>
    <t xml:space="preserve">9:05 PM</t>
  </si>
  <si>
    <t xml:space="preserve">9:10 PM</t>
  </si>
  <si>
    <t xml:space="preserve">9:15 PM</t>
  </si>
  <si>
    <t xml:space="preserve">9:20 PM</t>
  </si>
  <si>
    <t xml:space="preserve">9:25 PM</t>
  </si>
  <si>
    <t xml:space="preserve">9:30 PM</t>
  </si>
  <si>
    <t xml:space="preserve">9:35 PM</t>
  </si>
  <si>
    <t xml:space="preserve">9:40 PM</t>
  </si>
  <si>
    <t xml:space="preserve">9:45 PM</t>
  </si>
  <si>
    <t xml:space="preserve">9:50 PM</t>
  </si>
  <si>
    <t xml:space="preserve">9:55 PM</t>
  </si>
  <si>
    <t xml:space="preserve">10:00 PM</t>
  </si>
  <si>
    <t xml:space="preserve">10:05 PM</t>
  </si>
  <si>
    <t xml:space="preserve">10:10 PM</t>
  </si>
  <si>
    <t xml:space="preserve">10:15 PM</t>
  </si>
  <si>
    <t xml:space="preserve">10:20 PM</t>
  </si>
  <si>
    <t xml:space="preserve">10:25 PM</t>
  </si>
  <si>
    <t xml:space="preserve">10:30 PM</t>
  </si>
  <si>
    <t xml:space="preserve">10:35 PM</t>
  </si>
  <si>
    <t xml:space="preserve">10:40 PM</t>
  </si>
  <si>
    <t xml:space="preserve">10:45 PM</t>
  </si>
  <si>
    <t xml:space="preserve">10:50 PM</t>
  </si>
  <si>
    <t xml:space="preserve">10:55 PM</t>
  </si>
  <si>
    <t xml:space="preserve">11:00 PM</t>
  </si>
  <si>
    <t xml:space="preserve">11:05 PM</t>
  </si>
  <si>
    <t xml:space="preserve">11:10 PM</t>
  </si>
  <si>
    <t xml:space="preserve">11:15 PM</t>
  </si>
  <si>
    <t xml:space="preserve">11:20 PM</t>
  </si>
  <si>
    <t xml:space="preserve">11:25 PM</t>
  </si>
  <si>
    <t xml:space="preserve">11:30 PM</t>
  </si>
  <si>
    <t xml:space="preserve">11:35 PM</t>
  </si>
  <si>
    <t xml:space="preserve">11:40 PM</t>
  </si>
  <si>
    <t xml:space="preserve">11:45 PM</t>
  </si>
  <si>
    <t xml:space="preserve">11:50 PM</t>
  </si>
  <si>
    <t xml:space="preserve">11:55 PM</t>
  </si>
  <si>
    <t xml:space="preserve">12:00 AM</t>
  </si>
  <si>
    <t xml:space="preserve">12:05 AM</t>
  </si>
  <si>
    <t xml:space="preserve">12:10 AM</t>
  </si>
  <si>
    <t xml:space="preserve">12:15 AM</t>
  </si>
  <si>
    <t xml:space="preserve">12:20 AM</t>
  </si>
  <si>
    <t xml:space="preserve">12:25 AM</t>
  </si>
  <si>
    <t xml:space="preserve">12:30 AM</t>
  </si>
  <si>
    <t xml:space="preserve">12:35 AM</t>
  </si>
  <si>
    <t xml:space="preserve">12:40 AM</t>
  </si>
  <si>
    <t xml:space="preserve">12:45 AM</t>
  </si>
  <si>
    <t xml:space="preserve">12:50 AM</t>
  </si>
  <si>
    <t xml:space="preserve">12:55 AM</t>
  </si>
  <si>
    <t xml:space="preserve">1:00 AM</t>
  </si>
  <si>
    <t xml:space="preserve">1:05 AM</t>
  </si>
  <si>
    <t xml:space="preserve">1:10 AM</t>
  </si>
  <si>
    <t xml:space="preserve">1:15 AM</t>
  </si>
  <si>
    <t xml:space="preserve">1:20 AM</t>
  </si>
  <si>
    <t xml:space="preserve">1:25 AM</t>
  </si>
  <si>
    <t xml:space="preserve">1:30 AM</t>
  </si>
  <si>
    <t xml:space="preserve">1:35 AM</t>
  </si>
  <si>
    <t xml:space="preserve">1:40 AM</t>
  </si>
  <si>
    <t xml:space="preserve">1:45 AM</t>
  </si>
  <si>
    <t xml:space="preserve">1:50 AM</t>
  </si>
  <si>
    <t xml:space="preserve">1:55 AM</t>
  </si>
  <si>
    <t xml:space="preserve">2:00 AM</t>
  </si>
  <si>
    <t xml:space="preserve">2:05 AM</t>
  </si>
  <si>
    <t xml:space="preserve">2:10 AM</t>
  </si>
  <si>
    <t xml:space="preserve">2:15 AM</t>
  </si>
  <si>
    <t xml:space="preserve">2:20 AM</t>
  </si>
  <si>
    <t xml:space="preserve">2:25 AM</t>
  </si>
  <si>
    <t xml:space="preserve">2:30 AM</t>
  </si>
  <si>
    <t xml:space="preserve">2:35 AM</t>
  </si>
  <si>
    <t xml:space="preserve">2:40 AM</t>
  </si>
  <si>
    <t xml:space="preserve">2:45 AM</t>
  </si>
  <si>
    <t xml:space="preserve">2:50 AM</t>
  </si>
  <si>
    <t xml:space="preserve">2:55 AM</t>
  </si>
  <si>
    <t xml:space="preserve">3:00 AM</t>
  </si>
  <si>
    <t xml:space="preserve">3:05 AM</t>
  </si>
  <si>
    <t xml:space="preserve">3:10 AM</t>
  </si>
  <si>
    <t xml:space="preserve">3:15 AM</t>
  </si>
  <si>
    <t xml:space="preserve">3:20 AM</t>
  </si>
  <si>
    <t xml:space="preserve">3:25 AM</t>
  </si>
  <si>
    <t xml:space="preserve">3:30 AM</t>
  </si>
  <si>
    <t xml:space="preserve">3:35 AM</t>
  </si>
  <si>
    <t xml:space="preserve">3:40 AM</t>
  </si>
  <si>
    <t xml:space="preserve">3:45 AM</t>
  </si>
  <si>
    <t xml:space="preserve">3:50 AM</t>
  </si>
  <si>
    <t xml:space="preserve">3:55 AM</t>
  </si>
  <si>
    <t xml:space="preserve">4:00 AM</t>
  </si>
  <si>
    <t xml:space="preserve">4:05 AM</t>
  </si>
  <si>
    <t xml:space="preserve">4:10 AM</t>
  </si>
  <si>
    <t xml:space="preserve">4:15 AM</t>
  </si>
  <si>
    <t xml:space="preserve">4:20 AM</t>
  </si>
  <si>
    <t xml:space="preserve">4:25 AM</t>
  </si>
  <si>
    <t xml:space="preserve">4:30 AM</t>
  </si>
  <si>
    <t xml:space="preserve">4:35 AM</t>
  </si>
  <si>
    <t xml:space="preserve">4:40 AM</t>
  </si>
  <si>
    <t xml:space="preserve">4:45 AM</t>
  </si>
  <si>
    <t xml:space="preserve">4:50 AM</t>
  </si>
  <si>
    <t xml:space="preserve">4:55 AM</t>
  </si>
  <si>
    <t xml:space="preserve">5:00 AM</t>
  </si>
  <si>
    <t xml:space="preserve">5:05 AM</t>
  </si>
  <si>
    <t xml:space="preserve">5:10 AM</t>
  </si>
  <si>
    <t xml:space="preserve">5:15 AM</t>
  </si>
  <si>
    <t xml:space="preserve">5:20 AM</t>
  </si>
  <si>
    <t xml:space="preserve">5:25 AM</t>
  </si>
  <si>
    <t xml:space="preserve">5:30 AM</t>
  </si>
  <si>
    <t xml:space="preserve">5:35 AM</t>
  </si>
  <si>
    <t xml:space="preserve">5:40 AM</t>
  </si>
  <si>
    <t xml:space="preserve">5:45 AM</t>
  </si>
  <si>
    <t xml:space="preserve">5:50 AM</t>
  </si>
  <si>
    <t xml:space="preserve">5:55 AM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</si>
</sst>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General"/>
    <numFmt numFmtId="167" formatCode="#,##0.000;[RED]\-#,##0.000;\-"/>
    <numFmt numFmtId="168" formatCode="dd/mm/yyyy"/>
    <numFmt numFmtId="169" formatCode="0.000"/>
    <numFmt numFmtId="170" formatCode="[h]&quot; س &quot;mm&quot; د&quot;"/>
    <numFmt numFmtId="171" formatCode="h:mm\ AM/PM"/>
    <numFmt numFmtId="172" formatCode="0.00"/>
    <numFmt numFmtId="173" formatCode="&quot;قبض &quot;#,##0.000"/>
    <numFmt numFmtId="174" formatCode="@"/>
    <numFmt numFmtId="175" formatCode="0%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9"/>
      <color rgb="FFC55A11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8"/>
      <color rgb="FFF2F2F2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8A6A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3"/>
      <color rgb="FF5B3A6B"/>
      <name val="Arial"/>
      <family val="0"/>
      <charset val="1"/>
    </font>
    <font>
      <b val="true"/>
      <sz val="11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6B"/>
        <bgColor rgb="FF1F4E79"/>
      </patternFill>
    </fill>
    <fill>
      <patternFill patternType="solid">
        <fgColor rgb="FFF2F2F2"/>
        <bgColor rgb="FFE7E6E6"/>
      </patternFill>
    </fill>
    <fill>
      <patternFill patternType="solid">
        <fgColor rgb="FFFFD966"/>
        <bgColor rgb="FFF8CBAD"/>
      </patternFill>
    </fill>
    <fill>
      <patternFill patternType="solid">
        <fgColor rgb="FF92D050"/>
        <bgColor rgb="FF9AA5AD"/>
      </patternFill>
    </fill>
    <fill>
      <patternFill patternType="solid">
        <fgColor rgb="FFDDEBF7"/>
        <bgColor rgb="FFE7E6E6"/>
      </patternFill>
    </fill>
    <fill>
      <patternFill patternType="solid">
        <fgColor rgb="FFED7D31"/>
        <bgColor rgb="FFFF8080"/>
      </patternFill>
    </fill>
    <fill>
      <patternFill patternType="solid">
        <fgColor rgb="FFE2EFDA"/>
        <bgColor rgb="FFE7E6E6"/>
      </patternFill>
    </fill>
    <fill>
      <patternFill patternType="solid">
        <fgColor rgb="FFBFBFBF"/>
        <bgColor rgb="FFC6E0B4"/>
      </patternFill>
    </fill>
    <fill>
      <patternFill patternType="solid">
        <fgColor rgb="FFE7E6E6"/>
        <bgColor rgb="FFE2EFDA"/>
      </patternFill>
    </fill>
    <fill>
      <patternFill patternType="solid">
        <fgColor rgb="FFC6E0B4"/>
        <bgColor rgb="FFE2EFDA"/>
      </patternFill>
    </fill>
    <fill>
      <patternFill patternType="solid">
        <fgColor rgb="FF0F6E6E"/>
        <bgColor rgb="FF008080"/>
      </patternFill>
    </fill>
    <fill>
      <patternFill patternType="solid">
        <fgColor rgb="FF8B3A2F"/>
        <bgColor rgb="FF5B3A6B"/>
      </patternFill>
    </fill>
    <fill>
      <patternFill patternType="solid">
        <fgColor rgb="FF5B3A6B"/>
        <bgColor rgb="FF555555"/>
      </patternFill>
    </fill>
    <fill>
      <patternFill patternType="solid">
        <fgColor rgb="FFFFFFFF"/>
        <bgColor rgb="FFF2F2F2"/>
      </patternFill>
    </fill>
    <fill>
      <patternFill patternType="solid">
        <fgColor rgb="FF8A6A00"/>
        <bgColor rgb="FFC55A1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medium">
        <color rgb="FF1F4E6B"/>
      </left>
      <right style="medium">
        <color rgb="FF1F4E6B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4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3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1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DE2C8"/>
        </patternFill>
      </fill>
    </dxf>
    <dxf>
      <font>
        <color rgb="FF7F7F7F"/>
      </font>
      <fill>
        <patternFill>
          <bgColor rgb="FFBFBFBF"/>
        </patternFill>
      </fill>
    </dxf>
    <dxf>
      <fill>
        <patternFill>
          <bgColor rgb="FF92D050"/>
        </patternFill>
      </fill>
    </dxf>
    <dxf>
      <font>
        <b val="1"/>
        <color rgb="FFFFFFFF"/>
      </font>
      <fill>
        <patternFill>
          <bgColor rgb="FF5B9BD5"/>
        </patternFill>
      </fill>
    </dxf>
    <dxf>
      <fill>
        <patternFill>
          <bgColor rgb="FFDDEBF7"/>
        </patternFill>
      </fill>
    </dxf>
    <dxf>
      <font>
        <b val="1"/>
        <color rgb="FFFFFFFF"/>
      </font>
      <fill>
        <patternFill>
          <bgColor rgb="FFED7D31"/>
        </patternFill>
      </fill>
    </dxf>
    <dxf>
      <fill>
        <patternFill>
          <bgColor rgb="FFF8CBAD"/>
        </patternFill>
      </fill>
    </dxf>
    <dxf>
      <font>
        <b val="1"/>
      </font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A00"/>
      <rgbColor rgb="FF800080"/>
      <rgbColor rgb="FF0F6E6E"/>
      <rgbColor rgb="FFBFBFBF"/>
      <rgbColor rgb="FF7F7F7F"/>
      <rgbColor rgb="FF5B9BD5"/>
      <rgbColor rgb="FF5B3A6B"/>
      <rgbColor rgb="FFF2F2F2"/>
      <rgbColor rgb="FFDDEBF7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EFDA"/>
      <rgbColor rgb="FFFDE2C8"/>
      <rgbColor rgb="FF99CCFF"/>
      <rgbColor rgb="FFFF99CC"/>
      <rgbColor rgb="FFCC99FF"/>
      <rgbColor rgb="FFF8CBAD"/>
      <rgbColor rgb="FF3366FF"/>
      <rgbColor rgb="FF33CCCC"/>
      <rgbColor rgb="FF92D050"/>
      <rgbColor rgb="FFFFD966"/>
      <rgbColor rgb="FFFF9900"/>
      <rgbColor rgb="FFED7D31"/>
      <rgbColor rgb="FF555555"/>
      <rgbColor rgb="FF9AA5AD"/>
      <rgbColor rgb="FF1F4E6B"/>
      <rgbColor rgb="FF339966"/>
      <rgbColor rgb="FF003300"/>
      <rgbColor rgb="FF333300"/>
      <rgbColor rgb="FF8B3A2F"/>
      <rgbColor rgb="FFC55A11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8" min="7" style="0" width="13"/>
    <col collapsed="false" customWidth="true" hidden="false" outlineLevel="0" max="9" min="9" style="0" width="1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B3" s="2" t="s">
        <v>1</v>
      </c>
      <c r="C3" s="3" t="n">
        <f aca="false">YR</f>
        <v>2026</v>
      </c>
      <c r="D3" s="4" t="str">
        <f aca="false">"فيها "&amp;NW&amp;" أسبوع · السنة بتنختار من ورقة «السنة»"</f>
        <v>فيها 52 أسبوع · السنة بتنختار من ورقة «السنة»</v>
      </c>
      <c r="E3" s="4"/>
      <c r="F3" s="4"/>
      <c r="G3" s="4"/>
      <c r="H3" s="4"/>
      <c r="I3" s="4"/>
    </row>
    <row r="5" customFormat="false" ht="30" hidden="false" customHeight="true" outlineLevel="0" collapsed="false">
      <c r="B5" s="2" t="s">
        <v>2</v>
      </c>
      <c r="C5" s="5"/>
      <c r="D5" s="5"/>
      <c r="E5" s="5"/>
      <c r="F5" s="5"/>
      <c r="G5" s="4" t="str">
        <f aca="false">IF(C5="","← فاضية = الأسبوع الحالي لحاله","← أسبوع مختار. امسحها عشان ترجع للحالي")</f>
        <v>← فاضية = الأسبوع الحالي لحاله</v>
      </c>
      <c r="H5" s="4"/>
      <c r="I5" s="4"/>
      <c r="N5" s="6" t="n">
        <f aca="false">IF(C5="",CURWK,IFERROR(MATCH(C5,WTITLE,0),CURWK))</f>
        <v>40</v>
      </c>
    </row>
    <row r="6" customFormat="false" ht="21.75" hidden="false" customHeight="true" outlineLevel="0" collapsed="false">
      <c r="A6" s="7" t="s">
        <v>3</v>
      </c>
      <c r="B6" s="8" t="s">
        <v>4</v>
      </c>
      <c r="C6" s="9" t="s">
        <v>5</v>
      </c>
      <c r="D6" s="10" t="s">
        <v>6</v>
      </c>
    </row>
    <row r="7" customFormat="false" ht="25.5" hidden="false" customHeight="true" outlineLevel="0" collapsed="false">
      <c r="A7" s="11" t="str">
        <f aca="false">"تسوية: "&amp;INDEX(WTITLE,WK)</f>
        <v>تسوية: من السبت 26/09/2026 إلى الجمعة 02/10/2026 · الأسبوع 40</v>
      </c>
      <c r="B7" s="11"/>
      <c r="C7" s="11"/>
      <c r="D7" s="11"/>
      <c r="E7" s="11"/>
      <c r="F7" s="11"/>
      <c r="G7" s="11"/>
      <c r="H7" s="11"/>
      <c r="I7" s="11"/>
    </row>
    <row r="8" customFormat="false" ht="30" hidden="false" customHeight="true" outlineLevel="0" collapsed="false">
      <c r="A8" s="12" t="s">
        <v>7</v>
      </c>
      <c r="B8" s="12" t="s">
        <v>8</v>
      </c>
      <c r="C8" s="12" t="s">
        <v>9</v>
      </c>
      <c r="D8" s="12" t="s">
        <v>10</v>
      </c>
      <c r="E8" s="12" t="s">
        <v>11</v>
      </c>
      <c r="F8" s="12" t="s">
        <v>12</v>
      </c>
      <c r="G8" s="12" t="s">
        <v>13</v>
      </c>
      <c r="H8" s="12" t="s">
        <v>14</v>
      </c>
    </row>
    <row r="9" customFormat="false" ht="31.5" hidden="false" customHeight="true" outlineLevel="0" collapsed="false">
      <c r="A9" s="13" t="s">
        <v>15</v>
      </c>
      <c r="B9" s="14" t="n">
        <f aca="false">N(INDEX(LO_DUE,WK))</f>
        <v>0</v>
      </c>
      <c r="C9" s="14" t="n">
        <f aca="false">N(INDEX(LO_ADV,WK))</f>
        <v>0</v>
      </c>
      <c r="D9" s="14" t="n">
        <f aca="false">N(INDEX(LO_INST,WK))</f>
        <v>0</v>
      </c>
      <c r="E9" s="15" t="n">
        <f aca="false">N(INDEX(LO_NET,WK))</f>
        <v>0</v>
      </c>
      <c r="F9" s="14" t="n">
        <f aca="false">N(INDEX(LO_PAID,WK))</f>
        <v>0</v>
      </c>
      <c r="G9" s="14" t="n">
        <f aca="false">N(INDEX(LO_REM,WK))</f>
        <v>0</v>
      </c>
      <c r="H9" s="16" t="n">
        <f aca="false">N(INDEX(LO_DEBT,WK))</f>
        <v>0</v>
      </c>
    </row>
    <row r="10" customFormat="false" ht="31.5" hidden="false" customHeight="true" outlineLevel="0" collapsed="false">
      <c r="A10" s="13" t="s">
        <v>16</v>
      </c>
      <c r="B10" s="14" t="n">
        <f aca="false">N(INDEX(LZ_DUE,WK))</f>
        <v>0</v>
      </c>
      <c r="C10" s="14" t="n">
        <f aca="false">N(INDEX(LZ_ADV,WK))</f>
        <v>0</v>
      </c>
      <c r="D10" s="14" t="n">
        <f aca="false">N(INDEX(LZ_INST,WK))</f>
        <v>0</v>
      </c>
      <c r="E10" s="15" t="n">
        <f aca="false">N(INDEX(LZ_NET,WK))</f>
        <v>0</v>
      </c>
      <c r="F10" s="14" t="n">
        <f aca="false">N(INDEX(LZ_PAID,WK))</f>
        <v>0</v>
      </c>
      <c r="G10" s="14" t="n">
        <f aca="false">N(INDEX(LZ_REM,WK))</f>
        <v>0</v>
      </c>
      <c r="H10" s="16" t="n">
        <f aca="false">N(INDEX(LZ_DEBT,WK))</f>
        <v>0</v>
      </c>
    </row>
    <row r="11" customFormat="false" ht="30" hidden="false" customHeight="true" outlineLevel="0" collapsed="false">
      <c r="A11" s="17" t="s">
        <v>17</v>
      </c>
      <c r="B11" s="17"/>
      <c r="C11" s="17"/>
      <c r="D11" s="17"/>
      <c r="E11" s="15" t="n">
        <f aca="false">E9+E10</f>
        <v>0</v>
      </c>
    </row>
    <row r="13" customFormat="false" ht="24" hidden="false" customHeight="true" outlineLevel="0" collapsed="false">
      <c r="A13" s="18" t="str">
        <f aca="false">HYPERLINK("#'ساعات عمر'!A"&amp;(7+12*(WK-1)),"← افتح ساعات عمر لهالأسبوع")</f>
        <v>← افتح ساعات عمر لهالأسبوع</v>
      </c>
      <c r="B13" s="18"/>
      <c r="C13" s="18"/>
      <c r="D13" s="18"/>
      <c r="E13" s="18"/>
    </row>
    <row r="14" customFormat="false" ht="24" hidden="false" customHeight="true" outlineLevel="0" collapsed="false">
      <c r="A14" s="18" t="str">
        <f aca="false">HYPERLINK("#'ساعات عبدالعزيز'!A"&amp;(7+12*(WK-1)),"← افتح ساعات عبدالعزيز لهالأسبوع")</f>
        <v>← افتح ساعات عبدالعزيز لهالأسبوع</v>
      </c>
      <c r="B14" s="18"/>
      <c r="C14" s="18"/>
      <c r="D14" s="18"/>
      <c r="E14" s="18"/>
    </row>
    <row r="15" customFormat="false" ht="24" hidden="false" customHeight="true" outlineLevel="0" collapsed="false">
      <c r="A15" s="18" t="str">
        <f aca="false">HYPERLINK("#'دفتر الأسابيع'!A"&amp;(8+WK-1),"← دفتر الأسابيع (كل أسابيع السنة)")</f>
        <v>← دفتر الأسابيع (كل أسابيع السنة)</v>
      </c>
      <c r="B15" s="18"/>
      <c r="C15" s="18"/>
      <c r="D15" s="18"/>
      <c r="E15" s="18"/>
    </row>
    <row r="17" customFormat="false" ht="27.75" hidden="false" customHeight="true" outlineLevel="0" collapsed="false">
      <c r="A17" s="19" t="s">
        <v>18</v>
      </c>
      <c r="B17" s="19"/>
      <c r="C17" s="19"/>
      <c r="D17" s="19"/>
      <c r="E17" s="19"/>
      <c r="F17" s="19"/>
      <c r="G17" s="19"/>
      <c r="H17" s="19"/>
      <c r="I17" s="19"/>
    </row>
  </sheetData>
  <sheetProtection sheet="true" formatColumns="false" formatRows="false"/>
  <mergeCells count="10">
    <mergeCell ref="A1:I1"/>
    <mergeCell ref="D3:I3"/>
    <mergeCell ref="C5:F5"/>
    <mergeCell ref="G5:I5"/>
    <mergeCell ref="A7:I7"/>
    <mergeCell ref="A11:D11"/>
    <mergeCell ref="A13:E13"/>
    <mergeCell ref="A14:E14"/>
    <mergeCell ref="A15:E15"/>
    <mergeCell ref="A17:I17"/>
  </mergeCells>
  <dataValidations count="1">
    <dataValidation allowBlank="true" errorStyle="stop" operator="between" prompt="اتركها فاضية = الأسبوع الحالي لحاله · أو اختار أي أسبوع (من السبت … إلى الجمعة … · رقم الأسبوع)" promptTitle="الأسبوع" showDropDown="false" showErrorMessage="false" showInputMessage="true" sqref="C5" type="list">
      <formula1>WTITLE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9" min="11" style="0" width="13"/>
  </cols>
  <sheetData>
    <row r="1" customFormat="false" ht="31.5" hidden="false" customHeight="true" outlineLevel="0" collapsed="false">
      <c r="A1" s="1" t="s">
        <v>19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0" t="str">
        <f aca="false">"سنة "&amp;YR&amp;"   (السنة بتنختار من ورقة «السنة»)"</f>
        <v>سنة 2026   (السنة بتنختار من ورقة «السنة»)</v>
      </c>
      <c r="B2" s="20"/>
      <c r="C2" s="20"/>
      <c r="D2" s="20"/>
      <c r="E2" s="20"/>
      <c r="F2" s="20"/>
      <c r="G2" s="20"/>
      <c r="H2" s="20"/>
      <c r="I2" s="20"/>
    </row>
    <row r="3" customFormat="false" ht="39.75" hidden="false" customHeight="true" outlineLevel="0" collapsed="false">
      <c r="A3" s="21" t="s">
        <v>20</v>
      </c>
      <c r="B3" s="21"/>
      <c r="C3" s="21"/>
      <c r="D3" s="21"/>
      <c r="E3" s="21"/>
      <c r="F3" s="21"/>
      <c r="G3" s="21"/>
      <c r="H3" s="21"/>
      <c r="I3" s="21"/>
    </row>
    <row r="5" customFormat="false" ht="21.75" hidden="false" customHeight="true" outlineLevel="0" collapsed="false">
      <c r="A5" s="7" t="s">
        <v>3</v>
      </c>
      <c r="B5" s="8" t="s">
        <v>4</v>
      </c>
      <c r="C5" s="9" t="s">
        <v>5</v>
      </c>
      <c r="D5" s="10" t="s">
        <v>6</v>
      </c>
      <c r="E5" s="22" t="s">
        <v>21</v>
      </c>
    </row>
    <row r="7" customFormat="false" ht="27.75" hidden="false" customHeight="true" outlineLevel="0" collapsed="false">
      <c r="A7" s="23" t="str">
        <f aca="false">IF(1&lt;=NW,"من السبت "&amp;TEXT(DAY(SAT1+0),"00")&amp;"/"&amp;TEXT(MONTH(SAT1+0),"00")&amp;"/"&amp;YEAR(SAT1+0)&amp;" إلى الجمعة "&amp;TEXT(DAY(SAT1+6),"00")&amp;"/"&amp;TEXT(MONTH(SAT1+6),"00")&amp;"/"&amp;YEAR(SAT1+6)&amp;" · الأسبوع 1"&amp;"  (يوم القبض: الجمعة)"&amp;IF(1&lt;START_O,"   — قبل أسبوع البداية (ما بينحسب)",""),"ما في أسبوع 1 هالسنة")</f>
        <v>من السبت 27/12/2025 إلى الجمعة 02/01/2026 · الأسبوع 1  (يوم القبض: الجمعة)   — قبل أسبوع البداية (ما بينحسب)</v>
      </c>
      <c r="B7" s="23"/>
      <c r="C7" s="23"/>
      <c r="D7" s="23"/>
      <c r="E7" s="23"/>
      <c r="F7" s="23"/>
      <c r="G7" s="23"/>
      <c r="H7" s="23"/>
      <c r="I7" s="23"/>
      <c r="L7" s="24" t="n">
        <f aca="false">IF(1&lt;=NW,SAT1+6,"")</f>
        <v>46024</v>
      </c>
      <c r="M7" s="25" t="n">
        <f aca="false">IF(AND(1&lt;=NW,1&gt;=START_O),1,0)</f>
        <v>0</v>
      </c>
      <c r="N7" s="26" t="n">
        <f aca="false">IFERROR(INDEX(RT_OMR,MATCH(L7,RT_K,1)),INDEX(RT_OMR,1))</f>
        <v>1.25</v>
      </c>
      <c r="O7" s="26" t="n">
        <f aca="false">IFERROR(INDEX(RT_OT,MATCH(L7,RT_K,1)),INDEX(RT_OT,1))</f>
        <v>1.5</v>
      </c>
      <c r="P7" s="26" t="n">
        <f aca="false">IFERROR(INDEX(RT_GYP,MATCH(L7,RT_K,1)),INDEX(RT_GYP,1))</f>
        <v>2.5</v>
      </c>
      <c r="R7" s="0" t="n">
        <v>1</v>
      </c>
      <c r="S7" s="0" t="n">
        <v>1</v>
      </c>
    </row>
    <row r="8" customFormat="false" ht="25.5" hidden="false" customHeight="true" outlineLevel="0" collapsed="false">
      <c r="A8" s="27" t="s">
        <v>22</v>
      </c>
      <c r="B8" s="27" t="s">
        <v>23</v>
      </c>
      <c r="C8" s="27" t="s">
        <v>24</v>
      </c>
      <c r="D8" s="27" t="s">
        <v>25</v>
      </c>
      <c r="E8" s="27" t="s">
        <v>26</v>
      </c>
      <c r="F8" s="27" t="s">
        <v>27</v>
      </c>
      <c r="G8" s="27" t="s">
        <v>28</v>
      </c>
      <c r="H8" s="27" t="s">
        <v>29</v>
      </c>
      <c r="I8" s="27" t="s">
        <v>30</v>
      </c>
      <c r="S8" s="0" t="n">
        <v>1</v>
      </c>
    </row>
    <row r="9" customFormat="false" ht="15" hidden="false" customHeight="false" outlineLevel="0" collapsed="false">
      <c r="A9" s="28" t="n">
        <f aca="false">IF(1&lt;=NW,SAT1+0,"")</f>
        <v>46018</v>
      </c>
      <c r="B9" s="29" t="str">
        <f aca="false">IF(A9="","",CHOOSE(WEEKDAY(A9,1),"الأحد","الاثنين","الثلاثاء","الأربعاء","الخميس","الجمعة","السبت"))</f>
        <v>السبت</v>
      </c>
      <c r="C9" s="30"/>
      <c r="D9" s="30"/>
      <c r="E9" s="31" t="str">
        <f aca="false">IF(OR(M9=0,K9="",L9=""),"",MOD(L9-K9,1))</f>
        <v/>
      </c>
      <c r="F9" s="31" t="str">
        <f aca="false">IF(OR(E9="",M9=0),"",IF(WEEKDAY(A9,1)=6,E9,MIN(E9,MAX(0,MIN(IF(L9&lt;K9,L9+1,L9),OMR_OT_AT)-K9))))</f>
        <v/>
      </c>
      <c r="G9" s="31" t="str">
        <f aca="false">IF(OR(E9="",M9=0),"",MAX(0,E9-F9))</f>
        <v/>
      </c>
      <c r="H9" s="32" t="str">
        <f aca="false">IF(OR(E9="",M9=0),"",ROUND((F9*$N$7+G9*$O$7)*24,3))</f>
        <v/>
      </c>
      <c r="I9" s="30"/>
      <c r="K9" s="33" t="str">
        <f aca="false">IF(OR(M9=0,C9=""),"",IF(ISNUMBER(C9),MOD(C9,1),IFERROR(INDEX(القوائم!$B$1:$B$288,MATCH(TRIM(C9),القوائم!$A$1:$A$288,0)),IFERROR(MOD(TIMEVALUE(C9),1),""))))</f>
        <v/>
      </c>
      <c r="L9" s="33" t="str">
        <f aca="false">IF(OR(M9=0,D9=""),"",IF(ISNUMBER(D9),MOD(D9,1),IFERROR(INDEX(القوائم!$B$1:$B$288,MATCH(TRIM(D9),القوائم!$A$1:$A$288,0)),IFERROR(MOD(TIMEVALUE(D9),1),""))))</f>
        <v/>
      </c>
      <c r="M9" s="25" t="n">
        <f aca="false">M7</f>
        <v>0</v>
      </c>
      <c r="Q9" s="25" t="n">
        <f aca="false">IF(N(G18)&gt;0,1,0)</f>
        <v>0</v>
      </c>
      <c r="S9" s="0" t="n">
        <v>1</v>
      </c>
    </row>
    <row r="10" customFormat="false" ht="15" hidden="false" customHeight="false" outlineLevel="0" collapsed="false">
      <c r="A10" s="28" t="n">
        <f aca="false">IF(1&lt;=NW,SAT1+1,"")</f>
        <v>46019</v>
      </c>
      <c r="B10" s="29" t="str">
        <f aca="false">IF(A10="","",CHOOSE(WEEKDAY(A10,1),"الأحد","الاثنين","الثلاثاء","الأربعاء","الخميس","الجمعة","السبت"))</f>
        <v>الأحد</v>
      </c>
      <c r="C10" s="30"/>
      <c r="D10" s="30"/>
      <c r="E10" s="31" t="str">
        <f aca="false">IF(OR(M10=0,K10="",L10=""),"",MOD(L10-K10,1))</f>
        <v/>
      </c>
      <c r="F10" s="31" t="str">
        <f aca="false">IF(OR(E10="",M10=0),"",IF(WEEKDAY(A10,1)=6,E10,MIN(E10,MAX(0,MIN(IF(L10&lt;K10,L10+1,L10),OMR_OT_AT)-K10))))</f>
        <v/>
      </c>
      <c r="G10" s="31" t="str">
        <f aca="false">IF(OR(E10="",M10=0),"",MAX(0,E10-F10))</f>
        <v/>
      </c>
      <c r="H10" s="32" t="str">
        <f aca="false">IF(OR(E10="",M10=0),"",ROUND((F10*$N$7+G10*$O$7)*24,3))</f>
        <v/>
      </c>
      <c r="I10" s="30"/>
      <c r="K10" s="33" t="str">
        <f aca="false">IF(OR(M10=0,C10=""),"",IF(ISNUMBER(C10),MOD(C10,1),IFERROR(INDEX(القوائم!$B$1:$B$288,MATCH(TRIM(C10),القوائم!$A$1:$A$288,0)),IFERROR(MOD(TIMEVALUE(C10),1),""))))</f>
        <v/>
      </c>
      <c r="L10" s="33" t="str">
        <f aca="false">IF(OR(M10=0,D10=""),"",IF(ISNUMBER(D10),MOD(D10,1),IFERROR(INDEX(القوائم!$B$1:$B$288,MATCH(TRIM(D10),القوائم!$A$1:$A$288,0)),IFERROR(MOD(TIMEVALUE(D10),1),""))))</f>
        <v/>
      </c>
      <c r="M10" s="25" t="n">
        <f aca="false">M7</f>
        <v>0</v>
      </c>
      <c r="Q10" s="25" t="n">
        <f aca="false">IF(N(G18)&gt;0,1,0)</f>
        <v>0</v>
      </c>
      <c r="S10" s="0" t="n">
        <v>1</v>
      </c>
    </row>
    <row r="11" customFormat="false" ht="15" hidden="false" customHeight="false" outlineLevel="0" collapsed="false">
      <c r="A11" s="28" t="n">
        <f aca="false">IF(1&lt;=NW,SAT1+2,"")</f>
        <v>46020</v>
      </c>
      <c r="B11" s="29" t="str">
        <f aca="false">IF(A11="","",CHOOSE(WEEKDAY(A11,1),"الأحد","الاثنين","الثلاثاء","الأربعاء","الخميس","الجمعة","السبت"))</f>
        <v>الاثنين</v>
      </c>
      <c r="C11" s="30"/>
      <c r="D11" s="30"/>
      <c r="E11" s="31" t="str">
        <f aca="false">IF(OR(M11=0,K11="",L11=""),"",MOD(L11-K11,1))</f>
        <v/>
      </c>
      <c r="F11" s="31" t="str">
        <f aca="false">IF(OR(E11="",M11=0),"",IF(WEEKDAY(A11,1)=6,E11,MIN(E11,MAX(0,MIN(IF(L11&lt;K11,L11+1,L11),OMR_OT_AT)-K11))))</f>
        <v/>
      </c>
      <c r="G11" s="31" t="str">
        <f aca="false">IF(OR(E11="",M11=0),"",MAX(0,E11-F11))</f>
        <v/>
      </c>
      <c r="H11" s="32" t="str">
        <f aca="false">IF(OR(E11="",M11=0),"",ROUND((F11*$N$7+G11*$O$7)*24,3))</f>
        <v/>
      </c>
      <c r="I11" s="30"/>
      <c r="K11" s="33" t="str">
        <f aca="false">IF(OR(M11=0,C11=""),"",IF(ISNUMBER(C11),MOD(C11,1),IFERROR(INDEX(القوائم!$B$1:$B$288,MATCH(TRIM(C11),القوائم!$A$1:$A$288,0)),IFERROR(MOD(TIMEVALUE(C11),1),""))))</f>
        <v/>
      </c>
      <c r="L11" s="33" t="str">
        <f aca="false">IF(OR(M11=0,D11=""),"",IF(ISNUMBER(D11),MOD(D11,1),IFERROR(INDEX(القوائم!$B$1:$B$288,MATCH(TRIM(D11),القوائم!$A$1:$A$288,0)),IFERROR(MOD(TIMEVALUE(D11),1),""))))</f>
        <v/>
      </c>
      <c r="M11" s="25" t="n">
        <f aca="false">M7</f>
        <v>0</v>
      </c>
      <c r="Q11" s="25" t="n">
        <f aca="false">IF(N(G18)&gt;0,1,0)</f>
        <v>0</v>
      </c>
      <c r="S11" s="0" t="n">
        <v>1</v>
      </c>
    </row>
    <row r="12" customFormat="false" ht="15" hidden="false" customHeight="false" outlineLevel="0" collapsed="false">
      <c r="A12" s="28" t="n">
        <f aca="false">IF(1&lt;=NW,SAT1+3,"")</f>
        <v>46021</v>
      </c>
      <c r="B12" s="29" t="str">
        <f aca="false">IF(A12="","",CHOOSE(WEEKDAY(A12,1),"الأحد","الاثنين","الثلاثاء","الأربعاء","الخميس","الجمعة","السبت"))</f>
        <v>الثلاثاء</v>
      </c>
      <c r="C12" s="30"/>
      <c r="D12" s="30"/>
      <c r="E12" s="31" t="str">
        <f aca="false">IF(OR(M12=0,K12="",L12=""),"",MOD(L12-K12,1))</f>
        <v/>
      </c>
      <c r="F12" s="31" t="str">
        <f aca="false">IF(OR(E12="",M12=0),"",IF(WEEKDAY(A12,1)=6,E12,MIN(E12,MAX(0,MIN(IF(L12&lt;K12,L12+1,L12),OMR_OT_AT)-K12))))</f>
        <v/>
      </c>
      <c r="G12" s="31" t="str">
        <f aca="false">IF(OR(E12="",M12=0),"",MAX(0,E12-F12))</f>
        <v/>
      </c>
      <c r="H12" s="32" t="str">
        <f aca="false">IF(OR(E12="",M12=0),"",ROUND((F12*$N$7+G12*$O$7)*24,3))</f>
        <v/>
      </c>
      <c r="I12" s="30"/>
      <c r="K12" s="33" t="str">
        <f aca="false">IF(OR(M12=0,C12=""),"",IF(ISNUMBER(C12),MOD(C12,1),IFERROR(INDEX(القوائم!$B$1:$B$288,MATCH(TRIM(C12),القوائم!$A$1:$A$288,0)),IFERROR(MOD(TIMEVALUE(C12),1),""))))</f>
        <v/>
      </c>
      <c r="L12" s="33" t="str">
        <f aca="false">IF(OR(M12=0,D12=""),"",IF(ISNUMBER(D12),MOD(D12,1),IFERROR(INDEX(القوائم!$B$1:$B$288,MATCH(TRIM(D12),القوائم!$A$1:$A$288,0)),IFERROR(MOD(TIMEVALUE(D12),1),""))))</f>
        <v/>
      </c>
      <c r="M12" s="25" t="n">
        <f aca="false">M7</f>
        <v>0</v>
      </c>
      <c r="Q12" s="25" t="n">
        <f aca="false">IF(N(G18)&gt;0,1,0)</f>
        <v>0</v>
      </c>
      <c r="S12" s="0" t="n">
        <v>1</v>
      </c>
    </row>
    <row r="13" customFormat="false" ht="15" hidden="false" customHeight="false" outlineLevel="0" collapsed="false">
      <c r="A13" s="28" t="n">
        <f aca="false">IF(1&lt;=NW,SAT1+4,"")</f>
        <v>46022</v>
      </c>
      <c r="B13" s="29" t="str">
        <f aca="false">IF(A13="","",CHOOSE(WEEKDAY(A13,1),"الأحد","الاثنين","الثلاثاء","الأربعاء","الخميس","الجمعة","السبت"))</f>
        <v>الأربعاء</v>
      </c>
      <c r="C13" s="30"/>
      <c r="D13" s="30"/>
      <c r="E13" s="31" t="str">
        <f aca="false">IF(OR(M13=0,K13="",L13=""),"",MOD(L13-K13,1))</f>
        <v/>
      </c>
      <c r="F13" s="31" t="str">
        <f aca="false">IF(OR(E13="",M13=0),"",IF(WEEKDAY(A13,1)=6,E13,MIN(E13,MAX(0,MIN(IF(L13&lt;K13,L13+1,L13),OMR_OT_AT)-K13))))</f>
        <v/>
      </c>
      <c r="G13" s="31" t="str">
        <f aca="false">IF(OR(E13="",M13=0),"",MAX(0,E13-F13))</f>
        <v/>
      </c>
      <c r="H13" s="32" t="str">
        <f aca="false">IF(OR(E13="",M13=0),"",ROUND((F13*$N$7+G13*$O$7)*24,3))</f>
        <v/>
      </c>
      <c r="I13" s="30"/>
      <c r="K13" s="33" t="str">
        <f aca="false">IF(OR(M13=0,C13=""),"",IF(ISNUMBER(C13),MOD(C13,1),IFERROR(INDEX(القوائم!$B$1:$B$288,MATCH(TRIM(C13),القوائم!$A$1:$A$288,0)),IFERROR(MOD(TIMEVALUE(C13),1),""))))</f>
        <v/>
      </c>
      <c r="L13" s="33" t="str">
        <f aca="false">IF(OR(M13=0,D13=""),"",IF(ISNUMBER(D13),MOD(D13,1),IFERROR(INDEX(القوائم!$B$1:$B$288,MATCH(TRIM(D13),القوائم!$A$1:$A$288,0)),IFERROR(MOD(TIMEVALUE(D13),1),""))))</f>
        <v/>
      </c>
      <c r="M13" s="25" t="n">
        <f aca="false">M7</f>
        <v>0</v>
      </c>
      <c r="Q13" s="25" t="n">
        <f aca="false">IF(N(G18)&gt;0,1,0)</f>
        <v>0</v>
      </c>
      <c r="S13" s="0" t="n">
        <v>1</v>
      </c>
    </row>
    <row r="14" customFormat="false" ht="15" hidden="false" customHeight="false" outlineLevel="0" collapsed="false">
      <c r="A14" s="28" t="n">
        <f aca="false">IF(1&lt;=NW,SAT1+5,"")</f>
        <v>46023</v>
      </c>
      <c r="B14" s="29" t="str">
        <f aca="false">IF(A14="","",CHOOSE(WEEKDAY(A14,1),"الأحد","الاثنين","الثلاثاء","الأربعاء","الخميس","الجمعة","السبت"))</f>
        <v>الخميس</v>
      </c>
      <c r="C14" s="30"/>
      <c r="D14" s="30"/>
      <c r="E14" s="31" t="str">
        <f aca="false">IF(OR(M14=0,K14="",L14=""),"",MOD(L14-K14,1))</f>
        <v/>
      </c>
      <c r="F14" s="31" t="str">
        <f aca="false">IF(OR(E14="",M14=0),"",IF(WEEKDAY(A14,1)=6,E14,MIN(E14,MAX(0,MIN(IF(L14&lt;K14,L14+1,L14),OMR_OT_AT)-K14))))</f>
        <v/>
      </c>
      <c r="G14" s="31" t="str">
        <f aca="false">IF(OR(E14="",M14=0),"",MAX(0,E14-F14))</f>
        <v/>
      </c>
      <c r="H14" s="32" t="str">
        <f aca="false">IF(OR(E14="",M14=0),"",ROUND((F14*$N$7+G14*$O$7)*24,3))</f>
        <v/>
      </c>
      <c r="I14" s="30"/>
      <c r="K14" s="33" t="str">
        <f aca="false">IF(OR(M14=0,C14=""),"",IF(ISNUMBER(C14),MOD(C14,1),IFERROR(INDEX(القوائم!$B$1:$B$288,MATCH(TRIM(C14),القوائم!$A$1:$A$288,0)),IFERROR(MOD(TIMEVALUE(C14),1),""))))</f>
        <v/>
      </c>
      <c r="L14" s="33" t="str">
        <f aca="false">IF(OR(M14=0,D14=""),"",IF(ISNUMBER(D14),MOD(D14,1),IFERROR(INDEX(القوائم!$B$1:$B$288,MATCH(TRIM(D14),القوائم!$A$1:$A$288,0)),IFERROR(MOD(TIMEVALUE(D14),1),""))))</f>
        <v/>
      </c>
      <c r="M14" s="25" t="n">
        <f aca="false">M7</f>
        <v>0</v>
      </c>
      <c r="Q14" s="25" t="n">
        <f aca="false">IF(N(G18)&gt;0,1,0)</f>
        <v>0</v>
      </c>
      <c r="S14" s="0" t="n">
        <v>1</v>
      </c>
    </row>
    <row r="15" customFormat="false" ht="15" hidden="false" customHeight="false" outlineLevel="0" collapsed="false">
      <c r="A15" s="34" t="n">
        <f aca="false">IF(1&lt;=NW,SAT1+6,"")</f>
        <v>46024</v>
      </c>
      <c r="B15" s="35" t="str">
        <f aca="false">IF(A15="","",CHOOSE(WEEKDAY(A15,1),"الأحد","الاثنين","الثلاثاء","الأربعاء","الخميس","الجمعة","السبت"))</f>
        <v>الجمعة</v>
      </c>
      <c r="C15" s="30"/>
      <c r="D15" s="30"/>
      <c r="E15" s="31" t="str">
        <f aca="false">IF(OR(M15=0,K15="",L15=""),"",MOD(L15-K15,1))</f>
        <v/>
      </c>
      <c r="F15" s="31" t="str">
        <f aca="false">IF(OR(E15="",M15=0),"",IF(WEEKDAY(A15,1)=6,E15,MIN(E15,MAX(0,MIN(IF(L15&lt;K15,L15+1,L15),OMR_OT_AT)-K15))))</f>
        <v/>
      </c>
      <c r="G15" s="31" t="str">
        <f aca="false">IF(OR(E15="",M15=0),"",MAX(0,E15-F15))</f>
        <v/>
      </c>
      <c r="H15" s="32" t="str">
        <f aca="false">IF(OR(E15="",M15=0),"",ROUND((F15*$N$7+G15*$O$7)*24,3))</f>
        <v/>
      </c>
      <c r="I15" s="30"/>
      <c r="K15" s="33" t="str">
        <f aca="false">IF(OR(M15=0,C15=""),"",IF(ISNUMBER(C15),MOD(C15,1),IFERROR(INDEX(القوائم!$B$1:$B$288,MATCH(TRIM(C15),القوائم!$A$1:$A$288,0)),IFERROR(MOD(TIMEVALUE(C15),1),""))))</f>
        <v/>
      </c>
      <c r="L15" s="33" t="str">
        <f aca="false">IF(OR(M15=0,D15=""),"",IF(ISNUMBER(D15),MOD(D15,1),IFERROR(INDEX(القوائم!$B$1:$B$288,MATCH(TRIM(D15),القوائم!$A$1:$A$288,0)),IFERROR(MOD(TIMEVALUE(D15),1),""))))</f>
        <v/>
      </c>
      <c r="M15" s="25" t="n">
        <f aca="false">M7</f>
        <v>0</v>
      </c>
      <c r="Q15" s="25" t="n">
        <f aca="false">IF(N(G18)&gt;0,1,0)</f>
        <v>0</v>
      </c>
      <c r="S15" s="0" t="n">
        <v>1</v>
      </c>
    </row>
    <row r="16" customFormat="false" ht="15" hidden="false" customHeight="false" outlineLevel="0" collapsed="false">
      <c r="A16" s="36" t="str">
        <f aca="false">IF(M7=1,"مجموع أيام الأسبوع 1","")</f>
        <v/>
      </c>
      <c r="B16" s="36"/>
      <c r="C16" s="36"/>
      <c r="D16" s="36"/>
      <c r="E16" s="37" t="str">
        <f aca="false">IF(M7=1,SUM(E9:E15),"")</f>
        <v/>
      </c>
      <c r="F16" s="37" t="str">
        <f aca="false">IF(M7=1,SUM(F9:F15),"")</f>
        <v/>
      </c>
      <c r="G16" s="37" t="str">
        <f aca="false">IF(M7=1,SUM(G9:G15),"")</f>
        <v/>
      </c>
      <c r="H16" s="38" t="str">
        <f aca="false">IF(M7=1,SUM(H9:H15),"")</f>
        <v/>
      </c>
      <c r="I16" s="36"/>
      <c r="S16" s="0" t="n">
        <v>1</v>
      </c>
    </row>
    <row r="17" customFormat="false" ht="31.5" hidden="false" customHeight="true" outlineLevel="0" collapsed="false">
      <c r="A17" s="39" t="str">
        <f aca="false">IF(M7=1,"ساعات تحميل الجبسمبورد بهالأسبوع (رقم: 2 أو 1.5) ←","")</f>
        <v/>
      </c>
      <c r="B17" s="39"/>
      <c r="C17" s="39"/>
      <c r="D17" s="39"/>
      <c r="E17" s="40"/>
      <c r="F17" s="41" t="str">
        <f aca="false">IF(M7=1,"المستحق النهائي للأسبوع مع الإكرامية (دينار) ←","")</f>
        <v/>
      </c>
      <c r="G17" s="41"/>
      <c r="H17" s="42" t="str">
        <f aca="false">IF(M7=1,IF(ROUND_MODE="للأعلى",CEILING(ROUND((N(H16)+N(E17)*($P$7-$N$7)),3),0.25),ROUND((N(H16)+N(E17)*($P$7-$N$7))*4,0)/4)+N(D18),"")</f>
        <v/>
      </c>
      <c r="I17" s="43" t="str">
        <f aca="false">IF(M7=1,"قبل الجبر: "&amp;TEXT(N(H16)+N(E17)*($P$7-$N$7),"0.000")&amp;IF(N(D18)&gt;0," + إكرامية "&amp;TEXT(D18,"0.000"),""),"")</f>
        <v/>
      </c>
      <c r="S17" s="0" t="n">
        <v>1</v>
      </c>
    </row>
    <row r="18" customFormat="false" ht="25.5" hidden="false" customHeight="true" outlineLevel="0" collapsed="false">
      <c r="A18" s="39" t="str">
        <f aca="false">IF(M7=1,"إكرامية الأسبوع (دينار) ←","")</f>
        <v/>
      </c>
      <c r="B18" s="39"/>
      <c r="C18" s="39"/>
      <c r="D18" s="44"/>
      <c r="E18" s="39" t="str">
        <f aca="false">IF(M7=1,"المدفوع (دينار) ←","")</f>
        <v/>
      </c>
      <c r="F18" s="39"/>
      <c r="G18" s="44"/>
      <c r="H18" s="45" t="str">
        <f aca="false">IF(M7=1,IF(N(G18)&gt;0,"✔ انقبض — الأسبوع مقفول","⏳ لسا ما انقبض"),"")</f>
        <v/>
      </c>
      <c r="I18" s="45"/>
      <c r="S18" s="0" t="n">
        <v>1</v>
      </c>
    </row>
    <row r="19" customFormat="false" ht="27.75" hidden="false" customHeight="true" outlineLevel="0" collapsed="false">
      <c r="A19" s="23" t="str">
        <f aca="false">IF(2&lt;=NW,"من السبت "&amp;TEXT(DAY(SAT1+7),"00")&amp;"/"&amp;TEXT(MONTH(SAT1+7),"00")&amp;"/"&amp;YEAR(SAT1+7)&amp;" إلى الجمعة "&amp;TEXT(DAY(SAT1+13),"00")&amp;"/"&amp;TEXT(MONTH(SAT1+13),"00")&amp;"/"&amp;YEAR(SAT1+13)&amp;" · الأسبوع 2"&amp;"  (يوم القبض: الجمعة)"&amp;IF(2&lt;START_O,"   — قبل أسبوع البداية (ما بينحسب)",""),"ما في أسبوع 2 هالسنة")</f>
        <v>من السبت 03/01/2026 إلى الجمعة 09/01/2026 · الأسبوع 2  (يوم القبض: الجمعة)   — قبل أسبوع البداية (ما بينحسب)</v>
      </c>
      <c r="B19" s="23"/>
      <c r="C19" s="23"/>
      <c r="D19" s="23"/>
      <c r="E19" s="23"/>
      <c r="F19" s="23"/>
      <c r="G19" s="23"/>
      <c r="H19" s="23"/>
      <c r="I19" s="23"/>
      <c r="L19" s="24" t="n">
        <f aca="false">IF(2&lt;=NW,SAT1+13,"")</f>
        <v>46031</v>
      </c>
      <c r="M19" s="25" t="n">
        <f aca="false">IF(AND(2&lt;=NW,2&gt;=START_O),1,0)</f>
        <v>0</v>
      </c>
      <c r="N19" s="26" t="n">
        <f aca="false">IFERROR(INDEX(RT_OMR,MATCH(L19,RT_K,1)),INDEX(RT_OMR,1))</f>
        <v>1.25</v>
      </c>
      <c r="O19" s="26" t="n">
        <f aca="false">IFERROR(INDEX(RT_OT,MATCH(L19,RT_K,1)),INDEX(RT_OT,1))</f>
        <v>1.5</v>
      </c>
      <c r="P19" s="26" t="n">
        <f aca="false">IFERROR(INDEX(RT_GYP,MATCH(L19,RT_K,1)),INDEX(RT_GYP,1))</f>
        <v>2.5</v>
      </c>
      <c r="R19" s="0" t="n">
        <v>2</v>
      </c>
      <c r="S19" s="0" t="n">
        <v>2</v>
      </c>
    </row>
    <row r="20" customFormat="false" ht="25.5" hidden="false" customHeight="true" outlineLevel="0" collapsed="false">
      <c r="A20" s="27" t="s">
        <v>22</v>
      </c>
      <c r="B20" s="27" t="s">
        <v>23</v>
      </c>
      <c r="C20" s="27" t="s">
        <v>24</v>
      </c>
      <c r="D20" s="27" t="s">
        <v>25</v>
      </c>
      <c r="E20" s="27" t="s">
        <v>26</v>
      </c>
      <c r="F20" s="27" t="s">
        <v>27</v>
      </c>
      <c r="G20" s="27" t="s">
        <v>28</v>
      </c>
      <c r="H20" s="27" t="s">
        <v>29</v>
      </c>
      <c r="I20" s="27" t="s">
        <v>30</v>
      </c>
      <c r="S20" s="0" t="n">
        <v>2</v>
      </c>
    </row>
    <row r="21" customFormat="false" ht="15" hidden="false" customHeight="false" outlineLevel="0" collapsed="false">
      <c r="A21" s="28" t="n">
        <f aca="false">IF(2&lt;=NW,SAT1+7,"")</f>
        <v>46025</v>
      </c>
      <c r="B21" s="29" t="str">
        <f aca="false">IF(A21="","",CHOOSE(WEEKDAY(A21,1),"الأحد","الاثنين","الثلاثاء","الأربعاء","الخميس","الجمعة","السبت"))</f>
        <v>السبت</v>
      </c>
      <c r="C21" s="30"/>
      <c r="D21" s="30"/>
      <c r="E21" s="31" t="str">
        <f aca="false">IF(OR(M21=0,K21="",L21=""),"",MOD(L21-K21,1))</f>
        <v/>
      </c>
      <c r="F21" s="31" t="str">
        <f aca="false">IF(OR(E21="",M21=0),"",IF(WEEKDAY(A21,1)=6,E21,MIN(E21,MAX(0,MIN(IF(L21&lt;K21,L21+1,L21),OMR_OT_AT)-K21))))</f>
        <v/>
      </c>
      <c r="G21" s="31" t="str">
        <f aca="false">IF(OR(E21="",M21=0),"",MAX(0,E21-F21))</f>
        <v/>
      </c>
      <c r="H21" s="32" t="str">
        <f aca="false">IF(OR(E21="",M21=0),"",ROUND((F21*$N$19+G21*$O$19)*24,3))</f>
        <v/>
      </c>
      <c r="I21" s="30"/>
      <c r="K21" s="33" t="str">
        <f aca="false">IF(OR(M21=0,C21=""),"",IF(ISNUMBER(C21),MOD(C21,1),IFERROR(INDEX(القوائم!$B$1:$B$288,MATCH(TRIM(C21),القوائم!$A$1:$A$288,0)),IFERROR(MOD(TIMEVALUE(C21),1),""))))</f>
        <v/>
      </c>
      <c r="L21" s="33" t="str">
        <f aca="false">IF(OR(M21=0,D21=""),"",IF(ISNUMBER(D21),MOD(D21,1),IFERROR(INDEX(القوائم!$B$1:$B$288,MATCH(TRIM(D21),القوائم!$A$1:$A$288,0)),IFERROR(MOD(TIMEVALUE(D21),1),""))))</f>
        <v/>
      </c>
      <c r="M21" s="25" t="n">
        <f aca="false">M19</f>
        <v>0</v>
      </c>
      <c r="Q21" s="25" t="n">
        <f aca="false">IF(N(G30)&gt;0,1,0)</f>
        <v>0</v>
      </c>
      <c r="S21" s="0" t="n">
        <v>2</v>
      </c>
    </row>
    <row r="22" customFormat="false" ht="15" hidden="false" customHeight="false" outlineLevel="0" collapsed="false">
      <c r="A22" s="28" t="n">
        <f aca="false">IF(2&lt;=NW,SAT1+8,"")</f>
        <v>46026</v>
      </c>
      <c r="B22" s="29" t="str">
        <f aca="false">IF(A22="","",CHOOSE(WEEKDAY(A22,1),"الأحد","الاثنين","الثلاثاء","الأربعاء","الخميس","الجمعة","السبت"))</f>
        <v>الأحد</v>
      </c>
      <c r="C22" s="30"/>
      <c r="D22" s="30"/>
      <c r="E22" s="31" t="str">
        <f aca="false">IF(OR(M22=0,K22="",L22=""),"",MOD(L22-K22,1))</f>
        <v/>
      </c>
      <c r="F22" s="31" t="str">
        <f aca="false">IF(OR(E22="",M22=0),"",IF(WEEKDAY(A22,1)=6,E22,MIN(E22,MAX(0,MIN(IF(L22&lt;K22,L22+1,L22),OMR_OT_AT)-K22))))</f>
        <v/>
      </c>
      <c r="G22" s="31" t="str">
        <f aca="false">IF(OR(E22="",M22=0),"",MAX(0,E22-F22))</f>
        <v/>
      </c>
      <c r="H22" s="32" t="str">
        <f aca="false">IF(OR(E22="",M22=0),"",ROUND((F22*$N$19+G22*$O$19)*24,3))</f>
        <v/>
      </c>
      <c r="I22" s="30"/>
      <c r="K22" s="33" t="str">
        <f aca="false">IF(OR(M22=0,C22=""),"",IF(ISNUMBER(C22),MOD(C22,1),IFERROR(INDEX(القوائم!$B$1:$B$288,MATCH(TRIM(C22),القوائم!$A$1:$A$288,0)),IFERROR(MOD(TIMEVALUE(C22),1),""))))</f>
        <v/>
      </c>
      <c r="L22" s="33" t="str">
        <f aca="false">IF(OR(M22=0,D22=""),"",IF(ISNUMBER(D22),MOD(D22,1),IFERROR(INDEX(القوائم!$B$1:$B$288,MATCH(TRIM(D22),القوائم!$A$1:$A$288,0)),IFERROR(MOD(TIMEVALUE(D22),1),""))))</f>
        <v/>
      </c>
      <c r="M22" s="25" t="n">
        <f aca="false">M19</f>
        <v>0</v>
      </c>
      <c r="Q22" s="25" t="n">
        <f aca="false">IF(N(G30)&gt;0,1,0)</f>
        <v>0</v>
      </c>
      <c r="S22" s="0" t="n">
        <v>2</v>
      </c>
    </row>
    <row r="23" customFormat="false" ht="15" hidden="false" customHeight="false" outlineLevel="0" collapsed="false">
      <c r="A23" s="28" t="n">
        <f aca="false">IF(2&lt;=NW,SAT1+9,"")</f>
        <v>46027</v>
      </c>
      <c r="B23" s="29" t="str">
        <f aca="false">IF(A23="","",CHOOSE(WEEKDAY(A23,1),"الأحد","الاثنين","الثلاثاء","الأربعاء","الخميس","الجمعة","السبت"))</f>
        <v>الاثنين</v>
      </c>
      <c r="C23" s="30"/>
      <c r="D23" s="30"/>
      <c r="E23" s="31" t="str">
        <f aca="false">IF(OR(M23=0,K23="",L23=""),"",MOD(L23-K23,1))</f>
        <v/>
      </c>
      <c r="F23" s="31" t="str">
        <f aca="false">IF(OR(E23="",M23=0),"",IF(WEEKDAY(A23,1)=6,E23,MIN(E23,MAX(0,MIN(IF(L23&lt;K23,L23+1,L23),OMR_OT_AT)-K23))))</f>
        <v/>
      </c>
      <c r="G23" s="31" t="str">
        <f aca="false">IF(OR(E23="",M23=0),"",MAX(0,E23-F23))</f>
        <v/>
      </c>
      <c r="H23" s="32" t="str">
        <f aca="false">IF(OR(E23="",M23=0),"",ROUND((F23*$N$19+G23*$O$19)*24,3))</f>
        <v/>
      </c>
      <c r="I23" s="30"/>
      <c r="K23" s="33" t="str">
        <f aca="false">IF(OR(M23=0,C23=""),"",IF(ISNUMBER(C23),MOD(C23,1),IFERROR(INDEX(القوائم!$B$1:$B$288,MATCH(TRIM(C23),القوائم!$A$1:$A$288,0)),IFERROR(MOD(TIMEVALUE(C23),1),""))))</f>
        <v/>
      </c>
      <c r="L23" s="33" t="str">
        <f aca="false">IF(OR(M23=0,D23=""),"",IF(ISNUMBER(D23),MOD(D23,1),IFERROR(INDEX(القوائم!$B$1:$B$288,MATCH(TRIM(D23),القوائم!$A$1:$A$288,0)),IFERROR(MOD(TIMEVALUE(D23),1),""))))</f>
        <v/>
      </c>
      <c r="M23" s="25" t="n">
        <f aca="false">M19</f>
        <v>0</v>
      </c>
      <c r="Q23" s="25" t="n">
        <f aca="false">IF(N(G30)&gt;0,1,0)</f>
        <v>0</v>
      </c>
      <c r="S23" s="0" t="n">
        <v>2</v>
      </c>
    </row>
    <row r="24" customFormat="false" ht="15" hidden="false" customHeight="false" outlineLevel="0" collapsed="false">
      <c r="A24" s="28" t="n">
        <f aca="false">IF(2&lt;=NW,SAT1+10,"")</f>
        <v>46028</v>
      </c>
      <c r="B24" s="29" t="str">
        <f aca="false">IF(A24="","",CHOOSE(WEEKDAY(A24,1),"الأحد","الاثنين","الثلاثاء","الأربعاء","الخميس","الجمعة","السبت"))</f>
        <v>الثلاثاء</v>
      </c>
      <c r="C24" s="30"/>
      <c r="D24" s="30"/>
      <c r="E24" s="31" t="str">
        <f aca="false">IF(OR(M24=0,K24="",L24=""),"",MOD(L24-K24,1))</f>
        <v/>
      </c>
      <c r="F24" s="31" t="str">
        <f aca="false">IF(OR(E24="",M24=0),"",IF(WEEKDAY(A24,1)=6,E24,MIN(E24,MAX(0,MIN(IF(L24&lt;K24,L24+1,L24),OMR_OT_AT)-K24))))</f>
        <v/>
      </c>
      <c r="G24" s="31" t="str">
        <f aca="false">IF(OR(E24="",M24=0),"",MAX(0,E24-F24))</f>
        <v/>
      </c>
      <c r="H24" s="32" t="str">
        <f aca="false">IF(OR(E24="",M24=0),"",ROUND((F24*$N$19+G24*$O$19)*24,3))</f>
        <v/>
      </c>
      <c r="I24" s="30"/>
      <c r="K24" s="33" t="str">
        <f aca="false">IF(OR(M24=0,C24=""),"",IF(ISNUMBER(C24),MOD(C24,1),IFERROR(INDEX(القوائم!$B$1:$B$288,MATCH(TRIM(C24),القوائم!$A$1:$A$288,0)),IFERROR(MOD(TIMEVALUE(C24),1),""))))</f>
        <v/>
      </c>
      <c r="L24" s="33" t="str">
        <f aca="false">IF(OR(M24=0,D24=""),"",IF(ISNUMBER(D24),MOD(D24,1),IFERROR(INDEX(القوائم!$B$1:$B$288,MATCH(TRIM(D24),القوائم!$A$1:$A$288,0)),IFERROR(MOD(TIMEVALUE(D24),1),""))))</f>
        <v/>
      </c>
      <c r="M24" s="25" t="n">
        <f aca="false">M19</f>
        <v>0</v>
      </c>
      <c r="Q24" s="25" t="n">
        <f aca="false">IF(N(G30)&gt;0,1,0)</f>
        <v>0</v>
      </c>
      <c r="S24" s="0" t="n">
        <v>2</v>
      </c>
    </row>
    <row r="25" customFormat="false" ht="15" hidden="false" customHeight="false" outlineLevel="0" collapsed="false">
      <c r="A25" s="28" t="n">
        <f aca="false">IF(2&lt;=NW,SAT1+11,"")</f>
        <v>46029</v>
      </c>
      <c r="B25" s="29" t="str">
        <f aca="false">IF(A25="","",CHOOSE(WEEKDAY(A25,1),"الأحد","الاثنين","الثلاثاء","الأربعاء","الخميس","الجمعة","السبت"))</f>
        <v>الأربعاء</v>
      </c>
      <c r="C25" s="30"/>
      <c r="D25" s="30"/>
      <c r="E25" s="31" t="str">
        <f aca="false">IF(OR(M25=0,K25="",L25=""),"",MOD(L25-K25,1))</f>
        <v/>
      </c>
      <c r="F25" s="31" t="str">
        <f aca="false">IF(OR(E25="",M25=0),"",IF(WEEKDAY(A25,1)=6,E25,MIN(E25,MAX(0,MIN(IF(L25&lt;K25,L25+1,L25),OMR_OT_AT)-K25))))</f>
        <v/>
      </c>
      <c r="G25" s="31" t="str">
        <f aca="false">IF(OR(E25="",M25=0),"",MAX(0,E25-F25))</f>
        <v/>
      </c>
      <c r="H25" s="32" t="str">
        <f aca="false">IF(OR(E25="",M25=0),"",ROUND((F25*$N$19+G25*$O$19)*24,3))</f>
        <v/>
      </c>
      <c r="I25" s="30"/>
      <c r="K25" s="33" t="str">
        <f aca="false">IF(OR(M25=0,C25=""),"",IF(ISNUMBER(C25),MOD(C25,1),IFERROR(INDEX(القوائم!$B$1:$B$288,MATCH(TRIM(C25),القوائم!$A$1:$A$288,0)),IFERROR(MOD(TIMEVALUE(C25),1),""))))</f>
        <v/>
      </c>
      <c r="L25" s="33" t="str">
        <f aca="false">IF(OR(M25=0,D25=""),"",IF(ISNUMBER(D25),MOD(D25,1),IFERROR(INDEX(القوائم!$B$1:$B$288,MATCH(TRIM(D25),القوائم!$A$1:$A$288,0)),IFERROR(MOD(TIMEVALUE(D25),1),""))))</f>
        <v/>
      </c>
      <c r="M25" s="25" t="n">
        <f aca="false">M19</f>
        <v>0</v>
      </c>
      <c r="Q25" s="25" t="n">
        <f aca="false">IF(N(G30)&gt;0,1,0)</f>
        <v>0</v>
      </c>
      <c r="S25" s="0" t="n">
        <v>2</v>
      </c>
    </row>
    <row r="26" customFormat="false" ht="15" hidden="false" customHeight="false" outlineLevel="0" collapsed="false">
      <c r="A26" s="28" t="n">
        <f aca="false">IF(2&lt;=NW,SAT1+12,"")</f>
        <v>46030</v>
      </c>
      <c r="B26" s="29" t="str">
        <f aca="false">IF(A26="","",CHOOSE(WEEKDAY(A26,1),"الأحد","الاثنين","الثلاثاء","الأربعاء","الخميس","الجمعة","السبت"))</f>
        <v>الخميس</v>
      </c>
      <c r="C26" s="30"/>
      <c r="D26" s="30"/>
      <c r="E26" s="31" t="str">
        <f aca="false">IF(OR(M26=0,K26="",L26=""),"",MOD(L26-K26,1))</f>
        <v/>
      </c>
      <c r="F26" s="31" t="str">
        <f aca="false">IF(OR(E26="",M26=0),"",IF(WEEKDAY(A26,1)=6,E26,MIN(E26,MAX(0,MIN(IF(L26&lt;K26,L26+1,L26),OMR_OT_AT)-K26))))</f>
        <v/>
      </c>
      <c r="G26" s="31" t="str">
        <f aca="false">IF(OR(E26="",M26=0),"",MAX(0,E26-F26))</f>
        <v/>
      </c>
      <c r="H26" s="32" t="str">
        <f aca="false">IF(OR(E26="",M26=0),"",ROUND((F26*$N$19+G26*$O$19)*24,3))</f>
        <v/>
      </c>
      <c r="I26" s="30"/>
      <c r="K26" s="33" t="str">
        <f aca="false">IF(OR(M26=0,C26=""),"",IF(ISNUMBER(C26),MOD(C26,1),IFERROR(INDEX(القوائم!$B$1:$B$288,MATCH(TRIM(C26),القوائم!$A$1:$A$288,0)),IFERROR(MOD(TIMEVALUE(C26),1),""))))</f>
        <v/>
      </c>
      <c r="L26" s="33" t="str">
        <f aca="false">IF(OR(M26=0,D26=""),"",IF(ISNUMBER(D26),MOD(D26,1),IFERROR(INDEX(القوائم!$B$1:$B$288,MATCH(TRIM(D26),القوائم!$A$1:$A$288,0)),IFERROR(MOD(TIMEVALUE(D26),1),""))))</f>
        <v/>
      </c>
      <c r="M26" s="25" t="n">
        <f aca="false">M19</f>
        <v>0</v>
      </c>
      <c r="Q26" s="25" t="n">
        <f aca="false">IF(N(G30)&gt;0,1,0)</f>
        <v>0</v>
      </c>
      <c r="S26" s="0" t="n">
        <v>2</v>
      </c>
    </row>
    <row r="27" customFormat="false" ht="15" hidden="false" customHeight="false" outlineLevel="0" collapsed="false">
      <c r="A27" s="34" t="n">
        <f aca="false">IF(2&lt;=NW,SAT1+13,"")</f>
        <v>46031</v>
      </c>
      <c r="B27" s="35" t="str">
        <f aca="false">IF(A27="","",CHOOSE(WEEKDAY(A27,1),"الأحد","الاثنين","الثلاثاء","الأربعاء","الخميس","الجمعة","السبت"))</f>
        <v>الجمعة</v>
      </c>
      <c r="C27" s="30"/>
      <c r="D27" s="30"/>
      <c r="E27" s="31" t="str">
        <f aca="false">IF(OR(M27=0,K27="",L27=""),"",MOD(L27-K27,1))</f>
        <v/>
      </c>
      <c r="F27" s="31" t="str">
        <f aca="false">IF(OR(E27="",M27=0),"",IF(WEEKDAY(A27,1)=6,E27,MIN(E27,MAX(0,MIN(IF(L27&lt;K27,L27+1,L27),OMR_OT_AT)-K27))))</f>
        <v/>
      </c>
      <c r="G27" s="31" t="str">
        <f aca="false">IF(OR(E27="",M27=0),"",MAX(0,E27-F27))</f>
        <v/>
      </c>
      <c r="H27" s="32" t="str">
        <f aca="false">IF(OR(E27="",M27=0),"",ROUND((F27*$N$19+G27*$O$19)*24,3))</f>
        <v/>
      </c>
      <c r="I27" s="30"/>
      <c r="K27" s="33" t="str">
        <f aca="false">IF(OR(M27=0,C27=""),"",IF(ISNUMBER(C27),MOD(C27,1),IFERROR(INDEX(القوائم!$B$1:$B$288,MATCH(TRIM(C27),القوائم!$A$1:$A$288,0)),IFERROR(MOD(TIMEVALUE(C27),1),""))))</f>
        <v/>
      </c>
      <c r="L27" s="33" t="str">
        <f aca="false">IF(OR(M27=0,D27=""),"",IF(ISNUMBER(D27),MOD(D27,1),IFERROR(INDEX(القوائم!$B$1:$B$288,MATCH(TRIM(D27),القوائم!$A$1:$A$288,0)),IFERROR(MOD(TIMEVALUE(D27),1),""))))</f>
        <v/>
      </c>
      <c r="M27" s="25" t="n">
        <f aca="false">M19</f>
        <v>0</v>
      </c>
      <c r="Q27" s="25" t="n">
        <f aca="false">IF(N(G30)&gt;0,1,0)</f>
        <v>0</v>
      </c>
      <c r="S27" s="0" t="n">
        <v>2</v>
      </c>
    </row>
    <row r="28" customFormat="false" ht="15" hidden="false" customHeight="false" outlineLevel="0" collapsed="false">
      <c r="A28" s="36" t="str">
        <f aca="false">IF(M19=1,"مجموع أيام الأسبوع 2","")</f>
        <v/>
      </c>
      <c r="B28" s="36"/>
      <c r="C28" s="36"/>
      <c r="D28" s="36"/>
      <c r="E28" s="37" t="str">
        <f aca="false">IF(M19=1,SUM(E21:E27),"")</f>
        <v/>
      </c>
      <c r="F28" s="37" t="str">
        <f aca="false">IF(M19=1,SUM(F21:F27),"")</f>
        <v/>
      </c>
      <c r="G28" s="37" t="str">
        <f aca="false">IF(M19=1,SUM(G21:G27),"")</f>
        <v/>
      </c>
      <c r="H28" s="38" t="str">
        <f aca="false">IF(M19=1,SUM(H21:H27),"")</f>
        <v/>
      </c>
      <c r="I28" s="36"/>
      <c r="S28" s="0" t="n">
        <v>2</v>
      </c>
    </row>
    <row r="29" customFormat="false" ht="31.5" hidden="false" customHeight="true" outlineLevel="0" collapsed="false">
      <c r="A29" s="39" t="str">
        <f aca="false">IF(M19=1,"ساعات تحميل الجبسمبورد بهالأسبوع (رقم: 2 أو 1.5) ←","")</f>
        <v/>
      </c>
      <c r="B29" s="39"/>
      <c r="C29" s="39"/>
      <c r="D29" s="39"/>
      <c r="E29" s="40"/>
      <c r="F29" s="41" t="str">
        <f aca="false">IF(M19=1,"المستحق النهائي للأسبوع مع الإكرامية (دينار) ←","")</f>
        <v/>
      </c>
      <c r="G29" s="41"/>
      <c r="H29" s="42" t="str">
        <f aca="false">IF(M19=1,IF(ROUND_MODE="للأعلى",CEILING(ROUND((N(H28)+N(E29)*($P$19-$N$19)),3),0.25),ROUND((N(H28)+N(E29)*($P$19-$N$19))*4,0)/4)+N(D30),"")</f>
        <v/>
      </c>
      <c r="I29" s="43" t="str">
        <f aca="false">IF(M19=1,"قبل الجبر: "&amp;TEXT(N(H28)+N(E29)*($P$19-$N$19),"0.000")&amp;IF(N(D30)&gt;0," + إكرامية "&amp;TEXT(D30,"0.000"),""),"")</f>
        <v/>
      </c>
      <c r="S29" s="0" t="n">
        <v>2</v>
      </c>
    </row>
    <row r="30" customFormat="false" ht="25.5" hidden="false" customHeight="true" outlineLevel="0" collapsed="false">
      <c r="A30" s="39" t="str">
        <f aca="false">IF(M19=1,"إكرامية الأسبوع (دينار) ←","")</f>
        <v/>
      </c>
      <c r="B30" s="39"/>
      <c r="C30" s="39"/>
      <c r="D30" s="44"/>
      <c r="E30" s="39" t="str">
        <f aca="false">IF(M19=1,"المدفوع (دينار) ←","")</f>
        <v/>
      </c>
      <c r="F30" s="39"/>
      <c r="G30" s="44"/>
      <c r="H30" s="45" t="str">
        <f aca="false">IF(M19=1,IF(N(G30)&gt;0,"✔ انقبض — الأسبوع مقفول","⏳ لسا ما انقبض"),"")</f>
        <v/>
      </c>
      <c r="I30" s="45"/>
      <c r="S30" s="0" t="n">
        <v>2</v>
      </c>
    </row>
    <row r="31" customFormat="false" ht="27.75" hidden="false" customHeight="true" outlineLevel="0" collapsed="false">
      <c r="A31" s="23" t="str">
        <f aca="false">IF(3&lt;=NW,"من السبت "&amp;TEXT(DAY(SAT1+14),"00")&amp;"/"&amp;TEXT(MONTH(SAT1+14),"00")&amp;"/"&amp;YEAR(SAT1+14)&amp;" إلى الجمعة "&amp;TEXT(DAY(SAT1+20),"00")&amp;"/"&amp;TEXT(MONTH(SAT1+20),"00")&amp;"/"&amp;YEAR(SAT1+20)&amp;" · الأسبوع 3"&amp;"  (يوم القبض: الجمعة)"&amp;IF(3&lt;START_O,"   — قبل أسبوع البداية (ما بينحسب)",""),"ما في أسبوع 3 هالسنة")</f>
        <v>من السبت 10/01/2026 إلى الجمعة 16/01/2026 · الأسبوع 3  (يوم القبض: الجمعة)   — قبل أسبوع البداية (ما بينحسب)</v>
      </c>
      <c r="B31" s="23"/>
      <c r="C31" s="23"/>
      <c r="D31" s="23"/>
      <c r="E31" s="23"/>
      <c r="F31" s="23"/>
      <c r="G31" s="23"/>
      <c r="H31" s="23"/>
      <c r="I31" s="23"/>
      <c r="L31" s="24" t="n">
        <f aca="false">IF(3&lt;=NW,SAT1+20,"")</f>
        <v>46038</v>
      </c>
      <c r="M31" s="25" t="n">
        <f aca="false">IF(AND(3&lt;=NW,3&gt;=START_O),1,0)</f>
        <v>0</v>
      </c>
      <c r="N31" s="26" t="n">
        <f aca="false">IFERROR(INDEX(RT_OMR,MATCH(L31,RT_K,1)),INDEX(RT_OMR,1))</f>
        <v>1.25</v>
      </c>
      <c r="O31" s="26" t="n">
        <f aca="false">IFERROR(INDEX(RT_OT,MATCH(L31,RT_K,1)),INDEX(RT_OT,1))</f>
        <v>1.5</v>
      </c>
      <c r="P31" s="26" t="n">
        <f aca="false">IFERROR(INDEX(RT_GYP,MATCH(L31,RT_K,1)),INDEX(RT_GYP,1))</f>
        <v>2.5</v>
      </c>
      <c r="R31" s="0" t="n">
        <v>3</v>
      </c>
      <c r="S31" s="0" t="n">
        <v>3</v>
      </c>
    </row>
    <row r="32" customFormat="false" ht="25.5" hidden="false" customHeight="true" outlineLevel="0" collapsed="false">
      <c r="A32" s="27" t="s">
        <v>22</v>
      </c>
      <c r="B32" s="27" t="s">
        <v>23</v>
      </c>
      <c r="C32" s="27" t="s">
        <v>24</v>
      </c>
      <c r="D32" s="27" t="s">
        <v>25</v>
      </c>
      <c r="E32" s="27" t="s">
        <v>26</v>
      </c>
      <c r="F32" s="27" t="s">
        <v>27</v>
      </c>
      <c r="G32" s="27" t="s">
        <v>28</v>
      </c>
      <c r="H32" s="27" t="s">
        <v>29</v>
      </c>
      <c r="I32" s="27" t="s">
        <v>30</v>
      </c>
      <c r="S32" s="0" t="n">
        <v>3</v>
      </c>
    </row>
    <row r="33" customFormat="false" ht="15" hidden="false" customHeight="false" outlineLevel="0" collapsed="false">
      <c r="A33" s="28" t="n">
        <f aca="false">IF(3&lt;=NW,SAT1+14,"")</f>
        <v>46032</v>
      </c>
      <c r="B33" s="29" t="str">
        <f aca="false">IF(A33="","",CHOOSE(WEEKDAY(A33,1),"الأحد","الاثنين","الثلاثاء","الأربعاء","الخميس","الجمعة","السبت"))</f>
        <v>السبت</v>
      </c>
      <c r="C33" s="30"/>
      <c r="D33" s="30"/>
      <c r="E33" s="31" t="str">
        <f aca="false">IF(OR(M33=0,K33="",L33=""),"",MOD(L33-K33,1))</f>
        <v/>
      </c>
      <c r="F33" s="31" t="str">
        <f aca="false">IF(OR(E33="",M33=0),"",IF(WEEKDAY(A33,1)=6,E33,MIN(E33,MAX(0,MIN(IF(L33&lt;K33,L33+1,L33),OMR_OT_AT)-K33))))</f>
        <v/>
      </c>
      <c r="G33" s="31" t="str">
        <f aca="false">IF(OR(E33="",M33=0),"",MAX(0,E33-F33))</f>
        <v/>
      </c>
      <c r="H33" s="32" t="str">
        <f aca="false">IF(OR(E33="",M33=0),"",ROUND((F33*$N$31+G33*$O$31)*24,3))</f>
        <v/>
      </c>
      <c r="I33" s="30"/>
      <c r="K33" s="33" t="str">
        <f aca="false">IF(OR(M33=0,C33=""),"",IF(ISNUMBER(C33),MOD(C33,1),IFERROR(INDEX(القوائم!$B$1:$B$288,MATCH(TRIM(C33),القوائم!$A$1:$A$288,0)),IFERROR(MOD(TIMEVALUE(C33),1),""))))</f>
        <v/>
      </c>
      <c r="L33" s="33" t="str">
        <f aca="false">IF(OR(M33=0,D33=""),"",IF(ISNUMBER(D33),MOD(D33,1),IFERROR(INDEX(القوائم!$B$1:$B$288,MATCH(TRIM(D33),القوائم!$A$1:$A$288,0)),IFERROR(MOD(TIMEVALUE(D33),1),""))))</f>
        <v/>
      </c>
      <c r="M33" s="25" t="n">
        <f aca="false">M31</f>
        <v>0</v>
      </c>
      <c r="Q33" s="25" t="n">
        <f aca="false">IF(N(G42)&gt;0,1,0)</f>
        <v>0</v>
      </c>
      <c r="S33" s="0" t="n">
        <v>3</v>
      </c>
    </row>
    <row r="34" customFormat="false" ht="15" hidden="false" customHeight="false" outlineLevel="0" collapsed="false">
      <c r="A34" s="28" t="n">
        <f aca="false">IF(3&lt;=NW,SAT1+15,"")</f>
        <v>46033</v>
      </c>
      <c r="B34" s="29" t="str">
        <f aca="false">IF(A34="","",CHOOSE(WEEKDAY(A34,1),"الأحد","الاثنين","الثلاثاء","الأربعاء","الخميس","الجمعة","السبت"))</f>
        <v>الأحد</v>
      </c>
      <c r="C34" s="30"/>
      <c r="D34" s="30"/>
      <c r="E34" s="31" t="str">
        <f aca="false">IF(OR(M34=0,K34="",L34=""),"",MOD(L34-K34,1))</f>
        <v/>
      </c>
      <c r="F34" s="31" t="str">
        <f aca="false">IF(OR(E34="",M34=0),"",IF(WEEKDAY(A34,1)=6,E34,MIN(E34,MAX(0,MIN(IF(L34&lt;K34,L34+1,L34),OMR_OT_AT)-K34))))</f>
        <v/>
      </c>
      <c r="G34" s="31" t="str">
        <f aca="false">IF(OR(E34="",M34=0),"",MAX(0,E34-F34))</f>
        <v/>
      </c>
      <c r="H34" s="32" t="str">
        <f aca="false">IF(OR(E34="",M34=0),"",ROUND((F34*$N$31+G34*$O$31)*24,3))</f>
        <v/>
      </c>
      <c r="I34" s="30"/>
      <c r="K34" s="33" t="str">
        <f aca="false">IF(OR(M34=0,C34=""),"",IF(ISNUMBER(C34),MOD(C34,1),IFERROR(INDEX(القوائم!$B$1:$B$288,MATCH(TRIM(C34),القوائم!$A$1:$A$288,0)),IFERROR(MOD(TIMEVALUE(C34),1),""))))</f>
        <v/>
      </c>
      <c r="L34" s="33" t="str">
        <f aca="false">IF(OR(M34=0,D34=""),"",IF(ISNUMBER(D34),MOD(D34,1),IFERROR(INDEX(القوائم!$B$1:$B$288,MATCH(TRIM(D34),القوائم!$A$1:$A$288,0)),IFERROR(MOD(TIMEVALUE(D34),1),""))))</f>
        <v/>
      </c>
      <c r="M34" s="25" t="n">
        <f aca="false">M31</f>
        <v>0</v>
      </c>
      <c r="Q34" s="25" t="n">
        <f aca="false">IF(N(G42)&gt;0,1,0)</f>
        <v>0</v>
      </c>
      <c r="S34" s="0" t="n">
        <v>3</v>
      </c>
    </row>
    <row r="35" customFormat="false" ht="15" hidden="false" customHeight="false" outlineLevel="0" collapsed="false">
      <c r="A35" s="28" t="n">
        <f aca="false">IF(3&lt;=NW,SAT1+16,"")</f>
        <v>46034</v>
      </c>
      <c r="B35" s="29" t="str">
        <f aca="false">IF(A35="","",CHOOSE(WEEKDAY(A35,1),"الأحد","الاثنين","الثلاثاء","الأربعاء","الخميس","الجمعة","السبت"))</f>
        <v>الاثنين</v>
      </c>
      <c r="C35" s="30"/>
      <c r="D35" s="30"/>
      <c r="E35" s="31" t="str">
        <f aca="false">IF(OR(M35=0,K35="",L35=""),"",MOD(L35-K35,1))</f>
        <v/>
      </c>
      <c r="F35" s="31" t="str">
        <f aca="false">IF(OR(E35="",M35=0),"",IF(WEEKDAY(A35,1)=6,E35,MIN(E35,MAX(0,MIN(IF(L35&lt;K35,L35+1,L35),OMR_OT_AT)-K35))))</f>
        <v/>
      </c>
      <c r="G35" s="31" t="str">
        <f aca="false">IF(OR(E35="",M35=0),"",MAX(0,E35-F35))</f>
        <v/>
      </c>
      <c r="H35" s="32" t="str">
        <f aca="false">IF(OR(E35="",M35=0),"",ROUND((F35*$N$31+G35*$O$31)*24,3))</f>
        <v/>
      </c>
      <c r="I35" s="30"/>
      <c r="K35" s="33" t="str">
        <f aca="false">IF(OR(M35=0,C35=""),"",IF(ISNUMBER(C35),MOD(C35,1),IFERROR(INDEX(القوائم!$B$1:$B$288,MATCH(TRIM(C35),القوائم!$A$1:$A$288,0)),IFERROR(MOD(TIMEVALUE(C35),1),""))))</f>
        <v/>
      </c>
      <c r="L35" s="33" t="str">
        <f aca="false">IF(OR(M35=0,D35=""),"",IF(ISNUMBER(D35),MOD(D35,1),IFERROR(INDEX(القوائم!$B$1:$B$288,MATCH(TRIM(D35),القوائم!$A$1:$A$288,0)),IFERROR(MOD(TIMEVALUE(D35),1),""))))</f>
        <v/>
      </c>
      <c r="M35" s="25" t="n">
        <f aca="false">M31</f>
        <v>0</v>
      </c>
      <c r="Q35" s="25" t="n">
        <f aca="false">IF(N(G42)&gt;0,1,0)</f>
        <v>0</v>
      </c>
      <c r="S35" s="0" t="n">
        <v>3</v>
      </c>
    </row>
    <row r="36" customFormat="false" ht="15" hidden="false" customHeight="false" outlineLevel="0" collapsed="false">
      <c r="A36" s="28" t="n">
        <f aca="false">IF(3&lt;=NW,SAT1+17,"")</f>
        <v>46035</v>
      </c>
      <c r="B36" s="29" t="str">
        <f aca="false">IF(A36="","",CHOOSE(WEEKDAY(A36,1),"الأحد","الاثنين","الثلاثاء","الأربعاء","الخميس","الجمعة","السبت"))</f>
        <v>الثلاثاء</v>
      </c>
      <c r="C36" s="30"/>
      <c r="D36" s="30"/>
      <c r="E36" s="31" t="str">
        <f aca="false">IF(OR(M36=0,K36="",L36=""),"",MOD(L36-K36,1))</f>
        <v/>
      </c>
      <c r="F36" s="31" t="str">
        <f aca="false">IF(OR(E36="",M36=0),"",IF(WEEKDAY(A36,1)=6,E36,MIN(E36,MAX(0,MIN(IF(L36&lt;K36,L36+1,L36),OMR_OT_AT)-K36))))</f>
        <v/>
      </c>
      <c r="G36" s="31" t="str">
        <f aca="false">IF(OR(E36="",M36=0),"",MAX(0,E36-F36))</f>
        <v/>
      </c>
      <c r="H36" s="32" t="str">
        <f aca="false">IF(OR(E36="",M36=0),"",ROUND((F36*$N$31+G36*$O$31)*24,3))</f>
        <v/>
      </c>
      <c r="I36" s="30"/>
      <c r="K36" s="33" t="str">
        <f aca="false">IF(OR(M36=0,C36=""),"",IF(ISNUMBER(C36),MOD(C36,1),IFERROR(INDEX(القوائم!$B$1:$B$288,MATCH(TRIM(C36),القوائم!$A$1:$A$288,0)),IFERROR(MOD(TIMEVALUE(C36),1),""))))</f>
        <v/>
      </c>
      <c r="L36" s="33" t="str">
        <f aca="false">IF(OR(M36=0,D36=""),"",IF(ISNUMBER(D36),MOD(D36,1),IFERROR(INDEX(القوائم!$B$1:$B$288,MATCH(TRIM(D36),القوائم!$A$1:$A$288,0)),IFERROR(MOD(TIMEVALUE(D36),1),""))))</f>
        <v/>
      </c>
      <c r="M36" s="25" t="n">
        <f aca="false">M31</f>
        <v>0</v>
      </c>
      <c r="Q36" s="25" t="n">
        <f aca="false">IF(N(G42)&gt;0,1,0)</f>
        <v>0</v>
      </c>
      <c r="S36" s="0" t="n">
        <v>3</v>
      </c>
    </row>
    <row r="37" customFormat="false" ht="15" hidden="false" customHeight="false" outlineLevel="0" collapsed="false">
      <c r="A37" s="28" t="n">
        <f aca="false">IF(3&lt;=NW,SAT1+18,"")</f>
        <v>46036</v>
      </c>
      <c r="B37" s="29" t="str">
        <f aca="false">IF(A37="","",CHOOSE(WEEKDAY(A37,1),"الأحد","الاثنين","الثلاثاء","الأربعاء","الخميس","الجمعة","السبت"))</f>
        <v>الأربعاء</v>
      </c>
      <c r="C37" s="30"/>
      <c r="D37" s="30"/>
      <c r="E37" s="31" t="str">
        <f aca="false">IF(OR(M37=0,K37="",L37=""),"",MOD(L37-K37,1))</f>
        <v/>
      </c>
      <c r="F37" s="31" t="str">
        <f aca="false">IF(OR(E37="",M37=0),"",IF(WEEKDAY(A37,1)=6,E37,MIN(E37,MAX(0,MIN(IF(L37&lt;K37,L37+1,L37),OMR_OT_AT)-K37))))</f>
        <v/>
      </c>
      <c r="G37" s="31" t="str">
        <f aca="false">IF(OR(E37="",M37=0),"",MAX(0,E37-F37))</f>
        <v/>
      </c>
      <c r="H37" s="32" t="str">
        <f aca="false">IF(OR(E37="",M37=0),"",ROUND((F37*$N$31+G37*$O$31)*24,3))</f>
        <v/>
      </c>
      <c r="I37" s="30"/>
      <c r="K37" s="33" t="str">
        <f aca="false">IF(OR(M37=0,C37=""),"",IF(ISNUMBER(C37),MOD(C37,1),IFERROR(INDEX(القوائم!$B$1:$B$288,MATCH(TRIM(C37),القوائم!$A$1:$A$288,0)),IFERROR(MOD(TIMEVALUE(C37),1),""))))</f>
        <v/>
      </c>
      <c r="L37" s="33" t="str">
        <f aca="false">IF(OR(M37=0,D37=""),"",IF(ISNUMBER(D37),MOD(D37,1),IFERROR(INDEX(القوائم!$B$1:$B$288,MATCH(TRIM(D37),القوائم!$A$1:$A$288,0)),IFERROR(MOD(TIMEVALUE(D37),1),""))))</f>
        <v/>
      </c>
      <c r="M37" s="25" t="n">
        <f aca="false">M31</f>
        <v>0</v>
      </c>
      <c r="Q37" s="25" t="n">
        <f aca="false">IF(N(G42)&gt;0,1,0)</f>
        <v>0</v>
      </c>
      <c r="S37" s="0" t="n">
        <v>3</v>
      </c>
    </row>
    <row r="38" customFormat="false" ht="15" hidden="false" customHeight="false" outlineLevel="0" collapsed="false">
      <c r="A38" s="28" t="n">
        <f aca="false">IF(3&lt;=NW,SAT1+19,"")</f>
        <v>46037</v>
      </c>
      <c r="B38" s="29" t="str">
        <f aca="false">IF(A38="","",CHOOSE(WEEKDAY(A38,1),"الأحد","الاثنين","الثلاثاء","الأربعاء","الخميس","الجمعة","السبت"))</f>
        <v>الخميس</v>
      </c>
      <c r="C38" s="30"/>
      <c r="D38" s="30"/>
      <c r="E38" s="31" t="str">
        <f aca="false">IF(OR(M38=0,K38="",L38=""),"",MOD(L38-K38,1))</f>
        <v/>
      </c>
      <c r="F38" s="31" t="str">
        <f aca="false">IF(OR(E38="",M38=0),"",IF(WEEKDAY(A38,1)=6,E38,MIN(E38,MAX(0,MIN(IF(L38&lt;K38,L38+1,L38),OMR_OT_AT)-K38))))</f>
        <v/>
      </c>
      <c r="G38" s="31" t="str">
        <f aca="false">IF(OR(E38="",M38=0),"",MAX(0,E38-F38))</f>
        <v/>
      </c>
      <c r="H38" s="32" t="str">
        <f aca="false">IF(OR(E38="",M38=0),"",ROUND((F38*$N$31+G38*$O$31)*24,3))</f>
        <v/>
      </c>
      <c r="I38" s="30"/>
      <c r="K38" s="33" t="str">
        <f aca="false">IF(OR(M38=0,C38=""),"",IF(ISNUMBER(C38),MOD(C38,1),IFERROR(INDEX(القوائم!$B$1:$B$288,MATCH(TRIM(C38),القوائم!$A$1:$A$288,0)),IFERROR(MOD(TIMEVALUE(C38),1),""))))</f>
        <v/>
      </c>
      <c r="L38" s="33" t="str">
        <f aca="false">IF(OR(M38=0,D38=""),"",IF(ISNUMBER(D38),MOD(D38,1),IFERROR(INDEX(القوائم!$B$1:$B$288,MATCH(TRIM(D38),القوائم!$A$1:$A$288,0)),IFERROR(MOD(TIMEVALUE(D38),1),""))))</f>
        <v/>
      </c>
      <c r="M38" s="25" t="n">
        <f aca="false">M31</f>
        <v>0</v>
      </c>
      <c r="Q38" s="25" t="n">
        <f aca="false">IF(N(G42)&gt;0,1,0)</f>
        <v>0</v>
      </c>
      <c r="S38" s="0" t="n">
        <v>3</v>
      </c>
    </row>
    <row r="39" customFormat="false" ht="15" hidden="false" customHeight="false" outlineLevel="0" collapsed="false">
      <c r="A39" s="34" t="n">
        <f aca="false">IF(3&lt;=NW,SAT1+20,"")</f>
        <v>46038</v>
      </c>
      <c r="B39" s="35" t="str">
        <f aca="false">IF(A39="","",CHOOSE(WEEKDAY(A39,1),"الأحد","الاثنين","الثلاثاء","الأربعاء","الخميس","الجمعة","السبت"))</f>
        <v>الجمعة</v>
      </c>
      <c r="C39" s="30"/>
      <c r="D39" s="30"/>
      <c r="E39" s="31" t="str">
        <f aca="false">IF(OR(M39=0,K39="",L39=""),"",MOD(L39-K39,1))</f>
        <v/>
      </c>
      <c r="F39" s="31" t="str">
        <f aca="false">IF(OR(E39="",M39=0),"",IF(WEEKDAY(A39,1)=6,E39,MIN(E39,MAX(0,MIN(IF(L39&lt;K39,L39+1,L39),OMR_OT_AT)-K39))))</f>
        <v/>
      </c>
      <c r="G39" s="31" t="str">
        <f aca="false">IF(OR(E39="",M39=0),"",MAX(0,E39-F39))</f>
        <v/>
      </c>
      <c r="H39" s="32" t="str">
        <f aca="false">IF(OR(E39="",M39=0),"",ROUND((F39*$N$31+G39*$O$31)*24,3))</f>
        <v/>
      </c>
      <c r="I39" s="30"/>
      <c r="K39" s="33" t="str">
        <f aca="false">IF(OR(M39=0,C39=""),"",IF(ISNUMBER(C39),MOD(C39,1),IFERROR(INDEX(القوائم!$B$1:$B$288,MATCH(TRIM(C39),القوائم!$A$1:$A$288,0)),IFERROR(MOD(TIMEVALUE(C39),1),""))))</f>
        <v/>
      </c>
      <c r="L39" s="33" t="str">
        <f aca="false">IF(OR(M39=0,D39=""),"",IF(ISNUMBER(D39),MOD(D39,1),IFERROR(INDEX(القوائم!$B$1:$B$288,MATCH(TRIM(D39),القوائم!$A$1:$A$288,0)),IFERROR(MOD(TIMEVALUE(D39),1),""))))</f>
        <v/>
      </c>
      <c r="M39" s="25" t="n">
        <f aca="false">M31</f>
        <v>0</v>
      </c>
      <c r="Q39" s="25" t="n">
        <f aca="false">IF(N(G42)&gt;0,1,0)</f>
        <v>0</v>
      </c>
      <c r="S39" s="0" t="n">
        <v>3</v>
      </c>
    </row>
    <row r="40" customFormat="false" ht="15" hidden="false" customHeight="false" outlineLevel="0" collapsed="false">
      <c r="A40" s="36" t="str">
        <f aca="false">IF(M31=1,"مجموع أيام الأسبوع 3","")</f>
        <v/>
      </c>
      <c r="B40" s="36"/>
      <c r="C40" s="36"/>
      <c r="D40" s="36"/>
      <c r="E40" s="37" t="str">
        <f aca="false">IF(M31=1,SUM(E33:E39),"")</f>
        <v/>
      </c>
      <c r="F40" s="37" t="str">
        <f aca="false">IF(M31=1,SUM(F33:F39),"")</f>
        <v/>
      </c>
      <c r="G40" s="37" t="str">
        <f aca="false">IF(M31=1,SUM(G33:G39),"")</f>
        <v/>
      </c>
      <c r="H40" s="38" t="str">
        <f aca="false">IF(M31=1,SUM(H33:H39),"")</f>
        <v/>
      </c>
      <c r="I40" s="36"/>
      <c r="S40" s="0" t="n">
        <v>3</v>
      </c>
    </row>
    <row r="41" customFormat="false" ht="31.5" hidden="false" customHeight="true" outlineLevel="0" collapsed="false">
      <c r="A41" s="39" t="str">
        <f aca="false">IF(M31=1,"ساعات تحميل الجبسمبورد بهالأسبوع (رقم: 2 أو 1.5) ←","")</f>
        <v/>
      </c>
      <c r="B41" s="39"/>
      <c r="C41" s="39"/>
      <c r="D41" s="39"/>
      <c r="E41" s="40"/>
      <c r="F41" s="41" t="str">
        <f aca="false">IF(M31=1,"المستحق النهائي للأسبوع مع الإكرامية (دينار) ←","")</f>
        <v/>
      </c>
      <c r="G41" s="41"/>
      <c r="H41" s="42" t="str">
        <f aca="false">IF(M31=1,IF(ROUND_MODE="للأعلى",CEILING(ROUND((N(H40)+N(E41)*($P$31-$N$31)),3),0.25),ROUND((N(H40)+N(E41)*($P$31-$N$31))*4,0)/4)+N(D42),"")</f>
        <v/>
      </c>
      <c r="I41" s="43" t="str">
        <f aca="false">IF(M31=1,"قبل الجبر: "&amp;TEXT(N(H40)+N(E41)*($P$31-$N$31),"0.000")&amp;IF(N(D42)&gt;0," + إكرامية "&amp;TEXT(D42,"0.000"),""),"")</f>
        <v/>
      </c>
      <c r="S41" s="0" t="n">
        <v>3</v>
      </c>
    </row>
    <row r="42" customFormat="false" ht="25.5" hidden="false" customHeight="true" outlineLevel="0" collapsed="false">
      <c r="A42" s="39" t="str">
        <f aca="false">IF(M31=1,"إكرامية الأسبوع (دينار) ←","")</f>
        <v/>
      </c>
      <c r="B42" s="39"/>
      <c r="C42" s="39"/>
      <c r="D42" s="44"/>
      <c r="E42" s="39" t="str">
        <f aca="false">IF(M31=1,"المدفوع (دينار) ←","")</f>
        <v/>
      </c>
      <c r="F42" s="39"/>
      <c r="G42" s="44"/>
      <c r="H42" s="45" t="str">
        <f aca="false">IF(M31=1,IF(N(G42)&gt;0,"✔ انقبض — الأسبوع مقفول","⏳ لسا ما انقبض"),"")</f>
        <v/>
      </c>
      <c r="I42" s="45"/>
      <c r="S42" s="0" t="n">
        <v>3</v>
      </c>
    </row>
    <row r="43" customFormat="false" ht="27.75" hidden="false" customHeight="true" outlineLevel="0" collapsed="false">
      <c r="A43" s="23" t="str">
        <f aca="false">IF(4&lt;=NW,"من السبت "&amp;TEXT(DAY(SAT1+21),"00")&amp;"/"&amp;TEXT(MONTH(SAT1+21),"00")&amp;"/"&amp;YEAR(SAT1+21)&amp;" إلى الجمعة "&amp;TEXT(DAY(SAT1+27),"00")&amp;"/"&amp;TEXT(MONTH(SAT1+27),"00")&amp;"/"&amp;YEAR(SAT1+27)&amp;" · الأسبوع 4"&amp;"  (يوم القبض: الجمعة)"&amp;IF(4&lt;START_O,"   — قبل أسبوع البداية (ما بينحسب)",""),"ما في أسبوع 4 هالسنة")</f>
        <v>من السبت 17/01/2026 إلى الجمعة 23/01/2026 · الأسبوع 4  (يوم القبض: الجمعة)   — قبل أسبوع البداية (ما بينحسب)</v>
      </c>
      <c r="B43" s="23"/>
      <c r="C43" s="23"/>
      <c r="D43" s="23"/>
      <c r="E43" s="23"/>
      <c r="F43" s="23"/>
      <c r="G43" s="23"/>
      <c r="H43" s="23"/>
      <c r="I43" s="23"/>
      <c r="L43" s="24" t="n">
        <f aca="false">IF(4&lt;=NW,SAT1+27,"")</f>
        <v>46045</v>
      </c>
      <c r="M43" s="25" t="n">
        <f aca="false">IF(AND(4&lt;=NW,4&gt;=START_O),1,0)</f>
        <v>0</v>
      </c>
      <c r="N43" s="26" t="n">
        <f aca="false">IFERROR(INDEX(RT_OMR,MATCH(L43,RT_K,1)),INDEX(RT_OMR,1))</f>
        <v>1.25</v>
      </c>
      <c r="O43" s="26" t="n">
        <f aca="false">IFERROR(INDEX(RT_OT,MATCH(L43,RT_K,1)),INDEX(RT_OT,1))</f>
        <v>1.5</v>
      </c>
      <c r="P43" s="26" t="n">
        <f aca="false">IFERROR(INDEX(RT_GYP,MATCH(L43,RT_K,1)),INDEX(RT_GYP,1))</f>
        <v>2.5</v>
      </c>
      <c r="R43" s="0" t="n">
        <v>4</v>
      </c>
      <c r="S43" s="0" t="n">
        <v>4</v>
      </c>
    </row>
    <row r="44" customFormat="false" ht="25.5" hidden="false" customHeight="true" outlineLevel="0" collapsed="false">
      <c r="A44" s="27" t="s">
        <v>22</v>
      </c>
      <c r="B44" s="27" t="s">
        <v>23</v>
      </c>
      <c r="C44" s="27" t="s">
        <v>24</v>
      </c>
      <c r="D44" s="27" t="s">
        <v>25</v>
      </c>
      <c r="E44" s="27" t="s">
        <v>26</v>
      </c>
      <c r="F44" s="27" t="s">
        <v>27</v>
      </c>
      <c r="G44" s="27" t="s">
        <v>28</v>
      </c>
      <c r="H44" s="27" t="s">
        <v>29</v>
      </c>
      <c r="I44" s="27" t="s">
        <v>30</v>
      </c>
      <c r="S44" s="0" t="n">
        <v>4</v>
      </c>
    </row>
    <row r="45" customFormat="false" ht="15" hidden="false" customHeight="false" outlineLevel="0" collapsed="false">
      <c r="A45" s="28" t="n">
        <f aca="false">IF(4&lt;=NW,SAT1+21,"")</f>
        <v>46039</v>
      </c>
      <c r="B45" s="29" t="str">
        <f aca="false">IF(A45="","",CHOOSE(WEEKDAY(A45,1),"الأحد","الاثنين","الثلاثاء","الأربعاء","الخميس","الجمعة","السبت"))</f>
        <v>السبت</v>
      </c>
      <c r="C45" s="30"/>
      <c r="D45" s="30"/>
      <c r="E45" s="31" t="str">
        <f aca="false">IF(OR(M45=0,K45="",L45=""),"",MOD(L45-K45,1))</f>
        <v/>
      </c>
      <c r="F45" s="31" t="str">
        <f aca="false">IF(OR(E45="",M45=0),"",IF(WEEKDAY(A45,1)=6,E45,MIN(E45,MAX(0,MIN(IF(L45&lt;K45,L45+1,L45),OMR_OT_AT)-K45))))</f>
        <v/>
      </c>
      <c r="G45" s="31" t="str">
        <f aca="false">IF(OR(E45="",M45=0),"",MAX(0,E45-F45))</f>
        <v/>
      </c>
      <c r="H45" s="32" t="str">
        <f aca="false">IF(OR(E45="",M45=0),"",ROUND((F45*$N$43+G45*$O$43)*24,3))</f>
        <v/>
      </c>
      <c r="I45" s="30"/>
      <c r="K45" s="33" t="str">
        <f aca="false">IF(OR(M45=0,C45=""),"",IF(ISNUMBER(C45),MOD(C45,1),IFERROR(INDEX(القوائم!$B$1:$B$288,MATCH(TRIM(C45),القوائم!$A$1:$A$288,0)),IFERROR(MOD(TIMEVALUE(C45),1),""))))</f>
        <v/>
      </c>
      <c r="L45" s="33" t="str">
        <f aca="false">IF(OR(M45=0,D45=""),"",IF(ISNUMBER(D45),MOD(D45,1),IFERROR(INDEX(القوائم!$B$1:$B$288,MATCH(TRIM(D45),القوائم!$A$1:$A$288,0)),IFERROR(MOD(TIMEVALUE(D45),1),""))))</f>
        <v/>
      </c>
      <c r="M45" s="25" t="n">
        <f aca="false">M43</f>
        <v>0</v>
      </c>
      <c r="Q45" s="25" t="n">
        <f aca="false">IF(N(G54)&gt;0,1,0)</f>
        <v>0</v>
      </c>
      <c r="S45" s="0" t="n">
        <v>4</v>
      </c>
    </row>
    <row r="46" customFormat="false" ht="15" hidden="false" customHeight="false" outlineLevel="0" collapsed="false">
      <c r="A46" s="28" t="n">
        <f aca="false">IF(4&lt;=NW,SAT1+22,"")</f>
        <v>46040</v>
      </c>
      <c r="B46" s="29" t="str">
        <f aca="false">IF(A46="","",CHOOSE(WEEKDAY(A46,1),"الأحد","الاثنين","الثلاثاء","الأربعاء","الخميس","الجمعة","السبت"))</f>
        <v>الأحد</v>
      </c>
      <c r="C46" s="30"/>
      <c r="D46" s="30"/>
      <c r="E46" s="31" t="str">
        <f aca="false">IF(OR(M46=0,K46="",L46=""),"",MOD(L46-K46,1))</f>
        <v/>
      </c>
      <c r="F46" s="31" t="str">
        <f aca="false">IF(OR(E46="",M46=0),"",IF(WEEKDAY(A46,1)=6,E46,MIN(E46,MAX(0,MIN(IF(L46&lt;K46,L46+1,L46),OMR_OT_AT)-K46))))</f>
        <v/>
      </c>
      <c r="G46" s="31" t="str">
        <f aca="false">IF(OR(E46="",M46=0),"",MAX(0,E46-F46))</f>
        <v/>
      </c>
      <c r="H46" s="32" t="str">
        <f aca="false">IF(OR(E46="",M46=0),"",ROUND((F46*$N$43+G46*$O$43)*24,3))</f>
        <v/>
      </c>
      <c r="I46" s="30"/>
      <c r="K46" s="33" t="str">
        <f aca="false">IF(OR(M46=0,C46=""),"",IF(ISNUMBER(C46),MOD(C46,1),IFERROR(INDEX(القوائم!$B$1:$B$288,MATCH(TRIM(C46),القوائم!$A$1:$A$288,0)),IFERROR(MOD(TIMEVALUE(C46),1),""))))</f>
        <v/>
      </c>
      <c r="L46" s="33" t="str">
        <f aca="false">IF(OR(M46=0,D46=""),"",IF(ISNUMBER(D46),MOD(D46,1),IFERROR(INDEX(القوائم!$B$1:$B$288,MATCH(TRIM(D46),القوائم!$A$1:$A$288,0)),IFERROR(MOD(TIMEVALUE(D46),1),""))))</f>
        <v/>
      </c>
      <c r="M46" s="25" t="n">
        <f aca="false">M43</f>
        <v>0</v>
      </c>
      <c r="Q46" s="25" t="n">
        <f aca="false">IF(N(G54)&gt;0,1,0)</f>
        <v>0</v>
      </c>
      <c r="S46" s="0" t="n">
        <v>4</v>
      </c>
    </row>
    <row r="47" customFormat="false" ht="15" hidden="false" customHeight="false" outlineLevel="0" collapsed="false">
      <c r="A47" s="28" t="n">
        <f aca="false">IF(4&lt;=NW,SAT1+23,"")</f>
        <v>46041</v>
      </c>
      <c r="B47" s="29" t="str">
        <f aca="false">IF(A47="","",CHOOSE(WEEKDAY(A47,1),"الأحد","الاثنين","الثلاثاء","الأربعاء","الخميس","الجمعة","السبت"))</f>
        <v>الاثنين</v>
      </c>
      <c r="C47" s="30"/>
      <c r="D47" s="30"/>
      <c r="E47" s="31" t="str">
        <f aca="false">IF(OR(M47=0,K47="",L47=""),"",MOD(L47-K47,1))</f>
        <v/>
      </c>
      <c r="F47" s="31" t="str">
        <f aca="false">IF(OR(E47="",M47=0),"",IF(WEEKDAY(A47,1)=6,E47,MIN(E47,MAX(0,MIN(IF(L47&lt;K47,L47+1,L47),OMR_OT_AT)-K47))))</f>
        <v/>
      </c>
      <c r="G47" s="31" t="str">
        <f aca="false">IF(OR(E47="",M47=0),"",MAX(0,E47-F47))</f>
        <v/>
      </c>
      <c r="H47" s="32" t="str">
        <f aca="false">IF(OR(E47="",M47=0),"",ROUND((F47*$N$43+G47*$O$43)*24,3))</f>
        <v/>
      </c>
      <c r="I47" s="30"/>
      <c r="K47" s="33" t="str">
        <f aca="false">IF(OR(M47=0,C47=""),"",IF(ISNUMBER(C47),MOD(C47,1),IFERROR(INDEX(القوائم!$B$1:$B$288,MATCH(TRIM(C47),القوائم!$A$1:$A$288,0)),IFERROR(MOD(TIMEVALUE(C47),1),""))))</f>
        <v/>
      </c>
      <c r="L47" s="33" t="str">
        <f aca="false">IF(OR(M47=0,D47=""),"",IF(ISNUMBER(D47),MOD(D47,1),IFERROR(INDEX(القوائم!$B$1:$B$288,MATCH(TRIM(D47),القوائم!$A$1:$A$288,0)),IFERROR(MOD(TIMEVALUE(D47),1),""))))</f>
        <v/>
      </c>
      <c r="M47" s="25" t="n">
        <f aca="false">M43</f>
        <v>0</v>
      </c>
      <c r="Q47" s="25" t="n">
        <f aca="false">IF(N(G54)&gt;0,1,0)</f>
        <v>0</v>
      </c>
      <c r="S47" s="0" t="n">
        <v>4</v>
      </c>
    </row>
    <row r="48" customFormat="false" ht="15" hidden="false" customHeight="false" outlineLevel="0" collapsed="false">
      <c r="A48" s="28" t="n">
        <f aca="false">IF(4&lt;=NW,SAT1+24,"")</f>
        <v>46042</v>
      </c>
      <c r="B48" s="29" t="str">
        <f aca="false">IF(A48="","",CHOOSE(WEEKDAY(A48,1),"الأحد","الاثنين","الثلاثاء","الأربعاء","الخميس","الجمعة","السبت"))</f>
        <v>الثلاثاء</v>
      </c>
      <c r="C48" s="30"/>
      <c r="D48" s="30"/>
      <c r="E48" s="31" t="str">
        <f aca="false">IF(OR(M48=0,K48="",L48=""),"",MOD(L48-K48,1))</f>
        <v/>
      </c>
      <c r="F48" s="31" t="str">
        <f aca="false">IF(OR(E48="",M48=0),"",IF(WEEKDAY(A48,1)=6,E48,MIN(E48,MAX(0,MIN(IF(L48&lt;K48,L48+1,L48),OMR_OT_AT)-K48))))</f>
        <v/>
      </c>
      <c r="G48" s="31" t="str">
        <f aca="false">IF(OR(E48="",M48=0),"",MAX(0,E48-F48))</f>
        <v/>
      </c>
      <c r="H48" s="32" t="str">
        <f aca="false">IF(OR(E48="",M48=0),"",ROUND((F48*$N$43+G48*$O$43)*24,3))</f>
        <v/>
      </c>
      <c r="I48" s="30"/>
      <c r="K48" s="33" t="str">
        <f aca="false">IF(OR(M48=0,C48=""),"",IF(ISNUMBER(C48),MOD(C48,1),IFERROR(INDEX(القوائم!$B$1:$B$288,MATCH(TRIM(C48),القوائم!$A$1:$A$288,0)),IFERROR(MOD(TIMEVALUE(C48),1),""))))</f>
        <v/>
      </c>
      <c r="L48" s="33" t="str">
        <f aca="false">IF(OR(M48=0,D48=""),"",IF(ISNUMBER(D48),MOD(D48,1),IFERROR(INDEX(القوائم!$B$1:$B$288,MATCH(TRIM(D48),القوائم!$A$1:$A$288,0)),IFERROR(MOD(TIMEVALUE(D48),1),""))))</f>
        <v/>
      </c>
      <c r="M48" s="25" t="n">
        <f aca="false">M43</f>
        <v>0</v>
      </c>
      <c r="Q48" s="25" t="n">
        <f aca="false">IF(N(G54)&gt;0,1,0)</f>
        <v>0</v>
      </c>
      <c r="S48" s="0" t="n">
        <v>4</v>
      </c>
    </row>
    <row r="49" customFormat="false" ht="15" hidden="false" customHeight="false" outlineLevel="0" collapsed="false">
      <c r="A49" s="28" t="n">
        <f aca="false">IF(4&lt;=NW,SAT1+25,"")</f>
        <v>46043</v>
      </c>
      <c r="B49" s="29" t="str">
        <f aca="false">IF(A49="","",CHOOSE(WEEKDAY(A49,1),"الأحد","الاثنين","الثلاثاء","الأربعاء","الخميس","الجمعة","السبت"))</f>
        <v>الأربعاء</v>
      </c>
      <c r="C49" s="30"/>
      <c r="D49" s="30"/>
      <c r="E49" s="31" t="str">
        <f aca="false">IF(OR(M49=0,K49="",L49=""),"",MOD(L49-K49,1))</f>
        <v/>
      </c>
      <c r="F49" s="31" t="str">
        <f aca="false">IF(OR(E49="",M49=0),"",IF(WEEKDAY(A49,1)=6,E49,MIN(E49,MAX(0,MIN(IF(L49&lt;K49,L49+1,L49),OMR_OT_AT)-K49))))</f>
        <v/>
      </c>
      <c r="G49" s="31" t="str">
        <f aca="false">IF(OR(E49="",M49=0),"",MAX(0,E49-F49))</f>
        <v/>
      </c>
      <c r="H49" s="32" t="str">
        <f aca="false">IF(OR(E49="",M49=0),"",ROUND((F49*$N$43+G49*$O$43)*24,3))</f>
        <v/>
      </c>
      <c r="I49" s="30"/>
      <c r="K49" s="33" t="str">
        <f aca="false">IF(OR(M49=0,C49=""),"",IF(ISNUMBER(C49),MOD(C49,1),IFERROR(INDEX(القوائم!$B$1:$B$288,MATCH(TRIM(C49),القوائم!$A$1:$A$288,0)),IFERROR(MOD(TIMEVALUE(C49),1),""))))</f>
        <v/>
      </c>
      <c r="L49" s="33" t="str">
        <f aca="false">IF(OR(M49=0,D49=""),"",IF(ISNUMBER(D49),MOD(D49,1),IFERROR(INDEX(القوائم!$B$1:$B$288,MATCH(TRIM(D49),القوائم!$A$1:$A$288,0)),IFERROR(MOD(TIMEVALUE(D49),1),""))))</f>
        <v/>
      </c>
      <c r="M49" s="25" t="n">
        <f aca="false">M43</f>
        <v>0</v>
      </c>
      <c r="Q49" s="25" t="n">
        <f aca="false">IF(N(G54)&gt;0,1,0)</f>
        <v>0</v>
      </c>
      <c r="S49" s="0" t="n">
        <v>4</v>
      </c>
    </row>
    <row r="50" customFormat="false" ht="15" hidden="false" customHeight="false" outlineLevel="0" collapsed="false">
      <c r="A50" s="28" t="n">
        <f aca="false">IF(4&lt;=NW,SAT1+26,"")</f>
        <v>46044</v>
      </c>
      <c r="B50" s="29" t="str">
        <f aca="false">IF(A50="","",CHOOSE(WEEKDAY(A50,1),"الأحد","الاثنين","الثلاثاء","الأربعاء","الخميس","الجمعة","السبت"))</f>
        <v>الخميس</v>
      </c>
      <c r="C50" s="30"/>
      <c r="D50" s="30"/>
      <c r="E50" s="31" t="str">
        <f aca="false">IF(OR(M50=0,K50="",L50=""),"",MOD(L50-K50,1))</f>
        <v/>
      </c>
      <c r="F50" s="31" t="str">
        <f aca="false">IF(OR(E50="",M50=0),"",IF(WEEKDAY(A50,1)=6,E50,MIN(E50,MAX(0,MIN(IF(L50&lt;K50,L50+1,L50),OMR_OT_AT)-K50))))</f>
        <v/>
      </c>
      <c r="G50" s="31" t="str">
        <f aca="false">IF(OR(E50="",M50=0),"",MAX(0,E50-F50))</f>
        <v/>
      </c>
      <c r="H50" s="32" t="str">
        <f aca="false">IF(OR(E50="",M50=0),"",ROUND((F50*$N$43+G50*$O$43)*24,3))</f>
        <v/>
      </c>
      <c r="I50" s="30"/>
      <c r="K50" s="33" t="str">
        <f aca="false">IF(OR(M50=0,C50=""),"",IF(ISNUMBER(C50),MOD(C50,1),IFERROR(INDEX(القوائم!$B$1:$B$288,MATCH(TRIM(C50),القوائم!$A$1:$A$288,0)),IFERROR(MOD(TIMEVALUE(C50),1),""))))</f>
        <v/>
      </c>
      <c r="L50" s="33" t="str">
        <f aca="false">IF(OR(M50=0,D50=""),"",IF(ISNUMBER(D50),MOD(D50,1),IFERROR(INDEX(القوائم!$B$1:$B$288,MATCH(TRIM(D50),القوائم!$A$1:$A$288,0)),IFERROR(MOD(TIMEVALUE(D50),1),""))))</f>
        <v/>
      </c>
      <c r="M50" s="25" t="n">
        <f aca="false">M43</f>
        <v>0</v>
      </c>
      <c r="Q50" s="25" t="n">
        <f aca="false">IF(N(G54)&gt;0,1,0)</f>
        <v>0</v>
      </c>
      <c r="S50" s="0" t="n">
        <v>4</v>
      </c>
    </row>
    <row r="51" customFormat="false" ht="15" hidden="false" customHeight="false" outlineLevel="0" collapsed="false">
      <c r="A51" s="34" t="n">
        <f aca="false">IF(4&lt;=NW,SAT1+27,"")</f>
        <v>46045</v>
      </c>
      <c r="B51" s="35" t="str">
        <f aca="false">IF(A51="","",CHOOSE(WEEKDAY(A51,1),"الأحد","الاثنين","الثلاثاء","الأربعاء","الخميس","الجمعة","السبت"))</f>
        <v>الجمعة</v>
      </c>
      <c r="C51" s="30"/>
      <c r="D51" s="30"/>
      <c r="E51" s="31" t="str">
        <f aca="false">IF(OR(M51=0,K51="",L51=""),"",MOD(L51-K51,1))</f>
        <v/>
      </c>
      <c r="F51" s="31" t="str">
        <f aca="false">IF(OR(E51="",M51=0),"",IF(WEEKDAY(A51,1)=6,E51,MIN(E51,MAX(0,MIN(IF(L51&lt;K51,L51+1,L51),OMR_OT_AT)-K51))))</f>
        <v/>
      </c>
      <c r="G51" s="31" t="str">
        <f aca="false">IF(OR(E51="",M51=0),"",MAX(0,E51-F51))</f>
        <v/>
      </c>
      <c r="H51" s="32" t="str">
        <f aca="false">IF(OR(E51="",M51=0),"",ROUND((F51*$N$43+G51*$O$43)*24,3))</f>
        <v/>
      </c>
      <c r="I51" s="30"/>
      <c r="K51" s="33" t="str">
        <f aca="false">IF(OR(M51=0,C51=""),"",IF(ISNUMBER(C51),MOD(C51,1),IFERROR(INDEX(القوائم!$B$1:$B$288,MATCH(TRIM(C51),القوائم!$A$1:$A$288,0)),IFERROR(MOD(TIMEVALUE(C51),1),""))))</f>
        <v/>
      </c>
      <c r="L51" s="33" t="str">
        <f aca="false">IF(OR(M51=0,D51=""),"",IF(ISNUMBER(D51),MOD(D51,1),IFERROR(INDEX(القوائم!$B$1:$B$288,MATCH(TRIM(D51),القوائم!$A$1:$A$288,0)),IFERROR(MOD(TIMEVALUE(D51),1),""))))</f>
        <v/>
      </c>
      <c r="M51" s="25" t="n">
        <f aca="false">M43</f>
        <v>0</v>
      </c>
      <c r="Q51" s="25" t="n">
        <f aca="false">IF(N(G54)&gt;0,1,0)</f>
        <v>0</v>
      </c>
      <c r="S51" s="0" t="n">
        <v>4</v>
      </c>
    </row>
    <row r="52" customFormat="false" ht="15" hidden="false" customHeight="false" outlineLevel="0" collapsed="false">
      <c r="A52" s="36" t="str">
        <f aca="false">IF(M43=1,"مجموع أيام الأسبوع 4","")</f>
        <v/>
      </c>
      <c r="B52" s="36"/>
      <c r="C52" s="36"/>
      <c r="D52" s="36"/>
      <c r="E52" s="37" t="str">
        <f aca="false">IF(M43=1,SUM(E45:E51),"")</f>
        <v/>
      </c>
      <c r="F52" s="37" t="str">
        <f aca="false">IF(M43=1,SUM(F45:F51),"")</f>
        <v/>
      </c>
      <c r="G52" s="37" t="str">
        <f aca="false">IF(M43=1,SUM(G45:G51),"")</f>
        <v/>
      </c>
      <c r="H52" s="38" t="str">
        <f aca="false">IF(M43=1,SUM(H45:H51),"")</f>
        <v/>
      </c>
      <c r="I52" s="36"/>
      <c r="S52" s="0" t="n">
        <v>4</v>
      </c>
    </row>
    <row r="53" customFormat="false" ht="31.5" hidden="false" customHeight="true" outlineLevel="0" collapsed="false">
      <c r="A53" s="39" t="str">
        <f aca="false">IF(M43=1,"ساعات تحميل الجبسمبورد بهالأسبوع (رقم: 2 أو 1.5) ←","")</f>
        <v/>
      </c>
      <c r="B53" s="39"/>
      <c r="C53" s="39"/>
      <c r="D53" s="39"/>
      <c r="E53" s="40"/>
      <c r="F53" s="41" t="str">
        <f aca="false">IF(M43=1,"المستحق النهائي للأسبوع مع الإكرامية (دينار) ←","")</f>
        <v/>
      </c>
      <c r="G53" s="41"/>
      <c r="H53" s="42" t="str">
        <f aca="false">IF(M43=1,IF(ROUND_MODE="للأعلى",CEILING(ROUND((N(H52)+N(E53)*($P$43-$N$43)),3),0.25),ROUND((N(H52)+N(E53)*($P$43-$N$43))*4,0)/4)+N(D54),"")</f>
        <v/>
      </c>
      <c r="I53" s="43" t="str">
        <f aca="false">IF(M43=1,"قبل الجبر: "&amp;TEXT(N(H52)+N(E53)*($P$43-$N$43),"0.000")&amp;IF(N(D54)&gt;0," + إكرامية "&amp;TEXT(D54,"0.000"),""),"")</f>
        <v/>
      </c>
      <c r="S53" s="0" t="n">
        <v>4</v>
      </c>
    </row>
    <row r="54" customFormat="false" ht="25.5" hidden="false" customHeight="true" outlineLevel="0" collapsed="false">
      <c r="A54" s="39" t="str">
        <f aca="false">IF(M43=1,"إكرامية الأسبوع (دينار) ←","")</f>
        <v/>
      </c>
      <c r="B54" s="39"/>
      <c r="C54" s="39"/>
      <c r="D54" s="44"/>
      <c r="E54" s="39" t="str">
        <f aca="false">IF(M43=1,"المدفوع (دينار) ←","")</f>
        <v/>
      </c>
      <c r="F54" s="39"/>
      <c r="G54" s="44"/>
      <c r="H54" s="45" t="str">
        <f aca="false">IF(M43=1,IF(N(G54)&gt;0,"✔ انقبض — الأسبوع مقفول","⏳ لسا ما انقبض"),"")</f>
        <v/>
      </c>
      <c r="I54" s="45"/>
      <c r="S54" s="0" t="n">
        <v>4</v>
      </c>
    </row>
    <row r="55" customFormat="false" ht="27.75" hidden="false" customHeight="true" outlineLevel="0" collapsed="false">
      <c r="A55" s="23" t="str">
        <f aca="false">IF(5&lt;=NW,"من السبت "&amp;TEXT(DAY(SAT1+28),"00")&amp;"/"&amp;TEXT(MONTH(SAT1+28),"00")&amp;"/"&amp;YEAR(SAT1+28)&amp;" إلى الجمعة "&amp;TEXT(DAY(SAT1+34),"00")&amp;"/"&amp;TEXT(MONTH(SAT1+34),"00")&amp;"/"&amp;YEAR(SAT1+34)&amp;" · الأسبوع 5"&amp;"  (يوم القبض: الجمعة)"&amp;IF(5&lt;START_O,"   — قبل أسبوع البداية (ما بينحسب)",""),"ما في أسبوع 5 هالسنة")</f>
        <v>من السبت 24/01/2026 إلى الجمعة 30/01/2026 · الأسبوع 5  (يوم القبض: الجمعة)   — قبل أسبوع البداية (ما بينحسب)</v>
      </c>
      <c r="B55" s="23"/>
      <c r="C55" s="23"/>
      <c r="D55" s="23"/>
      <c r="E55" s="23"/>
      <c r="F55" s="23"/>
      <c r="G55" s="23"/>
      <c r="H55" s="23"/>
      <c r="I55" s="23"/>
      <c r="L55" s="24" t="n">
        <f aca="false">IF(5&lt;=NW,SAT1+34,"")</f>
        <v>46052</v>
      </c>
      <c r="M55" s="25" t="n">
        <f aca="false">IF(AND(5&lt;=NW,5&gt;=START_O),1,0)</f>
        <v>0</v>
      </c>
      <c r="N55" s="26" t="n">
        <f aca="false">IFERROR(INDEX(RT_OMR,MATCH(L55,RT_K,1)),INDEX(RT_OMR,1))</f>
        <v>1.25</v>
      </c>
      <c r="O55" s="26" t="n">
        <f aca="false">IFERROR(INDEX(RT_OT,MATCH(L55,RT_K,1)),INDEX(RT_OT,1))</f>
        <v>1.5</v>
      </c>
      <c r="P55" s="26" t="n">
        <f aca="false">IFERROR(INDEX(RT_GYP,MATCH(L55,RT_K,1)),INDEX(RT_GYP,1))</f>
        <v>2.5</v>
      </c>
      <c r="R55" s="0" t="n">
        <v>5</v>
      </c>
      <c r="S55" s="0" t="n">
        <v>5</v>
      </c>
    </row>
    <row r="56" customFormat="false" ht="25.5" hidden="false" customHeight="true" outlineLevel="0" collapsed="false">
      <c r="A56" s="27" t="s">
        <v>22</v>
      </c>
      <c r="B56" s="27" t="s">
        <v>23</v>
      </c>
      <c r="C56" s="27" t="s">
        <v>24</v>
      </c>
      <c r="D56" s="27" t="s">
        <v>25</v>
      </c>
      <c r="E56" s="27" t="s">
        <v>26</v>
      </c>
      <c r="F56" s="27" t="s">
        <v>27</v>
      </c>
      <c r="G56" s="27" t="s">
        <v>28</v>
      </c>
      <c r="H56" s="27" t="s">
        <v>29</v>
      </c>
      <c r="I56" s="27" t="s">
        <v>30</v>
      </c>
      <c r="S56" s="0" t="n">
        <v>5</v>
      </c>
    </row>
    <row r="57" customFormat="false" ht="15" hidden="false" customHeight="false" outlineLevel="0" collapsed="false">
      <c r="A57" s="28" t="n">
        <f aca="false">IF(5&lt;=NW,SAT1+28,"")</f>
        <v>46046</v>
      </c>
      <c r="B57" s="29" t="str">
        <f aca="false">IF(A57="","",CHOOSE(WEEKDAY(A57,1),"الأحد","الاثنين","الثلاثاء","الأربعاء","الخميس","الجمعة","السبت"))</f>
        <v>السبت</v>
      </c>
      <c r="C57" s="30"/>
      <c r="D57" s="30"/>
      <c r="E57" s="31" t="str">
        <f aca="false">IF(OR(M57=0,K57="",L57=""),"",MOD(L57-K57,1))</f>
        <v/>
      </c>
      <c r="F57" s="31" t="str">
        <f aca="false">IF(OR(E57="",M57=0),"",IF(WEEKDAY(A57,1)=6,E57,MIN(E57,MAX(0,MIN(IF(L57&lt;K57,L57+1,L57),OMR_OT_AT)-K57))))</f>
        <v/>
      </c>
      <c r="G57" s="31" t="str">
        <f aca="false">IF(OR(E57="",M57=0),"",MAX(0,E57-F57))</f>
        <v/>
      </c>
      <c r="H57" s="32" t="str">
        <f aca="false">IF(OR(E57="",M57=0),"",ROUND((F57*$N$55+G57*$O$55)*24,3))</f>
        <v/>
      </c>
      <c r="I57" s="30"/>
      <c r="K57" s="33" t="str">
        <f aca="false">IF(OR(M57=0,C57=""),"",IF(ISNUMBER(C57),MOD(C57,1),IFERROR(INDEX(القوائم!$B$1:$B$288,MATCH(TRIM(C57),القوائم!$A$1:$A$288,0)),IFERROR(MOD(TIMEVALUE(C57),1),""))))</f>
        <v/>
      </c>
      <c r="L57" s="33" t="str">
        <f aca="false">IF(OR(M57=0,D57=""),"",IF(ISNUMBER(D57),MOD(D57,1),IFERROR(INDEX(القوائم!$B$1:$B$288,MATCH(TRIM(D57),القوائم!$A$1:$A$288,0)),IFERROR(MOD(TIMEVALUE(D57),1),""))))</f>
        <v/>
      </c>
      <c r="M57" s="25" t="n">
        <f aca="false">M55</f>
        <v>0</v>
      </c>
      <c r="Q57" s="25" t="n">
        <f aca="false">IF(N(G66)&gt;0,1,0)</f>
        <v>0</v>
      </c>
      <c r="S57" s="0" t="n">
        <v>5</v>
      </c>
    </row>
    <row r="58" customFormat="false" ht="15" hidden="false" customHeight="false" outlineLevel="0" collapsed="false">
      <c r="A58" s="28" t="n">
        <f aca="false">IF(5&lt;=NW,SAT1+29,"")</f>
        <v>46047</v>
      </c>
      <c r="B58" s="29" t="str">
        <f aca="false">IF(A58="","",CHOOSE(WEEKDAY(A58,1),"الأحد","الاثنين","الثلاثاء","الأربعاء","الخميس","الجمعة","السبت"))</f>
        <v>الأحد</v>
      </c>
      <c r="C58" s="30"/>
      <c r="D58" s="30"/>
      <c r="E58" s="31" t="str">
        <f aca="false">IF(OR(M58=0,K58="",L58=""),"",MOD(L58-K58,1))</f>
        <v/>
      </c>
      <c r="F58" s="31" t="str">
        <f aca="false">IF(OR(E58="",M58=0),"",IF(WEEKDAY(A58,1)=6,E58,MIN(E58,MAX(0,MIN(IF(L58&lt;K58,L58+1,L58),OMR_OT_AT)-K58))))</f>
        <v/>
      </c>
      <c r="G58" s="31" t="str">
        <f aca="false">IF(OR(E58="",M58=0),"",MAX(0,E58-F58))</f>
        <v/>
      </c>
      <c r="H58" s="32" t="str">
        <f aca="false">IF(OR(E58="",M58=0),"",ROUND((F58*$N$55+G58*$O$55)*24,3))</f>
        <v/>
      </c>
      <c r="I58" s="30"/>
      <c r="K58" s="33" t="str">
        <f aca="false">IF(OR(M58=0,C58=""),"",IF(ISNUMBER(C58),MOD(C58,1),IFERROR(INDEX(القوائم!$B$1:$B$288,MATCH(TRIM(C58),القوائم!$A$1:$A$288,0)),IFERROR(MOD(TIMEVALUE(C58),1),""))))</f>
        <v/>
      </c>
      <c r="L58" s="33" t="str">
        <f aca="false">IF(OR(M58=0,D58=""),"",IF(ISNUMBER(D58),MOD(D58,1),IFERROR(INDEX(القوائم!$B$1:$B$288,MATCH(TRIM(D58),القوائم!$A$1:$A$288,0)),IFERROR(MOD(TIMEVALUE(D58),1),""))))</f>
        <v/>
      </c>
      <c r="M58" s="25" t="n">
        <f aca="false">M55</f>
        <v>0</v>
      </c>
      <c r="Q58" s="25" t="n">
        <f aca="false">IF(N(G66)&gt;0,1,0)</f>
        <v>0</v>
      </c>
      <c r="S58" s="0" t="n">
        <v>5</v>
      </c>
    </row>
    <row r="59" customFormat="false" ht="15" hidden="false" customHeight="false" outlineLevel="0" collapsed="false">
      <c r="A59" s="28" t="n">
        <f aca="false">IF(5&lt;=NW,SAT1+30,"")</f>
        <v>46048</v>
      </c>
      <c r="B59" s="29" t="str">
        <f aca="false">IF(A59="","",CHOOSE(WEEKDAY(A59,1),"الأحد","الاثنين","الثلاثاء","الأربعاء","الخميس","الجمعة","السبت"))</f>
        <v>الاثنين</v>
      </c>
      <c r="C59" s="30"/>
      <c r="D59" s="30"/>
      <c r="E59" s="31" t="str">
        <f aca="false">IF(OR(M59=0,K59="",L59=""),"",MOD(L59-K59,1))</f>
        <v/>
      </c>
      <c r="F59" s="31" t="str">
        <f aca="false">IF(OR(E59="",M59=0),"",IF(WEEKDAY(A59,1)=6,E59,MIN(E59,MAX(0,MIN(IF(L59&lt;K59,L59+1,L59),OMR_OT_AT)-K59))))</f>
        <v/>
      </c>
      <c r="G59" s="31" t="str">
        <f aca="false">IF(OR(E59="",M59=0),"",MAX(0,E59-F59))</f>
        <v/>
      </c>
      <c r="H59" s="32" t="str">
        <f aca="false">IF(OR(E59="",M59=0),"",ROUND((F59*$N$55+G59*$O$55)*24,3))</f>
        <v/>
      </c>
      <c r="I59" s="30"/>
      <c r="K59" s="33" t="str">
        <f aca="false">IF(OR(M59=0,C59=""),"",IF(ISNUMBER(C59),MOD(C59,1),IFERROR(INDEX(القوائم!$B$1:$B$288,MATCH(TRIM(C59),القوائم!$A$1:$A$288,0)),IFERROR(MOD(TIMEVALUE(C59),1),""))))</f>
        <v/>
      </c>
      <c r="L59" s="33" t="str">
        <f aca="false">IF(OR(M59=0,D59=""),"",IF(ISNUMBER(D59),MOD(D59,1),IFERROR(INDEX(القوائم!$B$1:$B$288,MATCH(TRIM(D59),القوائم!$A$1:$A$288,0)),IFERROR(MOD(TIMEVALUE(D59),1),""))))</f>
        <v/>
      </c>
      <c r="M59" s="25" t="n">
        <f aca="false">M55</f>
        <v>0</v>
      </c>
      <c r="Q59" s="25" t="n">
        <f aca="false">IF(N(G66)&gt;0,1,0)</f>
        <v>0</v>
      </c>
      <c r="S59" s="0" t="n">
        <v>5</v>
      </c>
    </row>
    <row r="60" customFormat="false" ht="15" hidden="false" customHeight="false" outlineLevel="0" collapsed="false">
      <c r="A60" s="28" t="n">
        <f aca="false">IF(5&lt;=NW,SAT1+31,"")</f>
        <v>46049</v>
      </c>
      <c r="B60" s="29" t="str">
        <f aca="false">IF(A60="","",CHOOSE(WEEKDAY(A60,1),"الأحد","الاثنين","الثلاثاء","الأربعاء","الخميس","الجمعة","السبت"))</f>
        <v>الثلاثاء</v>
      </c>
      <c r="C60" s="30"/>
      <c r="D60" s="30"/>
      <c r="E60" s="31" t="str">
        <f aca="false">IF(OR(M60=0,K60="",L60=""),"",MOD(L60-K60,1))</f>
        <v/>
      </c>
      <c r="F60" s="31" t="str">
        <f aca="false">IF(OR(E60="",M60=0),"",IF(WEEKDAY(A60,1)=6,E60,MIN(E60,MAX(0,MIN(IF(L60&lt;K60,L60+1,L60),OMR_OT_AT)-K60))))</f>
        <v/>
      </c>
      <c r="G60" s="31" t="str">
        <f aca="false">IF(OR(E60="",M60=0),"",MAX(0,E60-F60))</f>
        <v/>
      </c>
      <c r="H60" s="32" t="str">
        <f aca="false">IF(OR(E60="",M60=0),"",ROUND((F60*$N$55+G60*$O$55)*24,3))</f>
        <v/>
      </c>
      <c r="I60" s="30"/>
      <c r="K60" s="33" t="str">
        <f aca="false">IF(OR(M60=0,C60=""),"",IF(ISNUMBER(C60),MOD(C60,1),IFERROR(INDEX(القوائم!$B$1:$B$288,MATCH(TRIM(C60),القوائم!$A$1:$A$288,0)),IFERROR(MOD(TIMEVALUE(C60),1),""))))</f>
        <v/>
      </c>
      <c r="L60" s="33" t="str">
        <f aca="false">IF(OR(M60=0,D60=""),"",IF(ISNUMBER(D60),MOD(D60,1),IFERROR(INDEX(القوائم!$B$1:$B$288,MATCH(TRIM(D60),القوائم!$A$1:$A$288,0)),IFERROR(MOD(TIMEVALUE(D60),1),""))))</f>
        <v/>
      </c>
      <c r="M60" s="25" t="n">
        <f aca="false">M55</f>
        <v>0</v>
      </c>
      <c r="Q60" s="25" t="n">
        <f aca="false">IF(N(G66)&gt;0,1,0)</f>
        <v>0</v>
      </c>
      <c r="S60" s="0" t="n">
        <v>5</v>
      </c>
    </row>
    <row r="61" customFormat="false" ht="15" hidden="false" customHeight="false" outlineLevel="0" collapsed="false">
      <c r="A61" s="28" t="n">
        <f aca="false">IF(5&lt;=NW,SAT1+32,"")</f>
        <v>46050</v>
      </c>
      <c r="B61" s="29" t="str">
        <f aca="false">IF(A61="","",CHOOSE(WEEKDAY(A61,1),"الأحد","الاثنين","الثلاثاء","الأربعاء","الخميس","الجمعة","السبت"))</f>
        <v>الأربعاء</v>
      </c>
      <c r="C61" s="30"/>
      <c r="D61" s="30"/>
      <c r="E61" s="31" t="str">
        <f aca="false">IF(OR(M61=0,K61="",L61=""),"",MOD(L61-K61,1))</f>
        <v/>
      </c>
      <c r="F61" s="31" t="str">
        <f aca="false">IF(OR(E61="",M61=0),"",IF(WEEKDAY(A61,1)=6,E61,MIN(E61,MAX(0,MIN(IF(L61&lt;K61,L61+1,L61),OMR_OT_AT)-K61))))</f>
        <v/>
      </c>
      <c r="G61" s="31" t="str">
        <f aca="false">IF(OR(E61="",M61=0),"",MAX(0,E61-F61))</f>
        <v/>
      </c>
      <c r="H61" s="32" t="str">
        <f aca="false">IF(OR(E61="",M61=0),"",ROUND((F61*$N$55+G61*$O$55)*24,3))</f>
        <v/>
      </c>
      <c r="I61" s="30"/>
      <c r="K61" s="33" t="str">
        <f aca="false">IF(OR(M61=0,C61=""),"",IF(ISNUMBER(C61),MOD(C61,1),IFERROR(INDEX(القوائم!$B$1:$B$288,MATCH(TRIM(C61),القوائم!$A$1:$A$288,0)),IFERROR(MOD(TIMEVALUE(C61),1),""))))</f>
        <v/>
      </c>
      <c r="L61" s="33" t="str">
        <f aca="false">IF(OR(M61=0,D61=""),"",IF(ISNUMBER(D61),MOD(D61,1),IFERROR(INDEX(القوائم!$B$1:$B$288,MATCH(TRIM(D61),القوائم!$A$1:$A$288,0)),IFERROR(MOD(TIMEVALUE(D61),1),""))))</f>
        <v/>
      </c>
      <c r="M61" s="25" t="n">
        <f aca="false">M55</f>
        <v>0</v>
      </c>
      <c r="Q61" s="25" t="n">
        <f aca="false">IF(N(G66)&gt;0,1,0)</f>
        <v>0</v>
      </c>
      <c r="S61" s="0" t="n">
        <v>5</v>
      </c>
    </row>
    <row r="62" customFormat="false" ht="15" hidden="false" customHeight="false" outlineLevel="0" collapsed="false">
      <c r="A62" s="28" t="n">
        <f aca="false">IF(5&lt;=NW,SAT1+33,"")</f>
        <v>46051</v>
      </c>
      <c r="B62" s="29" t="str">
        <f aca="false">IF(A62="","",CHOOSE(WEEKDAY(A62,1),"الأحد","الاثنين","الثلاثاء","الأربعاء","الخميس","الجمعة","السبت"))</f>
        <v>الخميس</v>
      </c>
      <c r="C62" s="30"/>
      <c r="D62" s="30"/>
      <c r="E62" s="31" t="str">
        <f aca="false">IF(OR(M62=0,K62="",L62=""),"",MOD(L62-K62,1))</f>
        <v/>
      </c>
      <c r="F62" s="31" t="str">
        <f aca="false">IF(OR(E62="",M62=0),"",IF(WEEKDAY(A62,1)=6,E62,MIN(E62,MAX(0,MIN(IF(L62&lt;K62,L62+1,L62),OMR_OT_AT)-K62))))</f>
        <v/>
      </c>
      <c r="G62" s="31" t="str">
        <f aca="false">IF(OR(E62="",M62=0),"",MAX(0,E62-F62))</f>
        <v/>
      </c>
      <c r="H62" s="32" t="str">
        <f aca="false">IF(OR(E62="",M62=0),"",ROUND((F62*$N$55+G62*$O$55)*24,3))</f>
        <v/>
      </c>
      <c r="I62" s="30"/>
      <c r="K62" s="33" t="str">
        <f aca="false">IF(OR(M62=0,C62=""),"",IF(ISNUMBER(C62),MOD(C62,1),IFERROR(INDEX(القوائم!$B$1:$B$288,MATCH(TRIM(C62),القوائم!$A$1:$A$288,0)),IFERROR(MOD(TIMEVALUE(C62),1),""))))</f>
        <v/>
      </c>
      <c r="L62" s="33" t="str">
        <f aca="false">IF(OR(M62=0,D62=""),"",IF(ISNUMBER(D62),MOD(D62,1),IFERROR(INDEX(القوائم!$B$1:$B$288,MATCH(TRIM(D62),القوائم!$A$1:$A$288,0)),IFERROR(MOD(TIMEVALUE(D62),1),""))))</f>
        <v/>
      </c>
      <c r="M62" s="25" t="n">
        <f aca="false">M55</f>
        <v>0</v>
      </c>
      <c r="Q62" s="25" t="n">
        <f aca="false">IF(N(G66)&gt;0,1,0)</f>
        <v>0</v>
      </c>
      <c r="S62" s="0" t="n">
        <v>5</v>
      </c>
    </row>
    <row r="63" customFormat="false" ht="15" hidden="false" customHeight="false" outlineLevel="0" collapsed="false">
      <c r="A63" s="34" t="n">
        <f aca="false">IF(5&lt;=NW,SAT1+34,"")</f>
        <v>46052</v>
      </c>
      <c r="B63" s="35" t="str">
        <f aca="false">IF(A63="","",CHOOSE(WEEKDAY(A63,1),"الأحد","الاثنين","الثلاثاء","الأربعاء","الخميس","الجمعة","السبت"))</f>
        <v>الجمعة</v>
      </c>
      <c r="C63" s="30"/>
      <c r="D63" s="30"/>
      <c r="E63" s="31" t="str">
        <f aca="false">IF(OR(M63=0,K63="",L63=""),"",MOD(L63-K63,1))</f>
        <v/>
      </c>
      <c r="F63" s="31" t="str">
        <f aca="false">IF(OR(E63="",M63=0),"",IF(WEEKDAY(A63,1)=6,E63,MIN(E63,MAX(0,MIN(IF(L63&lt;K63,L63+1,L63),OMR_OT_AT)-K63))))</f>
        <v/>
      </c>
      <c r="G63" s="31" t="str">
        <f aca="false">IF(OR(E63="",M63=0),"",MAX(0,E63-F63))</f>
        <v/>
      </c>
      <c r="H63" s="32" t="str">
        <f aca="false">IF(OR(E63="",M63=0),"",ROUND((F63*$N$55+G63*$O$55)*24,3))</f>
        <v/>
      </c>
      <c r="I63" s="30"/>
      <c r="K63" s="33" t="str">
        <f aca="false">IF(OR(M63=0,C63=""),"",IF(ISNUMBER(C63),MOD(C63,1),IFERROR(INDEX(القوائم!$B$1:$B$288,MATCH(TRIM(C63),القوائم!$A$1:$A$288,0)),IFERROR(MOD(TIMEVALUE(C63),1),""))))</f>
        <v/>
      </c>
      <c r="L63" s="33" t="str">
        <f aca="false">IF(OR(M63=0,D63=""),"",IF(ISNUMBER(D63),MOD(D63,1),IFERROR(INDEX(القوائم!$B$1:$B$288,MATCH(TRIM(D63),القوائم!$A$1:$A$288,0)),IFERROR(MOD(TIMEVALUE(D63),1),""))))</f>
        <v/>
      </c>
      <c r="M63" s="25" t="n">
        <f aca="false">M55</f>
        <v>0</v>
      </c>
      <c r="Q63" s="25" t="n">
        <f aca="false">IF(N(G66)&gt;0,1,0)</f>
        <v>0</v>
      </c>
      <c r="S63" s="0" t="n">
        <v>5</v>
      </c>
    </row>
    <row r="64" customFormat="false" ht="15" hidden="false" customHeight="false" outlineLevel="0" collapsed="false">
      <c r="A64" s="36" t="str">
        <f aca="false">IF(M55=1,"مجموع أيام الأسبوع 5","")</f>
        <v/>
      </c>
      <c r="B64" s="36"/>
      <c r="C64" s="36"/>
      <c r="D64" s="36"/>
      <c r="E64" s="37" t="str">
        <f aca="false">IF(M55=1,SUM(E57:E63),"")</f>
        <v/>
      </c>
      <c r="F64" s="37" t="str">
        <f aca="false">IF(M55=1,SUM(F57:F63),"")</f>
        <v/>
      </c>
      <c r="G64" s="37" t="str">
        <f aca="false">IF(M55=1,SUM(G57:G63),"")</f>
        <v/>
      </c>
      <c r="H64" s="38" t="str">
        <f aca="false">IF(M55=1,SUM(H57:H63),"")</f>
        <v/>
      </c>
      <c r="I64" s="36"/>
      <c r="S64" s="0" t="n">
        <v>5</v>
      </c>
    </row>
    <row r="65" customFormat="false" ht="31.5" hidden="false" customHeight="true" outlineLevel="0" collapsed="false">
      <c r="A65" s="39" t="str">
        <f aca="false">IF(M55=1,"ساعات تحميل الجبسمبورد بهالأسبوع (رقم: 2 أو 1.5) ←","")</f>
        <v/>
      </c>
      <c r="B65" s="39"/>
      <c r="C65" s="39"/>
      <c r="D65" s="39"/>
      <c r="E65" s="40"/>
      <c r="F65" s="41" t="str">
        <f aca="false">IF(M55=1,"المستحق النهائي للأسبوع مع الإكرامية (دينار) ←","")</f>
        <v/>
      </c>
      <c r="G65" s="41"/>
      <c r="H65" s="42" t="str">
        <f aca="false">IF(M55=1,IF(ROUND_MODE="للأعلى",CEILING(ROUND((N(H64)+N(E65)*($P$55-$N$55)),3),0.25),ROUND((N(H64)+N(E65)*($P$55-$N$55))*4,0)/4)+N(D66),"")</f>
        <v/>
      </c>
      <c r="I65" s="43" t="str">
        <f aca="false">IF(M55=1,"قبل الجبر: "&amp;TEXT(N(H64)+N(E65)*($P$55-$N$55),"0.000")&amp;IF(N(D66)&gt;0," + إكرامية "&amp;TEXT(D66,"0.000"),""),"")</f>
        <v/>
      </c>
      <c r="S65" s="0" t="n">
        <v>5</v>
      </c>
    </row>
    <row r="66" customFormat="false" ht="25.5" hidden="false" customHeight="true" outlineLevel="0" collapsed="false">
      <c r="A66" s="39" t="str">
        <f aca="false">IF(M55=1,"إكرامية الأسبوع (دينار) ←","")</f>
        <v/>
      </c>
      <c r="B66" s="39"/>
      <c r="C66" s="39"/>
      <c r="D66" s="44"/>
      <c r="E66" s="39" t="str">
        <f aca="false">IF(M55=1,"المدفوع (دينار) ←","")</f>
        <v/>
      </c>
      <c r="F66" s="39"/>
      <c r="G66" s="44"/>
      <c r="H66" s="45" t="str">
        <f aca="false">IF(M55=1,IF(N(G66)&gt;0,"✔ انقبض — الأسبوع مقفول","⏳ لسا ما انقبض"),"")</f>
        <v/>
      </c>
      <c r="I66" s="45"/>
      <c r="S66" s="0" t="n">
        <v>5</v>
      </c>
    </row>
    <row r="67" customFormat="false" ht="27.75" hidden="false" customHeight="true" outlineLevel="0" collapsed="false">
      <c r="A67" s="23" t="str">
        <f aca="false">IF(6&lt;=NW,"من السبت "&amp;TEXT(DAY(SAT1+35),"00")&amp;"/"&amp;TEXT(MONTH(SAT1+35),"00")&amp;"/"&amp;YEAR(SAT1+35)&amp;" إلى الجمعة "&amp;TEXT(DAY(SAT1+41),"00")&amp;"/"&amp;TEXT(MONTH(SAT1+41),"00")&amp;"/"&amp;YEAR(SAT1+41)&amp;" · الأسبوع 6"&amp;"  (يوم القبض: الجمعة)"&amp;IF(6&lt;START_O,"   — قبل أسبوع البداية (ما بينحسب)",""),"ما في أسبوع 6 هالسنة")</f>
        <v>من السبت 31/01/2026 إلى الجمعة 06/02/2026 · الأسبوع 6  (يوم القبض: الجمعة)   — قبل أسبوع البداية (ما بينحسب)</v>
      </c>
      <c r="B67" s="23"/>
      <c r="C67" s="23"/>
      <c r="D67" s="23"/>
      <c r="E67" s="23"/>
      <c r="F67" s="23"/>
      <c r="G67" s="23"/>
      <c r="H67" s="23"/>
      <c r="I67" s="23"/>
      <c r="L67" s="24" t="n">
        <f aca="false">IF(6&lt;=NW,SAT1+41,"")</f>
        <v>46059</v>
      </c>
      <c r="M67" s="25" t="n">
        <f aca="false">IF(AND(6&lt;=NW,6&gt;=START_O),1,0)</f>
        <v>0</v>
      </c>
      <c r="N67" s="26" t="n">
        <f aca="false">IFERROR(INDEX(RT_OMR,MATCH(L67,RT_K,1)),INDEX(RT_OMR,1))</f>
        <v>1.25</v>
      </c>
      <c r="O67" s="26" t="n">
        <f aca="false">IFERROR(INDEX(RT_OT,MATCH(L67,RT_K,1)),INDEX(RT_OT,1))</f>
        <v>1.5</v>
      </c>
      <c r="P67" s="26" t="n">
        <f aca="false">IFERROR(INDEX(RT_GYP,MATCH(L67,RT_K,1)),INDEX(RT_GYP,1))</f>
        <v>2.5</v>
      </c>
      <c r="R67" s="0" t="n">
        <v>6</v>
      </c>
      <c r="S67" s="0" t="n">
        <v>6</v>
      </c>
    </row>
    <row r="68" customFormat="false" ht="25.5" hidden="false" customHeight="true" outlineLevel="0" collapsed="false">
      <c r="A68" s="27" t="s">
        <v>22</v>
      </c>
      <c r="B68" s="27" t="s">
        <v>23</v>
      </c>
      <c r="C68" s="27" t="s">
        <v>24</v>
      </c>
      <c r="D68" s="27" t="s">
        <v>25</v>
      </c>
      <c r="E68" s="27" t="s">
        <v>26</v>
      </c>
      <c r="F68" s="27" t="s">
        <v>27</v>
      </c>
      <c r="G68" s="27" t="s">
        <v>28</v>
      </c>
      <c r="H68" s="27" t="s">
        <v>29</v>
      </c>
      <c r="I68" s="27" t="s">
        <v>30</v>
      </c>
      <c r="S68" s="0" t="n">
        <v>6</v>
      </c>
    </row>
    <row r="69" customFormat="false" ht="15" hidden="false" customHeight="false" outlineLevel="0" collapsed="false">
      <c r="A69" s="28" t="n">
        <f aca="false">IF(6&lt;=NW,SAT1+35,"")</f>
        <v>46053</v>
      </c>
      <c r="B69" s="29" t="str">
        <f aca="false">IF(A69="","",CHOOSE(WEEKDAY(A69,1),"الأحد","الاثنين","الثلاثاء","الأربعاء","الخميس","الجمعة","السبت"))</f>
        <v>السبت</v>
      </c>
      <c r="C69" s="30"/>
      <c r="D69" s="30"/>
      <c r="E69" s="31" t="str">
        <f aca="false">IF(OR(M69=0,K69="",L69=""),"",MOD(L69-K69,1))</f>
        <v/>
      </c>
      <c r="F69" s="31" t="str">
        <f aca="false">IF(OR(E69="",M69=0),"",IF(WEEKDAY(A69,1)=6,E69,MIN(E69,MAX(0,MIN(IF(L69&lt;K69,L69+1,L69),OMR_OT_AT)-K69))))</f>
        <v/>
      </c>
      <c r="G69" s="31" t="str">
        <f aca="false">IF(OR(E69="",M69=0),"",MAX(0,E69-F69))</f>
        <v/>
      </c>
      <c r="H69" s="32" t="str">
        <f aca="false">IF(OR(E69="",M69=0),"",ROUND((F69*$N$67+G69*$O$67)*24,3))</f>
        <v/>
      </c>
      <c r="I69" s="30"/>
      <c r="K69" s="33" t="str">
        <f aca="false">IF(OR(M69=0,C69=""),"",IF(ISNUMBER(C69),MOD(C69,1),IFERROR(INDEX(القوائم!$B$1:$B$288,MATCH(TRIM(C69),القوائم!$A$1:$A$288,0)),IFERROR(MOD(TIMEVALUE(C69),1),""))))</f>
        <v/>
      </c>
      <c r="L69" s="33" t="str">
        <f aca="false">IF(OR(M69=0,D69=""),"",IF(ISNUMBER(D69),MOD(D69,1),IFERROR(INDEX(القوائم!$B$1:$B$288,MATCH(TRIM(D69),القوائم!$A$1:$A$288,0)),IFERROR(MOD(TIMEVALUE(D69),1),""))))</f>
        <v/>
      </c>
      <c r="M69" s="25" t="n">
        <f aca="false">M67</f>
        <v>0</v>
      </c>
      <c r="Q69" s="25" t="n">
        <f aca="false">IF(N(G78)&gt;0,1,0)</f>
        <v>0</v>
      </c>
      <c r="S69" s="0" t="n">
        <v>6</v>
      </c>
    </row>
    <row r="70" customFormat="false" ht="15" hidden="false" customHeight="false" outlineLevel="0" collapsed="false">
      <c r="A70" s="28" t="n">
        <f aca="false">IF(6&lt;=NW,SAT1+36,"")</f>
        <v>46054</v>
      </c>
      <c r="B70" s="29" t="str">
        <f aca="false">IF(A70="","",CHOOSE(WEEKDAY(A70,1),"الأحد","الاثنين","الثلاثاء","الأربعاء","الخميس","الجمعة","السبت"))</f>
        <v>الأحد</v>
      </c>
      <c r="C70" s="30"/>
      <c r="D70" s="30"/>
      <c r="E70" s="31" t="str">
        <f aca="false">IF(OR(M70=0,K70="",L70=""),"",MOD(L70-K70,1))</f>
        <v/>
      </c>
      <c r="F70" s="31" t="str">
        <f aca="false">IF(OR(E70="",M70=0),"",IF(WEEKDAY(A70,1)=6,E70,MIN(E70,MAX(0,MIN(IF(L70&lt;K70,L70+1,L70),OMR_OT_AT)-K70))))</f>
        <v/>
      </c>
      <c r="G70" s="31" t="str">
        <f aca="false">IF(OR(E70="",M70=0),"",MAX(0,E70-F70))</f>
        <v/>
      </c>
      <c r="H70" s="32" t="str">
        <f aca="false">IF(OR(E70="",M70=0),"",ROUND((F70*$N$67+G70*$O$67)*24,3))</f>
        <v/>
      </c>
      <c r="I70" s="30"/>
      <c r="K70" s="33" t="str">
        <f aca="false">IF(OR(M70=0,C70=""),"",IF(ISNUMBER(C70),MOD(C70,1),IFERROR(INDEX(القوائم!$B$1:$B$288,MATCH(TRIM(C70),القوائم!$A$1:$A$288,0)),IFERROR(MOD(TIMEVALUE(C70),1),""))))</f>
        <v/>
      </c>
      <c r="L70" s="33" t="str">
        <f aca="false">IF(OR(M70=0,D70=""),"",IF(ISNUMBER(D70),MOD(D70,1),IFERROR(INDEX(القوائم!$B$1:$B$288,MATCH(TRIM(D70),القوائم!$A$1:$A$288,0)),IFERROR(MOD(TIMEVALUE(D70),1),""))))</f>
        <v/>
      </c>
      <c r="M70" s="25" t="n">
        <f aca="false">M67</f>
        <v>0</v>
      </c>
      <c r="Q70" s="25" t="n">
        <f aca="false">IF(N(G78)&gt;0,1,0)</f>
        <v>0</v>
      </c>
      <c r="S70" s="0" t="n">
        <v>6</v>
      </c>
    </row>
    <row r="71" customFormat="false" ht="15" hidden="false" customHeight="false" outlineLevel="0" collapsed="false">
      <c r="A71" s="28" t="n">
        <f aca="false">IF(6&lt;=NW,SAT1+37,"")</f>
        <v>46055</v>
      </c>
      <c r="B71" s="29" t="str">
        <f aca="false">IF(A71="","",CHOOSE(WEEKDAY(A71,1),"الأحد","الاثنين","الثلاثاء","الأربعاء","الخميس","الجمعة","السبت"))</f>
        <v>الاثنين</v>
      </c>
      <c r="C71" s="30"/>
      <c r="D71" s="30"/>
      <c r="E71" s="31" t="str">
        <f aca="false">IF(OR(M71=0,K71="",L71=""),"",MOD(L71-K71,1))</f>
        <v/>
      </c>
      <c r="F71" s="31" t="str">
        <f aca="false">IF(OR(E71="",M71=0),"",IF(WEEKDAY(A71,1)=6,E71,MIN(E71,MAX(0,MIN(IF(L71&lt;K71,L71+1,L71),OMR_OT_AT)-K71))))</f>
        <v/>
      </c>
      <c r="G71" s="31" t="str">
        <f aca="false">IF(OR(E71="",M71=0),"",MAX(0,E71-F71))</f>
        <v/>
      </c>
      <c r="H71" s="32" t="str">
        <f aca="false">IF(OR(E71="",M71=0),"",ROUND((F71*$N$67+G71*$O$67)*24,3))</f>
        <v/>
      </c>
      <c r="I71" s="30"/>
      <c r="K71" s="33" t="str">
        <f aca="false">IF(OR(M71=0,C71=""),"",IF(ISNUMBER(C71),MOD(C71,1),IFERROR(INDEX(القوائم!$B$1:$B$288,MATCH(TRIM(C71),القوائم!$A$1:$A$288,0)),IFERROR(MOD(TIMEVALUE(C71),1),""))))</f>
        <v/>
      </c>
      <c r="L71" s="33" t="str">
        <f aca="false">IF(OR(M71=0,D71=""),"",IF(ISNUMBER(D71),MOD(D71,1),IFERROR(INDEX(القوائم!$B$1:$B$288,MATCH(TRIM(D71),القوائم!$A$1:$A$288,0)),IFERROR(MOD(TIMEVALUE(D71),1),""))))</f>
        <v/>
      </c>
      <c r="M71" s="25" t="n">
        <f aca="false">M67</f>
        <v>0</v>
      </c>
      <c r="Q71" s="25" t="n">
        <f aca="false">IF(N(G78)&gt;0,1,0)</f>
        <v>0</v>
      </c>
      <c r="S71" s="0" t="n">
        <v>6</v>
      </c>
    </row>
    <row r="72" customFormat="false" ht="15" hidden="false" customHeight="false" outlineLevel="0" collapsed="false">
      <c r="A72" s="28" t="n">
        <f aca="false">IF(6&lt;=NW,SAT1+38,"")</f>
        <v>46056</v>
      </c>
      <c r="B72" s="29" t="str">
        <f aca="false">IF(A72="","",CHOOSE(WEEKDAY(A72,1),"الأحد","الاثنين","الثلاثاء","الأربعاء","الخميس","الجمعة","السبت"))</f>
        <v>الثلاثاء</v>
      </c>
      <c r="C72" s="30"/>
      <c r="D72" s="30"/>
      <c r="E72" s="31" t="str">
        <f aca="false">IF(OR(M72=0,K72="",L72=""),"",MOD(L72-K72,1))</f>
        <v/>
      </c>
      <c r="F72" s="31" t="str">
        <f aca="false">IF(OR(E72="",M72=0),"",IF(WEEKDAY(A72,1)=6,E72,MIN(E72,MAX(0,MIN(IF(L72&lt;K72,L72+1,L72),OMR_OT_AT)-K72))))</f>
        <v/>
      </c>
      <c r="G72" s="31" t="str">
        <f aca="false">IF(OR(E72="",M72=0),"",MAX(0,E72-F72))</f>
        <v/>
      </c>
      <c r="H72" s="32" t="str">
        <f aca="false">IF(OR(E72="",M72=0),"",ROUND((F72*$N$67+G72*$O$67)*24,3))</f>
        <v/>
      </c>
      <c r="I72" s="30"/>
      <c r="K72" s="33" t="str">
        <f aca="false">IF(OR(M72=0,C72=""),"",IF(ISNUMBER(C72),MOD(C72,1),IFERROR(INDEX(القوائم!$B$1:$B$288,MATCH(TRIM(C72),القوائم!$A$1:$A$288,0)),IFERROR(MOD(TIMEVALUE(C72),1),""))))</f>
        <v/>
      </c>
      <c r="L72" s="33" t="str">
        <f aca="false">IF(OR(M72=0,D72=""),"",IF(ISNUMBER(D72),MOD(D72,1),IFERROR(INDEX(القوائم!$B$1:$B$288,MATCH(TRIM(D72),القوائم!$A$1:$A$288,0)),IFERROR(MOD(TIMEVALUE(D72),1),""))))</f>
        <v/>
      </c>
      <c r="M72" s="25" t="n">
        <f aca="false">M67</f>
        <v>0</v>
      </c>
      <c r="Q72" s="25" t="n">
        <f aca="false">IF(N(G78)&gt;0,1,0)</f>
        <v>0</v>
      </c>
      <c r="S72" s="0" t="n">
        <v>6</v>
      </c>
    </row>
    <row r="73" customFormat="false" ht="15" hidden="false" customHeight="false" outlineLevel="0" collapsed="false">
      <c r="A73" s="28" t="n">
        <f aca="false">IF(6&lt;=NW,SAT1+39,"")</f>
        <v>46057</v>
      </c>
      <c r="B73" s="29" t="str">
        <f aca="false">IF(A73="","",CHOOSE(WEEKDAY(A73,1),"الأحد","الاثنين","الثلاثاء","الأربعاء","الخميس","الجمعة","السبت"))</f>
        <v>الأربعاء</v>
      </c>
      <c r="C73" s="30"/>
      <c r="D73" s="30"/>
      <c r="E73" s="31" t="str">
        <f aca="false">IF(OR(M73=0,K73="",L73=""),"",MOD(L73-K73,1))</f>
        <v/>
      </c>
      <c r="F73" s="31" t="str">
        <f aca="false">IF(OR(E73="",M73=0),"",IF(WEEKDAY(A73,1)=6,E73,MIN(E73,MAX(0,MIN(IF(L73&lt;K73,L73+1,L73),OMR_OT_AT)-K73))))</f>
        <v/>
      </c>
      <c r="G73" s="31" t="str">
        <f aca="false">IF(OR(E73="",M73=0),"",MAX(0,E73-F73))</f>
        <v/>
      </c>
      <c r="H73" s="32" t="str">
        <f aca="false">IF(OR(E73="",M73=0),"",ROUND((F73*$N$67+G73*$O$67)*24,3))</f>
        <v/>
      </c>
      <c r="I73" s="30"/>
      <c r="K73" s="33" t="str">
        <f aca="false">IF(OR(M73=0,C73=""),"",IF(ISNUMBER(C73),MOD(C73,1),IFERROR(INDEX(القوائم!$B$1:$B$288,MATCH(TRIM(C73),القوائم!$A$1:$A$288,0)),IFERROR(MOD(TIMEVALUE(C73),1),""))))</f>
        <v/>
      </c>
      <c r="L73" s="33" t="str">
        <f aca="false">IF(OR(M73=0,D73=""),"",IF(ISNUMBER(D73),MOD(D73,1),IFERROR(INDEX(القوائم!$B$1:$B$288,MATCH(TRIM(D73),القوائم!$A$1:$A$288,0)),IFERROR(MOD(TIMEVALUE(D73),1),""))))</f>
        <v/>
      </c>
      <c r="M73" s="25" t="n">
        <f aca="false">M67</f>
        <v>0</v>
      </c>
      <c r="Q73" s="25" t="n">
        <f aca="false">IF(N(G78)&gt;0,1,0)</f>
        <v>0</v>
      </c>
      <c r="S73" s="0" t="n">
        <v>6</v>
      </c>
    </row>
    <row r="74" customFormat="false" ht="15" hidden="false" customHeight="false" outlineLevel="0" collapsed="false">
      <c r="A74" s="28" t="n">
        <f aca="false">IF(6&lt;=NW,SAT1+40,"")</f>
        <v>46058</v>
      </c>
      <c r="B74" s="29" t="str">
        <f aca="false">IF(A74="","",CHOOSE(WEEKDAY(A74,1),"الأحد","الاثنين","الثلاثاء","الأربعاء","الخميس","الجمعة","السبت"))</f>
        <v>الخميس</v>
      </c>
      <c r="C74" s="30"/>
      <c r="D74" s="30"/>
      <c r="E74" s="31" t="str">
        <f aca="false">IF(OR(M74=0,K74="",L74=""),"",MOD(L74-K74,1))</f>
        <v/>
      </c>
      <c r="F74" s="31" t="str">
        <f aca="false">IF(OR(E74="",M74=0),"",IF(WEEKDAY(A74,1)=6,E74,MIN(E74,MAX(0,MIN(IF(L74&lt;K74,L74+1,L74),OMR_OT_AT)-K74))))</f>
        <v/>
      </c>
      <c r="G74" s="31" t="str">
        <f aca="false">IF(OR(E74="",M74=0),"",MAX(0,E74-F74))</f>
        <v/>
      </c>
      <c r="H74" s="32" t="str">
        <f aca="false">IF(OR(E74="",M74=0),"",ROUND((F74*$N$67+G74*$O$67)*24,3))</f>
        <v/>
      </c>
      <c r="I74" s="30"/>
      <c r="K74" s="33" t="str">
        <f aca="false">IF(OR(M74=0,C74=""),"",IF(ISNUMBER(C74),MOD(C74,1),IFERROR(INDEX(القوائم!$B$1:$B$288,MATCH(TRIM(C74),القوائم!$A$1:$A$288,0)),IFERROR(MOD(TIMEVALUE(C74),1),""))))</f>
        <v/>
      </c>
      <c r="L74" s="33" t="str">
        <f aca="false">IF(OR(M74=0,D74=""),"",IF(ISNUMBER(D74),MOD(D74,1),IFERROR(INDEX(القوائم!$B$1:$B$288,MATCH(TRIM(D74),القوائم!$A$1:$A$288,0)),IFERROR(MOD(TIMEVALUE(D74),1),""))))</f>
        <v/>
      </c>
      <c r="M74" s="25" t="n">
        <f aca="false">M67</f>
        <v>0</v>
      </c>
      <c r="Q74" s="25" t="n">
        <f aca="false">IF(N(G78)&gt;0,1,0)</f>
        <v>0</v>
      </c>
      <c r="S74" s="0" t="n">
        <v>6</v>
      </c>
    </row>
    <row r="75" customFormat="false" ht="15" hidden="false" customHeight="false" outlineLevel="0" collapsed="false">
      <c r="A75" s="34" t="n">
        <f aca="false">IF(6&lt;=NW,SAT1+41,"")</f>
        <v>46059</v>
      </c>
      <c r="B75" s="35" t="str">
        <f aca="false">IF(A75="","",CHOOSE(WEEKDAY(A75,1),"الأحد","الاثنين","الثلاثاء","الأربعاء","الخميس","الجمعة","السبت"))</f>
        <v>الجمعة</v>
      </c>
      <c r="C75" s="30"/>
      <c r="D75" s="30"/>
      <c r="E75" s="31" t="str">
        <f aca="false">IF(OR(M75=0,K75="",L75=""),"",MOD(L75-K75,1))</f>
        <v/>
      </c>
      <c r="F75" s="31" t="str">
        <f aca="false">IF(OR(E75="",M75=0),"",IF(WEEKDAY(A75,1)=6,E75,MIN(E75,MAX(0,MIN(IF(L75&lt;K75,L75+1,L75),OMR_OT_AT)-K75))))</f>
        <v/>
      </c>
      <c r="G75" s="31" t="str">
        <f aca="false">IF(OR(E75="",M75=0),"",MAX(0,E75-F75))</f>
        <v/>
      </c>
      <c r="H75" s="32" t="str">
        <f aca="false">IF(OR(E75="",M75=0),"",ROUND((F75*$N$67+G75*$O$67)*24,3))</f>
        <v/>
      </c>
      <c r="I75" s="30"/>
      <c r="K75" s="33" t="str">
        <f aca="false">IF(OR(M75=0,C75=""),"",IF(ISNUMBER(C75),MOD(C75,1),IFERROR(INDEX(القوائم!$B$1:$B$288,MATCH(TRIM(C75),القوائم!$A$1:$A$288,0)),IFERROR(MOD(TIMEVALUE(C75),1),""))))</f>
        <v/>
      </c>
      <c r="L75" s="33" t="str">
        <f aca="false">IF(OR(M75=0,D75=""),"",IF(ISNUMBER(D75),MOD(D75,1),IFERROR(INDEX(القوائم!$B$1:$B$288,MATCH(TRIM(D75),القوائم!$A$1:$A$288,0)),IFERROR(MOD(TIMEVALUE(D75),1),""))))</f>
        <v/>
      </c>
      <c r="M75" s="25" t="n">
        <f aca="false">M67</f>
        <v>0</v>
      </c>
      <c r="Q75" s="25" t="n">
        <f aca="false">IF(N(G78)&gt;0,1,0)</f>
        <v>0</v>
      </c>
      <c r="S75" s="0" t="n">
        <v>6</v>
      </c>
    </row>
    <row r="76" customFormat="false" ht="15" hidden="false" customHeight="false" outlineLevel="0" collapsed="false">
      <c r="A76" s="36" t="str">
        <f aca="false">IF(M67=1,"مجموع أيام الأسبوع 6","")</f>
        <v/>
      </c>
      <c r="B76" s="36"/>
      <c r="C76" s="36"/>
      <c r="D76" s="36"/>
      <c r="E76" s="37" t="str">
        <f aca="false">IF(M67=1,SUM(E69:E75),"")</f>
        <v/>
      </c>
      <c r="F76" s="37" t="str">
        <f aca="false">IF(M67=1,SUM(F69:F75),"")</f>
        <v/>
      </c>
      <c r="G76" s="37" t="str">
        <f aca="false">IF(M67=1,SUM(G69:G75),"")</f>
        <v/>
      </c>
      <c r="H76" s="38" t="str">
        <f aca="false">IF(M67=1,SUM(H69:H75),"")</f>
        <v/>
      </c>
      <c r="I76" s="36"/>
      <c r="S76" s="0" t="n">
        <v>6</v>
      </c>
    </row>
    <row r="77" customFormat="false" ht="31.5" hidden="false" customHeight="true" outlineLevel="0" collapsed="false">
      <c r="A77" s="39" t="str">
        <f aca="false">IF(M67=1,"ساعات تحميل الجبسمبورد بهالأسبوع (رقم: 2 أو 1.5) ←","")</f>
        <v/>
      </c>
      <c r="B77" s="39"/>
      <c r="C77" s="39"/>
      <c r="D77" s="39"/>
      <c r="E77" s="40"/>
      <c r="F77" s="41" t="str">
        <f aca="false">IF(M67=1,"المستحق النهائي للأسبوع مع الإكرامية (دينار) ←","")</f>
        <v/>
      </c>
      <c r="G77" s="41"/>
      <c r="H77" s="42" t="str">
        <f aca="false">IF(M67=1,IF(ROUND_MODE="للأعلى",CEILING(ROUND((N(H76)+N(E77)*($P$67-$N$67)),3),0.25),ROUND((N(H76)+N(E77)*($P$67-$N$67))*4,0)/4)+N(D78),"")</f>
        <v/>
      </c>
      <c r="I77" s="43" t="str">
        <f aca="false">IF(M67=1,"قبل الجبر: "&amp;TEXT(N(H76)+N(E77)*($P$67-$N$67),"0.000")&amp;IF(N(D78)&gt;0," + إكرامية "&amp;TEXT(D78,"0.000"),""),"")</f>
        <v/>
      </c>
      <c r="S77" s="0" t="n">
        <v>6</v>
      </c>
    </row>
    <row r="78" customFormat="false" ht="25.5" hidden="false" customHeight="true" outlineLevel="0" collapsed="false">
      <c r="A78" s="39" t="str">
        <f aca="false">IF(M67=1,"إكرامية الأسبوع (دينار) ←","")</f>
        <v/>
      </c>
      <c r="B78" s="39"/>
      <c r="C78" s="39"/>
      <c r="D78" s="44"/>
      <c r="E78" s="39" t="str">
        <f aca="false">IF(M67=1,"المدفوع (دينار) ←","")</f>
        <v/>
      </c>
      <c r="F78" s="39"/>
      <c r="G78" s="44"/>
      <c r="H78" s="45" t="str">
        <f aca="false">IF(M67=1,IF(N(G78)&gt;0,"✔ انقبض — الأسبوع مقفول","⏳ لسا ما انقبض"),"")</f>
        <v/>
      </c>
      <c r="I78" s="45"/>
      <c r="S78" s="0" t="n">
        <v>6</v>
      </c>
    </row>
    <row r="79" customFormat="false" ht="27.75" hidden="false" customHeight="true" outlineLevel="0" collapsed="false">
      <c r="A79" s="23" t="str">
        <f aca="false">IF(7&lt;=NW,"من السبت "&amp;TEXT(DAY(SAT1+42),"00")&amp;"/"&amp;TEXT(MONTH(SAT1+42),"00")&amp;"/"&amp;YEAR(SAT1+42)&amp;" إلى الجمعة "&amp;TEXT(DAY(SAT1+48),"00")&amp;"/"&amp;TEXT(MONTH(SAT1+48),"00")&amp;"/"&amp;YEAR(SAT1+48)&amp;" · الأسبوع 7"&amp;"  (يوم القبض: الجمعة)"&amp;IF(7&lt;START_O,"   — قبل أسبوع البداية (ما بينحسب)",""),"ما في أسبوع 7 هالسنة")</f>
        <v>من السبت 07/02/2026 إلى الجمعة 13/02/2026 · الأسبوع 7  (يوم القبض: الجمعة)   — قبل أسبوع البداية (ما بينحسب)</v>
      </c>
      <c r="B79" s="23"/>
      <c r="C79" s="23"/>
      <c r="D79" s="23"/>
      <c r="E79" s="23"/>
      <c r="F79" s="23"/>
      <c r="G79" s="23"/>
      <c r="H79" s="23"/>
      <c r="I79" s="23"/>
      <c r="L79" s="24" t="n">
        <f aca="false">IF(7&lt;=NW,SAT1+48,"")</f>
        <v>46066</v>
      </c>
      <c r="M79" s="25" t="n">
        <f aca="false">IF(AND(7&lt;=NW,7&gt;=START_O),1,0)</f>
        <v>0</v>
      </c>
      <c r="N79" s="26" t="n">
        <f aca="false">IFERROR(INDEX(RT_OMR,MATCH(L79,RT_K,1)),INDEX(RT_OMR,1))</f>
        <v>1.25</v>
      </c>
      <c r="O79" s="26" t="n">
        <f aca="false">IFERROR(INDEX(RT_OT,MATCH(L79,RT_K,1)),INDEX(RT_OT,1))</f>
        <v>1.5</v>
      </c>
      <c r="P79" s="26" t="n">
        <f aca="false">IFERROR(INDEX(RT_GYP,MATCH(L79,RT_K,1)),INDEX(RT_GYP,1))</f>
        <v>2.5</v>
      </c>
      <c r="R79" s="0" t="n">
        <v>7</v>
      </c>
      <c r="S79" s="0" t="n">
        <v>7</v>
      </c>
    </row>
    <row r="80" customFormat="false" ht="25.5" hidden="false" customHeight="true" outlineLevel="0" collapsed="false">
      <c r="A80" s="27" t="s">
        <v>22</v>
      </c>
      <c r="B80" s="27" t="s">
        <v>23</v>
      </c>
      <c r="C80" s="27" t="s">
        <v>24</v>
      </c>
      <c r="D80" s="27" t="s">
        <v>25</v>
      </c>
      <c r="E80" s="27" t="s">
        <v>26</v>
      </c>
      <c r="F80" s="27" t="s">
        <v>27</v>
      </c>
      <c r="G80" s="27" t="s">
        <v>28</v>
      </c>
      <c r="H80" s="27" t="s">
        <v>29</v>
      </c>
      <c r="I80" s="27" t="s">
        <v>30</v>
      </c>
      <c r="S80" s="0" t="n">
        <v>7</v>
      </c>
    </row>
    <row r="81" customFormat="false" ht="15" hidden="false" customHeight="false" outlineLevel="0" collapsed="false">
      <c r="A81" s="28" t="n">
        <f aca="false">IF(7&lt;=NW,SAT1+42,"")</f>
        <v>46060</v>
      </c>
      <c r="B81" s="29" t="str">
        <f aca="false">IF(A81="","",CHOOSE(WEEKDAY(A81,1),"الأحد","الاثنين","الثلاثاء","الأربعاء","الخميس","الجمعة","السبت"))</f>
        <v>السبت</v>
      </c>
      <c r="C81" s="30"/>
      <c r="D81" s="30"/>
      <c r="E81" s="31" t="str">
        <f aca="false">IF(OR(M81=0,K81="",L81=""),"",MOD(L81-K81,1))</f>
        <v/>
      </c>
      <c r="F81" s="31" t="str">
        <f aca="false">IF(OR(E81="",M81=0),"",IF(WEEKDAY(A81,1)=6,E81,MIN(E81,MAX(0,MIN(IF(L81&lt;K81,L81+1,L81),OMR_OT_AT)-K81))))</f>
        <v/>
      </c>
      <c r="G81" s="31" t="str">
        <f aca="false">IF(OR(E81="",M81=0),"",MAX(0,E81-F81))</f>
        <v/>
      </c>
      <c r="H81" s="32" t="str">
        <f aca="false">IF(OR(E81="",M81=0),"",ROUND((F81*$N$79+G81*$O$79)*24,3))</f>
        <v/>
      </c>
      <c r="I81" s="30"/>
      <c r="K81" s="33" t="str">
        <f aca="false">IF(OR(M81=0,C81=""),"",IF(ISNUMBER(C81),MOD(C81,1),IFERROR(INDEX(القوائم!$B$1:$B$288,MATCH(TRIM(C81),القوائم!$A$1:$A$288,0)),IFERROR(MOD(TIMEVALUE(C81),1),""))))</f>
        <v/>
      </c>
      <c r="L81" s="33" t="str">
        <f aca="false">IF(OR(M81=0,D81=""),"",IF(ISNUMBER(D81),MOD(D81,1),IFERROR(INDEX(القوائم!$B$1:$B$288,MATCH(TRIM(D81),القوائم!$A$1:$A$288,0)),IFERROR(MOD(TIMEVALUE(D81),1),""))))</f>
        <v/>
      </c>
      <c r="M81" s="25" t="n">
        <f aca="false">M79</f>
        <v>0</v>
      </c>
      <c r="Q81" s="25" t="n">
        <f aca="false">IF(N(G90)&gt;0,1,0)</f>
        <v>0</v>
      </c>
      <c r="S81" s="0" t="n">
        <v>7</v>
      </c>
    </row>
    <row r="82" customFormat="false" ht="15" hidden="false" customHeight="false" outlineLevel="0" collapsed="false">
      <c r="A82" s="28" t="n">
        <f aca="false">IF(7&lt;=NW,SAT1+43,"")</f>
        <v>46061</v>
      </c>
      <c r="B82" s="29" t="str">
        <f aca="false">IF(A82="","",CHOOSE(WEEKDAY(A82,1),"الأحد","الاثنين","الثلاثاء","الأربعاء","الخميس","الجمعة","السبت"))</f>
        <v>الأحد</v>
      </c>
      <c r="C82" s="30"/>
      <c r="D82" s="30"/>
      <c r="E82" s="31" t="str">
        <f aca="false">IF(OR(M82=0,K82="",L82=""),"",MOD(L82-K82,1))</f>
        <v/>
      </c>
      <c r="F82" s="31" t="str">
        <f aca="false">IF(OR(E82="",M82=0),"",IF(WEEKDAY(A82,1)=6,E82,MIN(E82,MAX(0,MIN(IF(L82&lt;K82,L82+1,L82),OMR_OT_AT)-K82))))</f>
        <v/>
      </c>
      <c r="G82" s="31" t="str">
        <f aca="false">IF(OR(E82="",M82=0),"",MAX(0,E82-F82))</f>
        <v/>
      </c>
      <c r="H82" s="32" t="str">
        <f aca="false">IF(OR(E82="",M82=0),"",ROUND((F82*$N$79+G82*$O$79)*24,3))</f>
        <v/>
      </c>
      <c r="I82" s="30"/>
      <c r="K82" s="33" t="str">
        <f aca="false">IF(OR(M82=0,C82=""),"",IF(ISNUMBER(C82),MOD(C82,1),IFERROR(INDEX(القوائم!$B$1:$B$288,MATCH(TRIM(C82),القوائم!$A$1:$A$288,0)),IFERROR(MOD(TIMEVALUE(C82),1),""))))</f>
        <v/>
      </c>
      <c r="L82" s="33" t="str">
        <f aca="false">IF(OR(M82=0,D82=""),"",IF(ISNUMBER(D82),MOD(D82,1),IFERROR(INDEX(القوائم!$B$1:$B$288,MATCH(TRIM(D82),القوائم!$A$1:$A$288,0)),IFERROR(MOD(TIMEVALUE(D82),1),""))))</f>
        <v/>
      </c>
      <c r="M82" s="25" t="n">
        <f aca="false">M79</f>
        <v>0</v>
      </c>
      <c r="Q82" s="25" t="n">
        <f aca="false">IF(N(G90)&gt;0,1,0)</f>
        <v>0</v>
      </c>
      <c r="S82" s="0" t="n">
        <v>7</v>
      </c>
    </row>
    <row r="83" customFormat="false" ht="15" hidden="false" customHeight="false" outlineLevel="0" collapsed="false">
      <c r="A83" s="28" t="n">
        <f aca="false">IF(7&lt;=NW,SAT1+44,"")</f>
        <v>46062</v>
      </c>
      <c r="B83" s="29" t="str">
        <f aca="false">IF(A83="","",CHOOSE(WEEKDAY(A83,1),"الأحد","الاثنين","الثلاثاء","الأربعاء","الخميس","الجمعة","السبت"))</f>
        <v>الاثنين</v>
      </c>
      <c r="C83" s="30"/>
      <c r="D83" s="30"/>
      <c r="E83" s="31" t="str">
        <f aca="false">IF(OR(M83=0,K83="",L83=""),"",MOD(L83-K83,1))</f>
        <v/>
      </c>
      <c r="F83" s="31" t="str">
        <f aca="false">IF(OR(E83="",M83=0),"",IF(WEEKDAY(A83,1)=6,E83,MIN(E83,MAX(0,MIN(IF(L83&lt;K83,L83+1,L83),OMR_OT_AT)-K83))))</f>
        <v/>
      </c>
      <c r="G83" s="31" t="str">
        <f aca="false">IF(OR(E83="",M83=0),"",MAX(0,E83-F83))</f>
        <v/>
      </c>
      <c r="H83" s="32" t="str">
        <f aca="false">IF(OR(E83="",M83=0),"",ROUND((F83*$N$79+G83*$O$79)*24,3))</f>
        <v/>
      </c>
      <c r="I83" s="30"/>
      <c r="K83" s="33" t="str">
        <f aca="false">IF(OR(M83=0,C83=""),"",IF(ISNUMBER(C83),MOD(C83,1),IFERROR(INDEX(القوائم!$B$1:$B$288,MATCH(TRIM(C83),القوائم!$A$1:$A$288,0)),IFERROR(MOD(TIMEVALUE(C83),1),""))))</f>
        <v/>
      </c>
      <c r="L83" s="33" t="str">
        <f aca="false">IF(OR(M83=0,D83=""),"",IF(ISNUMBER(D83),MOD(D83,1),IFERROR(INDEX(القوائم!$B$1:$B$288,MATCH(TRIM(D83),القوائم!$A$1:$A$288,0)),IFERROR(MOD(TIMEVALUE(D83),1),""))))</f>
        <v/>
      </c>
      <c r="M83" s="25" t="n">
        <f aca="false">M79</f>
        <v>0</v>
      </c>
      <c r="Q83" s="25" t="n">
        <f aca="false">IF(N(G90)&gt;0,1,0)</f>
        <v>0</v>
      </c>
      <c r="S83" s="0" t="n">
        <v>7</v>
      </c>
    </row>
    <row r="84" customFormat="false" ht="15" hidden="false" customHeight="false" outlineLevel="0" collapsed="false">
      <c r="A84" s="28" t="n">
        <f aca="false">IF(7&lt;=NW,SAT1+45,"")</f>
        <v>46063</v>
      </c>
      <c r="B84" s="29" t="str">
        <f aca="false">IF(A84="","",CHOOSE(WEEKDAY(A84,1),"الأحد","الاثنين","الثلاثاء","الأربعاء","الخميس","الجمعة","السبت"))</f>
        <v>الثلاثاء</v>
      </c>
      <c r="C84" s="30"/>
      <c r="D84" s="30"/>
      <c r="E84" s="31" t="str">
        <f aca="false">IF(OR(M84=0,K84="",L84=""),"",MOD(L84-K84,1))</f>
        <v/>
      </c>
      <c r="F84" s="31" t="str">
        <f aca="false">IF(OR(E84="",M84=0),"",IF(WEEKDAY(A84,1)=6,E84,MIN(E84,MAX(0,MIN(IF(L84&lt;K84,L84+1,L84),OMR_OT_AT)-K84))))</f>
        <v/>
      </c>
      <c r="G84" s="31" t="str">
        <f aca="false">IF(OR(E84="",M84=0),"",MAX(0,E84-F84))</f>
        <v/>
      </c>
      <c r="H84" s="32" t="str">
        <f aca="false">IF(OR(E84="",M84=0),"",ROUND((F84*$N$79+G84*$O$79)*24,3))</f>
        <v/>
      </c>
      <c r="I84" s="30"/>
      <c r="K84" s="33" t="str">
        <f aca="false">IF(OR(M84=0,C84=""),"",IF(ISNUMBER(C84),MOD(C84,1),IFERROR(INDEX(القوائم!$B$1:$B$288,MATCH(TRIM(C84),القوائم!$A$1:$A$288,0)),IFERROR(MOD(TIMEVALUE(C84),1),""))))</f>
        <v/>
      </c>
      <c r="L84" s="33" t="str">
        <f aca="false">IF(OR(M84=0,D84=""),"",IF(ISNUMBER(D84),MOD(D84,1),IFERROR(INDEX(القوائم!$B$1:$B$288,MATCH(TRIM(D84),القوائم!$A$1:$A$288,0)),IFERROR(MOD(TIMEVALUE(D84),1),""))))</f>
        <v/>
      </c>
      <c r="M84" s="25" t="n">
        <f aca="false">M79</f>
        <v>0</v>
      </c>
      <c r="Q84" s="25" t="n">
        <f aca="false">IF(N(G90)&gt;0,1,0)</f>
        <v>0</v>
      </c>
      <c r="S84" s="0" t="n">
        <v>7</v>
      </c>
    </row>
    <row r="85" customFormat="false" ht="15" hidden="false" customHeight="false" outlineLevel="0" collapsed="false">
      <c r="A85" s="28" t="n">
        <f aca="false">IF(7&lt;=NW,SAT1+46,"")</f>
        <v>46064</v>
      </c>
      <c r="B85" s="29" t="str">
        <f aca="false">IF(A85="","",CHOOSE(WEEKDAY(A85,1),"الأحد","الاثنين","الثلاثاء","الأربعاء","الخميس","الجمعة","السبت"))</f>
        <v>الأربعاء</v>
      </c>
      <c r="C85" s="30"/>
      <c r="D85" s="30"/>
      <c r="E85" s="31" t="str">
        <f aca="false">IF(OR(M85=0,K85="",L85=""),"",MOD(L85-K85,1))</f>
        <v/>
      </c>
      <c r="F85" s="31" t="str">
        <f aca="false">IF(OR(E85="",M85=0),"",IF(WEEKDAY(A85,1)=6,E85,MIN(E85,MAX(0,MIN(IF(L85&lt;K85,L85+1,L85),OMR_OT_AT)-K85))))</f>
        <v/>
      </c>
      <c r="G85" s="31" t="str">
        <f aca="false">IF(OR(E85="",M85=0),"",MAX(0,E85-F85))</f>
        <v/>
      </c>
      <c r="H85" s="32" t="str">
        <f aca="false">IF(OR(E85="",M85=0),"",ROUND((F85*$N$79+G85*$O$79)*24,3))</f>
        <v/>
      </c>
      <c r="I85" s="30"/>
      <c r="K85" s="33" t="str">
        <f aca="false">IF(OR(M85=0,C85=""),"",IF(ISNUMBER(C85),MOD(C85,1),IFERROR(INDEX(القوائم!$B$1:$B$288,MATCH(TRIM(C85),القوائم!$A$1:$A$288,0)),IFERROR(MOD(TIMEVALUE(C85),1),""))))</f>
        <v/>
      </c>
      <c r="L85" s="33" t="str">
        <f aca="false">IF(OR(M85=0,D85=""),"",IF(ISNUMBER(D85),MOD(D85,1),IFERROR(INDEX(القوائم!$B$1:$B$288,MATCH(TRIM(D85),القوائم!$A$1:$A$288,0)),IFERROR(MOD(TIMEVALUE(D85),1),""))))</f>
        <v/>
      </c>
      <c r="M85" s="25" t="n">
        <f aca="false">M79</f>
        <v>0</v>
      </c>
      <c r="Q85" s="25" t="n">
        <f aca="false">IF(N(G90)&gt;0,1,0)</f>
        <v>0</v>
      </c>
      <c r="S85" s="0" t="n">
        <v>7</v>
      </c>
    </row>
    <row r="86" customFormat="false" ht="15" hidden="false" customHeight="false" outlineLevel="0" collapsed="false">
      <c r="A86" s="28" t="n">
        <f aca="false">IF(7&lt;=NW,SAT1+47,"")</f>
        <v>46065</v>
      </c>
      <c r="B86" s="29" t="str">
        <f aca="false">IF(A86="","",CHOOSE(WEEKDAY(A86,1),"الأحد","الاثنين","الثلاثاء","الأربعاء","الخميس","الجمعة","السبت"))</f>
        <v>الخميس</v>
      </c>
      <c r="C86" s="30"/>
      <c r="D86" s="30"/>
      <c r="E86" s="31" t="str">
        <f aca="false">IF(OR(M86=0,K86="",L86=""),"",MOD(L86-K86,1))</f>
        <v/>
      </c>
      <c r="F86" s="31" t="str">
        <f aca="false">IF(OR(E86="",M86=0),"",IF(WEEKDAY(A86,1)=6,E86,MIN(E86,MAX(0,MIN(IF(L86&lt;K86,L86+1,L86),OMR_OT_AT)-K86))))</f>
        <v/>
      </c>
      <c r="G86" s="31" t="str">
        <f aca="false">IF(OR(E86="",M86=0),"",MAX(0,E86-F86))</f>
        <v/>
      </c>
      <c r="H86" s="32" t="str">
        <f aca="false">IF(OR(E86="",M86=0),"",ROUND((F86*$N$79+G86*$O$79)*24,3))</f>
        <v/>
      </c>
      <c r="I86" s="30"/>
      <c r="K86" s="33" t="str">
        <f aca="false">IF(OR(M86=0,C86=""),"",IF(ISNUMBER(C86),MOD(C86,1),IFERROR(INDEX(القوائم!$B$1:$B$288,MATCH(TRIM(C86),القوائم!$A$1:$A$288,0)),IFERROR(MOD(TIMEVALUE(C86),1),""))))</f>
        <v/>
      </c>
      <c r="L86" s="33" t="str">
        <f aca="false">IF(OR(M86=0,D86=""),"",IF(ISNUMBER(D86),MOD(D86,1),IFERROR(INDEX(القوائم!$B$1:$B$288,MATCH(TRIM(D86),القوائم!$A$1:$A$288,0)),IFERROR(MOD(TIMEVALUE(D86),1),""))))</f>
        <v/>
      </c>
      <c r="M86" s="25" t="n">
        <f aca="false">M79</f>
        <v>0</v>
      </c>
      <c r="Q86" s="25" t="n">
        <f aca="false">IF(N(G90)&gt;0,1,0)</f>
        <v>0</v>
      </c>
      <c r="S86" s="0" t="n">
        <v>7</v>
      </c>
    </row>
    <row r="87" customFormat="false" ht="15" hidden="false" customHeight="false" outlineLevel="0" collapsed="false">
      <c r="A87" s="34" t="n">
        <f aca="false">IF(7&lt;=NW,SAT1+48,"")</f>
        <v>46066</v>
      </c>
      <c r="B87" s="35" t="str">
        <f aca="false">IF(A87="","",CHOOSE(WEEKDAY(A87,1),"الأحد","الاثنين","الثلاثاء","الأربعاء","الخميس","الجمعة","السبت"))</f>
        <v>الجمعة</v>
      </c>
      <c r="C87" s="30"/>
      <c r="D87" s="30"/>
      <c r="E87" s="31" t="str">
        <f aca="false">IF(OR(M87=0,K87="",L87=""),"",MOD(L87-K87,1))</f>
        <v/>
      </c>
      <c r="F87" s="31" t="str">
        <f aca="false">IF(OR(E87="",M87=0),"",IF(WEEKDAY(A87,1)=6,E87,MIN(E87,MAX(0,MIN(IF(L87&lt;K87,L87+1,L87),OMR_OT_AT)-K87))))</f>
        <v/>
      </c>
      <c r="G87" s="31" t="str">
        <f aca="false">IF(OR(E87="",M87=0),"",MAX(0,E87-F87))</f>
        <v/>
      </c>
      <c r="H87" s="32" t="str">
        <f aca="false">IF(OR(E87="",M87=0),"",ROUND((F87*$N$79+G87*$O$79)*24,3))</f>
        <v/>
      </c>
      <c r="I87" s="30"/>
      <c r="K87" s="33" t="str">
        <f aca="false">IF(OR(M87=0,C87=""),"",IF(ISNUMBER(C87),MOD(C87,1),IFERROR(INDEX(القوائم!$B$1:$B$288,MATCH(TRIM(C87),القوائم!$A$1:$A$288,0)),IFERROR(MOD(TIMEVALUE(C87),1),""))))</f>
        <v/>
      </c>
      <c r="L87" s="33" t="str">
        <f aca="false">IF(OR(M87=0,D87=""),"",IF(ISNUMBER(D87),MOD(D87,1),IFERROR(INDEX(القوائم!$B$1:$B$288,MATCH(TRIM(D87),القوائم!$A$1:$A$288,0)),IFERROR(MOD(TIMEVALUE(D87),1),""))))</f>
        <v/>
      </c>
      <c r="M87" s="25" t="n">
        <f aca="false">M79</f>
        <v>0</v>
      </c>
      <c r="Q87" s="25" t="n">
        <f aca="false">IF(N(G90)&gt;0,1,0)</f>
        <v>0</v>
      </c>
      <c r="S87" s="0" t="n">
        <v>7</v>
      </c>
    </row>
    <row r="88" customFormat="false" ht="15" hidden="false" customHeight="false" outlineLevel="0" collapsed="false">
      <c r="A88" s="36" t="str">
        <f aca="false">IF(M79=1,"مجموع أيام الأسبوع 7","")</f>
        <v/>
      </c>
      <c r="B88" s="36"/>
      <c r="C88" s="36"/>
      <c r="D88" s="36"/>
      <c r="E88" s="37" t="str">
        <f aca="false">IF(M79=1,SUM(E81:E87),"")</f>
        <v/>
      </c>
      <c r="F88" s="37" t="str">
        <f aca="false">IF(M79=1,SUM(F81:F87),"")</f>
        <v/>
      </c>
      <c r="G88" s="37" t="str">
        <f aca="false">IF(M79=1,SUM(G81:G87),"")</f>
        <v/>
      </c>
      <c r="H88" s="38" t="str">
        <f aca="false">IF(M79=1,SUM(H81:H87),"")</f>
        <v/>
      </c>
      <c r="I88" s="36"/>
      <c r="S88" s="0" t="n">
        <v>7</v>
      </c>
    </row>
    <row r="89" customFormat="false" ht="31.5" hidden="false" customHeight="true" outlineLevel="0" collapsed="false">
      <c r="A89" s="39" t="str">
        <f aca="false">IF(M79=1,"ساعات تحميل الجبسمبورد بهالأسبوع (رقم: 2 أو 1.5) ←","")</f>
        <v/>
      </c>
      <c r="B89" s="39"/>
      <c r="C89" s="39"/>
      <c r="D89" s="39"/>
      <c r="E89" s="40"/>
      <c r="F89" s="41" t="str">
        <f aca="false">IF(M79=1,"المستحق النهائي للأسبوع مع الإكرامية (دينار) ←","")</f>
        <v/>
      </c>
      <c r="G89" s="41"/>
      <c r="H89" s="42" t="str">
        <f aca="false">IF(M79=1,IF(ROUND_MODE="للأعلى",CEILING(ROUND((N(H88)+N(E89)*($P$79-$N$79)),3),0.25),ROUND((N(H88)+N(E89)*($P$79-$N$79))*4,0)/4)+N(D90),"")</f>
        <v/>
      </c>
      <c r="I89" s="43" t="str">
        <f aca="false">IF(M79=1,"قبل الجبر: "&amp;TEXT(N(H88)+N(E89)*($P$79-$N$79),"0.000")&amp;IF(N(D90)&gt;0," + إكرامية "&amp;TEXT(D90,"0.000"),""),"")</f>
        <v/>
      </c>
      <c r="S89" s="0" t="n">
        <v>7</v>
      </c>
    </row>
    <row r="90" customFormat="false" ht="25.5" hidden="false" customHeight="true" outlineLevel="0" collapsed="false">
      <c r="A90" s="39" t="str">
        <f aca="false">IF(M79=1,"إكرامية الأسبوع (دينار) ←","")</f>
        <v/>
      </c>
      <c r="B90" s="39"/>
      <c r="C90" s="39"/>
      <c r="D90" s="44"/>
      <c r="E90" s="39" t="str">
        <f aca="false">IF(M79=1,"المدفوع (دينار) ←","")</f>
        <v/>
      </c>
      <c r="F90" s="39"/>
      <c r="G90" s="44"/>
      <c r="H90" s="45" t="str">
        <f aca="false">IF(M79=1,IF(N(G90)&gt;0,"✔ انقبض — الأسبوع مقفول","⏳ لسا ما انقبض"),"")</f>
        <v/>
      </c>
      <c r="I90" s="45"/>
      <c r="S90" s="0" t="n">
        <v>7</v>
      </c>
    </row>
    <row r="91" customFormat="false" ht="27.75" hidden="false" customHeight="true" outlineLevel="0" collapsed="false">
      <c r="A91" s="23" t="str">
        <f aca="false">IF(8&lt;=NW,"من السبت "&amp;TEXT(DAY(SAT1+49),"00")&amp;"/"&amp;TEXT(MONTH(SAT1+49),"00")&amp;"/"&amp;YEAR(SAT1+49)&amp;" إلى الجمعة "&amp;TEXT(DAY(SAT1+55),"00")&amp;"/"&amp;TEXT(MONTH(SAT1+55),"00")&amp;"/"&amp;YEAR(SAT1+55)&amp;" · الأسبوع 8"&amp;"  (يوم القبض: الجمعة)"&amp;IF(8&lt;START_O,"   — قبل أسبوع البداية (ما بينحسب)",""),"ما في أسبوع 8 هالسنة")</f>
        <v>من السبت 14/02/2026 إلى الجمعة 20/02/2026 · الأسبوع 8  (يوم القبض: الجمعة)   — قبل أسبوع البداية (ما بينحسب)</v>
      </c>
      <c r="B91" s="23"/>
      <c r="C91" s="23"/>
      <c r="D91" s="23"/>
      <c r="E91" s="23"/>
      <c r="F91" s="23"/>
      <c r="G91" s="23"/>
      <c r="H91" s="23"/>
      <c r="I91" s="23"/>
      <c r="L91" s="24" t="n">
        <f aca="false">IF(8&lt;=NW,SAT1+55,"")</f>
        <v>46073</v>
      </c>
      <c r="M91" s="25" t="n">
        <f aca="false">IF(AND(8&lt;=NW,8&gt;=START_O),1,0)</f>
        <v>0</v>
      </c>
      <c r="N91" s="26" t="n">
        <f aca="false">IFERROR(INDEX(RT_OMR,MATCH(L91,RT_K,1)),INDEX(RT_OMR,1))</f>
        <v>1.25</v>
      </c>
      <c r="O91" s="26" t="n">
        <f aca="false">IFERROR(INDEX(RT_OT,MATCH(L91,RT_K,1)),INDEX(RT_OT,1))</f>
        <v>1.5</v>
      </c>
      <c r="P91" s="26" t="n">
        <f aca="false">IFERROR(INDEX(RT_GYP,MATCH(L91,RT_K,1)),INDEX(RT_GYP,1))</f>
        <v>2.5</v>
      </c>
      <c r="R91" s="0" t="n">
        <v>8</v>
      </c>
      <c r="S91" s="0" t="n">
        <v>8</v>
      </c>
    </row>
    <row r="92" customFormat="false" ht="25.5" hidden="false" customHeight="true" outlineLevel="0" collapsed="false">
      <c r="A92" s="27" t="s">
        <v>22</v>
      </c>
      <c r="B92" s="27" t="s">
        <v>23</v>
      </c>
      <c r="C92" s="27" t="s">
        <v>24</v>
      </c>
      <c r="D92" s="27" t="s">
        <v>25</v>
      </c>
      <c r="E92" s="27" t="s">
        <v>26</v>
      </c>
      <c r="F92" s="27" t="s">
        <v>27</v>
      </c>
      <c r="G92" s="27" t="s">
        <v>28</v>
      </c>
      <c r="H92" s="27" t="s">
        <v>29</v>
      </c>
      <c r="I92" s="27" t="s">
        <v>30</v>
      </c>
      <c r="S92" s="0" t="n">
        <v>8</v>
      </c>
    </row>
    <row r="93" customFormat="false" ht="15" hidden="false" customHeight="false" outlineLevel="0" collapsed="false">
      <c r="A93" s="28" t="n">
        <f aca="false">IF(8&lt;=NW,SAT1+49,"")</f>
        <v>46067</v>
      </c>
      <c r="B93" s="29" t="str">
        <f aca="false">IF(A93="","",CHOOSE(WEEKDAY(A93,1),"الأحد","الاثنين","الثلاثاء","الأربعاء","الخميس","الجمعة","السبت"))</f>
        <v>السبت</v>
      </c>
      <c r="C93" s="30"/>
      <c r="D93" s="30"/>
      <c r="E93" s="31" t="str">
        <f aca="false">IF(OR(M93=0,K93="",L93=""),"",MOD(L93-K93,1))</f>
        <v/>
      </c>
      <c r="F93" s="31" t="str">
        <f aca="false">IF(OR(E93="",M93=0),"",IF(WEEKDAY(A93,1)=6,E93,MIN(E93,MAX(0,MIN(IF(L93&lt;K93,L93+1,L93),OMR_OT_AT)-K93))))</f>
        <v/>
      </c>
      <c r="G93" s="31" t="str">
        <f aca="false">IF(OR(E93="",M93=0),"",MAX(0,E93-F93))</f>
        <v/>
      </c>
      <c r="H93" s="32" t="str">
        <f aca="false">IF(OR(E93="",M93=0),"",ROUND((F93*$N$91+G93*$O$91)*24,3))</f>
        <v/>
      </c>
      <c r="I93" s="30"/>
      <c r="K93" s="33" t="str">
        <f aca="false">IF(OR(M93=0,C93=""),"",IF(ISNUMBER(C93),MOD(C93,1),IFERROR(INDEX(القوائم!$B$1:$B$288,MATCH(TRIM(C93),القوائم!$A$1:$A$288,0)),IFERROR(MOD(TIMEVALUE(C93),1),""))))</f>
        <v/>
      </c>
      <c r="L93" s="33" t="str">
        <f aca="false">IF(OR(M93=0,D93=""),"",IF(ISNUMBER(D93),MOD(D93,1),IFERROR(INDEX(القوائم!$B$1:$B$288,MATCH(TRIM(D93),القوائم!$A$1:$A$288,0)),IFERROR(MOD(TIMEVALUE(D93),1),""))))</f>
        <v/>
      </c>
      <c r="M93" s="25" t="n">
        <f aca="false">M91</f>
        <v>0</v>
      </c>
      <c r="Q93" s="25" t="n">
        <f aca="false">IF(N(G102)&gt;0,1,0)</f>
        <v>0</v>
      </c>
      <c r="S93" s="0" t="n">
        <v>8</v>
      </c>
    </row>
    <row r="94" customFormat="false" ht="15" hidden="false" customHeight="false" outlineLevel="0" collapsed="false">
      <c r="A94" s="28" t="n">
        <f aca="false">IF(8&lt;=NW,SAT1+50,"")</f>
        <v>46068</v>
      </c>
      <c r="B94" s="29" t="str">
        <f aca="false">IF(A94="","",CHOOSE(WEEKDAY(A94,1),"الأحد","الاثنين","الثلاثاء","الأربعاء","الخميس","الجمعة","السبت"))</f>
        <v>الأحد</v>
      </c>
      <c r="C94" s="30"/>
      <c r="D94" s="30"/>
      <c r="E94" s="31" t="str">
        <f aca="false">IF(OR(M94=0,K94="",L94=""),"",MOD(L94-K94,1))</f>
        <v/>
      </c>
      <c r="F94" s="31" t="str">
        <f aca="false">IF(OR(E94="",M94=0),"",IF(WEEKDAY(A94,1)=6,E94,MIN(E94,MAX(0,MIN(IF(L94&lt;K94,L94+1,L94),OMR_OT_AT)-K94))))</f>
        <v/>
      </c>
      <c r="G94" s="31" t="str">
        <f aca="false">IF(OR(E94="",M94=0),"",MAX(0,E94-F94))</f>
        <v/>
      </c>
      <c r="H94" s="32" t="str">
        <f aca="false">IF(OR(E94="",M94=0),"",ROUND((F94*$N$91+G94*$O$91)*24,3))</f>
        <v/>
      </c>
      <c r="I94" s="30"/>
      <c r="K94" s="33" t="str">
        <f aca="false">IF(OR(M94=0,C94=""),"",IF(ISNUMBER(C94),MOD(C94,1),IFERROR(INDEX(القوائم!$B$1:$B$288,MATCH(TRIM(C94),القوائم!$A$1:$A$288,0)),IFERROR(MOD(TIMEVALUE(C94),1),""))))</f>
        <v/>
      </c>
      <c r="L94" s="33" t="str">
        <f aca="false">IF(OR(M94=0,D94=""),"",IF(ISNUMBER(D94),MOD(D94,1),IFERROR(INDEX(القوائم!$B$1:$B$288,MATCH(TRIM(D94),القوائم!$A$1:$A$288,0)),IFERROR(MOD(TIMEVALUE(D94),1),""))))</f>
        <v/>
      </c>
      <c r="M94" s="25" t="n">
        <f aca="false">M91</f>
        <v>0</v>
      </c>
      <c r="Q94" s="25" t="n">
        <f aca="false">IF(N(G102)&gt;0,1,0)</f>
        <v>0</v>
      </c>
      <c r="S94" s="0" t="n">
        <v>8</v>
      </c>
    </row>
    <row r="95" customFormat="false" ht="15" hidden="false" customHeight="false" outlineLevel="0" collapsed="false">
      <c r="A95" s="28" t="n">
        <f aca="false">IF(8&lt;=NW,SAT1+51,"")</f>
        <v>46069</v>
      </c>
      <c r="B95" s="29" t="str">
        <f aca="false">IF(A95="","",CHOOSE(WEEKDAY(A95,1),"الأحد","الاثنين","الثلاثاء","الأربعاء","الخميس","الجمعة","السبت"))</f>
        <v>الاثنين</v>
      </c>
      <c r="C95" s="30"/>
      <c r="D95" s="30"/>
      <c r="E95" s="31" t="str">
        <f aca="false">IF(OR(M95=0,K95="",L95=""),"",MOD(L95-K95,1))</f>
        <v/>
      </c>
      <c r="F95" s="31" t="str">
        <f aca="false">IF(OR(E95="",M95=0),"",IF(WEEKDAY(A95,1)=6,E95,MIN(E95,MAX(0,MIN(IF(L95&lt;K95,L95+1,L95),OMR_OT_AT)-K95))))</f>
        <v/>
      </c>
      <c r="G95" s="31" t="str">
        <f aca="false">IF(OR(E95="",M95=0),"",MAX(0,E95-F95))</f>
        <v/>
      </c>
      <c r="H95" s="32" t="str">
        <f aca="false">IF(OR(E95="",M95=0),"",ROUND((F95*$N$91+G95*$O$91)*24,3))</f>
        <v/>
      </c>
      <c r="I95" s="30"/>
      <c r="K95" s="33" t="str">
        <f aca="false">IF(OR(M95=0,C95=""),"",IF(ISNUMBER(C95),MOD(C95,1),IFERROR(INDEX(القوائم!$B$1:$B$288,MATCH(TRIM(C95),القوائم!$A$1:$A$288,0)),IFERROR(MOD(TIMEVALUE(C95),1),""))))</f>
        <v/>
      </c>
      <c r="L95" s="33" t="str">
        <f aca="false">IF(OR(M95=0,D95=""),"",IF(ISNUMBER(D95),MOD(D95,1),IFERROR(INDEX(القوائم!$B$1:$B$288,MATCH(TRIM(D95),القوائم!$A$1:$A$288,0)),IFERROR(MOD(TIMEVALUE(D95),1),""))))</f>
        <v/>
      </c>
      <c r="M95" s="25" t="n">
        <f aca="false">M91</f>
        <v>0</v>
      </c>
      <c r="Q95" s="25" t="n">
        <f aca="false">IF(N(G102)&gt;0,1,0)</f>
        <v>0</v>
      </c>
      <c r="S95" s="0" t="n">
        <v>8</v>
      </c>
    </row>
    <row r="96" customFormat="false" ht="15" hidden="false" customHeight="false" outlineLevel="0" collapsed="false">
      <c r="A96" s="28" t="n">
        <f aca="false">IF(8&lt;=NW,SAT1+52,"")</f>
        <v>46070</v>
      </c>
      <c r="B96" s="29" t="str">
        <f aca="false">IF(A96="","",CHOOSE(WEEKDAY(A96,1),"الأحد","الاثنين","الثلاثاء","الأربعاء","الخميس","الجمعة","السبت"))</f>
        <v>الثلاثاء</v>
      </c>
      <c r="C96" s="30"/>
      <c r="D96" s="30"/>
      <c r="E96" s="31" t="str">
        <f aca="false">IF(OR(M96=0,K96="",L96=""),"",MOD(L96-K96,1))</f>
        <v/>
      </c>
      <c r="F96" s="31" t="str">
        <f aca="false">IF(OR(E96="",M96=0),"",IF(WEEKDAY(A96,1)=6,E96,MIN(E96,MAX(0,MIN(IF(L96&lt;K96,L96+1,L96),OMR_OT_AT)-K96))))</f>
        <v/>
      </c>
      <c r="G96" s="31" t="str">
        <f aca="false">IF(OR(E96="",M96=0),"",MAX(0,E96-F96))</f>
        <v/>
      </c>
      <c r="H96" s="32" t="str">
        <f aca="false">IF(OR(E96="",M96=0),"",ROUND((F96*$N$91+G96*$O$91)*24,3))</f>
        <v/>
      </c>
      <c r="I96" s="30"/>
      <c r="K96" s="33" t="str">
        <f aca="false">IF(OR(M96=0,C96=""),"",IF(ISNUMBER(C96),MOD(C96,1),IFERROR(INDEX(القوائم!$B$1:$B$288,MATCH(TRIM(C96),القوائم!$A$1:$A$288,0)),IFERROR(MOD(TIMEVALUE(C96),1),""))))</f>
        <v/>
      </c>
      <c r="L96" s="33" t="str">
        <f aca="false">IF(OR(M96=0,D96=""),"",IF(ISNUMBER(D96),MOD(D96,1),IFERROR(INDEX(القوائم!$B$1:$B$288,MATCH(TRIM(D96),القوائم!$A$1:$A$288,0)),IFERROR(MOD(TIMEVALUE(D96),1),""))))</f>
        <v/>
      </c>
      <c r="M96" s="25" t="n">
        <f aca="false">M91</f>
        <v>0</v>
      </c>
      <c r="Q96" s="25" t="n">
        <f aca="false">IF(N(G102)&gt;0,1,0)</f>
        <v>0</v>
      </c>
      <c r="S96" s="0" t="n">
        <v>8</v>
      </c>
    </row>
    <row r="97" customFormat="false" ht="15" hidden="false" customHeight="false" outlineLevel="0" collapsed="false">
      <c r="A97" s="28" t="n">
        <f aca="false">IF(8&lt;=NW,SAT1+53,"")</f>
        <v>46071</v>
      </c>
      <c r="B97" s="29" t="str">
        <f aca="false">IF(A97="","",CHOOSE(WEEKDAY(A97,1),"الأحد","الاثنين","الثلاثاء","الأربعاء","الخميس","الجمعة","السبت"))</f>
        <v>الأربعاء</v>
      </c>
      <c r="C97" s="30"/>
      <c r="D97" s="30"/>
      <c r="E97" s="31" t="str">
        <f aca="false">IF(OR(M97=0,K97="",L97=""),"",MOD(L97-K97,1))</f>
        <v/>
      </c>
      <c r="F97" s="31" t="str">
        <f aca="false">IF(OR(E97="",M97=0),"",IF(WEEKDAY(A97,1)=6,E97,MIN(E97,MAX(0,MIN(IF(L97&lt;K97,L97+1,L97),OMR_OT_AT)-K97))))</f>
        <v/>
      </c>
      <c r="G97" s="31" t="str">
        <f aca="false">IF(OR(E97="",M97=0),"",MAX(0,E97-F97))</f>
        <v/>
      </c>
      <c r="H97" s="32" t="str">
        <f aca="false">IF(OR(E97="",M97=0),"",ROUND((F97*$N$91+G97*$O$91)*24,3))</f>
        <v/>
      </c>
      <c r="I97" s="30"/>
      <c r="K97" s="33" t="str">
        <f aca="false">IF(OR(M97=0,C97=""),"",IF(ISNUMBER(C97),MOD(C97,1),IFERROR(INDEX(القوائم!$B$1:$B$288,MATCH(TRIM(C97),القوائم!$A$1:$A$288,0)),IFERROR(MOD(TIMEVALUE(C97),1),""))))</f>
        <v/>
      </c>
      <c r="L97" s="33" t="str">
        <f aca="false">IF(OR(M97=0,D97=""),"",IF(ISNUMBER(D97),MOD(D97,1),IFERROR(INDEX(القوائم!$B$1:$B$288,MATCH(TRIM(D97),القوائم!$A$1:$A$288,0)),IFERROR(MOD(TIMEVALUE(D97),1),""))))</f>
        <v/>
      </c>
      <c r="M97" s="25" t="n">
        <f aca="false">M91</f>
        <v>0</v>
      </c>
      <c r="Q97" s="25" t="n">
        <f aca="false">IF(N(G102)&gt;0,1,0)</f>
        <v>0</v>
      </c>
      <c r="S97" s="0" t="n">
        <v>8</v>
      </c>
    </row>
    <row r="98" customFormat="false" ht="15" hidden="false" customHeight="false" outlineLevel="0" collapsed="false">
      <c r="A98" s="28" t="n">
        <f aca="false">IF(8&lt;=NW,SAT1+54,"")</f>
        <v>46072</v>
      </c>
      <c r="B98" s="29" t="str">
        <f aca="false">IF(A98="","",CHOOSE(WEEKDAY(A98,1),"الأحد","الاثنين","الثلاثاء","الأربعاء","الخميس","الجمعة","السبت"))</f>
        <v>الخميس</v>
      </c>
      <c r="C98" s="30"/>
      <c r="D98" s="30"/>
      <c r="E98" s="31" t="str">
        <f aca="false">IF(OR(M98=0,K98="",L98=""),"",MOD(L98-K98,1))</f>
        <v/>
      </c>
      <c r="F98" s="31" t="str">
        <f aca="false">IF(OR(E98="",M98=0),"",IF(WEEKDAY(A98,1)=6,E98,MIN(E98,MAX(0,MIN(IF(L98&lt;K98,L98+1,L98),OMR_OT_AT)-K98))))</f>
        <v/>
      </c>
      <c r="G98" s="31" t="str">
        <f aca="false">IF(OR(E98="",M98=0),"",MAX(0,E98-F98))</f>
        <v/>
      </c>
      <c r="H98" s="32" t="str">
        <f aca="false">IF(OR(E98="",M98=0),"",ROUND((F98*$N$91+G98*$O$91)*24,3))</f>
        <v/>
      </c>
      <c r="I98" s="30"/>
      <c r="K98" s="33" t="str">
        <f aca="false">IF(OR(M98=0,C98=""),"",IF(ISNUMBER(C98),MOD(C98,1),IFERROR(INDEX(القوائم!$B$1:$B$288,MATCH(TRIM(C98),القوائم!$A$1:$A$288,0)),IFERROR(MOD(TIMEVALUE(C98),1),""))))</f>
        <v/>
      </c>
      <c r="L98" s="33" t="str">
        <f aca="false">IF(OR(M98=0,D98=""),"",IF(ISNUMBER(D98),MOD(D98,1),IFERROR(INDEX(القوائم!$B$1:$B$288,MATCH(TRIM(D98),القوائم!$A$1:$A$288,0)),IFERROR(MOD(TIMEVALUE(D98),1),""))))</f>
        <v/>
      </c>
      <c r="M98" s="25" t="n">
        <f aca="false">M91</f>
        <v>0</v>
      </c>
      <c r="Q98" s="25" t="n">
        <f aca="false">IF(N(G102)&gt;0,1,0)</f>
        <v>0</v>
      </c>
      <c r="S98" s="0" t="n">
        <v>8</v>
      </c>
    </row>
    <row r="99" customFormat="false" ht="15" hidden="false" customHeight="false" outlineLevel="0" collapsed="false">
      <c r="A99" s="34" t="n">
        <f aca="false">IF(8&lt;=NW,SAT1+55,"")</f>
        <v>46073</v>
      </c>
      <c r="B99" s="35" t="str">
        <f aca="false">IF(A99="","",CHOOSE(WEEKDAY(A99,1),"الأحد","الاثنين","الثلاثاء","الأربعاء","الخميس","الجمعة","السبت"))</f>
        <v>الجمعة</v>
      </c>
      <c r="C99" s="30"/>
      <c r="D99" s="30"/>
      <c r="E99" s="31" t="str">
        <f aca="false">IF(OR(M99=0,K99="",L99=""),"",MOD(L99-K99,1))</f>
        <v/>
      </c>
      <c r="F99" s="31" t="str">
        <f aca="false">IF(OR(E99="",M99=0),"",IF(WEEKDAY(A99,1)=6,E99,MIN(E99,MAX(0,MIN(IF(L99&lt;K99,L99+1,L99),OMR_OT_AT)-K99))))</f>
        <v/>
      </c>
      <c r="G99" s="31" t="str">
        <f aca="false">IF(OR(E99="",M99=0),"",MAX(0,E99-F99))</f>
        <v/>
      </c>
      <c r="H99" s="32" t="str">
        <f aca="false">IF(OR(E99="",M99=0),"",ROUND((F99*$N$91+G99*$O$91)*24,3))</f>
        <v/>
      </c>
      <c r="I99" s="30"/>
      <c r="K99" s="33" t="str">
        <f aca="false">IF(OR(M99=0,C99=""),"",IF(ISNUMBER(C99),MOD(C99,1),IFERROR(INDEX(القوائم!$B$1:$B$288,MATCH(TRIM(C99),القوائم!$A$1:$A$288,0)),IFERROR(MOD(TIMEVALUE(C99),1),""))))</f>
        <v/>
      </c>
      <c r="L99" s="33" t="str">
        <f aca="false">IF(OR(M99=0,D99=""),"",IF(ISNUMBER(D99),MOD(D99,1),IFERROR(INDEX(القوائم!$B$1:$B$288,MATCH(TRIM(D99),القوائم!$A$1:$A$288,0)),IFERROR(MOD(TIMEVALUE(D99),1),""))))</f>
        <v/>
      </c>
      <c r="M99" s="25" t="n">
        <f aca="false">M91</f>
        <v>0</v>
      </c>
      <c r="Q99" s="25" t="n">
        <f aca="false">IF(N(G102)&gt;0,1,0)</f>
        <v>0</v>
      </c>
      <c r="S99" s="0" t="n">
        <v>8</v>
      </c>
    </row>
    <row r="100" customFormat="false" ht="15" hidden="false" customHeight="false" outlineLevel="0" collapsed="false">
      <c r="A100" s="36" t="str">
        <f aca="false">IF(M91=1,"مجموع أيام الأسبوع 8","")</f>
        <v/>
      </c>
      <c r="B100" s="36"/>
      <c r="C100" s="36"/>
      <c r="D100" s="36"/>
      <c r="E100" s="37" t="str">
        <f aca="false">IF(M91=1,SUM(E93:E99),"")</f>
        <v/>
      </c>
      <c r="F100" s="37" t="str">
        <f aca="false">IF(M91=1,SUM(F93:F99),"")</f>
        <v/>
      </c>
      <c r="G100" s="37" t="str">
        <f aca="false">IF(M91=1,SUM(G93:G99),"")</f>
        <v/>
      </c>
      <c r="H100" s="38" t="str">
        <f aca="false">IF(M91=1,SUM(H93:H99),"")</f>
        <v/>
      </c>
      <c r="I100" s="36"/>
      <c r="S100" s="0" t="n">
        <v>8</v>
      </c>
    </row>
    <row r="101" customFormat="false" ht="31.5" hidden="false" customHeight="true" outlineLevel="0" collapsed="false">
      <c r="A101" s="39" t="str">
        <f aca="false">IF(M91=1,"ساعات تحميل الجبسمبورد بهالأسبوع (رقم: 2 أو 1.5) ←","")</f>
        <v/>
      </c>
      <c r="B101" s="39"/>
      <c r="C101" s="39"/>
      <c r="D101" s="39"/>
      <c r="E101" s="40"/>
      <c r="F101" s="41" t="str">
        <f aca="false">IF(M91=1,"المستحق النهائي للأسبوع مع الإكرامية (دينار) ←","")</f>
        <v/>
      </c>
      <c r="G101" s="41"/>
      <c r="H101" s="42" t="str">
        <f aca="false">IF(M91=1,IF(ROUND_MODE="للأعلى",CEILING(ROUND((N(H100)+N(E101)*($P$91-$N$91)),3),0.25),ROUND((N(H100)+N(E101)*($P$91-$N$91))*4,0)/4)+N(D102),"")</f>
        <v/>
      </c>
      <c r="I101" s="43" t="str">
        <f aca="false">IF(M91=1,"قبل الجبر: "&amp;TEXT(N(H100)+N(E101)*($P$91-$N$91),"0.000")&amp;IF(N(D102)&gt;0," + إكرامية "&amp;TEXT(D102,"0.000"),""),"")</f>
        <v/>
      </c>
      <c r="S101" s="0" t="n">
        <v>8</v>
      </c>
    </row>
    <row r="102" customFormat="false" ht="25.5" hidden="false" customHeight="true" outlineLevel="0" collapsed="false">
      <c r="A102" s="39" t="str">
        <f aca="false">IF(M91=1,"إكرامية الأسبوع (دينار) ←","")</f>
        <v/>
      </c>
      <c r="B102" s="39"/>
      <c r="C102" s="39"/>
      <c r="D102" s="44"/>
      <c r="E102" s="39" t="str">
        <f aca="false">IF(M91=1,"المدفوع (دينار) ←","")</f>
        <v/>
      </c>
      <c r="F102" s="39"/>
      <c r="G102" s="44"/>
      <c r="H102" s="45" t="str">
        <f aca="false">IF(M91=1,IF(N(G102)&gt;0,"✔ انقبض — الأسبوع مقفول","⏳ لسا ما انقبض"),"")</f>
        <v/>
      </c>
      <c r="I102" s="45"/>
      <c r="S102" s="0" t="n">
        <v>8</v>
      </c>
    </row>
    <row r="103" customFormat="false" ht="27.75" hidden="false" customHeight="true" outlineLevel="0" collapsed="false">
      <c r="A103" s="23" t="str">
        <f aca="false">IF(9&lt;=NW,"من السبت "&amp;TEXT(DAY(SAT1+56),"00")&amp;"/"&amp;TEXT(MONTH(SAT1+56),"00")&amp;"/"&amp;YEAR(SAT1+56)&amp;" إلى الجمعة "&amp;TEXT(DAY(SAT1+62),"00")&amp;"/"&amp;TEXT(MONTH(SAT1+62),"00")&amp;"/"&amp;YEAR(SAT1+62)&amp;" · الأسبوع 9"&amp;"  (يوم القبض: الجمعة)"&amp;IF(9&lt;START_O,"   — قبل أسبوع البداية (ما بينحسب)",""),"ما في أسبوع 9 هالسنة")</f>
        <v>من السبت 21/02/2026 إلى الجمعة 27/02/2026 · الأسبوع 9  (يوم القبض: الجمعة)   — قبل أسبوع البداية (ما بينحسب)</v>
      </c>
      <c r="B103" s="23"/>
      <c r="C103" s="23"/>
      <c r="D103" s="23"/>
      <c r="E103" s="23"/>
      <c r="F103" s="23"/>
      <c r="G103" s="23"/>
      <c r="H103" s="23"/>
      <c r="I103" s="23"/>
      <c r="L103" s="24" t="n">
        <f aca="false">IF(9&lt;=NW,SAT1+62,"")</f>
        <v>46080</v>
      </c>
      <c r="M103" s="25" t="n">
        <f aca="false">IF(AND(9&lt;=NW,9&gt;=START_O),1,0)</f>
        <v>0</v>
      </c>
      <c r="N103" s="26" t="n">
        <f aca="false">IFERROR(INDEX(RT_OMR,MATCH(L103,RT_K,1)),INDEX(RT_OMR,1))</f>
        <v>1.25</v>
      </c>
      <c r="O103" s="26" t="n">
        <f aca="false">IFERROR(INDEX(RT_OT,MATCH(L103,RT_K,1)),INDEX(RT_OT,1))</f>
        <v>1.5</v>
      </c>
      <c r="P103" s="26" t="n">
        <f aca="false">IFERROR(INDEX(RT_GYP,MATCH(L103,RT_K,1)),INDEX(RT_GYP,1))</f>
        <v>2.5</v>
      </c>
      <c r="R103" s="0" t="n">
        <v>9</v>
      </c>
      <c r="S103" s="0" t="n">
        <v>9</v>
      </c>
    </row>
    <row r="104" customFormat="false" ht="25.5" hidden="false" customHeight="true" outlineLevel="0" collapsed="false">
      <c r="A104" s="27" t="s">
        <v>22</v>
      </c>
      <c r="B104" s="27" t="s">
        <v>23</v>
      </c>
      <c r="C104" s="27" t="s">
        <v>24</v>
      </c>
      <c r="D104" s="27" t="s">
        <v>25</v>
      </c>
      <c r="E104" s="27" t="s">
        <v>26</v>
      </c>
      <c r="F104" s="27" t="s">
        <v>27</v>
      </c>
      <c r="G104" s="27" t="s">
        <v>28</v>
      </c>
      <c r="H104" s="27" t="s">
        <v>29</v>
      </c>
      <c r="I104" s="27" t="s">
        <v>30</v>
      </c>
      <c r="S104" s="0" t="n">
        <v>9</v>
      </c>
    </row>
    <row r="105" customFormat="false" ht="15" hidden="false" customHeight="false" outlineLevel="0" collapsed="false">
      <c r="A105" s="28" t="n">
        <f aca="false">IF(9&lt;=NW,SAT1+56,"")</f>
        <v>46074</v>
      </c>
      <c r="B105" s="29" t="str">
        <f aca="false">IF(A105="","",CHOOSE(WEEKDAY(A105,1),"الأحد","الاثنين","الثلاثاء","الأربعاء","الخميس","الجمعة","السبت"))</f>
        <v>السبت</v>
      </c>
      <c r="C105" s="30"/>
      <c r="D105" s="30"/>
      <c r="E105" s="31" t="str">
        <f aca="false">IF(OR(M105=0,K105="",L105=""),"",MOD(L105-K105,1))</f>
        <v/>
      </c>
      <c r="F105" s="31" t="str">
        <f aca="false">IF(OR(E105="",M105=0),"",IF(WEEKDAY(A105,1)=6,E105,MIN(E105,MAX(0,MIN(IF(L105&lt;K105,L105+1,L105),OMR_OT_AT)-K105))))</f>
        <v/>
      </c>
      <c r="G105" s="31" t="str">
        <f aca="false">IF(OR(E105="",M105=0),"",MAX(0,E105-F105))</f>
        <v/>
      </c>
      <c r="H105" s="32" t="str">
        <f aca="false">IF(OR(E105="",M105=0),"",ROUND((F105*$N$103+G105*$O$103)*24,3))</f>
        <v/>
      </c>
      <c r="I105" s="30"/>
      <c r="K105" s="33" t="str">
        <f aca="false">IF(OR(M105=0,C105=""),"",IF(ISNUMBER(C105),MOD(C105,1),IFERROR(INDEX(القوائم!$B$1:$B$288,MATCH(TRIM(C105),القوائم!$A$1:$A$288,0)),IFERROR(MOD(TIMEVALUE(C105),1),""))))</f>
        <v/>
      </c>
      <c r="L105" s="33" t="str">
        <f aca="false">IF(OR(M105=0,D105=""),"",IF(ISNUMBER(D105),MOD(D105,1),IFERROR(INDEX(القوائم!$B$1:$B$288,MATCH(TRIM(D105),القوائم!$A$1:$A$288,0)),IFERROR(MOD(TIMEVALUE(D105),1),""))))</f>
        <v/>
      </c>
      <c r="M105" s="25" t="n">
        <f aca="false">M103</f>
        <v>0</v>
      </c>
      <c r="Q105" s="25" t="n">
        <f aca="false">IF(N(G114)&gt;0,1,0)</f>
        <v>0</v>
      </c>
      <c r="S105" s="0" t="n">
        <v>9</v>
      </c>
    </row>
    <row r="106" customFormat="false" ht="15" hidden="false" customHeight="false" outlineLevel="0" collapsed="false">
      <c r="A106" s="28" t="n">
        <f aca="false">IF(9&lt;=NW,SAT1+57,"")</f>
        <v>46075</v>
      </c>
      <c r="B106" s="29" t="str">
        <f aca="false">IF(A106="","",CHOOSE(WEEKDAY(A106,1),"الأحد","الاثنين","الثلاثاء","الأربعاء","الخميس","الجمعة","السبت"))</f>
        <v>الأحد</v>
      </c>
      <c r="C106" s="30"/>
      <c r="D106" s="30"/>
      <c r="E106" s="31" t="str">
        <f aca="false">IF(OR(M106=0,K106="",L106=""),"",MOD(L106-K106,1))</f>
        <v/>
      </c>
      <c r="F106" s="31" t="str">
        <f aca="false">IF(OR(E106="",M106=0),"",IF(WEEKDAY(A106,1)=6,E106,MIN(E106,MAX(0,MIN(IF(L106&lt;K106,L106+1,L106),OMR_OT_AT)-K106))))</f>
        <v/>
      </c>
      <c r="G106" s="31" t="str">
        <f aca="false">IF(OR(E106="",M106=0),"",MAX(0,E106-F106))</f>
        <v/>
      </c>
      <c r="H106" s="32" t="str">
        <f aca="false">IF(OR(E106="",M106=0),"",ROUND((F106*$N$103+G106*$O$103)*24,3))</f>
        <v/>
      </c>
      <c r="I106" s="30"/>
      <c r="K106" s="33" t="str">
        <f aca="false">IF(OR(M106=0,C106=""),"",IF(ISNUMBER(C106),MOD(C106,1),IFERROR(INDEX(القوائم!$B$1:$B$288,MATCH(TRIM(C106),القوائم!$A$1:$A$288,0)),IFERROR(MOD(TIMEVALUE(C106),1),""))))</f>
        <v/>
      </c>
      <c r="L106" s="33" t="str">
        <f aca="false">IF(OR(M106=0,D106=""),"",IF(ISNUMBER(D106),MOD(D106,1),IFERROR(INDEX(القوائم!$B$1:$B$288,MATCH(TRIM(D106),القوائم!$A$1:$A$288,0)),IFERROR(MOD(TIMEVALUE(D106),1),""))))</f>
        <v/>
      </c>
      <c r="M106" s="25" t="n">
        <f aca="false">M103</f>
        <v>0</v>
      </c>
      <c r="Q106" s="25" t="n">
        <f aca="false">IF(N(G114)&gt;0,1,0)</f>
        <v>0</v>
      </c>
      <c r="S106" s="0" t="n">
        <v>9</v>
      </c>
    </row>
    <row r="107" customFormat="false" ht="15" hidden="false" customHeight="false" outlineLevel="0" collapsed="false">
      <c r="A107" s="28" t="n">
        <f aca="false">IF(9&lt;=NW,SAT1+58,"")</f>
        <v>46076</v>
      </c>
      <c r="B107" s="29" t="str">
        <f aca="false">IF(A107="","",CHOOSE(WEEKDAY(A107,1),"الأحد","الاثنين","الثلاثاء","الأربعاء","الخميس","الجمعة","السبت"))</f>
        <v>الاثنين</v>
      </c>
      <c r="C107" s="30"/>
      <c r="D107" s="30"/>
      <c r="E107" s="31" t="str">
        <f aca="false">IF(OR(M107=0,K107="",L107=""),"",MOD(L107-K107,1))</f>
        <v/>
      </c>
      <c r="F107" s="31" t="str">
        <f aca="false">IF(OR(E107="",M107=0),"",IF(WEEKDAY(A107,1)=6,E107,MIN(E107,MAX(0,MIN(IF(L107&lt;K107,L107+1,L107),OMR_OT_AT)-K107))))</f>
        <v/>
      </c>
      <c r="G107" s="31" t="str">
        <f aca="false">IF(OR(E107="",M107=0),"",MAX(0,E107-F107))</f>
        <v/>
      </c>
      <c r="H107" s="32" t="str">
        <f aca="false">IF(OR(E107="",M107=0),"",ROUND((F107*$N$103+G107*$O$103)*24,3))</f>
        <v/>
      </c>
      <c r="I107" s="30"/>
      <c r="K107" s="33" t="str">
        <f aca="false">IF(OR(M107=0,C107=""),"",IF(ISNUMBER(C107),MOD(C107,1),IFERROR(INDEX(القوائم!$B$1:$B$288,MATCH(TRIM(C107),القوائم!$A$1:$A$288,0)),IFERROR(MOD(TIMEVALUE(C107),1),""))))</f>
        <v/>
      </c>
      <c r="L107" s="33" t="str">
        <f aca="false">IF(OR(M107=0,D107=""),"",IF(ISNUMBER(D107),MOD(D107,1),IFERROR(INDEX(القوائم!$B$1:$B$288,MATCH(TRIM(D107),القوائم!$A$1:$A$288,0)),IFERROR(MOD(TIMEVALUE(D107),1),""))))</f>
        <v/>
      </c>
      <c r="M107" s="25" t="n">
        <f aca="false">M103</f>
        <v>0</v>
      </c>
      <c r="Q107" s="25" t="n">
        <f aca="false">IF(N(G114)&gt;0,1,0)</f>
        <v>0</v>
      </c>
      <c r="S107" s="0" t="n">
        <v>9</v>
      </c>
    </row>
    <row r="108" customFormat="false" ht="15" hidden="false" customHeight="false" outlineLevel="0" collapsed="false">
      <c r="A108" s="28" t="n">
        <f aca="false">IF(9&lt;=NW,SAT1+59,"")</f>
        <v>46077</v>
      </c>
      <c r="B108" s="29" t="str">
        <f aca="false">IF(A108="","",CHOOSE(WEEKDAY(A108,1),"الأحد","الاثنين","الثلاثاء","الأربعاء","الخميس","الجمعة","السبت"))</f>
        <v>الثلاثاء</v>
      </c>
      <c r="C108" s="30"/>
      <c r="D108" s="30"/>
      <c r="E108" s="31" t="str">
        <f aca="false">IF(OR(M108=0,K108="",L108=""),"",MOD(L108-K108,1))</f>
        <v/>
      </c>
      <c r="F108" s="31" t="str">
        <f aca="false">IF(OR(E108="",M108=0),"",IF(WEEKDAY(A108,1)=6,E108,MIN(E108,MAX(0,MIN(IF(L108&lt;K108,L108+1,L108),OMR_OT_AT)-K108))))</f>
        <v/>
      </c>
      <c r="G108" s="31" t="str">
        <f aca="false">IF(OR(E108="",M108=0),"",MAX(0,E108-F108))</f>
        <v/>
      </c>
      <c r="H108" s="32" t="str">
        <f aca="false">IF(OR(E108="",M108=0),"",ROUND((F108*$N$103+G108*$O$103)*24,3))</f>
        <v/>
      </c>
      <c r="I108" s="30"/>
      <c r="K108" s="33" t="str">
        <f aca="false">IF(OR(M108=0,C108=""),"",IF(ISNUMBER(C108),MOD(C108,1),IFERROR(INDEX(القوائم!$B$1:$B$288,MATCH(TRIM(C108),القوائم!$A$1:$A$288,0)),IFERROR(MOD(TIMEVALUE(C108),1),""))))</f>
        <v/>
      </c>
      <c r="L108" s="33" t="str">
        <f aca="false">IF(OR(M108=0,D108=""),"",IF(ISNUMBER(D108),MOD(D108,1),IFERROR(INDEX(القوائم!$B$1:$B$288,MATCH(TRIM(D108),القوائم!$A$1:$A$288,0)),IFERROR(MOD(TIMEVALUE(D108),1),""))))</f>
        <v/>
      </c>
      <c r="M108" s="25" t="n">
        <f aca="false">M103</f>
        <v>0</v>
      </c>
      <c r="Q108" s="25" t="n">
        <f aca="false">IF(N(G114)&gt;0,1,0)</f>
        <v>0</v>
      </c>
      <c r="S108" s="0" t="n">
        <v>9</v>
      </c>
    </row>
    <row r="109" customFormat="false" ht="15" hidden="false" customHeight="false" outlineLevel="0" collapsed="false">
      <c r="A109" s="28" t="n">
        <f aca="false">IF(9&lt;=NW,SAT1+60,"")</f>
        <v>46078</v>
      </c>
      <c r="B109" s="29" t="str">
        <f aca="false">IF(A109="","",CHOOSE(WEEKDAY(A109,1),"الأحد","الاثنين","الثلاثاء","الأربعاء","الخميس","الجمعة","السبت"))</f>
        <v>الأربعاء</v>
      </c>
      <c r="C109" s="30"/>
      <c r="D109" s="30"/>
      <c r="E109" s="31" t="str">
        <f aca="false">IF(OR(M109=0,K109="",L109=""),"",MOD(L109-K109,1))</f>
        <v/>
      </c>
      <c r="F109" s="31" t="str">
        <f aca="false">IF(OR(E109="",M109=0),"",IF(WEEKDAY(A109,1)=6,E109,MIN(E109,MAX(0,MIN(IF(L109&lt;K109,L109+1,L109),OMR_OT_AT)-K109))))</f>
        <v/>
      </c>
      <c r="G109" s="31" t="str">
        <f aca="false">IF(OR(E109="",M109=0),"",MAX(0,E109-F109))</f>
        <v/>
      </c>
      <c r="H109" s="32" t="str">
        <f aca="false">IF(OR(E109="",M109=0),"",ROUND((F109*$N$103+G109*$O$103)*24,3))</f>
        <v/>
      </c>
      <c r="I109" s="30"/>
      <c r="K109" s="33" t="str">
        <f aca="false">IF(OR(M109=0,C109=""),"",IF(ISNUMBER(C109),MOD(C109,1),IFERROR(INDEX(القوائم!$B$1:$B$288,MATCH(TRIM(C109),القوائم!$A$1:$A$288,0)),IFERROR(MOD(TIMEVALUE(C109),1),""))))</f>
        <v/>
      </c>
      <c r="L109" s="33" t="str">
        <f aca="false">IF(OR(M109=0,D109=""),"",IF(ISNUMBER(D109),MOD(D109,1),IFERROR(INDEX(القوائم!$B$1:$B$288,MATCH(TRIM(D109),القوائم!$A$1:$A$288,0)),IFERROR(MOD(TIMEVALUE(D109),1),""))))</f>
        <v/>
      </c>
      <c r="M109" s="25" t="n">
        <f aca="false">M103</f>
        <v>0</v>
      </c>
      <c r="Q109" s="25" t="n">
        <f aca="false">IF(N(G114)&gt;0,1,0)</f>
        <v>0</v>
      </c>
      <c r="S109" s="0" t="n">
        <v>9</v>
      </c>
    </row>
    <row r="110" customFormat="false" ht="15" hidden="false" customHeight="false" outlineLevel="0" collapsed="false">
      <c r="A110" s="28" t="n">
        <f aca="false">IF(9&lt;=NW,SAT1+61,"")</f>
        <v>46079</v>
      </c>
      <c r="B110" s="29" t="str">
        <f aca="false">IF(A110="","",CHOOSE(WEEKDAY(A110,1),"الأحد","الاثنين","الثلاثاء","الأربعاء","الخميس","الجمعة","السبت"))</f>
        <v>الخميس</v>
      </c>
      <c r="C110" s="30"/>
      <c r="D110" s="30"/>
      <c r="E110" s="31" t="str">
        <f aca="false">IF(OR(M110=0,K110="",L110=""),"",MOD(L110-K110,1))</f>
        <v/>
      </c>
      <c r="F110" s="31" t="str">
        <f aca="false">IF(OR(E110="",M110=0),"",IF(WEEKDAY(A110,1)=6,E110,MIN(E110,MAX(0,MIN(IF(L110&lt;K110,L110+1,L110),OMR_OT_AT)-K110))))</f>
        <v/>
      </c>
      <c r="G110" s="31" t="str">
        <f aca="false">IF(OR(E110="",M110=0),"",MAX(0,E110-F110))</f>
        <v/>
      </c>
      <c r="H110" s="32" t="str">
        <f aca="false">IF(OR(E110="",M110=0),"",ROUND((F110*$N$103+G110*$O$103)*24,3))</f>
        <v/>
      </c>
      <c r="I110" s="30"/>
      <c r="K110" s="33" t="str">
        <f aca="false">IF(OR(M110=0,C110=""),"",IF(ISNUMBER(C110),MOD(C110,1),IFERROR(INDEX(القوائم!$B$1:$B$288,MATCH(TRIM(C110),القوائم!$A$1:$A$288,0)),IFERROR(MOD(TIMEVALUE(C110),1),""))))</f>
        <v/>
      </c>
      <c r="L110" s="33" t="str">
        <f aca="false">IF(OR(M110=0,D110=""),"",IF(ISNUMBER(D110),MOD(D110,1),IFERROR(INDEX(القوائم!$B$1:$B$288,MATCH(TRIM(D110),القوائم!$A$1:$A$288,0)),IFERROR(MOD(TIMEVALUE(D110),1),""))))</f>
        <v/>
      </c>
      <c r="M110" s="25" t="n">
        <f aca="false">M103</f>
        <v>0</v>
      </c>
      <c r="Q110" s="25" t="n">
        <f aca="false">IF(N(G114)&gt;0,1,0)</f>
        <v>0</v>
      </c>
      <c r="S110" s="0" t="n">
        <v>9</v>
      </c>
    </row>
    <row r="111" customFormat="false" ht="15" hidden="false" customHeight="false" outlineLevel="0" collapsed="false">
      <c r="A111" s="34" t="n">
        <f aca="false">IF(9&lt;=NW,SAT1+62,"")</f>
        <v>46080</v>
      </c>
      <c r="B111" s="35" t="str">
        <f aca="false">IF(A111="","",CHOOSE(WEEKDAY(A111,1),"الأحد","الاثنين","الثلاثاء","الأربعاء","الخميس","الجمعة","السبت"))</f>
        <v>الجمعة</v>
      </c>
      <c r="C111" s="30"/>
      <c r="D111" s="30"/>
      <c r="E111" s="31" t="str">
        <f aca="false">IF(OR(M111=0,K111="",L111=""),"",MOD(L111-K111,1))</f>
        <v/>
      </c>
      <c r="F111" s="31" t="str">
        <f aca="false">IF(OR(E111="",M111=0),"",IF(WEEKDAY(A111,1)=6,E111,MIN(E111,MAX(0,MIN(IF(L111&lt;K111,L111+1,L111),OMR_OT_AT)-K111))))</f>
        <v/>
      </c>
      <c r="G111" s="31" t="str">
        <f aca="false">IF(OR(E111="",M111=0),"",MAX(0,E111-F111))</f>
        <v/>
      </c>
      <c r="H111" s="32" t="str">
        <f aca="false">IF(OR(E111="",M111=0),"",ROUND((F111*$N$103+G111*$O$103)*24,3))</f>
        <v/>
      </c>
      <c r="I111" s="30"/>
      <c r="K111" s="33" t="str">
        <f aca="false">IF(OR(M111=0,C111=""),"",IF(ISNUMBER(C111),MOD(C111,1),IFERROR(INDEX(القوائم!$B$1:$B$288,MATCH(TRIM(C111),القوائم!$A$1:$A$288,0)),IFERROR(MOD(TIMEVALUE(C111),1),""))))</f>
        <v/>
      </c>
      <c r="L111" s="33" t="str">
        <f aca="false">IF(OR(M111=0,D111=""),"",IF(ISNUMBER(D111),MOD(D111,1),IFERROR(INDEX(القوائم!$B$1:$B$288,MATCH(TRIM(D111),القوائم!$A$1:$A$288,0)),IFERROR(MOD(TIMEVALUE(D111),1),""))))</f>
        <v/>
      </c>
      <c r="M111" s="25" t="n">
        <f aca="false">M103</f>
        <v>0</v>
      </c>
      <c r="Q111" s="25" t="n">
        <f aca="false">IF(N(G114)&gt;0,1,0)</f>
        <v>0</v>
      </c>
      <c r="S111" s="0" t="n">
        <v>9</v>
      </c>
    </row>
    <row r="112" customFormat="false" ht="15" hidden="false" customHeight="false" outlineLevel="0" collapsed="false">
      <c r="A112" s="36" t="str">
        <f aca="false">IF(M103=1,"مجموع أيام الأسبوع 9","")</f>
        <v/>
      </c>
      <c r="B112" s="36"/>
      <c r="C112" s="36"/>
      <c r="D112" s="36"/>
      <c r="E112" s="37" t="str">
        <f aca="false">IF(M103=1,SUM(E105:E111),"")</f>
        <v/>
      </c>
      <c r="F112" s="37" t="str">
        <f aca="false">IF(M103=1,SUM(F105:F111),"")</f>
        <v/>
      </c>
      <c r="G112" s="37" t="str">
        <f aca="false">IF(M103=1,SUM(G105:G111),"")</f>
        <v/>
      </c>
      <c r="H112" s="38" t="str">
        <f aca="false">IF(M103=1,SUM(H105:H111),"")</f>
        <v/>
      </c>
      <c r="I112" s="36"/>
      <c r="S112" s="0" t="n">
        <v>9</v>
      </c>
    </row>
    <row r="113" customFormat="false" ht="31.5" hidden="false" customHeight="true" outlineLevel="0" collapsed="false">
      <c r="A113" s="39" t="str">
        <f aca="false">IF(M103=1,"ساعات تحميل الجبسمبورد بهالأسبوع (رقم: 2 أو 1.5) ←","")</f>
        <v/>
      </c>
      <c r="B113" s="39"/>
      <c r="C113" s="39"/>
      <c r="D113" s="39"/>
      <c r="E113" s="40"/>
      <c r="F113" s="41" t="str">
        <f aca="false">IF(M103=1,"المستحق النهائي للأسبوع مع الإكرامية (دينار) ←","")</f>
        <v/>
      </c>
      <c r="G113" s="41"/>
      <c r="H113" s="42" t="str">
        <f aca="false">IF(M103=1,IF(ROUND_MODE="للأعلى",CEILING(ROUND((N(H112)+N(E113)*($P$103-$N$103)),3),0.25),ROUND((N(H112)+N(E113)*($P$103-$N$103))*4,0)/4)+N(D114),"")</f>
        <v/>
      </c>
      <c r="I113" s="43" t="str">
        <f aca="false">IF(M103=1,"قبل الجبر: "&amp;TEXT(N(H112)+N(E113)*($P$103-$N$103),"0.000")&amp;IF(N(D114)&gt;0," + إكرامية "&amp;TEXT(D114,"0.000"),""),"")</f>
        <v/>
      </c>
      <c r="S113" s="0" t="n">
        <v>9</v>
      </c>
    </row>
    <row r="114" customFormat="false" ht="25.5" hidden="false" customHeight="true" outlineLevel="0" collapsed="false">
      <c r="A114" s="39" t="str">
        <f aca="false">IF(M103=1,"إكرامية الأسبوع (دينار) ←","")</f>
        <v/>
      </c>
      <c r="B114" s="39"/>
      <c r="C114" s="39"/>
      <c r="D114" s="44"/>
      <c r="E114" s="39" t="str">
        <f aca="false">IF(M103=1,"المدفوع (دينار) ←","")</f>
        <v/>
      </c>
      <c r="F114" s="39"/>
      <c r="G114" s="44"/>
      <c r="H114" s="45" t="str">
        <f aca="false">IF(M103=1,IF(N(G114)&gt;0,"✔ انقبض — الأسبوع مقفول","⏳ لسا ما انقبض"),"")</f>
        <v/>
      </c>
      <c r="I114" s="45"/>
      <c r="S114" s="0" t="n">
        <v>9</v>
      </c>
    </row>
    <row r="115" customFormat="false" ht="27.75" hidden="false" customHeight="true" outlineLevel="0" collapsed="false">
      <c r="A115" s="23" t="str">
        <f aca="false">IF(10&lt;=NW,"من السبت "&amp;TEXT(DAY(SAT1+63),"00")&amp;"/"&amp;TEXT(MONTH(SAT1+63),"00")&amp;"/"&amp;YEAR(SAT1+63)&amp;" إلى الجمعة "&amp;TEXT(DAY(SAT1+69),"00")&amp;"/"&amp;TEXT(MONTH(SAT1+69),"00")&amp;"/"&amp;YEAR(SAT1+69)&amp;" · الأسبوع 10"&amp;"  (يوم القبض: الجمعة)"&amp;IF(10&lt;START_O,"   — قبل أسبوع البداية (ما بينحسب)",""),"ما في أسبوع 10 هالسنة")</f>
        <v>من السبت 28/02/2026 إلى الجمعة 06/03/2026 · الأسبوع 10  (يوم القبض: الجمعة)   — قبل أسبوع البداية (ما بينحسب)</v>
      </c>
      <c r="B115" s="23"/>
      <c r="C115" s="23"/>
      <c r="D115" s="23"/>
      <c r="E115" s="23"/>
      <c r="F115" s="23"/>
      <c r="G115" s="23"/>
      <c r="H115" s="23"/>
      <c r="I115" s="23"/>
      <c r="L115" s="24" t="n">
        <f aca="false">IF(10&lt;=NW,SAT1+69,"")</f>
        <v>46087</v>
      </c>
      <c r="M115" s="25" t="n">
        <f aca="false">IF(AND(10&lt;=NW,10&gt;=START_O),1,0)</f>
        <v>0</v>
      </c>
      <c r="N115" s="26" t="n">
        <f aca="false">IFERROR(INDEX(RT_OMR,MATCH(L115,RT_K,1)),INDEX(RT_OMR,1))</f>
        <v>1.25</v>
      </c>
      <c r="O115" s="26" t="n">
        <f aca="false">IFERROR(INDEX(RT_OT,MATCH(L115,RT_K,1)),INDEX(RT_OT,1))</f>
        <v>1.5</v>
      </c>
      <c r="P115" s="26" t="n">
        <f aca="false">IFERROR(INDEX(RT_GYP,MATCH(L115,RT_K,1)),INDEX(RT_GYP,1))</f>
        <v>2.5</v>
      </c>
      <c r="R115" s="0" t="n">
        <v>10</v>
      </c>
      <c r="S115" s="0" t="n">
        <v>10</v>
      </c>
    </row>
    <row r="116" customFormat="false" ht="25.5" hidden="false" customHeight="true" outlineLevel="0" collapsed="false">
      <c r="A116" s="27" t="s">
        <v>22</v>
      </c>
      <c r="B116" s="27" t="s">
        <v>23</v>
      </c>
      <c r="C116" s="27" t="s">
        <v>24</v>
      </c>
      <c r="D116" s="27" t="s">
        <v>25</v>
      </c>
      <c r="E116" s="27" t="s">
        <v>26</v>
      </c>
      <c r="F116" s="27" t="s">
        <v>27</v>
      </c>
      <c r="G116" s="27" t="s">
        <v>28</v>
      </c>
      <c r="H116" s="27" t="s">
        <v>29</v>
      </c>
      <c r="I116" s="27" t="s">
        <v>30</v>
      </c>
      <c r="S116" s="0" t="n">
        <v>10</v>
      </c>
    </row>
    <row r="117" customFormat="false" ht="15" hidden="false" customHeight="false" outlineLevel="0" collapsed="false">
      <c r="A117" s="28" t="n">
        <f aca="false">IF(10&lt;=NW,SAT1+63,"")</f>
        <v>46081</v>
      </c>
      <c r="B117" s="29" t="str">
        <f aca="false">IF(A117="","",CHOOSE(WEEKDAY(A117,1),"الأحد","الاثنين","الثلاثاء","الأربعاء","الخميس","الجمعة","السبت"))</f>
        <v>السبت</v>
      </c>
      <c r="C117" s="30"/>
      <c r="D117" s="30"/>
      <c r="E117" s="31" t="str">
        <f aca="false">IF(OR(M117=0,K117="",L117=""),"",MOD(L117-K117,1))</f>
        <v/>
      </c>
      <c r="F117" s="31" t="str">
        <f aca="false">IF(OR(E117="",M117=0),"",IF(WEEKDAY(A117,1)=6,E117,MIN(E117,MAX(0,MIN(IF(L117&lt;K117,L117+1,L117),OMR_OT_AT)-K117))))</f>
        <v/>
      </c>
      <c r="G117" s="31" t="str">
        <f aca="false">IF(OR(E117="",M117=0),"",MAX(0,E117-F117))</f>
        <v/>
      </c>
      <c r="H117" s="32" t="str">
        <f aca="false">IF(OR(E117="",M117=0),"",ROUND((F117*$N$115+G117*$O$115)*24,3))</f>
        <v/>
      </c>
      <c r="I117" s="30"/>
      <c r="K117" s="33" t="str">
        <f aca="false">IF(OR(M117=0,C117=""),"",IF(ISNUMBER(C117),MOD(C117,1),IFERROR(INDEX(القوائم!$B$1:$B$288,MATCH(TRIM(C117),القوائم!$A$1:$A$288,0)),IFERROR(MOD(TIMEVALUE(C117),1),""))))</f>
        <v/>
      </c>
      <c r="L117" s="33" t="str">
        <f aca="false">IF(OR(M117=0,D117=""),"",IF(ISNUMBER(D117),MOD(D117,1),IFERROR(INDEX(القوائم!$B$1:$B$288,MATCH(TRIM(D117),القوائم!$A$1:$A$288,0)),IFERROR(MOD(TIMEVALUE(D117),1),""))))</f>
        <v/>
      </c>
      <c r="M117" s="25" t="n">
        <f aca="false">M115</f>
        <v>0</v>
      </c>
      <c r="Q117" s="25" t="n">
        <f aca="false">IF(N(G126)&gt;0,1,0)</f>
        <v>0</v>
      </c>
      <c r="S117" s="0" t="n">
        <v>10</v>
      </c>
    </row>
    <row r="118" customFormat="false" ht="15" hidden="false" customHeight="false" outlineLevel="0" collapsed="false">
      <c r="A118" s="28" t="n">
        <f aca="false">IF(10&lt;=NW,SAT1+64,"")</f>
        <v>46082</v>
      </c>
      <c r="B118" s="29" t="str">
        <f aca="false">IF(A118="","",CHOOSE(WEEKDAY(A118,1),"الأحد","الاثنين","الثلاثاء","الأربعاء","الخميس","الجمعة","السبت"))</f>
        <v>الأحد</v>
      </c>
      <c r="C118" s="30"/>
      <c r="D118" s="30"/>
      <c r="E118" s="31" t="str">
        <f aca="false">IF(OR(M118=0,K118="",L118=""),"",MOD(L118-K118,1))</f>
        <v/>
      </c>
      <c r="F118" s="31" t="str">
        <f aca="false">IF(OR(E118="",M118=0),"",IF(WEEKDAY(A118,1)=6,E118,MIN(E118,MAX(0,MIN(IF(L118&lt;K118,L118+1,L118),OMR_OT_AT)-K118))))</f>
        <v/>
      </c>
      <c r="G118" s="31" t="str">
        <f aca="false">IF(OR(E118="",M118=0),"",MAX(0,E118-F118))</f>
        <v/>
      </c>
      <c r="H118" s="32" t="str">
        <f aca="false">IF(OR(E118="",M118=0),"",ROUND((F118*$N$115+G118*$O$115)*24,3))</f>
        <v/>
      </c>
      <c r="I118" s="30"/>
      <c r="K118" s="33" t="str">
        <f aca="false">IF(OR(M118=0,C118=""),"",IF(ISNUMBER(C118),MOD(C118,1),IFERROR(INDEX(القوائم!$B$1:$B$288,MATCH(TRIM(C118),القوائم!$A$1:$A$288,0)),IFERROR(MOD(TIMEVALUE(C118),1),""))))</f>
        <v/>
      </c>
      <c r="L118" s="33" t="str">
        <f aca="false">IF(OR(M118=0,D118=""),"",IF(ISNUMBER(D118),MOD(D118,1),IFERROR(INDEX(القوائم!$B$1:$B$288,MATCH(TRIM(D118),القوائم!$A$1:$A$288,0)),IFERROR(MOD(TIMEVALUE(D118),1),""))))</f>
        <v/>
      </c>
      <c r="M118" s="25" t="n">
        <f aca="false">M115</f>
        <v>0</v>
      </c>
      <c r="Q118" s="25" t="n">
        <f aca="false">IF(N(G126)&gt;0,1,0)</f>
        <v>0</v>
      </c>
      <c r="S118" s="0" t="n">
        <v>10</v>
      </c>
    </row>
    <row r="119" customFormat="false" ht="15" hidden="false" customHeight="false" outlineLevel="0" collapsed="false">
      <c r="A119" s="28" t="n">
        <f aca="false">IF(10&lt;=NW,SAT1+65,"")</f>
        <v>46083</v>
      </c>
      <c r="B119" s="29" t="str">
        <f aca="false">IF(A119="","",CHOOSE(WEEKDAY(A119,1),"الأحد","الاثنين","الثلاثاء","الأربعاء","الخميس","الجمعة","السبت"))</f>
        <v>الاثنين</v>
      </c>
      <c r="C119" s="30"/>
      <c r="D119" s="30"/>
      <c r="E119" s="31" t="str">
        <f aca="false">IF(OR(M119=0,K119="",L119=""),"",MOD(L119-K119,1))</f>
        <v/>
      </c>
      <c r="F119" s="31" t="str">
        <f aca="false">IF(OR(E119="",M119=0),"",IF(WEEKDAY(A119,1)=6,E119,MIN(E119,MAX(0,MIN(IF(L119&lt;K119,L119+1,L119),OMR_OT_AT)-K119))))</f>
        <v/>
      </c>
      <c r="G119" s="31" t="str">
        <f aca="false">IF(OR(E119="",M119=0),"",MAX(0,E119-F119))</f>
        <v/>
      </c>
      <c r="H119" s="32" t="str">
        <f aca="false">IF(OR(E119="",M119=0),"",ROUND((F119*$N$115+G119*$O$115)*24,3))</f>
        <v/>
      </c>
      <c r="I119" s="30"/>
      <c r="K119" s="33" t="str">
        <f aca="false">IF(OR(M119=0,C119=""),"",IF(ISNUMBER(C119),MOD(C119,1),IFERROR(INDEX(القوائم!$B$1:$B$288,MATCH(TRIM(C119),القوائم!$A$1:$A$288,0)),IFERROR(MOD(TIMEVALUE(C119),1),""))))</f>
        <v/>
      </c>
      <c r="L119" s="33" t="str">
        <f aca="false">IF(OR(M119=0,D119=""),"",IF(ISNUMBER(D119),MOD(D119,1),IFERROR(INDEX(القوائم!$B$1:$B$288,MATCH(TRIM(D119),القوائم!$A$1:$A$288,0)),IFERROR(MOD(TIMEVALUE(D119),1),""))))</f>
        <v/>
      </c>
      <c r="M119" s="25" t="n">
        <f aca="false">M115</f>
        <v>0</v>
      </c>
      <c r="Q119" s="25" t="n">
        <f aca="false">IF(N(G126)&gt;0,1,0)</f>
        <v>0</v>
      </c>
      <c r="S119" s="0" t="n">
        <v>10</v>
      </c>
    </row>
    <row r="120" customFormat="false" ht="15" hidden="false" customHeight="false" outlineLevel="0" collapsed="false">
      <c r="A120" s="28" t="n">
        <f aca="false">IF(10&lt;=NW,SAT1+66,"")</f>
        <v>46084</v>
      </c>
      <c r="B120" s="29" t="str">
        <f aca="false">IF(A120="","",CHOOSE(WEEKDAY(A120,1),"الأحد","الاثنين","الثلاثاء","الأربعاء","الخميس","الجمعة","السبت"))</f>
        <v>الثلاثاء</v>
      </c>
      <c r="C120" s="30"/>
      <c r="D120" s="30"/>
      <c r="E120" s="31" t="str">
        <f aca="false">IF(OR(M120=0,K120="",L120=""),"",MOD(L120-K120,1))</f>
        <v/>
      </c>
      <c r="F120" s="31" t="str">
        <f aca="false">IF(OR(E120="",M120=0),"",IF(WEEKDAY(A120,1)=6,E120,MIN(E120,MAX(0,MIN(IF(L120&lt;K120,L120+1,L120),OMR_OT_AT)-K120))))</f>
        <v/>
      </c>
      <c r="G120" s="31" t="str">
        <f aca="false">IF(OR(E120="",M120=0),"",MAX(0,E120-F120))</f>
        <v/>
      </c>
      <c r="H120" s="32" t="str">
        <f aca="false">IF(OR(E120="",M120=0),"",ROUND((F120*$N$115+G120*$O$115)*24,3))</f>
        <v/>
      </c>
      <c r="I120" s="30"/>
      <c r="K120" s="33" t="str">
        <f aca="false">IF(OR(M120=0,C120=""),"",IF(ISNUMBER(C120),MOD(C120,1),IFERROR(INDEX(القوائم!$B$1:$B$288,MATCH(TRIM(C120),القوائم!$A$1:$A$288,0)),IFERROR(MOD(TIMEVALUE(C120),1),""))))</f>
        <v/>
      </c>
      <c r="L120" s="33" t="str">
        <f aca="false">IF(OR(M120=0,D120=""),"",IF(ISNUMBER(D120),MOD(D120,1),IFERROR(INDEX(القوائم!$B$1:$B$288,MATCH(TRIM(D120),القوائم!$A$1:$A$288,0)),IFERROR(MOD(TIMEVALUE(D120),1),""))))</f>
        <v/>
      </c>
      <c r="M120" s="25" t="n">
        <f aca="false">M115</f>
        <v>0</v>
      </c>
      <c r="Q120" s="25" t="n">
        <f aca="false">IF(N(G126)&gt;0,1,0)</f>
        <v>0</v>
      </c>
      <c r="S120" s="0" t="n">
        <v>10</v>
      </c>
    </row>
    <row r="121" customFormat="false" ht="15" hidden="false" customHeight="false" outlineLevel="0" collapsed="false">
      <c r="A121" s="28" t="n">
        <f aca="false">IF(10&lt;=NW,SAT1+67,"")</f>
        <v>46085</v>
      </c>
      <c r="B121" s="29" t="str">
        <f aca="false">IF(A121="","",CHOOSE(WEEKDAY(A121,1),"الأحد","الاثنين","الثلاثاء","الأربعاء","الخميس","الجمعة","السبت"))</f>
        <v>الأربعاء</v>
      </c>
      <c r="C121" s="30"/>
      <c r="D121" s="30"/>
      <c r="E121" s="31" t="str">
        <f aca="false">IF(OR(M121=0,K121="",L121=""),"",MOD(L121-K121,1))</f>
        <v/>
      </c>
      <c r="F121" s="31" t="str">
        <f aca="false">IF(OR(E121="",M121=0),"",IF(WEEKDAY(A121,1)=6,E121,MIN(E121,MAX(0,MIN(IF(L121&lt;K121,L121+1,L121),OMR_OT_AT)-K121))))</f>
        <v/>
      </c>
      <c r="G121" s="31" t="str">
        <f aca="false">IF(OR(E121="",M121=0),"",MAX(0,E121-F121))</f>
        <v/>
      </c>
      <c r="H121" s="32" t="str">
        <f aca="false">IF(OR(E121="",M121=0),"",ROUND((F121*$N$115+G121*$O$115)*24,3))</f>
        <v/>
      </c>
      <c r="I121" s="30"/>
      <c r="K121" s="33" t="str">
        <f aca="false">IF(OR(M121=0,C121=""),"",IF(ISNUMBER(C121),MOD(C121,1),IFERROR(INDEX(القوائم!$B$1:$B$288,MATCH(TRIM(C121),القوائم!$A$1:$A$288,0)),IFERROR(MOD(TIMEVALUE(C121),1),""))))</f>
        <v/>
      </c>
      <c r="L121" s="33" t="str">
        <f aca="false">IF(OR(M121=0,D121=""),"",IF(ISNUMBER(D121),MOD(D121,1),IFERROR(INDEX(القوائم!$B$1:$B$288,MATCH(TRIM(D121),القوائم!$A$1:$A$288,0)),IFERROR(MOD(TIMEVALUE(D121),1),""))))</f>
        <v/>
      </c>
      <c r="M121" s="25" t="n">
        <f aca="false">M115</f>
        <v>0</v>
      </c>
      <c r="Q121" s="25" t="n">
        <f aca="false">IF(N(G126)&gt;0,1,0)</f>
        <v>0</v>
      </c>
      <c r="S121" s="0" t="n">
        <v>10</v>
      </c>
    </row>
    <row r="122" customFormat="false" ht="15" hidden="false" customHeight="false" outlineLevel="0" collapsed="false">
      <c r="A122" s="28" t="n">
        <f aca="false">IF(10&lt;=NW,SAT1+68,"")</f>
        <v>46086</v>
      </c>
      <c r="B122" s="29" t="str">
        <f aca="false">IF(A122="","",CHOOSE(WEEKDAY(A122,1),"الأحد","الاثنين","الثلاثاء","الأربعاء","الخميس","الجمعة","السبت"))</f>
        <v>الخميس</v>
      </c>
      <c r="C122" s="30"/>
      <c r="D122" s="30"/>
      <c r="E122" s="31" t="str">
        <f aca="false">IF(OR(M122=0,K122="",L122=""),"",MOD(L122-K122,1))</f>
        <v/>
      </c>
      <c r="F122" s="31" t="str">
        <f aca="false">IF(OR(E122="",M122=0),"",IF(WEEKDAY(A122,1)=6,E122,MIN(E122,MAX(0,MIN(IF(L122&lt;K122,L122+1,L122),OMR_OT_AT)-K122))))</f>
        <v/>
      </c>
      <c r="G122" s="31" t="str">
        <f aca="false">IF(OR(E122="",M122=0),"",MAX(0,E122-F122))</f>
        <v/>
      </c>
      <c r="H122" s="32" t="str">
        <f aca="false">IF(OR(E122="",M122=0),"",ROUND((F122*$N$115+G122*$O$115)*24,3))</f>
        <v/>
      </c>
      <c r="I122" s="30"/>
      <c r="K122" s="33" t="str">
        <f aca="false">IF(OR(M122=0,C122=""),"",IF(ISNUMBER(C122),MOD(C122,1),IFERROR(INDEX(القوائم!$B$1:$B$288,MATCH(TRIM(C122),القوائم!$A$1:$A$288,0)),IFERROR(MOD(TIMEVALUE(C122),1),""))))</f>
        <v/>
      </c>
      <c r="L122" s="33" t="str">
        <f aca="false">IF(OR(M122=0,D122=""),"",IF(ISNUMBER(D122),MOD(D122,1),IFERROR(INDEX(القوائم!$B$1:$B$288,MATCH(TRIM(D122),القوائم!$A$1:$A$288,0)),IFERROR(MOD(TIMEVALUE(D122),1),""))))</f>
        <v/>
      </c>
      <c r="M122" s="25" t="n">
        <f aca="false">M115</f>
        <v>0</v>
      </c>
      <c r="Q122" s="25" t="n">
        <f aca="false">IF(N(G126)&gt;0,1,0)</f>
        <v>0</v>
      </c>
      <c r="S122" s="0" t="n">
        <v>10</v>
      </c>
    </row>
    <row r="123" customFormat="false" ht="15" hidden="false" customHeight="false" outlineLevel="0" collapsed="false">
      <c r="A123" s="34" t="n">
        <f aca="false">IF(10&lt;=NW,SAT1+69,"")</f>
        <v>46087</v>
      </c>
      <c r="B123" s="35" t="str">
        <f aca="false">IF(A123="","",CHOOSE(WEEKDAY(A123,1),"الأحد","الاثنين","الثلاثاء","الأربعاء","الخميس","الجمعة","السبت"))</f>
        <v>الجمعة</v>
      </c>
      <c r="C123" s="30"/>
      <c r="D123" s="30"/>
      <c r="E123" s="31" t="str">
        <f aca="false">IF(OR(M123=0,K123="",L123=""),"",MOD(L123-K123,1))</f>
        <v/>
      </c>
      <c r="F123" s="31" t="str">
        <f aca="false">IF(OR(E123="",M123=0),"",IF(WEEKDAY(A123,1)=6,E123,MIN(E123,MAX(0,MIN(IF(L123&lt;K123,L123+1,L123),OMR_OT_AT)-K123))))</f>
        <v/>
      </c>
      <c r="G123" s="31" t="str">
        <f aca="false">IF(OR(E123="",M123=0),"",MAX(0,E123-F123))</f>
        <v/>
      </c>
      <c r="H123" s="32" t="str">
        <f aca="false">IF(OR(E123="",M123=0),"",ROUND((F123*$N$115+G123*$O$115)*24,3))</f>
        <v/>
      </c>
      <c r="I123" s="30"/>
      <c r="K123" s="33" t="str">
        <f aca="false">IF(OR(M123=0,C123=""),"",IF(ISNUMBER(C123),MOD(C123,1),IFERROR(INDEX(القوائم!$B$1:$B$288,MATCH(TRIM(C123),القوائم!$A$1:$A$288,0)),IFERROR(MOD(TIMEVALUE(C123),1),""))))</f>
        <v/>
      </c>
      <c r="L123" s="33" t="str">
        <f aca="false">IF(OR(M123=0,D123=""),"",IF(ISNUMBER(D123),MOD(D123,1),IFERROR(INDEX(القوائم!$B$1:$B$288,MATCH(TRIM(D123),القوائم!$A$1:$A$288,0)),IFERROR(MOD(TIMEVALUE(D123),1),""))))</f>
        <v/>
      </c>
      <c r="M123" s="25" t="n">
        <f aca="false">M115</f>
        <v>0</v>
      </c>
      <c r="Q123" s="25" t="n">
        <f aca="false">IF(N(G126)&gt;0,1,0)</f>
        <v>0</v>
      </c>
      <c r="S123" s="0" t="n">
        <v>10</v>
      </c>
    </row>
    <row r="124" customFormat="false" ht="15" hidden="false" customHeight="false" outlineLevel="0" collapsed="false">
      <c r="A124" s="36" t="str">
        <f aca="false">IF(M115=1,"مجموع أيام الأسبوع 10","")</f>
        <v/>
      </c>
      <c r="B124" s="36"/>
      <c r="C124" s="36"/>
      <c r="D124" s="36"/>
      <c r="E124" s="37" t="str">
        <f aca="false">IF(M115=1,SUM(E117:E123),"")</f>
        <v/>
      </c>
      <c r="F124" s="37" t="str">
        <f aca="false">IF(M115=1,SUM(F117:F123),"")</f>
        <v/>
      </c>
      <c r="G124" s="37" t="str">
        <f aca="false">IF(M115=1,SUM(G117:G123),"")</f>
        <v/>
      </c>
      <c r="H124" s="38" t="str">
        <f aca="false">IF(M115=1,SUM(H117:H123),"")</f>
        <v/>
      </c>
      <c r="I124" s="36"/>
      <c r="S124" s="0" t="n">
        <v>10</v>
      </c>
    </row>
    <row r="125" customFormat="false" ht="31.5" hidden="false" customHeight="true" outlineLevel="0" collapsed="false">
      <c r="A125" s="39" t="str">
        <f aca="false">IF(M115=1,"ساعات تحميل الجبسمبورد بهالأسبوع (رقم: 2 أو 1.5) ←","")</f>
        <v/>
      </c>
      <c r="B125" s="39"/>
      <c r="C125" s="39"/>
      <c r="D125" s="39"/>
      <c r="E125" s="40"/>
      <c r="F125" s="41" t="str">
        <f aca="false">IF(M115=1,"المستحق النهائي للأسبوع مع الإكرامية (دينار) ←","")</f>
        <v/>
      </c>
      <c r="G125" s="41"/>
      <c r="H125" s="42" t="str">
        <f aca="false">IF(M115=1,IF(ROUND_MODE="للأعلى",CEILING(ROUND((N(H124)+N(E125)*($P$115-$N$115)),3),0.25),ROUND((N(H124)+N(E125)*($P$115-$N$115))*4,0)/4)+N(D126),"")</f>
        <v/>
      </c>
      <c r="I125" s="43" t="str">
        <f aca="false">IF(M115=1,"قبل الجبر: "&amp;TEXT(N(H124)+N(E125)*($P$115-$N$115),"0.000")&amp;IF(N(D126)&gt;0," + إكرامية "&amp;TEXT(D126,"0.000"),""),"")</f>
        <v/>
      </c>
      <c r="S125" s="0" t="n">
        <v>10</v>
      </c>
    </row>
    <row r="126" customFormat="false" ht="25.5" hidden="false" customHeight="true" outlineLevel="0" collapsed="false">
      <c r="A126" s="39" t="str">
        <f aca="false">IF(M115=1,"إكرامية الأسبوع (دينار) ←","")</f>
        <v/>
      </c>
      <c r="B126" s="39"/>
      <c r="C126" s="39"/>
      <c r="D126" s="44"/>
      <c r="E126" s="39" t="str">
        <f aca="false">IF(M115=1,"المدفوع (دينار) ←","")</f>
        <v/>
      </c>
      <c r="F126" s="39"/>
      <c r="G126" s="44"/>
      <c r="H126" s="45" t="str">
        <f aca="false">IF(M115=1,IF(N(G126)&gt;0,"✔ انقبض — الأسبوع مقفول","⏳ لسا ما انقبض"),"")</f>
        <v/>
      </c>
      <c r="I126" s="45"/>
      <c r="S126" s="0" t="n">
        <v>10</v>
      </c>
    </row>
    <row r="127" customFormat="false" ht="27.75" hidden="false" customHeight="true" outlineLevel="0" collapsed="false">
      <c r="A127" s="23" t="str">
        <f aca="false">IF(11&lt;=NW,"من السبت "&amp;TEXT(DAY(SAT1+70),"00")&amp;"/"&amp;TEXT(MONTH(SAT1+70),"00")&amp;"/"&amp;YEAR(SAT1+70)&amp;" إلى الجمعة "&amp;TEXT(DAY(SAT1+76),"00")&amp;"/"&amp;TEXT(MONTH(SAT1+76),"00")&amp;"/"&amp;YEAR(SAT1+76)&amp;" · الأسبوع 11"&amp;"  (يوم القبض: الجمعة)"&amp;IF(11&lt;START_O,"   — قبل أسبوع البداية (ما بينحسب)",""),"ما في أسبوع 11 هالسنة")</f>
        <v>من السبت 07/03/2026 إلى الجمعة 13/03/2026 · الأسبوع 11  (يوم القبض: الجمعة)   — قبل أسبوع البداية (ما بينحسب)</v>
      </c>
      <c r="B127" s="23"/>
      <c r="C127" s="23"/>
      <c r="D127" s="23"/>
      <c r="E127" s="23"/>
      <c r="F127" s="23"/>
      <c r="G127" s="23"/>
      <c r="H127" s="23"/>
      <c r="I127" s="23"/>
      <c r="L127" s="24" t="n">
        <f aca="false">IF(11&lt;=NW,SAT1+76,"")</f>
        <v>46094</v>
      </c>
      <c r="M127" s="25" t="n">
        <f aca="false">IF(AND(11&lt;=NW,11&gt;=START_O),1,0)</f>
        <v>0</v>
      </c>
      <c r="N127" s="26" t="n">
        <f aca="false">IFERROR(INDEX(RT_OMR,MATCH(L127,RT_K,1)),INDEX(RT_OMR,1))</f>
        <v>1.25</v>
      </c>
      <c r="O127" s="26" t="n">
        <f aca="false">IFERROR(INDEX(RT_OT,MATCH(L127,RT_K,1)),INDEX(RT_OT,1))</f>
        <v>1.5</v>
      </c>
      <c r="P127" s="26" t="n">
        <f aca="false">IFERROR(INDEX(RT_GYP,MATCH(L127,RT_K,1)),INDEX(RT_GYP,1))</f>
        <v>2.5</v>
      </c>
      <c r="R127" s="0" t="n">
        <v>11</v>
      </c>
      <c r="S127" s="0" t="n">
        <v>11</v>
      </c>
    </row>
    <row r="128" customFormat="false" ht="25.5" hidden="false" customHeight="true" outlineLevel="0" collapsed="false">
      <c r="A128" s="27" t="s">
        <v>22</v>
      </c>
      <c r="B128" s="27" t="s">
        <v>23</v>
      </c>
      <c r="C128" s="27" t="s">
        <v>24</v>
      </c>
      <c r="D128" s="27" t="s">
        <v>25</v>
      </c>
      <c r="E128" s="27" t="s">
        <v>26</v>
      </c>
      <c r="F128" s="27" t="s">
        <v>27</v>
      </c>
      <c r="G128" s="27" t="s">
        <v>28</v>
      </c>
      <c r="H128" s="27" t="s">
        <v>29</v>
      </c>
      <c r="I128" s="27" t="s">
        <v>30</v>
      </c>
      <c r="S128" s="0" t="n">
        <v>11</v>
      </c>
    </row>
    <row r="129" customFormat="false" ht="15" hidden="false" customHeight="false" outlineLevel="0" collapsed="false">
      <c r="A129" s="28" t="n">
        <f aca="false">IF(11&lt;=NW,SAT1+70,"")</f>
        <v>46088</v>
      </c>
      <c r="B129" s="29" t="str">
        <f aca="false">IF(A129="","",CHOOSE(WEEKDAY(A129,1),"الأحد","الاثنين","الثلاثاء","الأربعاء","الخميس","الجمعة","السبت"))</f>
        <v>السبت</v>
      </c>
      <c r="C129" s="30"/>
      <c r="D129" s="30"/>
      <c r="E129" s="31" t="str">
        <f aca="false">IF(OR(M129=0,K129="",L129=""),"",MOD(L129-K129,1))</f>
        <v/>
      </c>
      <c r="F129" s="31" t="str">
        <f aca="false">IF(OR(E129="",M129=0),"",IF(WEEKDAY(A129,1)=6,E129,MIN(E129,MAX(0,MIN(IF(L129&lt;K129,L129+1,L129),OMR_OT_AT)-K129))))</f>
        <v/>
      </c>
      <c r="G129" s="31" t="str">
        <f aca="false">IF(OR(E129="",M129=0),"",MAX(0,E129-F129))</f>
        <v/>
      </c>
      <c r="H129" s="32" t="str">
        <f aca="false">IF(OR(E129="",M129=0),"",ROUND((F129*$N$127+G129*$O$127)*24,3))</f>
        <v/>
      </c>
      <c r="I129" s="30"/>
      <c r="K129" s="33" t="str">
        <f aca="false">IF(OR(M129=0,C129=""),"",IF(ISNUMBER(C129),MOD(C129,1),IFERROR(INDEX(القوائم!$B$1:$B$288,MATCH(TRIM(C129),القوائم!$A$1:$A$288,0)),IFERROR(MOD(TIMEVALUE(C129),1),""))))</f>
        <v/>
      </c>
      <c r="L129" s="33" t="str">
        <f aca="false">IF(OR(M129=0,D129=""),"",IF(ISNUMBER(D129),MOD(D129,1),IFERROR(INDEX(القوائم!$B$1:$B$288,MATCH(TRIM(D129),القوائم!$A$1:$A$288,0)),IFERROR(MOD(TIMEVALUE(D129),1),""))))</f>
        <v/>
      </c>
      <c r="M129" s="25" t="n">
        <f aca="false">M127</f>
        <v>0</v>
      </c>
      <c r="Q129" s="25" t="n">
        <f aca="false">IF(N(G138)&gt;0,1,0)</f>
        <v>0</v>
      </c>
      <c r="S129" s="0" t="n">
        <v>11</v>
      </c>
    </row>
    <row r="130" customFormat="false" ht="15" hidden="false" customHeight="false" outlineLevel="0" collapsed="false">
      <c r="A130" s="28" t="n">
        <f aca="false">IF(11&lt;=NW,SAT1+71,"")</f>
        <v>46089</v>
      </c>
      <c r="B130" s="29" t="str">
        <f aca="false">IF(A130="","",CHOOSE(WEEKDAY(A130,1),"الأحد","الاثنين","الثلاثاء","الأربعاء","الخميس","الجمعة","السبت"))</f>
        <v>الأحد</v>
      </c>
      <c r="C130" s="30"/>
      <c r="D130" s="30"/>
      <c r="E130" s="31" t="str">
        <f aca="false">IF(OR(M130=0,K130="",L130=""),"",MOD(L130-K130,1))</f>
        <v/>
      </c>
      <c r="F130" s="31" t="str">
        <f aca="false">IF(OR(E130="",M130=0),"",IF(WEEKDAY(A130,1)=6,E130,MIN(E130,MAX(0,MIN(IF(L130&lt;K130,L130+1,L130),OMR_OT_AT)-K130))))</f>
        <v/>
      </c>
      <c r="G130" s="31" t="str">
        <f aca="false">IF(OR(E130="",M130=0),"",MAX(0,E130-F130))</f>
        <v/>
      </c>
      <c r="H130" s="32" t="str">
        <f aca="false">IF(OR(E130="",M130=0),"",ROUND((F130*$N$127+G130*$O$127)*24,3))</f>
        <v/>
      </c>
      <c r="I130" s="30"/>
      <c r="K130" s="33" t="str">
        <f aca="false">IF(OR(M130=0,C130=""),"",IF(ISNUMBER(C130),MOD(C130,1),IFERROR(INDEX(القوائم!$B$1:$B$288,MATCH(TRIM(C130),القوائم!$A$1:$A$288,0)),IFERROR(MOD(TIMEVALUE(C130),1),""))))</f>
        <v/>
      </c>
      <c r="L130" s="33" t="str">
        <f aca="false">IF(OR(M130=0,D130=""),"",IF(ISNUMBER(D130),MOD(D130,1),IFERROR(INDEX(القوائم!$B$1:$B$288,MATCH(TRIM(D130),القوائم!$A$1:$A$288,0)),IFERROR(MOD(TIMEVALUE(D130),1),""))))</f>
        <v/>
      </c>
      <c r="M130" s="25" t="n">
        <f aca="false">M127</f>
        <v>0</v>
      </c>
      <c r="Q130" s="25" t="n">
        <f aca="false">IF(N(G138)&gt;0,1,0)</f>
        <v>0</v>
      </c>
      <c r="S130" s="0" t="n">
        <v>11</v>
      </c>
    </row>
    <row r="131" customFormat="false" ht="15" hidden="false" customHeight="false" outlineLevel="0" collapsed="false">
      <c r="A131" s="28" t="n">
        <f aca="false">IF(11&lt;=NW,SAT1+72,"")</f>
        <v>46090</v>
      </c>
      <c r="B131" s="29" t="str">
        <f aca="false">IF(A131="","",CHOOSE(WEEKDAY(A131,1),"الأحد","الاثنين","الثلاثاء","الأربعاء","الخميس","الجمعة","السبت"))</f>
        <v>الاثنين</v>
      </c>
      <c r="C131" s="30"/>
      <c r="D131" s="30"/>
      <c r="E131" s="31" t="str">
        <f aca="false">IF(OR(M131=0,K131="",L131=""),"",MOD(L131-K131,1))</f>
        <v/>
      </c>
      <c r="F131" s="31" t="str">
        <f aca="false">IF(OR(E131="",M131=0),"",IF(WEEKDAY(A131,1)=6,E131,MIN(E131,MAX(0,MIN(IF(L131&lt;K131,L131+1,L131),OMR_OT_AT)-K131))))</f>
        <v/>
      </c>
      <c r="G131" s="31" t="str">
        <f aca="false">IF(OR(E131="",M131=0),"",MAX(0,E131-F131))</f>
        <v/>
      </c>
      <c r="H131" s="32" t="str">
        <f aca="false">IF(OR(E131="",M131=0),"",ROUND((F131*$N$127+G131*$O$127)*24,3))</f>
        <v/>
      </c>
      <c r="I131" s="30"/>
      <c r="K131" s="33" t="str">
        <f aca="false">IF(OR(M131=0,C131=""),"",IF(ISNUMBER(C131),MOD(C131,1),IFERROR(INDEX(القوائم!$B$1:$B$288,MATCH(TRIM(C131),القوائم!$A$1:$A$288,0)),IFERROR(MOD(TIMEVALUE(C131),1),""))))</f>
        <v/>
      </c>
      <c r="L131" s="33" t="str">
        <f aca="false">IF(OR(M131=0,D131=""),"",IF(ISNUMBER(D131),MOD(D131,1),IFERROR(INDEX(القوائم!$B$1:$B$288,MATCH(TRIM(D131),القوائم!$A$1:$A$288,0)),IFERROR(MOD(TIMEVALUE(D131),1),""))))</f>
        <v/>
      </c>
      <c r="M131" s="25" t="n">
        <f aca="false">M127</f>
        <v>0</v>
      </c>
      <c r="Q131" s="25" t="n">
        <f aca="false">IF(N(G138)&gt;0,1,0)</f>
        <v>0</v>
      </c>
      <c r="S131" s="0" t="n">
        <v>11</v>
      </c>
    </row>
    <row r="132" customFormat="false" ht="15" hidden="false" customHeight="false" outlineLevel="0" collapsed="false">
      <c r="A132" s="28" t="n">
        <f aca="false">IF(11&lt;=NW,SAT1+73,"")</f>
        <v>46091</v>
      </c>
      <c r="B132" s="29" t="str">
        <f aca="false">IF(A132="","",CHOOSE(WEEKDAY(A132,1),"الأحد","الاثنين","الثلاثاء","الأربعاء","الخميس","الجمعة","السبت"))</f>
        <v>الثلاثاء</v>
      </c>
      <c r="C132" s="30"/>
      <c r="D132" s="30"/>
      <c r="E132" s="31" t="str">
        <f aca="false">IF(OR(M132=0,K132="",L132=""),"",MOD(L132-K132,1))</f>
        <v/>
      </c>
      <c r="F132" s="31" t="str">
        <f aca="false">IF(OR(E132="",M132=0),"",IF(WEEKDAY(A132,1)=6,E132,MIN(E132,MAX(0,MIN(IF(L132&lt;K132,L132+1,L132),OMR_OT_AT)-K132))))</f>
        <v/>
      </c>
      <c r="G132" s="31" t="str">
        <f aca="false">IF(OR(E132="",M132=0),"",MAX(0,E132-F132))</f>
        <v/>
      </c>
      <c r="H132" s="32" t="str">
        <f aca="false">IF(OR(E132="",M132=0),"",ROUND((F132*$N$127+G132*$O$127)*24,3))</f>
        <v/>
      </c>
      <c r="I132" s="30"/>
      <c r="K132" s="33" t="str">
        <f aca="false">IF(OR(M132=0,C132=""),"",IF(ISNUMBER(C132),MOD(C132,1),IFERROR(INDEX(القوائم!$B$1:$B$288,MATCH(TRIM(C132),القوائم!$A$1:$A$288,0)),IFERROR(MOD(TIMEVALUE(C132),1),""))))</f>
        <v/>
      </c>
      <c r="L132" s="33" t="str">
        <f aca="false">IF(OR(M132=0,D132=""),"",IF(ISNUMBER(D132),MOD(D132,1),IFERROR(INDEX(القوائم!$B$1:$B$288,MATCH(TRIM(D132),القوائم!$A$1:$A$288,0)),IFERROR(MOD(TIMEVALUE(D132),1),""))))</f>
        <v/>
      </c>
      <c r="M132" s="25" t="n">
        <f aca="false">M127</f>
        <v>0</v>
      </c>
      <c r="Q132" s="25" t="n">
        <f aca="false">IF(N(G138)&gt;0,1,0)</f>
        <v>0</v>
      </c>
      <c r="S132" s="0" t="n">
        <v>11</v>
      </c>
    </row>
    <row r="133" customFormat="false" ht="15" hidden="false" customHeight="false" outlineLevel="0" collapsed="false">
      <c r="A133" s="28" t="n">
        <f aca="false">IF(11&lt;=NW,SAT1+74,"")</f>
        <v>46092</v>
      </c>
      <c r="B133" s="29" t="str">
        <f aca="false">IF(A133="","",CHOOSE(WEEKDAY(A133,1),"الأحد","الاثنين","الثلاثاء","الأربعاء","الخميس","الجمعة","السبت"))</f>
        <v>الأربعاء</v>
      </c>
      <c r="C133" s="30"/>
      <c r="D133" s="30"/>
      <c r="E133" s="31" t="str">
        <f aca="false">IF(OR(M133=0,K133="",L133=""),"",MOD(L133-K133,1))</f>
        <v/>
      </c>
      <c r="F133" s="31" t="str">
        <f aca="false">IF(OR(E133="",M133=0),"",IF(WEEKDAY(A133,1)=6,E133,MIN(E133,MAX(0,MIN(IF(L133&lt;K133,L133+1,L133),OMR_OT_AT)-K133))))</f>
        <v/>
      </c>
      <c r="G133" s="31" t="str">
        <f aca="false">IF(OR(E133="",M133=0),"",MAX(0,E133-F133))</f>
        <v/>
      </c>
      <c r="H133" s="32" t="str">
        <f aca="false">IF(OR(E133="",M133=0),"",ROUND((F133*$N$127+G133*$O$127)*24,3))</f>
        <v/>
      </c>
      <c r="I133" s="30"/>
      <c r="K133" s="33" t="str">
        <f aca="false">IF(OR(M133=0,C133=""),"",IF(ISNUMBER(C133),MOD(C133,1),IFERROR(INDEX(القوائم!$B$1:$B$288,MATCH(TRIM(C133),القوائم!$A$1:$A$288,0)),IFERROR(MOD(TIMEVALUE(C133),1),""))))</f>
        <v/>
      </c>
      <c r="L133" s="33" t="str">
        <f aca="false">IF(OR(M133=0,D133=""),"",IF(ISNUMBER(D133),MOD(D133,1),IFERROR(INDEX(القوائم!$B$1:$B$288,MATCH(TRIM(D133),القوائم!$A$1:$A$288,0)),IFERROR(MOD(TIMEVALUE(D133),1),""))))</f>
        <v/>
      </c>
      <c r="M133" s="25" t="n">
        <f aca="false">M127</f>
        <v>0</v>
      </c>
      <c r="Q133" s="25" t="n">
        <f aca="false">IF(N(G138)&gt;0,1,0)</f>
        <v>0</v>
      </c>
      <c r="S133" s="0" t="n">
        <v>11</v>
      </c>
    </row>
    <row r="134" customFormat="false" ht="15" hidden="false" customHeight="false" outlineLevel="0" collapsed="false">
      <c r="A134" s="28" t="n">
        <f aca="false">IF(11&lt;=NW,SAT1+75,"")</f>
        <v>46093</v>
      </c>
      <c r="B134" s="29" t="str">
        <f aca="false">IF(A134="","",CHOOSE(WEEKDAY(A134,1),"الأحد","الاثنين","الثلاثاء","الأربعاء","الخميس","الجمعة","السبت"))</f>
        <v>الخميس</v>
      </c>
      <c r="C134" s="30"/>
      <c r="D134" s="30"/>
      <c r="E134" s="31" t="str">
        <f aca="false">IF(OR(M134=0,K134="",L134=""),"",MOD(L134-K134,1))</f>
        <v/>
      </c>
      <c r="F134" s="31" t="str">
        <f aca="false">IF(OR(E134="",M134=0),"",IF(WEEKDAY(A134,1)=6,E134,MIN(E134,MAX(0,MIN(IF(L134&lt;K134,L134+1,L134),OMR_OT_AT)-K134))))</f>
        <v/>
      </c>
      <c r="G134" s="31" t="str">
        <f aca="false">IF(OR(E134="",M134=0),"",MAX(0,E134-F134))</f>
        <v/>
      </c>
      <c r="H134" s="32" t="str">
        <f aca="false">IF(OR(E134="",M134=0),"",ROUND((F134*$N$127+G134*$O$127)*24,3))</f>
        <v/>
      </c>
      <c r="I134" s="30"/>
      <c r="K134" s="33" t="str">
        <f aca="false">IF(OR(M134=0,C134=""),"",IF(ISNUMBER(C134),MOD(C134,1),IFERROR(INDEX(القوائم!$B$1:$B$288,MATCH(TRIM(C134),القوائم!$A$1:$A$288,0)),IFERROR(MOD(TIMEVALUE(C134),1),""))))</f>
        <v/>
      </c>
      <c r="L134" s="33" t="str">
        <f aca="false">IF(OR(M134=0,D134=""),"",IF(ISNUMBER(D134),MOD(D134,1),IFERROR(INDEX(القوائم!$B$1:$B$288,MATCH(TRIM(D134),القوائم!$A$1:$A$288,0)),IFERROR(MOD(TIMEVALUE(D134),1),""))))</f>
        <v/>
      </c>
      <c r="M134" s="25" t="n">
        <f aca="false">M127</f>
        <v>0</v>
      </c>
      <c r="Q134" s="25" t="n">
        <f aca="false">IF(N(G138)&gt;0,1,0)</f>
        <v>0</v>
      </c>
      <c r="S134" s="0" t="n">
        <v>11</v>
      </c>
    </row>
    <row r="135" customFormat="false" ht="15" hidden="false" customHeight="false" outlineLevel="0" collapsed="false">
      <c r="A135" s="34" t="n">
        <f aca="false">IF(11&lt;=NW,SAT1+76,"")</f>
        <v>46094</v>
      </c>
      <c r="B135" s="35" t="str">
        <f aca="false">IF(A135="","",CHOOSE(WEEKDAY(A135,1),"الأحد","الاثنين","الثلاثاء","الأربعاء","الخميس","الجمعة","السبت"))</f>
        <v>الجمعة</v>
      </c>
      <c r="C135" s="30"/>
      <c r="D135" s="30"/>
      <c r="E135" s="31" t="str">
        <f aca="false">IF(OR(M135=0,K135="",L135=""),"",MOD(L135-K135,1))</f>
        <v/>
      </c>
      <c r="F135" s="31" t="str">
        <f aca="false">IF(OR(E135="",M135=0),"",IF(WEEKDAY(A135,1)=6,E135,MIN(E135,MAX(0,MIN(IF(L135&lt;K135,L135+1,L135),OMR_OT_AT)-K135))))</f>
        <v/>
      </c>
      <c r="G135" s="31" t="str">
        <f aca="false">IF(OR(E135="",M135=0),"",MAX(0,E135-F135))</f>
        <v/>
      </c>
      <c r="H135" s="32" t="str">
        <f aca="false">IF(OR(E135="",M135=0),"",ROUND((F135*$N$127+G135*$O$127)*24,3))</f>
        <v/>
      </c>
      <c r="I135" s="30"/>
      <c r="K135" s="33" t="str">
        <f aca="false">IF(OR(M135=0,C135=""),"",IF(ISNUMBER(C135),MOD(C135,1),IFERROR(INDEX(القوائم!$B$1:$B$288,MATCH(TRIM(C135),القوائم!$A$1:$A$288,0)),IFERROR(MOD(TIMEVALUE(C135),1),""))))</f>
        <v/>
      </c>
      <c r="L135" s="33" t="str">
        <f aca="false">IF(OR(M135=0,D135=""),"",IF(ISNUMBER(D135),MOD(D135,1),IFERROR(INDEX(القوائم!$B$1:$B$288,MATCH(TRIM(D135),القوائم!$A$1:$A$288,0)),IFERROR(MOD(TIMEVALUE(D135),1),""))))</f>
        <v/>
      </c>
      <c r="M135" s="25" t="n">
        <f aca="false">M127</f>
        <v>0</v>
      </c>
      <c r="Q135" s="25" t="n">
        <f aca="false">IF(N(G138)&gt;0,1,0)</f>
        <v>0</v>
      </c>
      <c r="S135" s="0" t="n">
        <v>11</v>
      </c>
    </row>
    <row r="136" customFormat="false" ht="15" hidden="false" customHeight="false" outlineLevel="0" collapsed="false">
      <c r="A136" s="36" t="str">
        <f aca="false">IF(M127=1,"مجموع أيام الأسبوع 11","")</f>
        <v/>
      </c>
      <c r="B136" s="36"/>
      <c r="C136" s="36"/>
      <c r="D136" s="36"/>
      <c r="E136" s="37" t="str">
        <f aca="false">IF(M127=1,SUM(E129:E135),"")</f>
        <v/>
      </c>
      <c r="F136" s="37" t="str">
        <f aca="false">IF(M127=1,SUM(F129:F135),"")</f>
        <v/>
      </c>
      <c r="G136" s="37" t="str">
        <f aca="false">IF(M127=1,SUM(G129:G135),"")</f>
        <v/>
      </c>
      <c r="H136" s="38" t="str">
        <f aca="false">IF(M127=1,SUM(H129:H135),"")</f>
        <v/>
      </c>
      <c r="I136" s="36"/>
      <c r="S136" s="0" t="n">
        <v>11</v>
      </c>
    </row>
    <row r="137" customFormat="false" ht="31.5" hidden="false" customHeight="true" outlineLevel="0" collapsed="false">
      <c r="A137" s="39" t="str">
        <f aca="false">IF(M127=1,"ساعات تحميل الجبسمبورد بهالأسبوع (رقم: 2 أو 1.5) ←","")</f>
        <v/>
      </c>
      <c r="B137" s="39"/>
      <c r="C137" s="39"/>
      <c r="D137" s="39"/>
      <c r="E137" s="40"/>
      <c r="F137" s="41" t="str">
        <f aca="false">IF(M127=1,"المستحق النهائي للأسبوع مع الإكرامية (دينار) ←","")</f>
        <v/>
      </c>
      <c r="G137" s="41"/>
      <c r="H137" s="42" t="str">
        <f aca="false">IF(M127=1,IF(ROUND_MODE="للأعلى",CEILING(ROUND((N(H136)+N(E137)*($P$127-$N$127)),3),0.25),ROUND((N(H136)+N(E137)*($P$127-$N$127))*4,0)/4)+N(D138),"")</f>
        <v/>
      </c>
      <c r="I137" s="43" t="str">
        <f aca="false">IF(M127=1,"قبل الجبر: "&amp;TEXT(N(H136)+N(E137)*($P$127-$N$127),"0.000")&amp;IF(N(D138)&gt;0," + إكرامية "&amp;TEXT(D138,"0.000"),""),"")</f>
        <v/>
      </c>
      <c r="S137" s="0" t="n">
        <v>11</v>
      </c>
    </row>
    <row r="138" customFormat="false" ht="25.5" hidden="false" customHeight="true" outlineLevel="0" collapsed="false">
      <c r="A138" s="39" t="str">
        <f aca="false">IF(M127=1,"إكرامية الأسبوع (دينار) ←","")</f>
        <v/>
      </c>
      <c r="B138" s="39"/>
      <c r="C138" s="39"/>
      <c r="D138" s="44"/>
      <c r="E138" s="39" t="str">
        <f aca="false">IF(M127=1,"المدفوع (دينار) ←","")</f>
        <v/>
      </c>
      <c r="F138" s="39"/>
      <c r="G138" s="44"/>
      <c r="H138" s="45" t="str">
        <f aca="false">IF(M127=1,IF(N(G138)&gt;0,"✔ انقبض — الأسبوع مقفول","⏳ لسا ما انقبض"),"")</f>
        <v/>
      </c>
      <c r="I138" s="45"/>
      <c r="S138" s="0" t="n">
        <v>11</v>
      </c>
    </row>
    <row r="139" customFormat="false" ht="27.75" hidden="false" customHeight="true" outlineLevel="0" collapsed="false">
      <c r="A139" s="23" t="str">
        <f aca="false">IF(12&lt;=NW,"من السبت "&amp;TEXT(DAY(SAT1+77),"00")&amp;"/"&amp;TEXT(MONTH(SAT1+77),"00")&amp;"/"&amp;YEAR(SAT1+77)&amp;" إلى الجمعة "&amp;TEXT(DAY(SAT1+83),"00")&amp;"/"&amp;TEXT(MONTH(SAT1+83),"00")&amp;"/"&amp;YEAR(SAT1+83)&amp;" · الأسبوع 12"&amp;"  (يوم القبض: الجمعة)"&amp;IF(12&lt;START_O,"   — قبل أسبوع البداية (ما بينحسب)",""),"ما في أسبوع 12 هالسنة")</f>
        <v>من السبت 14/03/2026 إلى الجمعة 20/03/2026 · الأسبوع 12  (يوم القبض: الجمعة)   — قبل أسبوع البداية (ما بينحسب)</v>
      </c>
      <c r="B139" s="23"/>
      <c r="C139" s="23"/>
      <c r="D139" s="23"/>
      <c r="E139" s="23"/>
      <c r="F139" s="23"/>
      <c r="G139" s="23"/>
      <c r="H139" s="23"/>
      <c r="I139" s="23"/>
      <c r="L139" s="24" t="n">
        <f aca="false">IF(12&lt;=NW,SAT1+83,"")</f>
        <v>46101</v>
      </c>
      <c r="M139" s="25" t="n">
        <f aca="false">IF(AND(12&lt;=NW,12&gt;=START_O),1,0)</f>
        <v>0</v>
      </c>
      <c r="N139" s="26" t="n">
        <f aca="false">IFERROR(INDEX(RT_OMR,MATCH(L139,RT_K,1)),INDEX(RT_OMR,1))</f>
        <v>1.25</v>
      </c>
      <c r="O139" s="26" t="n">
        <f aca="false">IFERROR(INDEX(RT_OT,MATCH(L139,RT_K,1)),INDEX(RT_OT,1))</f>
        <v>1.5</v>
      </c>
      <c r="P139" s="26" t="n">
        <f aca="false">IFERROR(INDEX(RT_GYP,MATCH(L139,RT_K,1)),INDEX(RT_GYP,1))</f>
        <v>2.5</v>
      </c>
      <c r="R139" s="0" t="n">
        <v>12</v>
      </c>
      <c r="S139" s="0" t="n">
        <v>12</v>
      </c>
    </row>
    <row r="140" customFormat="false" ht="25.5" hidden="false" customHeight="true" outlineLevel="0" collapsed="false">
      <c r="A140" s="27" t="s">
        <v>22</v>
      </c>
      <c r="B140" s="27" t="s">
        <v>23</v>
      </c>
      <c r="C140" s="27" t="s">
        <v>24</v>
      </c>
      <c r="D140" s="27" t="s">
        <v>25</v>
      </c>
      <c r="E140" s="27" t="s">
        <v>26</v>
      </c>
      <c r="F140" s="27" t="s">
        <v>27</v>
      </c>
      <c r="G140" s="27" t="s">
        <v>28</v>
      </c>
      <c r="H140" s="27" t="s">
        <v>29</v>
      </c>
      <c r="I140" s="27" t="s">
        <v>30</v>
      </c>
      <c r="S140" s="0" t="n">
        <v>12</v>
      </c>
    </row>
    <row r="141" customFormat="false" ht="15" hidden="false" customHeight="false" outlineLevel="0" collapsed="false">
      <c r="A141" s="28" t="n">
        <f aca="false">IF(12&lt;=NW,SAT1+77,"")</f>
        <v>46095</v>
      </c>
      <c r="B141" s="29" t="str">
        <f aca="false">IF(A141="","",CHOOSE(WEEKDAY(A141,1),"الأحد","الاثنين","الثلاثاء","الأربعاء","الخميس","الجمعة","السبت"))</f>
        <v>السبت</v>
      </c>
      <c r="C141" s="30"/>
      <c r="D141" s="30"/>
      <c r="E141" s="31" t="str">
        <f aca="false">IF(OR(M141=0,K141="",L141=""),"",MOD(L141-K141,1))</f>
        <v/>
      </c>
      <c r="F141" s="31" t="str">
        <f aca="false">IF(OR(E141="",M141=0),"",IF(WEEKDAY(A141,1)=6,E141,MIN(E141,MAX(0,MIN(IF(L141&lt;K141,L141+1,L141),OMR_OT_AT)-K141))))</f>
        <v/>
      </c>
      <c r="G141" s="31" t="str">
        <f aca="false">IF(OR(E141="",M141=0),"",MAX(0,E141-F141))</f>
        <v/>
      </c>
      <c r="H141" s="32" t="str">
        <f aca="false">IF(OR(E141="",M141=0),"",ROUND((F141*$N$139+G141*$O$139)*24,3))</f>
        <v/>
      </c>
      <c r="I141" s="30"/>
      <c r="K141" s="33" t="str">
        <f aca="false">IF(OR(M141=0,C141=""),"",IF(ISNUMBER(C141),MOD(C141,1),IFERROR(INDEX(القوائم!$B$1:$B$288,MATCH(TRIM(C141),القوائم!$A$1:$A$288,0)),IFERROR(MOD(TIMEVALUE(C141),1),""))))</f>
        <v/>
      </c>
      <c r="L141" s="33" t="str">
        <f aca="false">IF(OR(M141=0,D141=""),"",IF(ISNUMBER(D141),MOD(D141,1),IFERROR(INDEX(القوائم!$B$1:$B$288,MATCH(TRIM(D141),القوائم!$A$1:$A$288,0)),IFERROR(MOD(TIMEVALUE(D141),1),""))))</f>
        <v/>
      </c>
      <c r="M141" s="25" t="n">
        <f aca="false">M139</f>
        <v>0</v>
      </c>
      <c r="Q141" s="25" t="n">
        <f aca="false">IF(N(G150)&gt;0,1,0)</f>
        <v>0</v>
      </c>
      <c r="S141" s="0" t="n">
        <v>12</v>
      </c>
    </row>
    <row r="142" customFormat="false" ht="15" hidden="false" customHeight="false" outlineLevel="0" collapsed="false">
      <c r="A142" s="28" t="n">
        <f aca="false">IF(12&lt;=NW,SAT1+78,"")</f>
        <v>46096</v>
      </c>
      <c r="B142" s="29" t="str">
        <f aca="false">IF(A142="","",CHOOSE(WEEKDAY(A142,1),"الأحد","الاثنين","الثلاثاء","الأربعاء","الخميس","الجمعة","السبت"))</f>
        <v>الأحد</v>
      </c>
      <c r="C142" s="30"/>
      <c r="D142" s="30"/>
      <c r="E142" s="31" t="str">
        <f aca="false">IF(OR(M142=0,K142="",L142=""),"",MOD(L142-K142,1))</f>
        <v/>
      </c>
      <c r="F142" s="31" t="str">
        <f aca="false">IF(OR(E142="",M142=0),"",IF(WEEKDAY(A142,1)=6,E142,MIN(E142,MAX(0,MIN(IF(L142&lt;K142,L142+1,L142),OMR_OT_AT)-K142))))</f>
        <v/>
      </c>
      <c r="G142" s="31" t="str">
        <f aca="false">IF(OR(E142="",M142=0),"",MAX(0,E142-F142))</f>
        <v/>
      </c>
      <c r="H142" s="32" t="str">
        <f aca="false">IF(OR(E142="",M142=0),"",ROUND((F142*$N$139+G142*$O$139)*24,3))</f>
        <v/>
      </c>
      <c r="I142" s="30"/>
      <c r="K142" s="33" t="str">
        <f aca="false">IF(OR(M142=0,C142=""),"",IF(ISNUMBER(C142),MOD(C142,1),IFERROR(INDEX(القوائم!$B$1:$B$288,MATCH(TRIM(C142),القوائم!$A$1:$A$288,0)),IFERROR(MOD(TIMEVALUE(C142),1),""))))</f>
        <v/>
      </c>
      <c r="L142" s="33" t="str">
        <f aca="false">IF(OR(M142=0,D142=""),"",IF(ISNUMBER(D142),MOD(D142,1),IFERROR(INDEX(القوائم!$B$1:$B$288,MATCH(TRIM(D142),القوائم!$A$1:$A$288,0)),IFERROR(MOD(TIMEVALUE(D142),1),""))))</f>
        <v/>
      </c>
      <c r="M142" s="25" t="n">
        <f aca="false">M139</f>
        <v>0</v>
      </c>
      <c r="Q142" s="25" t="n">
        <f aca="false">IF(N(G150)&gt;0,1,0)</f>
        <v>0</v>
      </c>
      <c r="S142" s="0" t="n">
        <v>12</v>
      </c>
    </row>
    <row r="143" customFormat="false" ht="15" hidden="false" customHeight="false" outlineLevel="0" collapsed="false">
      <c r="A143" s="28" t="n">
        <f aca="false">IF(12&lt;=NW,SAT1+79,"")</f>
        <v>46097</v>
      </c>
      <c r="B143" s="29" t="str">
        <f aca="false">IF(A143="","",CHOOSE(WEEKDAY(A143,1),"الأحد","الاثنين","الثلاثاء","الأربعاء","الخميس","الجمعة","السبت"))</f>
        <v>الاثنين</v>
      </c>
      <c r="C143" s="30"/>
      <c r="D143" s="30"/>
      <c r="E143" s="31" t="str">
        <f aca="false">IF(OR(M143=0,K143="",L143=""),"",MOD(L143-K143,1))</f>
        <v/>
      </c>
      <c r="F143" s="31" t="str">
        <f aca="false">IF(OR(E143="",M143=0),"",IF(WEEKDAY(A143,1)=6,E143,MIN(E143,MAX(0,MIN(IF(L143&lt;K143,L143+1,L143),OMR_OT_AT)-K143))))</f>
        <v/>
      </c>
      <c r="G143" s="31" t="str">
        <f aca="false">IF(OR(E143="",M143=0),"",MAX(0,E143-F143))</f>
        <v/>
      </c>
      <c r="H143" s="32" t="str">
        <f aca="false">IF(OR(E143="",M143=0),"",ROUND((F143*$N$139+G143*$O$139)*24,3))</f>
        <v/>
      </c>
      <c r="I143" s="30"/>
      <c r="K143" s="33" t="str">
        <f aca="false">IF(OR(M143=0,C143=""),"",IF(ISNUMBER(C143),MOD(C143,1),IFERROR(INDEX(القوائم!$B$1:$B$288,MATCH(TRIM(C143),القوائم!$A$1:$A$288,0)),IFERROR(MOD(TIMEVALUE(C143),1),""))))</f>
        <v/>
      </c>
      <c r="L143" s="33" t="str">
        <f aca="false">IF(OR(M143=0,D143=""),"",IF(ISNUMBER(D143),MOD(D143,1),IFERROR(INDEX(القوائم!$B$1:$B$288,MATCH(TRIM(D143),القوائم!$A$1:$A$288,0)),IFERROR(MOD(TIMEVALUE(D143),1),""))))</f>
        <v/>
      </c>
      <c r="M143" s="25" t="n">
        <f aca="false">M139</f>
        <v>0</v>
      </c>
      <c r="Q143" s="25" t="n">
        <f aca="false">IF(N(G150)&gt;0,1,0)</f>
        <v>0</v>
      </c>
      <c r="S143" s="0" t="n">
        <v>12</v>
      </c>
    </row>
    <row r="144" customFormat="false" ht="15" hidden="false" customHeight="false" outlineLevel="0" collapsed="false">
      <c r="A144" s="28" t="n">
        <f aca="false">IF(12&lt;=NW,SAT1+80,"")</f>
        <v>46098</v>
      </c>
      <c r="B144" s="29" t="str">
        <f aca="false">IF(A144="","",CHOOSE(WEEKDAY(A144,1),"الأحد","الاثنين","الثلاثاء","الأربعاء","الخميس","الجمعة","السبت"))</f>
        <v>الثلاثاء</v>
      </c>
      <c r="C144" s="30"/>
      <c r="D144" s="30"/>
      <c r="E144" s="31" t="str">
        <f aca="false">IF(OR(M144=0,K144="",L144=""),"",MOD(L144-K144,1))</f>
        <v/>
      </c>
      <c r="F144" s="31" t="str">
        <f aca="false">IF(OR(E144="",M144=0),"",IF(WEEKDAY(A144,1)=6,E144,MIN(E144,MAX(0,MIN(IF(L144&lt;K144,L144+1,L144),OMR_OT_AT)-K144))))</f>
        <v/>
      </c>
      <c r="G144" s="31" t="str">
        <f aca="false">IF(OR(E144="",M144=0),"",MAX(0,E144-F144))</f>
        <v/>
      </c>
      <c r="H144" s="32" t="str">
        <f aca="false">IF(OR(E144="",M144=0),"",ROUND((F144*$N$139+G144*$O$139)*24,3))</f>
        <v/>
      </c>
      <c r="I144" s="30"/>
      <c r="K144" s="33" t="str">
        <f aca="false">IF(OR(M144=0,C144=""),"",IF(ISNUMBER(C144),MOD(C144,1),IFERROR(INDEX(القوائم!$B$1:$B$288,MATCH(TRIM(C144),القوائم!$A$1:$A$288,0)),IFERROR(MOD(TIMEVALUE(C144),1),""))))</f>
        <v/>
      </c>
      <c r="L144" s="33" t="str">
        <f aca="false">IF(OR(M144=0,D144=""),"",IF(ISNUMBER(D144),MOD(D144,1),IFERROR(INDEX(القوائم!$B$1:$B$288,MATCH(TRIM(D144),القوائم!$A$1:$A$288,0)),IFERROR(MOD(TIMEVALUE(D144),1),""))))</f>
        <v/>
      </c>
      <c r="M144" s="25" t="n">
        <f aca="false">M139</f>
        <v>0</v>
      </c>
      <c r="Q144" s="25" t="n">
        <f aca="false">IF(N(G150)&gt;0,1,0)</f>
        <v>0</v>
      </c>
      <c r="S144" s="0" t="n">
        <v>12</v>
      </c>
    </row>
    <row r="145" customFormat="false" ht="15" hidden="false" customHeight="false" outlineLevel="0" collapsed="false">
      <c r="A145" s="28" t="n">
        <f aca="false">IF(12&lt;=NW,SAT1+81,"")</f>
        <v>46099</v>
      </c>
      <c r="B145" s="29" t="str">
        <f aca="false">IF(A145="","",CHOOSE(WEEKDAY(A145,1),"الأحد","الاثنين","الثلاثاء","الأربعاء","الخميس","الجمعة","السبت"))</f>
        <v>الأربعاء</v>
      </c>
      <c r="C145" s="30"/>
      <c r="D145" s="30"/>
      <c r="E145" s="31" t="str">
        <f aca="false">IF(OR(M145=0,K145="",L145=""),"",MOD(L145-K145,1))</f>
        <v/>
      </c>
      <c r="F145" s="31" t="str">
        <f aca="false">IF(OR(E145="",M145=0),"",IF(WEEKDAY(A145,1)=6,E145,MIN(E145,MAX(0,MIN(IF(L145&lt;K145,L145+1,L145),OMR_OT_AT)-K145))))</f>
        <v/>
      </c>
      <c r="G145" s="31" t="str">
        <f aca="false">IF(OR(E145="",M145=0),"",MAX(0,E145-F145))</f>
        <v/>
      </c>
      <c r="H145" s="32" t="str">
        <f aca="false">IF(OR(E145="",M145=0),"",ROUND((F145*$N$139+G145*$O$139)*24,3))</f>
        <v/>
      </c>
      <c r="I145" s="30"/>
      <c r="K145" s="33" t="str">
        <f aca="false">IF(OR(M145=0,C145=""),"",IF(ISNUMBER(C145),MOD(C145,1),IFERROR(INDEX(القوائم!$B$1:$B$288,MATCH(TRIM(C145),القوائم!$A$1:$A$288,0)),IFERROR(MOD(TIMEVALUE(C145),1),""))))</f>
        <v/>
      </c>
      <c r="L145" s="33" t="str">
        <f aca="false">IF(OR(M145=0,D145=""),"",IF(ISNUMBER(D145),MOD(D145,1),IFERROR(INDEX(القوائم!$B$1:$B$288,MATCH(TRIM(D145),القوائم!$A$1:$A$288,0)),IFERROR(MOD(TIMEVALUE(D145),1),""))))</f>
        <v/>
      </c>
      <c r="M145" s="25" t="n">
        <f aca="false">M139</f>
        <v>0</v>
      </c>
      <c r="Q145" s="25" t="n">
        <f aca="false">IF(N(G150)&gt;0,1,0)</f>
        <v>0</v>
      </c>
      <c r="S145" s="0" t="n">
        <v>12</v>
      </c>
    </row>
    <row r="146" customFormat="false" ht="15" hidden="false" customHeight="false" outlineLevel="0" collapsed="false">
      <c r="A146" s="28" t="n">
        <f aca="false">IF(12&lt;=NW,SAT1+82,"")</f>
        <v>46100</v>
      </c>
      <c r="B146" s="29" t="str">
        <f aca="false">IF(A146="","",CHOOSE(WEEKDAY(A146,1),"الأحد","الاثنين","الثلاثاء","الأربعاء","الخميس","الجمعة","السبت"))</f>
        <v>الخميس</v>
      </c>
      <c r="C146" s="30"/>
      <c r="D146" s="30"/>
      <c r="E146" s="31" t="str">
        <f aca="false">IF(OR(M146=0,K146="",L146=""),"",MOD(L146-K146,1))</f>
        <v/>
      </c>
      <c r="F146" s="31" t="str">
        <f aca="false">IF(OR(E146="",M146=0),"",IF(WEEKDAY(A146,1)=6,E146,MIN(E146,MAX(0,MIN(IF(L146&lt;K146,L146+1,L146),OMR_OT_AT)-K146))))</f>
        <v/>
      </c>
      <c r="G146" s="31" t="str">
        <f aca="false">IF(OR(E146="",M146=0),"",MAX(0,E146-F146))</f>
        <v/>
      </c>
      <c r="H146" s="32" t="str">
        <f aca="false">IF(OR(E146="",M146=0),"",ROUND((F146*$N$139+G146*$O$139)*24,3))</f>
        <v/>
      </c>
      <c r="I146" s="30"/>
      <c r="K146" s="33" t="str">
        <f aca="false">IF(OR(M146=0,C146=""),"",IF(ISNUMBER(C146),MOD(C146,1),IFERROR(INDEX(القوائم!$B$1:$B$288,MATCH(TRIM(C146),القوائم!$A$1:$A$288,0)),IFERROR(MOD(TIMEVALUE(C146),1),""))))</f>
        <v/>
      </c>
      <c r="L146" s="33" t="str">
        <f aca="false">IF(OR(M146=0,D146=""),"",IF(ISNUMBER(D146),MOD(D146,1),IFERROR(INDEX(القوائم!$B$1:$B$288,MATCH(TRIM(D146),القوائم!$A$1:$A$288,0)),IFERROR(MOD(TIMEVALUE(D146),1),""))))</f>
        <v/>
      </c>
      <c r="M146" s="25" t="n">
        <f aca="false">M139</f>
        <v>0</v>
      </c>
      <c r="Q146" s="25" t="n">
        <f aca="false">IF(N(G150)&gt;0,1,0)</f>
        <v>0</v>
      </c>
      <c r="S146" s="0" t="n">
        <v>12</v>
      </c>
    </row>
    <row r="147" customFormat="false" ht="15" hidden="false" customHeight="false" outlineLevel="0" collapsed="false">
      <c r="A147" s="34" t="n">
        <f aca="false">IF(12&lt;=NW,SAT1+83,"")</f>
        <v>46101</v>
      </c>
      <c r="B147" s="35" t="str">
        <f aca="false">IF(A147="","",CHOOSE(WEEKDAY(A147,1),"الأحد","الاثنين","الثلاثاء","الأربعاء","الخميس","الجمعة","السبت"))</f>
        <v>الجمعة</v>
      </c>
      <c r="C147" s="30"/>
      <c r="D147" s="30"/>
      <c r="E147" s="31" t="str">
        <f aca="false">IF(OR(M147=0,K147="",L147=""),"",MOD(L147-K147,1))</f>
        <v/>
      </c>
      <c r="F147" s="31" t="str">
        <f aca="false">IF(OR(E147="",M147=0),"",IF(WEEKDAY(A147,1)=6,E147,MIN(E147,MAX(0,MIN(IF(L147&lt;K147,L147+1,L147),OMR_OT_AT)-K147))))</f>
        <v/>
      </c>
      <c r="G147" s="31" t="str">
        <f aca="false">IF(OR(E147="",M147=0),"",MAX(0,E147-F147))</f>
        <v/>
      </c>
      <c r="H147" s="32" t="str">
        <f aca="false">IF(OR(E147="",M147=0),"",ROUND((F147*$N$139+G147*$O$139)*24,3))</f>
        <v/>
      </c>
      <c r="I147" s="30"/>
      <c r="K147" s="33" t="str">
        <f aca="false">IF(OR(M147=0,C147=""),"",IF(ISNUMBER(C147),MOD(C147,1),IFERROR(INDEX(القوائم!$B$1:$B$288,MATCH(TRIM(C147),القوائم!$A$1:$A$288,0)),IFERROR(MOD(TIMEVALUE(C147),1),""))))</f>
        <v/>
      </c>
      <c r="L147" s="33" t="str">
        <f aca="false">IF(OR(M147=0,D147=""),"",IF(ISNUMBER(D147),MOD(D147,1),IFERROR(INDEX(القوائم!$B$1:$B$288,MATCH(TRIM(D147),القوائم!$A$1:$A$288,0)),IFERROR(MOD(TIMEVALUE(D147),1),""))))</f>
        <v/>
      </c>
      <c r="M147" s="25" t="n">
        <f aca="false">M139</f>
        <v>0</v>
      </c>
      <c r="Q147" s="25" t="n">
        <f aca="false">IF(N(G150)&gt;0,1,0)</f>
        <v>0</v>
      </c>
      <c r="S147" s="0" t="n">
        <v>12</v>
      </c>
    </row>
    <row r="148" customFormat="false" ht="15" hidden="false" customHeight="false" outlineLevel="0" collapsed="false">
      <c r="A148" s="36" t="str">
        <f aca="false">IF(M139=1,"مجموع أيام الأسبوع 12","")</f>
        <v/>
      </c>
      <c r="B148" s="36"/>
      <c r="C148" s="36"/>
      <c r="D148" s="36"/>
      <c r="E148" s="37" t="str">
        <f aca="false">IF(M139=1,SUM(E141:E147),"")</f>
        <v/>
      </c>
      <c r="F148" s="37" t="str">
        <f aca="false">IF(M139=1,SUM(F141:F147),"")</f>
        <v/>
      </c>
      <c r="G148" s="37" t="str">
        <f aca="false">IF(M139=1,SUM(G141:G147),"")</f>
        <v/>
      </c>
      <c r="H148" s="38" t="str">
        <f aca="false">IF(M139=1,SUM(H141:H147),"")</f>
        <v/>
      </c>
      <c r="I148" s="36"/>
      <c r="S148" s="0" t="n">
        <v>12</v>
      </c>
    </row>
    <row r="149" customFormat="false" ht="31.5" hidden="false" customHeight="true" outlineLevel="0" collapsed="false">
      <c r="A149" s="39" t="str">
        <f aca="false">IF(M139=1,"ساعات تحميل الجبسمبورد بهالأسبوع (رقم: 2 أو 1.5) ←","")</f>
        <v/>
      </c>
      <c r="B149" s="39"/>
      <c r="C149" s="39"/>
      <c r="D149" s="39"/>
      <c r="E149" s="40"/>
      <c r="F149" s="41" t="str">
        <f aca="false">IF(M139=1,"المستحق النهائي للأسبوع مع الإكرامية (دينار) ←","")</f>
        <v/>
      </c>
      <c r="G149" s="41"/>
      <c r="H149" s="42" t="str">
        <f aca="false">IF(M139=1,IF(ROUND_MODE="للأعلى",CEILING(ROUND((N(H148)+N(E149)*($P$139-$N$139)),3),0.25),ROUND((N(H148)+N(E149)*($P$139-$N$139))*4,0)/4)+N(D150),"")</f>
        <v/>
      </c>
      <c r="I149" s="43" t="str">
        <f aca="false">IF(M139=1,"قبل الجبر: "&amp;TEXT(N(H148)+N(E149)*($P$139-$N$139),"0.000")&amp;IF(N(D150)&gt;0," + إكرامية "&amp;TEXT(D150,"0.000"),""),"")</f>
        <v/>
      </c>
      <c r="S149" s="0" t="n">
        <v>12</v>
      </c>
    </row>
    <row r="150" customFormat="false" ht="25.5" hidden="false" customHeight="true" outlineLevel="0" collapsed="false">
      <c r="A150" s="39" t="str">
        <f aca="false">IF(M139=1,"إكرامية الأسبوع (دينار) ←","")</f>
        <v/>
      </c>
      <c r="B150" s="39"/>
      <c r="C150" s="39"/>
      <c r="D150" s="44"/>
      <c r="E150" s="39" t="str">
        <f aca="false">IF(M139=1,"المدفوع (دينار) ←","")</f>
        <v/>
      </c>
      <c r="F150" s="39"/>
      <c r="G150" s="44"/>
      <c r="H150" s="45" t="str">
        <f aca="false">IF(M139=1,IF(N(G150)&gt;0,"✔ انقبض — الأسبوع مقفول","⏳ لسا ما انقبض"),"")</f>
        <v/>
      </c>
      <c r="I150" s="45"/>
      <c r="S150" s="0" t="n">
        <v>12</v>
      </c>
    </row>
    <row r="151" customFormat="false" ht="27.75" hidden="false" customHeight="true" outlineLevel="0" collapsed="false">
      <c r="A151" s="23" t="str">
        <f aca="false">IF(13&lt;=NW,"من السبت "&amp;TEXT(DAY(SAT1+84),"00")&amp;"/"&amp;TEXT(MONTH(SAT1+84),"00")&amp;"/"&amp;YEAR(SAT1+84)&amp;" إلى الجمعة "&amp;TEXT(DAY(SAT1+90),"00")&amp;"/"&amp;TEXT(MONTH(SAT1+90),"00")&amp;"/"&amp;YEAR(SAT1+90)&amp;" · الأسبوع 13"&amp;"  (يوم القبض: الجمعة)"&amp;IF(13&lt;START_O,"   — قبل أسبوع البداية (ما بينحسب)",""),"ما في أسبوع 13 هالسنة")</f>
        <v>من السبت 21/03/2026 إلى الجمعة 27/03/2026 · الأسبوع 13  (يوم القبض: الجمعة)   — قبل أسبوع البداية (ما بينحسب)</v>
      </c>
      <c r="B151" s="23"/>
      <c r="C151" s="23"/>
      <c r="D151" s="23"/>
      <c r="E151" s="23"/>
      <c r="F151" s="23"/>
      <c r="G151" s="23"/>
      <c r="H151" s="23"/>
      <c r="I151" s="23"/>
      <c r="L151" s="24" t="n">
        <f aca="false">IF(13&lt;=NW,SAT1+90,"")</f>
        <v>46108</v>
      </c>
      <c r="M151" s="25" t="n">
        <f aca="false">IF(AND(13&lt;=NW,13&gt;=START_O),1,0)</f>
        <v>0</v>
      </c>
      <c r="N151" s="26" t="n">
        <f aca="false">IFERROR(INDEX(RT_OMR,MATCH(L151,RT_K,1)),INDEX(RT_OMR,1))</f>
        <v>1.25</v>
      </c>
      <c r="O151" s="26" t="n">
        <f aca="false">IFERROR(INDEX(RT_OT,MATCH(L151,RT_K,1)),INDEX(RT_OT,1))</f>
        <v>1.5</v>
      </c>
      <c r="P151" s="26" t="n">
        <f aca="false">IFERROR(INDEX(RT_GYP,MATCH(L151,RT_K,1)),INDEX(RT_GYP,1))</f>
        <v>2.5</v>
      </c>
      <c r="R151" s="0" t="n">
        <v>13</v>
      </c>
      <c r="S151" s="0" t="n">
        <v>13</v>
      </c>
    </row>
    <row r="152" customFormat="false" ht="25.5" hidden="false" customHeight="true" outlineLevel="0" collapsed="false">
      <c r="A152" s="27" t="s">
        <v>22</v>
      </c>
      <c r="B152" s="27" t="s">
        <v>23</v>
      </c>
      <c r="C152" s="27" t="s">
        <v>24</v>
      </c>
      <c r="D152" s="27" t="s">
        <v>25</v>
      </c>
      <c r="E152" s="27" t="s">
        <v>26</v>
      </c>
      <c r="F152" s="27" t="s">
        <v>27</v>
      </c>
      <c r="G152" s="27" t="s">
        <v>28</v>
      </c>
      <c r="H152" s="27" t="s">
        <v>29</v>
      </c>
      <c r="I152" s="27" t="s">
        <v>30</v>
      </c>
      <c r="S152" s="0" t="n">
        <v>13</v>
      </c>
    </row>
    <row r="153" customFormat="false" ht="15" hidden="false" customHeight="false" outlineLevel="0" collapsed="false">
      <c r="A153" s="28" t="n">
        <f aca="false">IF(13&lt;=NW,SAT1+84,"")</f>
        <v>46102</v>
      </c>
      <c r="B153" s="29" t="str">
        <f aca="false">IF(A153="","",CHOOSE(WEEKDAY(A153,1),"الأحد","الاثنين","الثلاثاء","الأربعاء","الخميس","الجمعة","السبت"))</f>
        <v>السبت</v>
      </c>
      <c r="C153" s="30"/>
      <c r="D153" s="30"/>
      <c r="E153" s="31" t="str">
        <f aca="false">IF(OR(M153=0,K153="",L153=""),"",MOD(L153-K153,1))</f>
        <v/>
      </c>
      <c r="F153" s="31" t="str">
        <f aca="false">IF(OR(E153="",M153=0),"",IF(WEEKDAY(A153,1)=6,E153,MIN(E153,MAX(0,MIN(IF(L153&lt;K153,L153+1,L153),OMR_OT_AT)-K153))))</f>
        <v/>
      </c>
      <c r="G153" s="31" t="str">
        <f aca="false">IF(OR(E153="",M153=0),"",MAX(0,E153-F153))</f>
        <v/>
      </c>
      <c r="H153" s="32" t="str">
        <f aca="false">IF(OR(E153="",M153=0),"",ROUND((F153*$N$151+G153*$O$151)*24,3))</f>
        <v/>
      </c>
      <c r="I153" s="30"/>
      <c r="K153" s="33" t="str">
        <f aca="false">IF(OR(M153=0,C153=""),"",IF(ISNUMBER(C153),MOD(C153,1),IFERROR(INDEX(القوائم!$B$1:$B$288,MATCH(TRIM(C153),القوائم!$A$1:$A$288,0)),IFERROR(MOD(TIMEVALUE(C153),1),""))))</f>
        <v/>
      </c>
      <c r="L153" s="33" t="str">
        <f aca="false">IF(OR(M153=0,D153=""),"",IF(ISNUMBER(D153),MOD(D153,1),IFERROR(INDEX(القوائم!$B$1:$B$288,MATCH(TRIM(D153),القوائم!$A$1:$A$288,0)),IFERROR(MOD(TIMEVALUE(D153),1),""))))</f>
        <v/>
      </c>
      <c r="M153" s="25" t="n">
        <f aca="false">M151</f>
        <v>0</v>
      </c>
      <c r="Q153" s="25" t="n">
        <f aca="false">IF(N(G162)&gt;0,1,0)</f>
        <v>0</v>
      </c>
      <c r="S153" s="0" t="n">
        <v>13</v>
      </c>
    </row>
    <row r="154" customFormat="false" ht="15" hidden="false" customHeight="false" outlineLevel="0" collapsed="false">
      <c r="A154" s="28" t="n">
        <f aca="false">IF(13&lt;=NW,SAT1+85,"")</f>
        <v>46103</v>
      </c>
      <c r="B154" s="29" t="str">
        <f aca="false">IF(A154="","",CHOOSE(WEEKDAY(A154,1),"الأحد","الاثنين","الثلاثاء","الأربعاء","الخميس","الجمعة","السبت"))</f>
        <v>الأحد</v>
      </c>
      <c r="C154" s="30"/>
      <c r="D154" s="30"/>
      <c r="E154" s="31" t="str">
        <f aca="false">IF(OR(M154=0,K154="",L154=""),"",MOD(L154-K154,1))</f>
        <v/>
      </c>
      <c r="F154" s="31" t="str">
        <f aca="false">IF(OR(E154="",M154=0),"",IF(WEEKDAY(A154,1)=6,E154,MIN(E154,MAX(0,MIN(IF(L154&lt;K154,L154+1,L154),OMR_OT_AT)-K154))))</f>
        <v/>
      </c>
      <c r="G154" s="31" t="str">
        <f aca="false">IF(OR(E154="",M154=0),"",MAX(0,E154-F154))</f>
        <v/>
      </c>
      <c r="H154" s="32" t="str">
        <f aca="false">IF(OR(E154="",M154=0),"",ROUND((F154*$N$151+G154*$O$151)*24,3))</f>
        <v/>
      </c>
      <c r="I154" s="30"/>
      <c r="K154" s="33" t="str">
        <f aca="false">IF(OR(M154=0,C154=""),"",IF(ISNUMBER(C154),MOD(C154,1),IFERROR(INDEX(القوائم!$B$1:$B$288,MATCH(TRIM(C154),القوائم!$A$1:$A$288,0)),IFERROR(MOD(TIMEVALUE(C154),1),""))))</f>
        <v/>
      </c>
      <c r="L154" s="33" t="str">
        <f aca="false">IF(OR(M154=0,D154=""),"",IF(ISNUMBER(D154),MOD(D154,1),IFERROR(INDEX(القوائم!$B$1:$B$288,MATCH(TRIM(D154),القوائم!$A$1:$A$288,0)),IFERROR(MOD(TIMEVALUE(D154),1),""))))</f>
        <v/>
      </c>
      <c r="M154" s="25" t="n">
        <f aca="false">M151</f>
        <v>0</v>
      </c>
      <c r="Q154" s="25" t="n">
        <f aca="false">IF(N(G162)&gt;0,1,0)</f>
        <v>0</v>
      </c>
      <c r="S154" s="0" t="n">
        <v>13</v>
      </c>
    </row>
    <row r="155" customFormat="false" ht="15" hidden="false" customHeight="false" outlineLevel="0" collapsed="false">
      <c r="A155" s="28" t="n">
        <f aca="false">IF(13&lt;=NW,SAT1+86,"")</f>
        <v>46104</v>
      </c>
      <c r="B155" s="29" t="str">
        <f aca="false">IF(A155="","",CHOOSE(WEEKDAY(A155,1),"الأحد","الاثنين","الثلاثاء","الأربعاء","الخميس","الجمعة","السبت"))</f>
        <v>الاثنين</v>
      </c>
      <c r="C155" s="30"/>
      <c r="D155" s="30"/>
      <c r="E155" s="31" t="str">
        <f aca="false">IF(OR(M155=0,K155="",L155=""),"",MOD(L155-K155,1))</f>
        <v/>
      </c>
      <c r="F155" s="31" t="str">
        <f aca="false">IF(OR(E155="",M155=0),"",IF(WEEKDAY(A155,1)=6,E155,MIN(E155,MAX(0,MIN(IF(L155&lt;K155,L155+1,L155),OMR_OT_AT)-K155))))</f>
        <v/>
      </c>
      <c r="G155" s="31" t="str">
        <f aca="false">IF(OR(E155="",M155=0),"",MAX(0,E155-F155))</f>
        <v/>
      </c>
      <c r="H155" s="32" t="str">
        <f aca="false">IF(OR(E155="",M155=0),"",ROUND((F155*$N$151+G155*$O$151)*24,3))</f>
        <v/>
      </c>
      <c r="I155" s="30"/>
      <c r="K155" s="33" t="str">
        <f aca="false">IF(OR(M155=0,C155=""),"",IF(ISNUMBER(C155),MOD(C155,1),IFERROR(INDEX(القوائم!$B$1:$B$288,MATCH(TRIM(C155),القوائم!$A$1:$A$288,0)),IFERROR(MOD(TIMEVALUE(C155),1),""))))</f>
        <v/>
      </c>
      <c r="L155" s="33" t="str">
        <f aca="false">IF(OR(M155=0,D155=""),"",IF(ISNUMBER(D155),MOD(D155,1),IFERROR(INDEX(القوائم!$B$1:$B$288,MATCH(TRIM(D155),القوائم!$A$1:$A$288,0)),IFERROR(MOD(TIMEVALUE(D155),1),""))))</f>
        <v/>
      </c>
      <c r="M155" s="25" t="n">
        <f aca="false">M151</f>
        <v>0</v>
      </c>
      <c r="Q155" s="25" t="n">
        <f aca="false">IF(N(G162)&gt;0,1,0)</f>
        <v>0</v>
      </c>
      <c r="S155" s="0" t="n">
        <v>13</v>
      </c>
    </row>
    <row r="156" customFormat="false" ht="15" hidden="false" customHeight="false" outlineLevel="0" collapsed="false">
      <c r="A156" s="28" t="n">
        <f aca="false">IF(13&lt;=NW,SAT1+87,"")</f>
        <v>46105</v>
      </c>
      <c r="B156" s="29" t="str">
        <f aca="false">IF(A156="","",CHOOSE(WEEKDAY(A156,1),"الأحد","الاثنين","الثلاثاء","الأربعاء","الخميس","الجمعة","السبت"))</f>
        <v>الثلاثاء</v>
      </c>
      <c r="C156" s="30"/>
      <c r="D156" s="30"/>
      <c r="E156" s="31" t="str">
        <f aca="false">IF(OR(M156=0,K156="",L156=""),"",MOD(L156-K156,1))</f>
        <v/>
      </c>
      <c r="F156" s="31" t="str">
        <f aca="false">IF(OR(E156="",M156=0),"",IF(WEEKDAY(A156,1)=6,E156,MIN(E156,MAX(0,MIN(IF(L156&lt;K156,L156+1,L156),OMR_OT_AT)-K156))))</f>
        <v/>
      </c>
      <c r="G156" s="31" t="str">
        <f aca="false">IF(OR(E156="",M156=0),"",MAX(0,E156-F156))</f>
        <v/>
      </c>
      <c r="H156" s="32" t="str">
        <f aca="false">IF(OR(E156="",M156=0),"",ROUND((F156*$N$151+G156*$O$151)*24,3))</f>
        <v/>
      </c>
      <c r="I156" s="30"/>
      <c r="K156" s="33" t="str">
        <f aca="false">IF(OR(M156=0,C156=""),"",IF(ISNUMBER(C156),MOD(C156,1),IFERROR(INDEX(القوائم!$B$1:$B$288,MATCH(TRIM(C156),القوائم!$A$1:$A$288,0)),IFERROR(MOD(TIMEVALUE(C156),1),""))))</f>
        <v/>
      </c>
      <c r="L156" s="33" t="str">
        <f aca="false">IF(OR(M156=0,D156=""),"",IF(ISNUMBER(D156),MOD(D156,1),IFERROR(INDEX(القوائم!$B$1:$B$288,MATCH(TRIM(D156),القوائم!$A$1:$A$288,0)),IFERROR(MOD(TIMEVALUE(D156),1),""))))</f>
        <v/>
      </c>
      <c r="M156" s="25" t="n">
        <f aca="false">M151</f>
        <v>0</v>
      </c>
      <c r="Q156" s="25" t="n">
        <f aca="false">IF(N(G162)&gt;0,1,0)</f>
        <v>0</v>
      </c>
      <c r="S156" s="0" t="n">
        <v>13</v>
      </c>
    </row>
    <row r="157" customFormat="false" ht="15" hidden="false" customHeight="false" outlineLevel="0" collapsed="false">
      <c r="A157" s="28" t="n">
        <f aca="false">IF(13&lt;=NW,SAT1+88,"")</f>
        <v>46106</v>
      </c>
      <c r="B157" s="29" t="str">
        <f aca="false">IF(A157="","",CHOOSE(WEEKDAY(A157,1),"الأحد","الاثنين","الثلاثاء","الأربعاء","الخميس","الجمعة","السبت"))</f>
        <v>الأربعاء</v>
      </c>
      <c r="C157" s="30"/>
      <c r="D157" s="30"/>
      <c r="E157" s="31" t="str">
        <f aca="false">IF(OR(M157=0,K157="",L157=""),"",MOD(L157-K157,1))</f>
        <v/>
      </c>
      <c r="F157" s="31" t="str">
        <f aca="false">IF(OR(E157="",M157=0),"",IF(WEEKDAY(A157,1)=6,E157,MIN(E157,MAX(0,MIN(IF(L157&lt;K157,L157+1,L157),OMR_OT_AT)-K157))))</f>
        <v/>
      </c>
      <c r="G157" s="31" t="str">
        <f aca="false">IF(OR(E157="",M157=0),"",MAX(0,E157-F157))</f>
        <v/>
      </c>
      <c r="H157" s="32" t="str">
        <f aca="false">IF(OR(E157="",M157=0),"",ROUND((F157*$N$151+G157*$O$151)*24,3))</f>
        <v/>
      </c>
      <c r="I157" s="30"/>
      <c r="K157" s="33" t="str">
        <f aca="false">IF(OR(M157=0,C157=""),"",IF(ISNUMBER(C157),MOD(C157,1),IFERROR(INDEX(القوائم!$B$1:$B$288,MATCH(TRIM(C157),القوائم!$A$1:$A$288,0)),IFERROR(MOD(TIMEVALUE(C157),1),""))))</f>
        <v/>
      </c>
      <c r="L157" s="33" t="str">
        <f aca="false">IF(OR(M157=0,D157=""),"",IF(ISNUMBER(D157),MOD(D157,1),IFERROR(INDEX(القوائم!$B$1:$B$288,MATCH(TRIM(D157),القوائم!$A$1:$A$288,0)),IFERROR(MOD(TIMEVALUE(D157),1),""))))</f>
        <v/>
      </c>
      <c r="M157" s="25" t="n">
        <f aca="false">M151</f>
        <v>0</v>
      </c>
      <c r="Q157" s="25" t="n">
        <f aca="false">IF(N(G162)&gt;0,1,0)</f>
        <v>0</v>
      </c>
      <c r="S157" s="0" t="n">
        <v>13</v>
      </c>
    </row>
    <row r="158" customFormat="false" ht="15" hidden="false" customHeight="false" outlineLevel="0" collapsed="false">
      <c r="A158" s="28" t="n">
        <f aca="false">IF(13&lt;=NW,SAT1+89,"")</f>
        <v>46107</v>
      </c>
      <c r="B158" s="29" t="str">
        <f aca="false">IF(A158="","",CHOOSE(WEEKDAY(A158,1),"الأحد","الاثنين","الثلاثاء","الأربعاء","الخميس","الجمعة","السبت"))</f>
        <v>الخميس</v>
      </c>
      <c r="C158" s="30"/>
      <c r="D158" s="30"/>
      <c r="E158" s="31" t="str">
        <f aca="false">IF(OR(M158=0,K158="",L158=""),"",MOD(L158-K158,1))</f>
        <v/>
      </c>
      <c r="F158" s="31" t="str">
        <f aca="false">IF(OR(E158="",M158=0),"",IF(WEEKDAY(A158,1)=6,E158,MIN(E158,MAX(0,MIN(IF(L158&lt;K158,L158+1,L158),OMR_OT_AT)-K158))))</f>
        <v/>
      </c>
      <c r="G158" s="31" t="str">
        <f aca="false">IF(OR(E158="",M158=0),"",MAX(0,E158-F158))</f>
        <v/>
      </c>
      <c r="H158" s="32" t="str">
        <f aca="false">IF(OR(E158="",M158=0),"",ROUND((F158*$N$151+G158*$O$151)*24,3))</f>
        <v/>
      </c>
      <c r="I158" s="30"/>
      <c r="K158" s="33" t="str">
        <f aca="false">IF(OR(M158=0,C158=""),"",IF(ISNUMBER(C158),MOD(C158,1),IFERROR(INDEX(القوائم!$B$1:$B$288,MATCH(TRIM(C158),القوائم!$A$1:$A$288,0)),IFERROR(MOD(TIMEVALUE(C158),1),""))))</f>
        <v/>
      </c>
      <c r="L158" s="33" t="str">
        <f aca="false">IF(OR(M158=0,D158=""),"",IF(ISNUMBER(D158),MOD(D158,1),IFERROR(INDEX(القوائم!$B$1:$B$288,MATCH(TRIM(D158),القوائم!$A$1:$A$288,0)),IFERROR(MOD(TIMEVALUE(D158),1),""))))</f>
        <v/>
      </c>
      <c r="M158" s="25" t="n">
        <f aca="false">M151</f>
        <v>0</v>
      </c>
      <c r="Q158" s="25" t="n">
        <f aca="false">IF(N(G162)&gt;0,1,0)</f>
        <v>0</v>
      </c>
      <c r="S158" s="0" t="n">
        <v>13</v>
      </c>
    </row>
    <row r="159" customFormat="false" ht="15" hidden="false" customHeight="false" outlineLevel="0" collapsed="false">
      <c r="A159" s="34" t="n">
        <f aca="false">IF(13&lt;=NW,SAT1+90,"")</f>
        <v>46108</v>
      </c>
      <c r="B159" s="35" t="str">
        <f aca="false">IF(A159="","",CHOOSE(WEEKDAY(A159,1),"الأحد","الاثنين","الثلاثاء","الأربعاء","الخميس","الجمعة","السبت"))</f>
        <v>الجمعة</v>
      </c>
      <c r="C159" s="30"/>
      <c r="D159" s="30"/>
      <c r="E159" s="31" t="str">
        <f aca="false">IF(OR(M159=0,K159="",L159=""),"",MOD(L159-K159,1))</f>
        <v/>
      </c>
      <c r="F159" s="31" t="str">
        <f aca="false">IF(OR(E159="",M159=0),"",IF(WEEKDAY(A159,1)=6,E159,MIN(E159,MAX(0,MIN(IF(L159&lt;K159,L159+1,L159),OMR_OT_AT)-K159))))</f>
        <v/>
      </c>
      <c r="G159" s="31" t="str">
        <f aca="false">IF(OR(E159="",M159=0),"",MAX(0,E159-F159))</f>
        <v/>
      </c>
      <c r="H159" s="32" t="str">
        <f aca="false">IF(OR(E159="",M159=0),"",ROUND((F159*$N$151+G159*$O$151)*24,3))</f>
        <v/>
      </c>
      <c r="I159" s="30"/>
      <c r="K159" s="33" t="str">
        <f aca="false">IF(OR(M159=0,C159=""),"",IF(ISNUMBER(C159),MOD(C159,1),IFERROR(INDEX(القوائم!$B$1:$B$288,MATCH(TRIM(C159),القوائم!$A$1:$A$288,0)),IFERROR(MOD(TIMEVALUE(C159),1),""))))</f>
        <v/>
      </c>
      <c r="L159" s="33" t="str">
        <f aca="false">IF(OR(M159=0,D159=""),"",IF(ISNUMBER(D159),MOD(D159,1),IFERROR(INDEX(القوائم!$B$1:$B$288,MATCH(TRIM(D159),القوائم!$A$1:$A$288,0)),IFERROR(MOD(TIMEVALUE(D159),1),""))))</f>
        <v/>
      </c>
      <c r="M159" s="25" t="n">
        <f aca="false">M151</f>
        <v>0</v>
      </c>
      <c r="Q159" s="25" t="n">
        <f aca="false">IF(N(G162)&gt;0,1,0)</f>
        <v>0</v>
      </c>
      <c r="S159" s="0" t="n">
        <v>13</v>
      </c>
    </row>
    <row r="160" customFormat="false" ht="15" hidden="false" customHeight="false" outlineLevel="0" collapsed="false">
      <c r="A160" s="36" t="str">
        <f aca="false">IF(M151=1,"مجموع أيام الأسبوع 13","")</f>
        <v/>
      </c>
      <c r="B160" s="36"/>
      <c r="C160" s="36"/>
      <c r="D160" s="36"/>
      <c r="E160" s="37" t="str">
        <f aca="false">IF(M151=1,SUM(E153:E159),"")</f>
        <v/>
      </c>
      <c r="F160" s="37" t="str">
        <f aca="false">IF(M151=1,SUM(F153:F159),"")</f>
        <v/>
      </c>
      <c r="G160" s="37" t="str">
        <f aca="false">IF(M151=1,SUM(G153:G159),"")</f>
        <v/>
      </c>
      <c r="H160" s="38" t="str">
        <f aca="false">IF(M151=1,SUM(H153:H159),"")</f>
        <v/>
      </c>
      <c r="I160" s="36"/>
      <c r="S160" s="0" t="n">
        <v>13</v>
      </c>
    </row>
    <row r="161" customFormat="false" ht="31.5" hidden="false" customHeight="true" outlineLevel="0" collapsed="false">
      <c r="A161" s="39" t="str">
        <f aca="false">IF(M151=1,"ساعات تحميل الجبسمبورد بهالأسبوع (رقم: 2 أو 1.5) ←","")</f>
        <v/>
      </c>
      <c r="B161" s="39"/>
      <c r="C161" s="39"/>
      <c r="D161" s="39"/>
      <c r="E161" s="40"/>
      <c r="F161" s="41" t="str">
        <f aca="false">IF(M151=1,"المستحق النهائي للأسبوع مع الإكرامية (دينار) ←","")</f>
        <v/>
      </c>
      <c r="G161" s="41"/>
      <c r="H161" s="42" t="str">
        <f aca="false">IF(M151=1,IF(ROUND_MODE="للأعلى",CEILING(ROUND((N(H160)+N(E161)*($P$151-$N$151)),3),0.25),ROUND((N(H160)+N(E161)*($P$151-$N$151))*4,0)/4)+N(D162),"")</f>
        <v/>
      </c>
      <c r="I161" s="43" t="str">
        <f aca="false">IF(M151=1,"قبل الجبر: "&amp;TEXT(N(H160)+N(E161)*($P$151-$N$151),"0.000")&amp;IF(N(D162)&gt;0," + إكرامية "&amp;TEXT(D162,"0.000"),""),"")</f>
        <v/>
      </c>
      <c r="S161" s="0" t="n">
        <v>13</v>
      </c>
    </row>
    <row r="162" customFormat="false" ht="25.5" hidden="false" customHeight="true" outlineLevel="0" collapsed="false">
      <c r="A162" s="39" t="str">
        <f aca="false">IF(M151=1,"إكرامية الأسبوع (دينار) ←","")</f>
        <v/>
      </c>
      <c r="B162" s="39"/>
      <c r="C162" s="39"/>
      <c r="D162" s="44"/>
      <c r="E162" s="39" t="str">
        <f aca="false">IF(M151=1,"المدفوع (دينار) ←","")</f>
        <v/>
      </c>
      <c r="F162" s="39"/>
      <c r="G162" s="44"/>
      <c r="H162" s="45" t="str">
        <f aca="false">IF(M151=1,IF(N(G162)&gt;0,"✔ انقبض — الأسبوع مقفول","⏳ لسا ما انقبض"),"")</f>
        <v/>
      </c>
      <c r="I162" s="45"/>
      <c r="S162" s="0" t="n">
        <v>13</v>
      </c>
    </row>
    <row r="163" customFormat="false" ht="27.75" hidden="false" customHeight="true" outlineLevel="0" collapsed="false">
      <c r="A163" s="23" t="str">
        <f aca="false">IF(14&lt;=NW,"من السبت "&amp;TEXT(DAY(SAT1+91),"00")&amp;"/"&amp;TEXT(MONTH(SAT1+91),"00")&amp;"/"&amp;YEAR(SAT1+91)&amp;" إلى الجمعة "&amp;TEXT(DAY(SAT1+97),"00")&amp;"/"&amp;TEXT(MONTH(SAT1+97),"00")&amp;"/"&amp;YEAR(SAT1+97)&amp;" · الأسبوع 14"&amp;"  (يوم القبض: الجمعة)"&amp;IF(14&lt;START_O,"   — قبل أسبوع البداية (ما بينحسب)",""),"ما في أسبوع 14 هالسنة")</f>
        <v>من السبت 28/03/2026 إلى الجمعة 03/04/2026 · الأسبوع 14  (يوم القبض: الجمعة)   — قبل أسبوع البداية (ما بينحسب)</v>
      </c>
      <c r="B163" s="23"/>
      <c r="C163" s="23"/>
      <c r="D163" s="23"/>
      <c r="E163" s="23"/>
      <c r="F163" s="23"/>
      <c r="G163" s="23"/>
      <c r="H163" s="23"/>
      <c r="I163" s="23"/>
      <c r="L163" s="24" t="n">
        <f aca="false">IF(14&lt;=NW,SAT1+97,"")</f>
        <v>46115</v>
      </c>
      <c r="M163" s="25" t="n">
        <f aca="false">IF(AND(14&lt;=NW,14&gt;=START_O),1,0)</f>
        <v>0</v>
      </c>
      <c r="N163" s="26" t="n">
        <f aca="false">IFERROR(INDEX(RT_OMR,MATCH(L163,RT_K,1)),INDEX(RT_OMR,1))</f>
        <v>1.25</v>
      </c>
      <c r="O163" s="26" t="n">
        <f aca="false">IFERROR(INDEX(RT_OT,MATCH(L163,RT_K,1)),INDEX(RT_OT,1))</f>
        <v>1.5</v>
      </c>
      <c r="P163" s="26" t="n">
        <f aca="false">IFERROR(INDEX(RT_GYP,MATCH(L163,RT_K,1)),INDEX(RT_GYP,1))</f>
        <v>2.5</v>
      </c>
      <c r="R163" s="0" t="n">
        <v>14</v>
      </c>
      <c r="S163" s="0" t="n">
        <v>14</v>
      </c>
    </row>
    <row r="164" customFormat="false" ht="25.5" hidden="false" customHeight="true" outlineLevel="0" collapsed="false">
      <c r="A164" s="27" t="s">
        <v>22</v>
      </c>
      <c r="B164" s="27" t="s">
        <v>23</v>
      </c>
      <c r="C164" s="27" t="s">
        <v>24</v>
      </c>
      <c r="D164" s="27" t="s">
        <v>25</v>
      </c>
      <c r="E164" s="27" t="s">
        <v>26</v>
      </c>
      <c r="F164" s="27" t="s">
        <v>27</v>
      </c>
      <c r="G164" s="27" t="s">
        <v>28</v>
      </c>
      <c r="H164" s="27" t="s">
        <v>29</v>
      </c>
      <c r="I164" s="27" t="s">
        <v>30</v>
      </c>
      <c r="S164" s="0" t="n">
        <v>14</v>
      </c>
    </row>
    <row r="165" customFormat="false" ht="15" hidden="false" customHeight="false" outlineLevel="0" collapsed="false">
      <c r="A165" s="28" t="n">
        <f aca="false">IF(14&lt;=NW,SAT1+91,"")</f>
        <v>46109</v>
      </c>
      <c r="B165" s="29" t="str">
        <f aca="false">IF(A165="","",CHOOSE(WEEKDAY(A165,1),"الأحد","الاثنين","الثلاثاء","الأربعاء","الخميس","الجمعة","السبت"))</f>
        <v>السبت</v>
      </c>
      <c r="C165" s="30"/>
      <c r="D165" s="30"/>
      <c r="E165" s="31" t="str">
        <f aca="false">IF(OR(M165=0,K165="",L165=""),"",MOD(L165-K165,1))</f>
        <v/>
      </c>
      <c r="F165" s="31" t="str">
        <f aca="false">IF(OR(E165="",M165=0),"",IF(WEEKDAY(A165,1)=6,E165,MIN(E165,MAX(0,MIN(IF(L165&lt;K165,L165+1,L165),OMR_OT_AT)-K165))))</f>
        <v/>
      </c>
      <c r="G165" s="31" t="str">
        <f aca="false">IF(OR(E165="",M165=0),"",MAX(0,E165-F165))</f>
        <v/>
      </c>
      <c r="H165" s="32" t="str">
        <f aca="false">IF(OR(E165="",M165=0),"",ROUND((F165*$N$163+G165*$O$163)*24,3))</f>
        <v/>
      </c>
      <c r="I165" s="30"/>
      <c r="K165" s="33" t="str">
        <f aca="false">IF(OR(M165=0,C165=""),"",IF(ISNUMBER(C165),MOD(C165,1),IFERROR(INDEX(القوائم!$B$1:$B$288,MATCH(TRIM(C165),القوائم!$A$1:$A$288,0)),IFERROR(MOD(TIMEVALUE(C165),1),""))))</f>
        <v/>
      </c>
      <c r="L165" s="33" t="str">
        <f aca="false">IF(OR(M165=0,D165=""),"",IF(ISNUMBER(D165),MOD(D165,1),IFERROR(INDEX(القوائم!$B$1:$B$288,MATCH(TRIM(D165),القوائم!$A$1:$A$288,0)),IFERROR(MOD(TIMEVALUE(D165),1),""))))</f>
        <v/>
      </c>
      <c r="M165" s="25" t="n">
        <f aca="false">M163</f>
        <v>0</v>
      </c>
      <c r="Q165" s="25" t="n">
        <f aca="false">IF(N(G174)&gt;0,1,0)</f>
        <v>0</v>
      </c>
      <c r="S165" s="0" t="n">
        <v>14</v>
      </c>
    </row>
    <row r="166" customFormat="false" ht="15" hidden="false" customHeight="false" outlineLevel="0" collapsed="false">
      <c r="A166" s="28" t="n">
        <f aca="false">IF(14&lt;=NW,SAT1+92,"")</f>
        <v>46110</v>
      </c>
      <c r="B166" s="29" t="str">
        <f aca="false">IF(A166="","",CHOOSE(WEEKDAY(A166,1),"الأحد","الاثنين","الثلاثاء","الأربعاء","الخميس","الجمعة","السبت"))</f>
        <v>الأحد</v>
      </c>
      <c r="C166" s="30"/>
      <c r="D166" s="30"/>
      <c r="E166" s="31" t="str">
        <f aca="false">IF(OR(M166=0,K166="",L166=""),"",MOD(L166-K166,1))</f>
        <v/>
      </c>
      <c r="F166" s="31" t="str">
        <f aca="false">IF(OR(E166="",M166=0),"",IF(WEEKDAY(A166,1)=6,E166,MIN(E166,MAX(0,MIN(IF(L166&lt;K166,L166+1,L166),OMR_OT_AT)-K166))))</f>
        <v/>
      </c>
      <c r="G166" s="31" t="str">
        <f aca="false">IF(OR(E166="",M166=0),"",MAX(0,E166-F166))</f>
        <v/>
      </c>
      <c r="H166" s="32" t="str">
        <f aca="false">IF(OR(E166="",M166=0),"",ROUND((F166*$N$163+G166*$O$163)*24,3))</f>
        <v/>
      </c>
      <c r="I166" s="30"/>
      <c r="K166" s="33" t="str">
        <f aca="false">IF(OR(M166=0,C166=""),"",IF(ISNUMBER(C166),MOD(C166,1),IFERROR(INDEX(القوائم!$B$1:$B$288,MATCH(TRIM(C166),القوائم!$A$1:$A$288,0)),IFERROR(MOD(TIMEVALUE(C166),1),""))))</f>
        <v/>
      </c>
      <c r="L166" s="33" t="str">
        <f aca="false">IF(OR(M166=0,D166=""),"",IF(ISNUMBER(D166),MOD(D166,1),IFERROR(INDEX(القوائم!$B$1:$B$288,MATCH(TRIM(D166),القوائم!$A$1:$A$288,0)),IFERROR(MOD(TIMEVALUE(D166),1),""))))</f>
        <v/>
      </c>
      <c r="M166" s="25" t="n">
        <f aca="false">M163</f>
        <v>0</v>
      </c>
      <c r="Q166" s="25" t="n">
        <f aca="false">IF(N(G174)&gt;0,1,0)</f>
        <v>0</v>
      </c>
      <c r="S166" s="0" t="n">
        <v>14</v>
      </c>
    </row>
    <row r="167" customFormat="false" ht="15" hidden="false" customHeight="false" outlineLevel="0" collapsed="false">
      <c r="A167" s="28" t="n">
        <f aca="false">IF(14&lt;=NW,SAT1+93,"")</f>
        <v>46111</v>
      </c>
      <c r="B167" s="29" t="str">
        <f aca="false">IF(A167="","",CHOOSE(WEEKDAY(A167,1),"الأحد","الاثنين","الثلاثاء","الأربعاء","الخميس","الجمعة","السبت"))</f>
        <v>الاثنين</v>
      </c>
      <c r="C167" s="30"/>
      <c r="D167" s="30"/>
      <c r="E167" s="31" t="str">
        <f aca="false">IF(OR(M167=0,K167="",L167=""),"",MOD(L167-K167,1))</f>
        <v/>
      </c>
      <c r="F167" s="31" t="str">
        <f aca="false">IF(OR(E167="",M167=0),"",IF(WEEKDAY(A167,1)=6,E167,MIN(E167,MAX(0,MIN(IF(L167&lt;K167,L167+1,L167),OMR_OT_AT)-K167))))</f>
        <v/>
      </c>
      <c r="G167" s="31" t="str">
        <f aca="false">IF(OR(E167="",M167=0),"",MAX(0,E167-F167))</f>
        <v/>
      </c>
      <c r="H167" s="32" t="str">
        <f aca="false">IF(OR(E167="",M167=0),"",ROUND((F167*$N$163+G167*$O$163)*24,3))</f>
        <v/>
      </c>
      <c r="I167" s="30"/>
      <c r="K167" s="33" t="str">
        <f aca="false">IF(OR(M167=0,C167=""),"",IF(ISNUMBER(C167),MOD(C167,1),IFERROR(INDEX(القوائم!$B$1:$B$288,MATCH(TRIM(C167),القوائم!$A$1:$A$288,0)),IFERROR(MOD(TIMEVALUE(C167),1),""))))</f>
        <v/>
      </c>
      <c r="L167" s="33" t="str">
        <f aca="false">IF(OR(M167=0,D167=""),"",IF(ISNUMBER(D167),MOD(D167,1),IFERROR(INDEX(القوائم!$B$1:$B$288,MATCH(TRIM(D167),القوائم!$A$1:$A$288,0)),IFERROR(MOD(TIMEVALUE(D167),1),""))))</f>
        <v/>
      </c>
      <c r="M167" s="25" t="n">
        <f aca="false">M163</f>
        <v>0</v>
      </c>
      <c r="Q167" s="25" t="n">
        <f aca="false">IF(N(G174)&gt;0,1,0)</f>
        <v>0</v>
      </c>
      <c r="S167" s="0" t="n">
        <v>14</v>
      </c>
    </row>
    <row r="168" customFormat="false" ht="15" hidden="false" customHeight="false" outlineLevel="0" collapsed="false">
      <c r="A168" s="28" t="n">
        <f aca="false">IF(14&lt;=NW,SAT1+94,"")</f>
        <v>46112</v>
      </c>
      <c r="B168" s="29" t="str">
        <f aca="false">IF(A168="","",CHOOSE(WEEKDAY(A168,1),"الأحد","الاثنين","الثلاثاء","الأربعاء","الخميس","الجمعة","السبت"))</f>
        <v>الثلاثاء</v>
      </c>
      <c r="C168" s="30"/>
      <c r="D168" s="30"/>
      <c r="E168" s="31" t="str">
        <f aca="false">IF(OR(M168=0,K168="",L168=""),"",MOD(L168-K168,1))</f>
        <v/>
      </c>
      <c r="F168" s="31" t="str">
        <f aca="false">IF(OR(E168="",M168=0),"",IF(WEEKDAY(A168,1)=6,E168,MIN(E168,MAX(0,MIN(IF(L168&lt;K168,L168+1,L168),OMR_OT_AT)-K168))))</f>
        <v/>
      </c>
      <c r="G168" s="31" t="str">
        <f aca="false">IF(OR(E168="",M168=0),"",MAX(0,E168-F168))</f>
        <v/>
      </c>
      <c r="H168" s="32" t="str">
        <f aca="false">IF(OR(E168="",M168=0),"",ROUND((F168*$N$163+G168*$O$163)*24,3))</f>
        <v/>
      </c>
      <c r="I168" s="30"/>
      <c r="K168" s="33" t="str">
        <f aca="false">IF(OR(M168=0,C168=""),"",IF(ISNUMBER(C168),MOD(C168,1),IFERROR(INDEX(القوائم!$B$1:$B$288,MATCH(TRIM(C168),القوائم!$A$1:$A$288,0)),IFERROR(MOD(TIMEVALUE(C168),1),""))))</f>
        <v/>
      </c>
      <c r="L168" s="33" t="str">
        <f aca="false">IF(OR(M168=0,D168=""),"",IF(ISNUMBER(D168),MOD(D168,1),IFERROR(INDEX(القوائم!$B$1:$B$288,MATCH(TRIM(D168),القوائم!$A$1:$A$288,0)),IFERROR(MOD(TIMEVALUE(D168),1),""))))</f>
        <v/>
      </c>
      <c r="M168" s="25" t="n">
        <f aca="false">M163</f>
        <v>0</v>
      </c>
      <c r="Q168" s="25" t="n">
        <f aca="false">IF(N(G174)&gt;0,1,0)</f>
        <v>0</v>
      </c>
      <c r="S168" s="0" t="n">
        <v>14</v>
      </c>
    </row>
    <row r="169" customFormat="false" ht="15" hidden="false" customHeight="false" outlineLevel="0" collapsed="false">
      <c r="A169" s="28" t="n">
        <f aca="false">IF(14&lt;=NW,SAT1+95,"")</f>
        <v>46113</v>
      </c>
      <c r="B169" s="29" t="str">
        <f aca="false">IF(A169="","",CHOOSE(WEEKDAY(A169,1),"الأحد","الاثنين","الثلاثاء","الأربعاء","الخميس","الجمعة","السبت"))</f>
        <v>الأربعاء</v>
      </c>
      <c r="C169" s="30"/>
      <c r="D169" s="30"/>
      <c r="E169" s="31" t="str">
        <f aca="false">IF(OR(M169=0,K169="",L169=""),"",MOD(L169-K169,1))</f>
        <v/>
      </c>
      <c r="F169" s="31" t="str">
        <f aca="false">IF(OR(E169="",M169=0),"",IF(WEEKDAY(A169,1)=6,E169,MIN(E169,MAX(0,MIN(IF(L169&lt;K169,L169+1,L169),OMR_OT_AT)-K169))))</f>
        <v/>
      </c>
      <c r="G169" s="31" t="str">
        <f aca="false">IF(OR(E169="",M169=0),"",MAX(0,E169-F169))</f>
        <v/>
      </c>
      <c r="H169" s="32" t="str">
        <f aca="false">IF(OR(E169="",M169=0),"",ROUND((F169*$N$163+G169*$O$163)*24,3))</f>
        <v/>
      </c>
      <c r="I169" s="30"/>
      <c r="K169" s="33" t="str">
        <f aca="false">IF(OR(M169=0,C169=""),"",IF(ISNUMBER(C169),MOD(C169,1),IFERROR(INDEX(القوائم!$B$1:$B$288,MATCH(TRIM(C169),القوائم!$A$1:$A$288,0)),IFERROR(MOD(TIMEVALUE(C169),1),""))))</f>
        <v/>
      </c>
      <c r="L169" s="33" t="str">
        <f aca="false">IF(OR(M169=0,D169=""),"",IF(ISNUMBER(D169),MOD(D169,1),IFERROR(INDEX(القوائم!$B$1:$B$288,MATCH(TRIM(D169),القوائم!$A$1:$A$288,0)),IFERROR(MOD(TIMEVALUE(D169),1),""))))</f>
        <v/>
      </c>
      <c r="M169" s="25" t="n">
        <f aca="false">M163</f>
        <v>0</v>
      </c>
      <c r="Q169" s="25" t="n">
        <f aca="false">IF(N(G174)&gt;0,1,0)</f>
        <v>0</v>
      </c>
      <c r="S169" s="0" t="n">
        <v>14</v>
      </c>
    </row>
    <row r="170" customFormat="false" ht="15" hidden="false" customHeight="false" outlineLevel="0" collapsed="false">
      <c r="A170" s="28" t="n">
        <f aca="false">IF(14&lt;=NW,SAT1+96,"")</f>
        <v>46114</v>
      </c>
      <c r="B170" s="29" t="str">
        <f aca="false">IF(A170="","",CHOOSE(WEEKDAY(A170,1),"الأحد","الاثنين","الثلاثاء","الأربعاء","الخميس","الجمعة","السبت"))</f>
        <v>الخميس</v>
      </c>
      <c r="C170" s="30"/>
      <c r="D170" s="30"/>
      <c r="E170" s="31" t="str">
        <f aca="false">IF(OR(M170=0,K170="",L170=""),"",MOD(L170-K170,1))</f>
        <v/>
      </c>
      <c r="F170" s="31" t="str">
        <f aca="false">IF(OR(E170="",M170=0),"",IF(WEEKDAY(A170,1)=6,E170,MIN(E170,MAX(0,MIN(IF(L170&lt;K170,L170+1,L170),OMR_OT_AT)-K170))))</f>
        <v/>
      </c>
      <c r="G170" s="31" t="str">
        <f aca="false">IF(OR(E170="",M170=0),"",MAX(0,E170-F170))</f>
        <v/>
      </c>
      <c r="H170" s="32" t="str">
        <f aca="false">IF(OR(E170="",M170=0),"",ROUND((F170*$N$163+G170*$O$163)*24,3))</f>
        <v/>
      </c>
      <c r="I170" s="30"/>
      <c r="K170" s="33" t="str">
        <f aca="false">IF(OR(M170=0,C170=""),"",IF(ISNUMBER(C170),MOD(C170,1),IFERROR(INDEX(القوائم!$B$1:$B$288,MATCH(TRIM(C170),القوائم!$A$1:$A$288,0)),IFERROR(MOD(TIMEVALUE(C170),1),""))))</f>
        <v/>
      </c>
      <c r="L170" s="33" t="str">
        <f aca="false">IF(OR(M170=0,D170=""),"",IF(ISNUMBER(D170),MOD(D170,1),IFERROR(INDEX(القوائم!$B$1:$B$288,MATCH(TRIM(D170),القوائم!$A$1:$A$288,0)),IFERROR(MOD(TIMEVALUE(D170),1),""))))</f>
        <v/>
      </c>
      <c r="M170" s="25" t="n">
        <f aca="false">M163</f>
        <v>0</v>
      </c>
      <c r="Q170" s="25" t="n">
        <f aca="false">IF(N(G174)&gt;0,1,0)</f>
        <v>0</v>
      </c>
      <c r="S170" s="0" t="n">
        <v>14</v>
      </c>
    </row>
    <row r="171" customFormat="false" ht="15" hidden="false" customHeight="false" outlineLevel="0" collapsed="false">
      <c r="A171" s="34" t="n">
        <f aca="false">IF(14&lt;=NW,SAT1+97,"")</f>
        <v>46115</v>
      </c>
      <c r="B171" s="35" t="str">
        <f aca="false">IF(A171="","",CHOOSE(WEEKDAY(A171,1),"الأحد","الاثنين","الثلاثاء","الأربعاء","الخميس","الجمعة","السبت"))</f>
        <v>الجمعة</v>
      </c>
      <c r="C171" s="30"/>
      <c r="D171" s="30"/>
      <c r="E171" s="31" t="str">
        <f aca="false">IF(OR(M171=0,K171="",L171=""),"",MOD(L171-K171,1))</f>
        <v/>
      </c>
      <c r="F171" s="31" t="str">
        <f aca="false">IF(OR(E171="",M171=0),"",IF(WEEKDAY(A171,1)=6,E171,MIN(E171,MAX(0,MIN(IF(L171&lt;K171,L171+1,L171),OMR_OT_AT)-K171))))</f>
        <v/>
      </c>
      <c r="G171" s="31" t="str">
        <f aca="false">IF(OR(E171="",M171=0),"",MAX(0,E171-F171))</f>
        <v/>
      </c>
      <c r="H171" s="32" t="str">
        <f aca="false">IF(OR(E171="",M171=0),"",ROUND((F171*$N$163+G171*$O$163)*24,3))</f>
        <v/>
      </c>
      <c r="I171" s="30"/>
      <c r="K171" s="33" t="str">
        <f aca="false">IF(OR(M171=0,C171=""),"",IF(ISNUMBER(C171),MOD(C171,1),IFERROR(INDEX(القوائم!$B$1:$B$288,MATCH(TRIM(C171),القوائم!$A$1:$A$288,0)),IFERROR(MOD(TIMEVALUE(C171),1),""))))</f>
        <v/>
      </c>
      <c r="L171" s="33" t="str">
        <f aca="false">IF(OR(M171=0,D171=""),"",IF(ISNUMBER(D171),MOD(D171,1),IFERROR(INDEX(القوائم!$B$1:$B$288,MATCH(TRIM(D171),القوائم!$A$1:$A$288,0)),IFERROR(MOD(TIMEVALUE(D171),1),""))))</f>
        <v/>
      </c>
      <c r="M171" s="25" t="n">
        <f aca="false">M163</f>
        <v>0</v>
      </c>
      <c r="Q171" s="25" t="n">
        <f aca="false">IF(N(G174)&gt;0,1,0)</f>
        <v>0</v>
      </c>
      <c r="S171" s="0" t="n">
        <v>14</v>
      </c>
    </row>
    <row r="172" customFormat="false" ht="15" hidden="false" customHeight="false" outlineLevel="0" collapsed="false">
      <c r="A172" s="36" t="str">
        <f aca="false">IF(M163=1,"مجموع أيام الأسبوع 14","")</f>
        <v/>
      </c>
      <c r="B172" s="36"/>
      <c r="C172" s="36"/>
      <c r="D172" s="36"/>
      <c r="E172" s="37" t="str">
        <f aca="false">IF(M163=1,SUM(E165:E171),"")</f>
        <v/>
      </c>
      <c r="F172" s="37" t="str">
        <f aca="false">IF(M163=1,SUM(F165:F171),"")</f>
        <v/>
      </c>
      <c r="G172" s="37" t="str">
        <f aca="false">IF(M163=1,SUM(G165:G171),"")</f>
        <v/>
      </c>
      <c r="H172" s="38" t="str">
        <f aca="false">IF(M163=1,SUM(H165:H171),"")</f>
        <v/>
      </c>
      <c r="I172" s="36"/>
      <c r="S172" s="0" t="n">
        <v>14</v>
      </c>
    </row>
    <row r="173" customFormat="false" ht="31.5" hidden="false" customHeight="true" outlineLevel="0" collapsed="false">
      <c r="A173" s="39" t="str">
        <f aca="false">IF(M163=1,"ساعات تحميل الجبسمبورد بهالأسبوع (رقم: 2 أو 1.5) ←","")</f>
        <v/>
      </c>
      <c r="B173" s="39"/>
      <c r="C173" s="39"/>
      <c r="D173" s="39"/>
      <c r="E173" s="40"/>
      <c r="F173" s="41" t="str">
        <f aca="false">IF(M163=1,"المستحق النهائي للأسبوع مع الإكرامية (دينار) ←","")</f>
        <v/>
      </c>
      <c r="G173" s="41"/>
      <c r="H173" s="42" t="str">
        <f aca="false">IF(M163=1,IF(ROUND_MODE="للأعلى",CEILING(ROUND((N(H172)+N(E173)*($P$163-$N$163)),3),0.25),ROUND((N(H172)+N(E173)*($P$163-$N$163))*4,0)/4)+N(D174),"")</f>
        <v/>
      </c>
      <c r="I173" s="43" t="str">
        <f aca="false">IF(M163=1,"قبل الجبر: "&amp;TEXT(N(H172)+N(E173)*($P$163-$N$163),"0.000")&amp;IF(N(D174)&gt;0," + إكرامية "&amp;TEXT(D174,"0.000"),""),"")</f>
        <v/>
      </c>
      <c r="S173" s="0" t="n">
        <v>14</v>
      </c>
    </row>
    <row r="174" customFormat="false" ht="25.5" hidden="false" customHeight="true" outlineLevel="0" collapsed="false">
      <c r="A174" s="39" t="str">
        <f aca="false">IF(M163=1,"إكرامية الأسبوع (دينار) ←","")</f>
        <v/>
      </c>
      <c r="B174" s="39"/>
      <c r="C174" s="39"/>
      <c r="D174" s="44"/>
      <c r="E174" s="39" t="str">
        <f aca="false">IF(M163=1,"المدفوع (دينار) ←","")</f>
        <v/>
      </c>
      <c r="F174" s="39"/>
      <c r="G174" s="44"/>
      <c r="H174" s="45" t="str">
        <f aca="false">IF(M163=1,IF(N(G174)&gt;0,"✔ انقبض — الأسبوع مقفول","⏳ لسا ما انقبض"),"")</f>
        <v/>
      </c>
      <c r="I174" s="45"/>
      <c r="S174" s="0" t="n">
        <v>14</v>
      </c>
    </row>
    <row r="175" customFormat="false" ht="27.75" hidden="false" customHeight="true" outlineLevel="0" collapsed="false">
      <c r="A175" s="23" t="str">
        <f aca="false">IF(15&lt;=NW,"من السبت "&amp;TEXT(DAY(SAT1+98),"00")&amp;"/"&amp;TEXT(MONTH(SAT1+98),"00")&amp;"/"&amp;YEAR(SAT1+98)&amp;" إلى الجمعة "&amp;TEXT(DAY(SAT1+104),"00")&amp;"/"&amp;TEXT(MONTH(SAT1+104),"00")&amp;"/"&amp;YEAR(SAT1+104)&amp;" · الأسبوع 15"&amp;"  (يوم القبض: الجمعة)"&amp;IF(15&lt;START_O,"   — قبل أسبوع البداية (ما بينحسب)",""),"ما في أسبوع 15 هالسنة")</f>
        <v>من السبت 04/04/2026 إلى الجمعة 10/04/2026 · الأسبوع 15  (يوم القبض: الجمعة)   — قبل أسبوع البداية (ما بينحسب)</v>
      </c>
      <c r="B175" s="23"/>
      <c r="C175" s="23"/>
      <c r="D175" s="23"/>
      <c r="E175" s="23"/>
      <c r="F175" s="23"/>
      <c r="G175" s="23"/>
      <c r="H175" s="23"/>
      <c r="I175" s="23"/>
      <c r="L175" s="24" t="n">
        <f aca="false">IF(15&lt;=NW,SAT1+104,"")</f>
        <v>46122</v>
      </c>
      <c r="M175" s="25" t="n">
        <f aca="false">IF(AND(15&lt;=NW,15&gt;=START_O),1,0)</f>
        <v>0</v>
      </c>
      <c r="N175" s="26" t="n">
        <f aca="false">IFERROR(INDEX(RT_OMR,MATCH(L175,RT_K,1)),INDEX(RT_OMR,1))</f>
        <v>1.25</v>
      </c>
      <c r="O175" s="26" t="n">
        <f aca="false">IFERROR(INDEX(RT_OT,MATCH(L175,RT_K,1)),INDEX(RT_OT,1))</f>
        <v>1.5</v>
      </c>
      <c r="P175" s="26" t="n">
        <f aca="false">IFERROR(INDEX(RT_GYP,MATCH(L175,RT_K,1)),INDEX(RT_GYP,1))</f>
        <v>2.5</v>
      </c>
      <c r="R175" s="0" t="n">
        <v>15</v>
      </c>
      <c r="S175" s="0" t="n">
        <v>15</v>
      </c>
    </row>
    <row r="176" customFormat="false" ht="25.5" hidden="false" customHeight="true" outlineLevel="0" collapsed="false">
      <c r="A176" s="27" t="s">
        <v>22</v>
      </c>
      <c r="B176" s="27" t="s">
        <v>23</v>
      </c>
      <c r="C176" s="27" t="s">
        <v>24</v>
      </c>
      <c r="D176" s="27" t="s">
        <v>25</v>
      </c>
      <c r="E176" s="27" t="s">
        <v>26</v>
      </c>
      <c r="F176" s="27" t="s">
        <v>27</v>
      </c>
      <c r="G176" s="27" t="s">
        <v>28</v>
      </c>
      <c r="H176" s="27" t="s">
        <v>29</v>
      </c>
      <c r="I176" s="27" t="s">
        <v>30</v>
      </c>
      <c r="S176" s="0" t="n">
        <v>15</v>
      </c>
    </row>
    <row r="177" customFormat="false" ht="15" hidden="false" customHeight="false" outlineLevel="0" collapsed="false">
      <c r="A177" s="28" t="n">
        <f aca="false">IF(15&lt;=NW,SAT1+98,"")</f>
        <v>46116</v>
      </c>
      <c r="B177" s="29" t="str">
        <f aca="false">IF(A177="","",CHOOSE(WEEKDAY(A177,1),"الأحد","الاثنين","الثلاثاء","الأربعاء","الخميس","الجمعة","السبت"))</f>
        <v>السبت</v>
      </c>
      <c r="C177" s="30"/>
      <c r="D177" s="30"/>
      <c r="E177" s="31" t="str">
        <f aca="false">IF(OR(M177=0,K177="",L177=""),"",MOD(L177-K177,1))</f>
        <v/>
      </c>
      <c r="F177" s="31" t="str">
        <f aca="false">IF(OR(E177="",M177=0),"",IF(WEEKDAY(A177,1)=6,E177,MIN(E177,MAX(0,MIN(IF(L177&lt;K177,L177+1,L177),OMR_OT_AT)-K177))))</f>
        <v/>
      </c>
      <c r="G177" s="31" t="str">
        <f aca="false">IF(OR(E177="",M177=0),"",MAX(0,E177-F177))</f>
        <v/>
      </c>
      <c r="H177" s="32" t="str">
        <f aca="false">IF(OR(E177="",M177=0),"",ROUND((F177*$N$175+G177*$O$175)*24,3))</f>
        <v/>
      </c>
      <c r="I177" s="30"/>
      <c r="K177" s="33" t="str">
        <f aca="false">IF(OR(M177=0,C177=""),"",IF(ISNUMBER(C177),MOD(C177,1),IFERROR(INDEX(القوائم!$B$1:$B$288,MATCH(TRIM(C177),القوائم!$A$1:$A$288,0)),IFERROR(MOD(TIMEVALUE(C177),1),""))))</f>
        <v/>
      </c>
      <c r="L177" s="33" t="str">
        <f aca="false">IF(OR(M177=0,D177=""),"",IF(ISNUMBER(D177),MOD(D177,1),IFERROR(INDEX(القوائم!$B$1:$B$288,MATCH(TRIM(D177),القوائم!$A$1:$A$288,0)),IFERROR(MOD(TIMEVALUE(D177),1),""))))</f>
        <v/>
      </c>
      <c r="M177" s="25" t="n">
        <f aca="false">M175</f>
        <v>0</v>
      </c>
      <c r="Q177" s="25" t="n">
        <f aca="false">IF(N(G186)&gt;0,1,0)</f>
        <v>0</v>
      </c>
      <c r="S177" s="0" t="n">
        <v>15</v>
      </c>
    </row>
    <row r="178" customFormat="false" ht="15" hidden="false" customHeight="false" outlineLevel="0" collapsed="false">
      <c r="A178" s="28" t="n">
        <f aca="false">IF(15&lt;=NW,SAT1+99,"")</f>
        <v>46117</v>
      </c>
      <c r="B178" s="29" t="str">
        <f aca="false">IF(A178="","",CHOOSE(WEEKDAY(A178,1),"الأحد","الاثنين","الثلاثاء","الأربعاء","الخميس","الجمعة","السبت"))</f>
        <v>الأحد</v>
      </c>
      <c r="C178" s="30"/>
      <c r="D178" s="30"/>
      <c r="E178" s="31" t="str">
        <f aca="false">IF(OR(M178=0,K178="",L178=""),"",MOD(L178-K178,1))</f>
        <v/>
      </c>
      <c r="F178" s="31" t="str">
        <f aca="false">IF(OR(E178="",M178=0),"",IF(WEEKDAY(A178,1)=6,E178,MIN(E178,MAX(0,MIN(IF(L178&lt;K178,L178+1,L178),OMR_OT_AT)-K178))))</f>
        <v/>
      </c>
      <c r="G178" s="31" t="str">
        <f aca="false">IF(OR(E178="",M178=0),"",MAX(0,E178-F178))</f>
        <v/>
      </c>
      <c r="H178" s="32" t="str">
        <f aca="false">IF(OR(E178="",M178=0),"",ROUND((F178*$N$175+G178*$O$175)*24,3))</f>
        <v/>
      </c>
      <c r="I178" s="30"/>
      <c r="K178" s="33" t="str">
        <f aca="false">IF(OR(M178=0,C178=""),"",IF(ISNUMBER(C178),MOD(C178,1),IFERROR(INDEX(القوائم!$B$1:$B$288,MATCH(TRIM(C178),القوائم!$A$1:$A$288,0)),IFERROR(MOD(TIMEVALUE(C178),1),""))))</f>
        <v/>
      </c>
      <c r="L178" s="33" t="str">
        <f aca="false">IF(OR(M178=0,D178=""),"",IF(ISNUMBER(D178),MOD(D178,1),IFERROR(INDEX(القوائم!$B$1:$B$288,MATCH(TRIM(D178),القوائم!$A$1:$A$288,0)),IFERROR(MOD(TIMEVALUE(D178),1),""))))</f>
        <v/>
      </c>
      <c r="M178" s="25" t="n">
        <f aca="false">M175</f>
        <v>0</v>
      </c>
      <c r="Q178" s="25" t="n">
        <f aca="false">IF(N(G186)&gt;0,1,0)</f>
        <v>0</v>
      </c>
      <c r="S178" s="0" t="n">
        <v>15</v>
      </c>
    </row>
    <row r="179" customFormat="false" ht="15" hidden="false" customHeight="false" outlineLevel="0" collapsed="false">
      <c r="A179" s="28" t="n">
        <f aca="false">IF(15&lt;=NW,SAT1+100,"")</f>
        <v>46118</v>
      </c>
      <c r="B179" s="29" t="str">
        <f aca="false">IF(A179="","",CHOOSE(WEEKDAY(A179,1),"الأحد","الاثنين","الثلاثاء","الأربعاء","الخميس","الجمعة","السبت"))</f>
        <v>الاثنين</v>
      </c>
      <c r="C179" s="30"/>
      <c r="D179" s="30"/>
      <c r="E179" s="31" t="str">
        <f aca="false">IF(OR(M179=0,K179="",L179=""),"",MOD(L179-K179,1))</f>
        <v/>
      </c>
      <c r="F179" s="31" t="str">
        <f aca="false">IF(OR(E179="",M179=0),"",IF(WEEKDAY(A179,1)=6,E179,MIN(E179,MAX(0,MIN(IF(L179&lt;K179,L179+1,L179),OMR_OT_AT)-K179))))</f>
        <v/>
      </c>
      <c r="G179" s="31" t="str">
        <f aca="false">IF(OR(E179="",M179=0),"",MAX(0,E179-F179))</f>
        <v/>
      </c>
      <c r="H179" s="32" t="str">
        <f aca="false">IF(OR(E179="",M179=0),"",ROUND((F179*$N$175+G179*$O$175)*24,3))</f>
        <v/>
      </c>
      <c r="I179" s="30"/>
      <c r="K179" s="33" t="str">
        <f aca="false">IF(OR(M179=0,C179=""),"",IF(ISNUMBER(C179),MOD(C179,1),IFERROR(INDEX(القوائم!$B$1:$B$288,MATCH(TRIM(C179),القوائم!$A$1:$A$288,0)),IFERROR(MOD(TIMEVALUE(C179),1),""))))</f>
        <v/>
      </c>
      <c r="L179" s="33" t="str">
        <f aca="false">IF(OR(M179=0,D179=""),"",IF(ISNUMBER(D179),MOD(D179,1),IFERROR(INDEX(القوائم!$B$1:$B$288,MATCH(TRIM(D179),القوائم!$A$1:$A$288,0)),IFERROR(MOD(TIMEVALUE(D179),1),""))))</f>
        <v/>
      </c>
      <c r="M179" s="25" t="n">
        <f aca="false">M175</f>
        <v>0</v>
      </c>
      <c r="Q179" s="25" t="n">
        <f aca="false">IF(N(G186)&gt;0,1,0)</f>
        <v>0</v>
      </c>
      <c r="S179" s="0" t="n">
        <v>15</v>
      </c>
    </row>
    <row r="180" customFormat="false" ht="15" hidden="false" customHeight="false" outlineLevel="0" collapsed="false">
      <c r="A180" s="28" t="n">
        <f aca="false">IF(15&lt;=NW,SAT1+101,"")</f>
        <v>46119</v>
      </c>
      <c r="B180" s="29" t="str">
        <f aca="false">IF(A180="","",CHOOSE(WEEKDAY(A180,1),"الأحد","الاثنين","الثلاثاء","الأربعاء","الخميس","الجمعة","السبت"))</f>
        <v>الثلاثاء</v>
      </c>
      <c r="C180" s="30"/>
      <c r="D180" s="30"/>
      <c r="E180" s="31" t="str">
        <f aca="false">IF(OR(M180=0,K180="",L180=""),"",MOD(L180-K180,1))</f>
        <v/>
      </c>
      <c r="F180" s="31" t="str">
        <f aca="false">IF(OR(E180="",M180=0),"",IF(WEEKDAY(A180,1)=6,E180,MIN(E180,MAX(0,MIN(IF(L180&lt;K180,L180+1,L180),OMR_OT_AT)-K180))))</f>
        <v/>
      </c>
      <c r="G180" s="31" t="str">
        <f aca="false">IF(OR(E180="",M180=0),"",MAX(0,E180-F180))</f>
        <v/>
      </c>
      <c r="H180" s="32" t="str">
        <f aca="false">IF(OR(E180="",M180=0),"",ROUND((F180*$N$175+G180*$O$175)*24,3))</f>
        <v/>
      </c>
      <c r="I180" s="30"/>
      <c r="K180" s="33" t="str">
        <f aca="false">IF(OR(M180=0,C180=""),"",IF(ISNUMBER(C180),MOD(C180,1),IFERROR(INDEX(القوائم!$B$1:$B$288,MATCH(TRIM(C180),القوائم!$A$1:$A$288,0)),IFERROR(MOD(TIMEVALUE(C180),1),""))))</f>
        <v/>
      </c>
      <c r="L180" s="33" t="str">
        <f aca="false">IF(OR(M180=0,D180=""),"",IF(ISNUMBER(D180),MOD(D180,1),IFERROR(INDEX(القوائم!$B$1:$B$288,MATCH(TRIM(D180),القوائم!$A$1:$A$288,0)),IFERROR(MOD(TIMEVALUE(D180),1),""))))</f>
        <v/>
      </c>
      <c r="M180" s="25" t="n">
        <f aca="false">M175</f>
        <v>0</v>
      </c>
      <c r="Q180" s="25" t="n">
        <f aca="false">IF(N(G186)&gt;0,1,0)</f>
        <v>0</v>
      </c>
      <c r="S180" s="0" t="n">
        <v>15</v>
      </c>
    </row>
    <row r="181" customFormat="false" ht="15" hidden="false" customHeight="false" outlineLevel="0" collapsed="false">
      <c r="A181" s="28" t="n">
        <f aca="false">IF(15&lt;=NW,SAT1+102,"")</f>
        <v>46120</v>
      </c>
      <c r="B181" s="29" t="str">
        <f aca="false">IF(A181="","",CHOOSE(WEEKDAY(A181,1),"الأحد","الاثنين","الثلاثاء","الأربعاء","الخميس","الجمعة","السبت"))</f>
        <v>الأربعاء</v>
      </c>
      <c r="C181" s="30"/>
      <c r="D181" s="30"/>
      <c r="E181" s="31" t="str">
        <f aca="false">IF(OR(M181=0,K181="",L181=""),"",MOD(L181-K181,1))</f>
        <v/>
      </c>
      <c r="F181" s="31" t="str">
        <f aca="false">IF(OR(E181="",M181=0),"",IF(WEEKDAY(A181,1)=6,E181,MIN(E181,MAX(0,MIN(IF(L181&lt;K181,L181+1,L181),OMR_OT_AT)-K181))))</f>
        <v/>
      </c>
      <c r="G181" s="31" t="str">
        <f aca="false">IF(OR(E181="",M181=0),"",MAX(0,E181-F181))</f>
        <v/>
      </c>
      <c r="H181" s="32" t="str">
        <f aca="false">IF(OR(E181="",M181=0),"",ROUND((F181*$N$175+G181*$O$175)*24,3))</f>
        <v/>
      </c>
      <c r="I181" s="30"/>
      <c r="K181" s="33" t="str">
        <f aca="false">IF(OR(M181=0,C181=""),"",IF(ISNUMBER(C181),MOD(C181,1),IFERROR(INDEX(القوائم!$B$1:$B$288,MATCH(TRIM(C181),القوائم!$A$1:$A$288,0)),IFERROR(MOD(TIMEVALUE(C181),1),""))))</f>
        <v/>
      </c>
      <c r="L181" s="33" t="str">
        <f aca="false">IF(OR(M181=0,D181=""),"",IF(ISNUMBER(D181),MOD(D181,1),IFERROR(INDEX(القوائم!$B$1:$B$288,MATCH(TRIM(D181),القوائم!$A$1:$A$288,0)),IFERROR(MOD(TIMEVALUE(D181),1),""))))</f>
        <v/>
      </c>
      <c r="M181" s="25" t="n">
        <f aca="false">M175</f>
        <v>0</v>
      </c>
      <c r="Q181" s="25" t="n">
        <f aca="false">IF(N(G186)&gt;0,1,0)</f>
        <v>0</v>
      </c>
      <c r="S181" s="0" t="n">
        <v>15</v>
      </c>
    </row>
    <row r="182" customFormat="false" ht="15" hidden="false" customHeight="false" outlineLevel="0" collapsed="false">
      <c r="A182" s="28" t="n">
        <f aca="false">IF(15&lt;=NW,SAT1+103,"")</f>
        <v>46121</v>
      </c>
      <c r="B182" s="29" t="str">
        <f aca="false">IF(A182="","",CHOOSE(WEEKDAY(A182,1),"الأحد","الاثنين","الثلاثاء","الأربعاء","الخميس","الجمعة","السبت"))</f>
        <v>الخميس</v>
      </c>
      <c r="C182" s="30"/>
      <c r="D182" s="30"/>
      <c r="E182" s="31" t="str">
        <f aca="false">IF(OR(M182=0,K182="",L182=""),"",MOD(L182-K182,1))</f>
        <v/>
      </c>
      <c r="F182" s="31" t="str">
        <f aca="false">IF(OR(E182="",M182=0),"",IF(WEEKDAY(A182,1)=6,E182,MIN(E182,MAX(0,MIN(IF(L182&lt;K182,L182+1,L182),OMR_OT_AT)-K182))))</f>
        <v/>
      </c>
      <c r="G182" s="31" t="str">
        <f aca="false">IF(OR(E182="",M182=0),"",MAX(0,E182-F182))</f>
        <v/>
      </c>
      <c r="H182" s="32" t="str">
        <f aca="false">IF(OR(E182="",M182=0),"",ROUND((F182*$N$175+G182*$O$175)*24,3))</f>
        <v/>
      </c>
      <c r="I182" s="30"/>
      <c r="K182" s="33" t="str">
        <f aca="false">IF(OR(M182=0,C182=""),"",IF(ISNUMBER(C182),MOD(C182,1),IFERROR(INDEX(القوائم!$B$1:$B$288,MATCH(TRIM(C182),القوائم!$A$1:$A$288,0)),IFERROR(MOD(TIMEVALUE(C182),1),""))))</f>
        <v/>
      </c>
      <c r="L182" s="33" t="str">
        <f aca="false">IF(OR(M182=0,D182=""),"",IF(ISNUMBER(D182),MOD(D182,1),IFERROR(INDEX(القوائم!$B$1:$B$288,MATCH(TRIM(D182),القوائم!$A$1:$A$288,0)),IFERROR(MOD(TIMEVALUE(D182),1),""))))</f>
        <v/>
      </c>
      <c r="M182" s="25" t="n">
        <f aca="false">M175</f>
        <v>0</v>
      </c>
      <c r="Q182" s="25" t="n">
        <f aca="false">IF(N(G186)&gt;0,1,0)</f>
        <v>0</v>
      </c>
      <c r="S182" s="0" t="n">
        <v>15</v>
      </c>
    </row>
    <row r="183" customFormat="false" ht="15" hidden="false" customHeight="false" outlineLevel="0" collapsed="false">
      <c r="A183" s="34" t="n">
        <f aca="false">IF(15&lt;=NW,SAT1+104,"")</f>
        <v>46122</v>
      </c>
      <c r="B183" s="35" t="str">
        <f aca="false">IF(A183="","",CHOOSE(WEEKDAY(A183,1),"الأحد","الاثنين","الثلاثاء","الأربعاء","الخميس","الجمعة","السبت"))</f>
        <v>الجمعة</v>
      </c>
      <c r="C183" s="30"/>
      <c r="D183" s="30"/>
      <c r="E183" s="31" t="str">
        <f aca="false">IF(OR(M183=0,K183="",L183=""),"",MOD(L183-K183,1))</f>
        <v/>
      </c>
      <c r="F183" s="31" t="str">
        <f aca="false">IF(OR(E183="",M183=0),"",IF(WEEKDAY(A183,1)=6,E183,MIN(E183,MAX(0,MIN(IF(L183&lt;K183,L183+1,L183),OMR_OT_AT)-K183))))</f>
        <v/>
      </c>
      <c r="G183" s="31" t="str">
        <f aca="false">IF(OR(E183="",M183=0),"",MAX(0,E183-F183))</f>
        <v/>
      </c>
      <c r="H183" s="32" t="str">
        <f aca="false">IF(OR(E183="",M183=0),"",ROUND((F183*$N$175+G183*$O$175)*24,3))</f>
        <v/>
      </c>
      <c r="I183" s="30"/>
      <c r="K183" s="33" t="str">
        <f aca="false">IF(OR(M183=0,C183=""),"",IF(ISNUMBER(C183),MOD(C183,1),IFERROR(INDEX(القوائم!$B$1:$B$288,MATCH(TRIM(C183),القوائم!$A$1:$A$288,0)),IFERROR(MOD(TIMEVALUE(C183),1),""))))</f>
        <v/>
      </c>
      <c r="L183" s="33" t="str">
        <f aca="false">IF(OR(M183=0,D183=""),"",IF(ISNUMBER(D183),MOD(D183,1),IFERROR(INDEX(القوائم!$B$1:$B$288,MATCH(TRIM(D183),القوائم!$A$1:$A$288,0)),IFERROR(MOD(TIMEVALUE(D183),1),""))))</f>
        <v/>
      </c>
      <c r="M183" s="25" t="n">
        <f aca="false">M175</f>
        <v>0</v>
      </c>
      <c r="Q183" s="25" t="n">
        <f aca="false">IF(N(G186)&gt;0,1,0)</f>
        <v>0</v>
      </c>
      <c r="S183" s="0" t="n">
        <v>15</v>
      </c>
    </row>
    <row r="184" customFormat="false" ht="15" hidden="false" customHeight="false" outlineLevel="0" collapsed="false">
      <c r="A184" s="36" t="str">
        <f aca="false">IF(M175=1,"مجموع أيام الأسبوع 15","")</f>
        <v/>
      </c>
      <c r="B184" s="36"/>
      <c r="C184" s="36"/>
      <c r="D184" s="36"/>
      <c r="E184" s="37" t="str">
        <f aca="false">IF(M175=1,SUM(E177:E183),"")</f>
        <v/>
      </c>
      <c r="F184" s="37" t="str">
        <f aca="false">IF(M175=1,SUM(F177:F183),"")</f>
        <v/>
      </c>
      <c r="G184" s="37" t="str">
        <f aca="false">IF(M175=1,SUM(G177:G183),"")</f>
        <v/>
      </c>
      <c r="H184" s="38" t="str">
        <f aca="false">IF(M175=1,SUM(H177:H183),"")</f>
        <v/>
      </c>
      <c r="I184" s="36"/>
      <c r="S184" s="0" t="n">
        <v>15</v>
      </c>
    </row>
    <row r="185" customFormat="false" ht="31.5" hidden="false" customHeight="true" outlineLevel="0" collapsed="false">
      <c r="A185" s="39" t="str">
        <f aca="false">IF(M175=1,"ساعات تحميل الجبسمبورد بهالأسبوع (رقم: 2 أو 1.5) ←","")</f>
        <v/>
      </c>
      <c r="B185" s="39"/>
      <c r="C185" s="39"/>
      <c r="D185" s="39"/>
      <c r="E185" s="40"/>
      <c r="F185" s="41" t="str">
        <f aca="false">IF(M175=1,"المستحق النهائي للأسبوع مع الإكرامية (دينار) ←","")</f>
        <v/>
      </c>
      <c r="G185" s="41"/>
      <c r="H185" s="42" t="str">
        <f aca="false">IF(M175=1,IF(ROUND_MODE="للأعلى",CEILING(ROUND((N(H184)+N(E185)*($P$175-$N$175)),3),0.25),ROUND((N(H184)+N(E185)*($P$175-$N$175))*4,0)/4)+N(D186),"")</f>
        <v/>
      </c>
      <c r="I185" s="43" t="str">
        <f aca="false">IF(M175=1,"قبل الجبر: "&amp;TEXT(N(H184)+N(E185)*($P$175-$N$175),"0.000")&amp;IF(N(D186)&gt;0," + إكرامية "&amp;TEXT(D186,"0.000"),""),"")</f>
        <v/>
      </c>
      <c r="S185" s="0" t="n">
        <v>15</v>
      </c>
    </row>
    <row r="186" customFormat="false" ht="25.5" hidden="false" customHeight="true" outlineLevel="0" collapsed="false">
      <c r="A186" s="39" t="str">
        <f aca="false">IF(M175=1,"إكرامية الأسبوع (دينار) ←","")</f>
        <v/>
      </c>
      <c r="B186" s="39"/>
      <c r="C186" s="39"/>
      <c r="D186" s="44"/>
      <c r="E186" s="39" t="str">
        <f aca="false">IF(M175=1,"المدفوع (دينار) ←","")</f>
        <v/>
      </c>
      <c r="F186" s="39"/>
      <c r="G186" s="44"/>
      <c r="H186" s="45" t="str">
        <f aca="false">IF(M175=1,IF(N(G186)&gt;0,"✔ انقبض — الأسبوع مقفول","⏳ لسا ما انقبض"),"")</f>
        <v/>
      </c>
      <c r="I186" s="45"/>
      <c r="S186" s="0" t="n">
        <v>15</v>
      </c>
    </row>
    <row r="187" customFormat="false" ht="27.75" hidden="false" customHeight="true" outlineLevel="0" collapsed="false">
      <c r="A187" s="23" t="str">
        <f aca="false">IF(16&lt;=NW,"من السبت "&amp;TEXT(DAY(SAT1+105),"00")&amp;"/"&amp;TEXT(MONTH(SAT1+105),"00")&amp;"/"&amp;YEAR(SAT1+105)&amp;" إلى الجمعة "&amp;TEXT(DAY(SAT1+111),"00")&amp;"/"&amp;TEXT(MONTH(SAT1+111),"00")&amp;"/"&amp;YEAR(SAT1+111)&amp;" · الأسبوع 16"&amp;"  (يوم القبض: الجمعة)"&amp;IF(16&lt;START_O,"   — قبل أسبوع البداية (ما بينحسب)",""),"ما في أسبوع 16 هالسنة")</f>
        <v>من السبت 11/04/2026 إلى الجمعة 17/04/2026 · الأسبوع 16  (يوم القبض: الجمعة)   — قبل أسبوع البداية (ما بينحسب)</v>
      </c>
      <c r="B187" s="23"/>
      <c r="C187" s="23"/>
      <c r="D187" s="23"/>
      <c r="E187" s="23"/>
      <c r="F187" s="23"/>
      <c r="G187" s="23"/>
      <c r="H187" s="23"/>
      <c r="I187" s="23"/>
      <c r="L187" s="24" t="n">
        <f aca="false">IF(16&lt;=NW,SAT1+111,"")</f>
        <v>46129</v>
      </c>
      <c r="M187" s="25" t="n">
        <f aca="false">IF(AND(16&lt;=NW,16&gt;=START_O),1,0)</f>
        <v>0</v>
      </c>
      <c r="N187" s="26" t="n">
        <f aca="false">IFERROR(INDEX(RT_OMR,MATCH(L187,RT_K,1)),INDEX(RT_OMR,1))</f>
        <v>1.25</v>
      </c>
      <c r="O187" s="26" t="n">
        <f aca="false">IFERROR(INDEX(RT_OT,MATCH(L187,RT_K,1)),INDEX(RT_OT,1))</f>
        <v>1.5</v>
      </c>
      <c r="P187" s="26" t="n">
        <f aca="false">IFERROR(INDEX(RT_GYP,MATCH(L187,RT_K,1)),INDEX(RT_GYP,1))</f>
        <v>2.5</v>
      </c>
      <c r="R187" s="0" t="n">
        <v>16</v>
      </c>
      <c r="S187" s="0" t="n">
        <v>16</v>
      </c>
    </row>
    <row r="188" customFormat="false" ht="25.5" hidden="false" customHeight="true" outlineLevel="0" collapsed="false">
      <c r="A188" s="27" t="s">
        <v>22</v>
      </c>
      <c r="B188" s="27" t="s">
        <v>23</v>
      </c>
      <c r="C188" s="27" t="s">
        <v>24</v>
      </c>
      <c r="D188" s="27" t="s">
        <v>25</v>
      </c>
      <c r="E188" s="27" t="s">
        <v>26</v>
      </c>
      <c r="F188" s="27" t="s">
        <v>27</v>
      </c>
      <c r="G188" s="27" t="s">
        <v>28</v>
      </c>
      <c r="H188" s="27" t="s">
        <v>29</v>
      </c>
      <c r="I188" s="27" t="s">
        <v>30</v>
      </c>
      <c r="S188" s="0" t="n">
        <v>16</v>
      </c>
    </row>
    <row r="189" customFormat="false" ht="15" hidden="false" customHeight="false" outlineLevel="0" collapsed="false">
      <c r="A189" s="28" t="n">
        <f aca="false">IF(16&lt;=NW,SAT1+105,"")</f>
        <v>46123</v>
      </c>
      <c r="B189" s="29" t="str">
        <f aca="false">IF(A189="","",CHOOSE(WEEKDAY(A189,1),"الأحد","الاثنين","الثلاثاء","الأربعاء","الخميس","الجمعة","السبت"))</f>
        <v>السبت</v>
      </c>
      <c r="C189" s="30"/>
      <c r="D189" s="30"/>
      <c r="E189" s="31" t="str">
        <f aca="false">IF(OR(M189=0,K189="",L189=""),"",MOD(L189-K189,1))</f>
        <v/>
      </c>
      <c r="F189" s="31" t="str">
        <f aca="false">IF(OR(E189="",M189=0),"",IF(WEEKDAY(A189,1)=6,E189,MIN(E189,MAX(0,MIN(IF(L189&lt;K189,L189+1,L189),OMR_OT_AT)-K189))))</f>
        <v/>
      </c>
      <c r="G189" s="31" t="str">
        <f aca="false">IF(OR(E189="",M189=0),"",MAX(0,E189-F189))</f>
        <v/>
      </c>
      <c r="H189" s="32" t="str">
        <f aca="false">IF(OR(E189="",M189=0),"",ROUND((F189*$N$187+G189*$O$187)*24,3))</f>
        <v/>
      </c>
      <c r="I189" s="30"/>
      <c r="K189" s="33" t="str">
        <f aca="false">IF(OR(M189=0,C189=""),"",IF(ISNUMBER(C189),MOD(C189,1),IFERROR(INDEX(القوائم!$B$1:$B$288,MATCH(TRIM(C189),القوائم!$A$1:$A$288,0)),IFERROR(MOD(TIMEVALUE(C189),1),""))))</f>
        <v/>
      </c>
      <c r="L189" s="33" t="str">
        <f aca="false">IF(OR(M189=0,D189=""),"",IF(ISNUMBER(D189),MOD(D189,1),IFERROR(INDEX(القوائم!$B$1:$B$288,MATCH(TRIM(D189),القوائم!$A$1:$A$288,0)),IFERROR(MOD(TIMEVALUE(D189),1),""))))</f>
        <v/>
      </c>
      <c r="M189" s="25" t="n">
        <f aca="false">M187</f>
        <v>0</v>
      </c>
      <c r="Q189" s="25" t="n">
        <f aca="false">IF(N(G198)&gt;0,1,0)</f>
        <v>0</v>
      </c>
      <c r="S189" s="0" t="n">
        <v>16</v>
      </c>
    </row>
    <row r="190" customFormat="false" ht="15" hidden="false" customHeight="false" outlineLevel="0" collapsed="false">
      <c r="A190" s="28" t="n">
        <f aca="false">IF(16&lt;=NW,SAT1+106,"")</f>
        <v>46124</v>
      </c>
      <c r="B190" s="29" t="str">
        <f aca="false">IF(A190="","",CHOOSE(WEEKDAY(A190,1),"الأحد","الاثنين","الثلاثاء","الأربعاء","الخميس","الجمعة","السبت"))</f>
        <v>الأحد</v>
      </c>
      <c r="C190" s="30"/>
      <c r="D190" s="30"/>
      <c r="E190" s="31" t="str">
        <f aca="false">IF(OR(M190=0,K190="",L190=""),"",MOD(L190-K190,1))</f>
        <v/>
      </c>
      <c r="F190" s="31" t="str">
        <f aca="false">IF(OR(E190="",M190=0),"",IF(WEEKDAY(A190,1)=6,E190,MIN(E190,MAX(0,MIN(IF(L190&lt;K190,L190+1,L190),OMR_OT_AT)-K190))))</f>
        <v/>
      </c>
      <c r="G190" s="31" t="str">
        <f aca="false">IF(OR(E190="",M190=0),"",MAX(0,E190-F190))</f>
        <v/>
      </c>
      <c r="H190" s="32" t="str">
        <f aca="false">IF(OR(E190="",M190=0),"",ROUND((F190*$N$187+G190*$O$187)*24,3))</f>
        <v/>
      </c>
      <c r="I190" s="30"/>
      <c r="K190" s="33" t="str">
        <f aca="false">IF(OR(M190=0,C190=""),"",IF(ISNUMBER(C190),MOD(C190,1),IFERROR(INDEX(القوائم!$B$1:$B$288,MATCH(TRIM(C190),القوائم!$A$1:$A$288,0)),IFERROR(MOD(TIMEVALUE(C190),1),""))))</f>
        <v/>
      </c>
      <c r="L190" s="33" t="str">
        <f aca="false">IF(OR(M190=0,D190=""),"",IF(ISNUMBER(D190),MOD(D190,1),IFERROR(INDEX(القوائم!$B$1:$B$288,MATCH(TRIM(D190),القوائم!$A$1:$A$288,0)),IFERROR(MOD(TIMEVALUE(D190),1),""))))</f>
        <v/>
      </c>
      <c r="M190" s="25" t="n">
        <f aca="false">M187</f>
        <v>0</v>
      </c>
      <c r="Q190" s="25" t="n">
        <f aca="false">IF(N(G198)&gt;0,1,0)</f>
        <v>0</v>
      </c>
      <c r="S190" s="0" t="n">
        <v>16</v>
      </c>
    </row>
    <row r="191" customFormat="false" ht="15" hidden="false" customHeight="false" outlineLevel="0" collapsed="false">
      <c r="A191" s="28" t="n">
        <f aca="false">IF(16&lt;=NW,SAT1+107,"")</f>
        <v>46125</v>
      </c>
      <c r="B191" s="29" t="str">
        <f aca="false">IF(A191="","",CHOOSE(WEEKDAY(A191,1),"الأحد","الاثنين","الثلاثاء","الأربعاء","الخميس","الجمعة","السبت"))</f>
        <v>الاثنين</v>
      </c>
      <c r="C191" s="30"/>
      <c r="D191" s="30"/>
      <c r="E191" s="31" t="str">
        <f aca="false">IF(OR(M191=0,K191="",L191=""),"",MOD(L191-K191,1))</f>
        <v/>
      </c>
      <c r="F191" s="31" t="str">
        <f aca="false">IF(OR(E191="",M191=0),"",IF(WEEKDAY(A191,1)=6,E191,MIN(E191,MAX(0,MIN(IF(L191&lt;K191,L191+1,L191),OMR_OT_AT)-K191))))</f>
        <v/>
      </c>
      <c r="G191" s="31" t="str">
        <f aca="false">IF(OR(E191="",M191=0),"",MAX(0,E191-F191))</f>
        <v/>
      </c>
      <c r="H191" s="32" t="str">
        <f aca="false">IF(OR(E191="",M191=0),"",ROUND((F191*$N$187+G191*$O$187)*24,3))</f>
        <v/>
      </c>
      <c r="I191" s="30"/>
      <c r="K191" s="33" t="str">
        <f aca="false">IF(OR(M191=0,C191=""),"",IF(ISNUMBER(C191),MOD(C191,1),IFERROR(INDEX(القوائم!$B$1:$B$288,MATCH(TRIM(C191),القوائم!$A$1:$A$288,0)),IFERROR(MOD(TIMEVALUE(C191),1),""))))</f>
        <v/>
      </c>
      <c r="L191" s="33" t="str">
        <f aca="false">IF(OR(M191=0,D191=""),"",IF(ISNUMBER(D191),MOD(D191,1),IFERROR(INDEX(القوائم!$B$1:$B$288,MATCH(TRIM(D191),القوائم!$A$1:$A$288,0)),IFERROR(MOD(TIMEVALUE(D191),1),""))))</f>
        <v/>
      </c>
      <c r="M191" s="25" t="n">
        <f aca="false">M187</f>
        <v>0</v>
      </c>
      <c r="Q191" s="25" t="n">
        <f aca="false">IF(N(G198)&gt;0,1,0)</f>
        <v>0</v>
      </c>
      <c r="S191" s="0" t="n">
        <v>16</v>
      </c>
    </row>
    <row r="192" customFormat="false" ht="15" hidden="false" customHeight="false" outlineLevel="0" collapsed="false">
      <c r="A192" s="28" t="n">
        <f aca="false">IF(16&lt;=NW,SAT1+108,"")</f>
        <v>46126</v>
      </c>
      <c r="B192" s="29" t="str">
        <f aca="false">IF(A192="","",CHOOSE(WEEKDAY(A192,1),"الأحد","الاثنين","الثلاثاء","الأربعاء","الخميس","الجمعة","السبت"))</f>
        <v>الثلاثاء</v>
      </c>
      <c r="C192" s="30"/>
      <c r="D192" s="30"/>
      <c r="E192" s="31" t="str">
        <f aca="false">IF(OR(M192=0,K192="",L192=""),"",MOD(L192-K192,1))</f>
        <v/>
      </c>
      <c r="F192" s="31" t="str">
        <f aca="false">IF(OR(E192="",M192=0),"",IF(WEEKDAY(A192,1)=6,E192,MIN(E192,MAX(0,MIN(IF(L192&lt;K192,L192+1,L192),OMR_OT_AT)-K192))))</f>
        <v/>
      </c>
      <c r="G192" s="31" t="str">
        <f aca="false">IF(OR(E192="",M192=0),"",MAX(0,E192-F192))</f>
        <v/>
      </c>
      <c r="H192" s="32" t="str">
        <f aca="false">IF(OR(E192="",M192=0),"",ROUND((F192*$N$187+G192*$O$187)*24,3))</f>
        <v/>
      </c>
      <c r="I192" s="30"/>
      <c r="K192" s="33" t="str">
        <f aca="false">IF(OR(M192=0,C192=""),"",IF(ISNUMBER(C192),MOD(C192,1),IFERROR(INDEX(القوائم!$B$1:$B$288,MATCH(TRIM(C192),القوائم!$A$1:$A$288,0)),IFERROR(MOD(TIMEVALUE(C192),1),""))))</f>
        <v/>
      </c>
      <c r="L192" s="33" t="str">
        <f aca="false">IF(OR(M192=0,D192=""),"",IF(ISNUMBER(D192),MOD(D192,1),IFERROR(INDEX(القوائم!$B$1:$B$288,MATCH(TRIM(D192),القوائم!$A$1:$A$288,0)),IFERROR(MOD(TIMEVALUE(D192),1),""))))</f>
        <v/>
      </c>
      <c r="M192" s="25" t="n">
        <f aca="false">M187</f>
        <v>0</v>
      </c>
      <c r="Q192" s="25" t="n">
        <f aca="false">IF(N(G198)&gt;0,1,0)</f>
        <v>0</v>
      </c>
      <c r="S192" s="0" t="n">
        <v>16</v>
      </c>
    </row>
    <row r="193" customFormat="false" ht="15" hidden="false" customHeight="false" outlineLevel="0" collapsed="false">
      <c r="A193" s="28" t="n">
        <f aca="false">IF(16&lt;=NW,SAT1+109,"")</f>
        <v>46127</v>
      </c>
      <c r="B193" s="29" t="str">
        <f aca="false">IF(A193="","",CHOOSE(WEEKDAY(A193,1),"الأحد","الاثنين","الثلاثاء","الأربعاء","الخميس","الجمعة","السبت"))</f>
        <v>الأربعاء</v>
      </c>
      <c r="C193" s="30"/>
      <c r="D193" s="30"/>
      <c r="E193" s="31" t="str">
        <f aca="false">IF(OR(M193=0,K193="",L193=""),"",MOD(L193-K193,1))</f>
        <v/>
      </c>
      <c r="F193" s="31" t="str">
        <f aca="false">IF(OR(E193="",M193=0),"",IF(WEEKDAY(A193,1)=6,E193,MIN(E193,MAX(0,MIN(IF(L193&lt;K193,L193+1,L193),OMR_OT_AT)-K193))))</f>
        <v/>
      </c>
      <c r="G193" s="31" t="str">
        <f aca="false">IF(OR(E193="",M193=0),"",MAX(0,E193-F193))</f>
        <v/>
      </c>
      <c r="H193" s="32" t="str">
        <f aca="false">IF(OR(E193="",M193=0),"",ROUND((F193*$N$187+G193*$O$187)*24,3))</f>
        <v/>
      </c>
      <c r="I193" s="30"/>
      <c r="K193" s="33" t="str">
        <f aca="false">IF(OR(M193=0,C193=""),"",IF(ISNUMBER(C193),MOD(C193,1),IFERROR(INDEX(القوائم!$B$1:$B$288,MATCH(TRIM(C193),القوائم!$A$1:$A$288,0)),IFERROR(MOD(TIMEVALUE(C193),1),""))))</f>
        <v/>
      </c>
      <c r="L193" s="33" t="str">
        <f aca="false">IF(OR(M193=0,D193=""),"",IF(ISNUMBER(D193),MOD(D193,1),IFERROR(INDEX(القوائم!$B$1:$B$288,MATCH(TRIM(D193),القوائم!$A$1:$A$288,0)),IFERROR(MOD(TIMEVALUE(D193),1),""))))</f>
        <v/>
      </c>
      <c r="M193" s="25" t="n">
        <f aca="false">M187</f>
        <v>0</v>
      </c>
      <c r="Q193" s="25" t="n">
        <f aca="false">IF(N(G198)&gt;0,1,0)</f>
        <v>0</v>
      </c>
      <c r="S193" s="0" t="n">
        <v>16</v>
      </c>
    </row>
    <row r="194" customFormat="false" ht="15" hidden="false" customHeight="false" outlineLevel="0" collapsed="false">
      <c r="A194" s="28" t="n">
        <f aca="false">IF(16&lt;=NW,SAT1+110,"")</f>
        <v>46128</v>
      </c>
      <c r="B194" s="29" t="str">
        <f aca="false">IF(A194="","",CHOOSE(WEEKDAY(A194,1),"الأحد","الاثنين","الثلاثاء","الأربعاء","الخميس","الجمعة","السبت"))</f>
        <v>الخميس</v>
      </c>
      <c r="C194" s="30"/>
      <c r="D194" s="30"/>
      <c r="E194" s="31" t="str">
        <f aca="false">IF(OR(M194=0,K194="",L194=""),"",MOD(L194-K194,1))</f>
        <v/>
      </c>
      <c r="F194" s="31" t="str">
        <f aca="false">IF(OR(E194="",M194=0),"",IF(WEEKDAY(A194,1)=6,E194,MIN(E194,MAX(0,MIN(IF(L194&lt;K194,L194+1,L194),OMR_OT_AT)-K194))))</f>
        <v/>
      </c>
      <c r="G194" s="31" t="str">
        <f aca="false">IF(OR(E194="",M194=0),"",MAX(0,E194-F194))</f>
        <v/>
      </c>
      <c r="H194" s="32" t="str">
        <f aca="false">IF(OR(E194="",M194=0),"",ROUND((F194*$N$187+G194*$O$187)*24,3))</f>
        <v/>
      </c>
      <c r="I194" s="30"/>
      <c r="K194" s="33" t="str">
        <f aca="false">IF(OR(M194=0,C194=""),"",IF(ISNUMBER(C194),MOD(C194,1),IFERROR(INDEX(القوائم!$B$1:$B$288,MATCH(TRIM(C194),القوائم!$A$1:$A$288,0)),IFERROR(MOD(TIMEVALUE(C194),1),""))))</f>
        <v/>
      </c>
      <c r="L194" s="33" t="str">
        <f aca="false">IF(OR(M194=0,D194=""),"",IF(ISNUMBER(D194),MOD(D194,1),IFERROR(INDEX(القوائم!$B$1:$B$288,MATCH(TRIM(D194),القوائم!$A$1:$A$288,0)),IFERROR(MOD(TIMEVALUE(D194),1),""))))</f>
        <v/>
      </c>
      <c r="M194" s="25" t="n">
        <f aca="false">M187</f>
        <v>0</v>
      </c>
      <c r="Q194" s="25" t="n">
        <f aca="false">IF(N(G198)&gt;0,1,0)</f>
        <v>0</v>
      </c>
      <c r="S194" s="0" t="n">
        <v>16</v>
      </c>
    </row>
    <row r="195" customFormat="false" ht="15" hidden="false" customHeight="false" outlineLevel="0" collapsed="false">
      <c r="A195" s="34" t="n">
        <f aca="false">IF(16&lt;=NW,SAT1+111,"")</f>
        <v>46129</v>
      </c>
      <c r="B195" s="35" t="str">
        <f aca="false">IF(A195="","",CHOOSE(WEEKDAY(A195,1),"الأحد","الاثنين","الثلاثاء","الأربعاء","الخميس","الجمعة","السبت"))</f>
        <v>الجمعة</v>
      </c>
      <c r="C195" s="30"/>
      <c r="D195" s="30"/>
      <c r="E195" s="31" t="str">
        <f aca="false">IF(OR(M195=0,K195="",L195=""),"",MOD(L195-K195,1))</f>
        <v/>
      </c>
      <c r="F195" s="31" t="str">
        <f aca="false">IF(OR(E195="",M195=0),"",IF(WEEKDAY(A195,1)=6,E195,MIN(E195,MAX(0,MIN(IF(L195&lt;K195,L195+1,L195),OMR_OT_AT)-K195))))</f>
        <v/>
      </c>
      <c r="G195" s="31" t="str">
        <f aca="false">IF(OR(E195="",M195=0),"",MAX(0,E195-F195))</f>
        <v/>
      </c>
      <c r="H195" s="32" t="str">
        <f aca="false">IF(OR(E195="",M195=0),"",ROUND((F195*$N$187+G195*$O$187)*24,3))</f>
        <v/>
      </c>
      <c r="I195" s="30"/>
      <c r="K195" s="33" t="str">
        <f aca="false">IF(OR(M195=0,C195=""),"",IF(ISNUMBER(C195),MOD(C195,1),IFERROR(INDEX(القوائم!$B$1:$B$288,MATCH(TRIM(C195),القوائم!$A$1:$A$288,0)),IFERROR(MOD(TIMEVALUE(C195),1),""))))</f>
        <v/>
      </c>
      <c r="L195" s="33" t="str">
        <f aca="false">IF(OR(M195=0,D195=""),"",IF(ISNUMBER(D195),MOD(D195,1),IFERROR(INDEX(القوائم!$B$1:$B$288,MATCH(TRIM(D195),القوائم!$A$1:$A$288,0)),IFERROR(MOD(TIMEVALUE(D195),1),""))))</f>
        <v/>
      </c>
      <c r="M195" s="25" t="n">
        <f aca="false">M187</f>
        <v>0</v>
      </c>
      <c r="Q195" s="25" t="n">
        <f aca="false">IF(N(G198)&gt;0,1,0)</f>
        <v>0</v>
      </c>
      <c r="S195" s="0" t="n">
        <v>16</v>
      </c>
    </row>
    <row r="196" customFormat="false" ht="15" hidden="false" customHeight="false" outlineLevel="0" collapsed="false">
      <c r="A196" s="36" t="str">
        <f aca="false">IF(M187=1,"مجموع أيام الأسبوع 16","")</f>
        <v/>
      </c>
      <c r="B196" s="36"/>
      <c r="C196" s="36"/>
      <c r="D196" s="36"/>
      <c r="E196" s="37" t="str">
        <f aca="false">IF(M187=1,SUM(E189:E195),"")</f>
        <v/>
      </c>
      <c r="F196" s="37" t="str">
        <f aca="false">IF(M187=1,SUM(F189:F195),"")</f>
        <v/>
      </c>
      <c r="G196" s="37" t="str">
        <f aca="false">IF(M187=1,SUM(G189:G195),"")</f>
        <v/>
      </c>
      <c r="H196" s="38" t="str">
        <f aca="false">IF(M187=1,SUM(H189:H195),"")</f>
        <v/>
      </c>
      <c r="I196" s="36"/>
      <c r="S196" s="0" t="n">
        <v>16</v>
      </c>
    </row>
    <row r="197" customFormat="false" ht="31.5" hidden="false" customHeight="true" outlineLevel="0" collapsed="false">
      <c r="A197" s="39" t="str">
        <f aca="false">IF(M187=1,"ساعات تحميل الجبسمبورد بهالأسبوع (رقم: 2 أو 1.5) ←","")</f>
        <v/>
      </c>
      <c r="B197" s="39"/>
      <c r="C197" s="39"/>
      <c r="D197" s="39"/>
      <c r="E197" s="40"/>
      <c r="F197" s="41" t="str">
        <f aca="false">IF(M187=1,"المستحق النهائي للأسبوع مع الإكرامية (دينار) ←","")</f>
        <v/>
      </c>
      <c r="G197" s="41"/>
      <c r="H197" s="42" t="str">
        <f aca="false">IF(M187=1,IF(ROUND_MODE="للأعلى",CEILING(ROUND((N(H196)+N(E197)*($P$187-$N$187)),3),0.25),ROUND((N(H196)+N(E197)*($P$187-$N$187))*4,0)/4)+N(D198),"")</f>
        <v/>
      </c>
      <c r="I197" s="43" t="str">
        <f aca="false">IF(M187=1,"قبل الجبر: "&amp;TEXT(N(H196)+N(E197)*($P$187-$N$187),"0.000")&amp;IF(N(D198)&gt;0," + إكرامية "&amp;TEXT(D198,"0.000"),""),"")</f>
        <v/>
      </c>
      <c r="S197" s="0" t="n">
        <v>16</v>
      </c>
    </row>
    <row r="198" customFormat="false" ht="25.5" hidden="false" customHeight="true" outlineLevel="0" collapsed="false">
      <c r="A198" s="39" t="str">
        <f aca="false">IF(M187=1,"إكرامية الأسبوع (دينار) ←","")</f>
        <v/>
      </c>
      <c r="B198" s="39"/>
      <c r="C198" s="39"/>
      <c r="D198" s="44"/>
      <c r="E198" s="39" t="str">
        <f aca="false">IF(M187=1,"المدفوع (دينار) ←","")</f>
        <v/>
      </c>
      <c r="F198" s="39"/>
      <c r="G198" s="44"/>
      <c r="H198" s="45" t="str">
        <f aca="false">IF(M187=1,IF(N(G198)&gt;0,"✔ انقبض — الأسبوع مقفول","⏳ لسا ما انقبض"),"")</f>
        <v/>
      </c>
      <c r="I198" s="45"/>
      <c r="S198" s="0" t="n">
        <v>16</v>
      </c>
    </row>
    <row r="199" customFormat="false" ht="27.75" hidden="false" customHeight="true" outlineLevel="0" collapsed="false">
      <c r="A199" s="23" t="str">
        <f aca="false">IF(17&lt;=NW,"من السبت "&amp;TEXT(DAY(SAT1+112),"00")&amp;"/"&amp;TEXT(MONTH(SAT1+112),"00")&amp;"/"&amp;YEAR(SAT1+112)&amp;" إلى الجمعة "&amp;TEXT(DAY(SAT1+118),"00")&amp;"/"&amp;TEXT(MONTH(SAT1+118),"00")&amp;"/"&amp;YEAR(SAT1+118)&amp;" · الأسبوع 17"&amp;"  (يوم القبض: الجمعة)"&amp;IF(17&lt;START_O,"   — قبل أسبوع البداية (ما بينحسب)",""),"ما في أسبوع 17 هالسنة")</f>
        <v>من السبت 18/04/2026 إلى الجمعة 24/04/2026 · الأسبوع 17  (يوم القبض: الجمعة)   — قبل أسبوع البداية (ما بينحسب)</v>
      </c>
      <c r="B199" s="23"/>
      <c r="C199" s="23"/>
      <c r="D199" s="23"/>
      <c r="E199" s="23"/>
      <c r="F199" s="23"/>
      <c r="G199" s="23"/>
      <c r="H199" s="23"/>
      <c r="I199" s="23"/>
      <c r="L199" s="24" t="n">
        <f aca="false">IF(17&lt;=NW,SAT1+118,"")</f>
        <v>46136</v>
      </c>
      <c r="M199" s="25" t="n">
        <f aca="false">IF(AND(17&lt;=NW,17&gt;=START_O),1,0)</f>
        <v>0</v>
      </c>
      <c r="N199" s="26" t="n">
        <f aca="false">IFERROR(INDEX(RT_OMR,MATCH(L199,RT_K,1)),INDEX(RT_OMR,1))</f>
        <v>1.25</v>
      </c>
      <c r="O199" s="26" t="n">
        <f aca="false">IFERROR(INDEX(RT_OT,MATCH(L199,RT_K,1)),INDEX(RT_OT,1))</f>
        <v>1.5</v>
      </c>
      <c r="P199" s="26" t="n">
        <f aca="false">IFERROR(INDEX(RT_GYP,MATCH(L199,RT_K,1)),INDEX(RT_GYP,1))</f>
        <v>2.5</v>
      </c>
      <c r="R199" s="0" t="n">
        <v>17</v>
      </c>
      <c r="S199" s="0" t="n">
        <v>17</v>
      </c>
    </row>
    <row r="200" customFormat="false" ht="25.5" hidden="false" customHeight="true" outlineLevel="0" collapsed="false">
      <c r="A200" s="27" t="s">
        <v>22</v>
      </c>
      <c r="B200" s="27" t="s">
        <v>23</v>
      </c>
      <c r="C200" s="27" t="s">
        <v>24</v>
      </c>
      <c r="D200" s="27" t="s">
        <v>25</v>
      </c>
      <c r="E200" s="27" t="s">
        <v>26</v>
      </c>
      <c r="F200" s="27" t="s">
        <v>27</v>
      </c>
      <c r="G200" s="27" t="s">
        <v>28</v>
      </c>
      <c r="H200" s="27" t="s">
        <v>29</v>
      </c>
      <c r="I200" s="27" t="s">
        <v>30</v>
      </c>
      <c r="S200" s="0" t="n">
        <v>17</v>
      </c>
    </row>
    <row r="201" customFormat="false" ht="15" hidden="false" customHeight="false" outlineLevel="0" collapsed="false">
      <c r="A201" s="28" t="n">
        <f aca="false">IF(17&lt;=NW,SAT1+112,"")</f>
        <v>46130</v>
      </c>
      <c r="B201" s="29" t="str">
        <f aca="false">IF(A201="","",CHOOSE(WEEKDAY(A201,1),"الأحد","الاثنين","الثلاثاء","الأربعاء","الخميس","الجمعة","السبت"))</f>
        <v>السبت</v>
      </c>
      <c r="C201" s="30"/>
      <c r="D201" s="30"/>
      <c r="E201" s="31" t="str">
        <f aca="false">IF(OR(M201=0,K201="",L201=""),"",MOD(L201-K201,1))</f>
        <v/>
      </c>
      <c r="F201" s="31" t="str">
        <f aca="false">IF(OR(E201="",M201=0),"",IF(WEEKDAY(A201,1)=6,E201,MIN(E201,MAX(0,MIN(IF(L201&lt;K201,L201+1,L201),OMR_OT_AT)-K201))))</f>
        <v/>
      </c>
      <c r="G201" s="31" t="str">
        <f aca="false">IF(OR(E201="",M201=0),"",MAX(0,E201-F201))</f>
        <v/>
      </c>
      <c r="H201" s="32" t="str">
        <f aca="false">IF(OR(E201="",M201=0),"",ROUND((F201*$N$199+G201*$O$199)*24,3))</f>
        <v/>
      </c>
      <c r="I201" s="30"/>
      <c r="K201" s="33" t="str">
        <f aca="false">IF(OR(M201=0,C201=""),"",IF(ISNUMBER(C201),MOD(C201,1),IFERROR(INDEX(القوائم!$B$1:$B$288,MATCH(TRIM(C201),القوائم!$A$1:$A$288,0)),IFERROR(MOD(TIMEVALUE(C201),1),""))))</f>
        <v/>
      </c>
      <c r="L201" s="33" t="str">
        <f aca="false">IF(OR(M201=0,D201=""),"",IF(ISNUMBER(D201),MOD(D201,1),IFERROR(INDEX(القوائم!$B$1:$B$288,MATCH(TRIM(D201),القوائم!$A$1:$A$288,0)),IFERROR(MOD(TIMEVALUE(D201),1),""))))</f>
        <v/>
      </c>
      <c r="M201" s="25" t="n">
        <f aca="false">M199</f>
        <v>0</v>
      </c>
      <c r="Q201" s="25" t="n">
        <f aca="false">IF(N(G210)&gt;0,1,0)</f>
        <v>0</v>
      </c>
      <c r="S201" s="0" t="n">
        <v>17</v>
      </c>
    </row>
    <row r="202" customFormat="false" ht="15" hidden="false" customHeight="false" outlineLevel="0" collapsed="false">
      <c r="A202" s="28" t="n">
        <f aca="false">IF(17&lt;=NW,SAT1+113,"")</f>
        <v>46131</v>
      </c>
      <c r="B202" s="29" t="str">
        <f aca="false">IF(A202="","",CHOOSE(WEEKDAY(A202,1),"الأحد","الاثنين","الثلاثاء","الأربعاء","الخميس","الجمعة","السبت"))</f>
        <v>الأحد</v>
      </c>
      <c r="C202" s="30"/>
      <c r="D202" s="30"/>
      <c r="E202" s="31" t="str">
        <f aca="false">IF(OR(M202=0,K202="",L202=""),"",MOD(L202-K202,1))</f>
        <v/>
      </c>
      <c r="F202" s="31" t="str">
        <f aca="false">IF(OR(E202="",M202=0),"",IF(WEEKDAY(A202,1)=6,E202,MIN(E202,MAX(0,MIN(IF(L202&lt;K202,L202+1,L202),OMR_OT_AT)-K202))))</f>
        <v/>
      </c>
      <c r="G202" s="31" t="str">
        <f aca="false">IF(OR(E202="",M202=0),"",MAX(0,E202-F202))</f>
        <v/>
      </c>
      <c r="H202" s="32" t="str">
        <f aca="false">IF(OR(E202="",M202=0),"",ROUND((F202*$N$199+G202*$O$199)*24,3))</f>
        <v/>
      </c>
      <c r="I202" s="30"/>
      <c r="K202" s="33" t="str">
        <f aca="false">IF(OR(M202=0,C202=""),"",IF(ISNUMBER(C202),MOD(C202,1),IFERROR(INDEX(القوائم!$B$1:$B$288,MATCH(TRIM(C202),القوائم!$A$1:$A$288,0)),IFERROR(MOD(TIMEVALUE(C202),1),""))))</f>
        <v/>
      </c>
      <c r="L202" s="33" t="str">
        <f aca="false">IF(OR(M202=0,D202=""),"",IF(ISNUMBER(D202),MOD(D202,1),IFERROR(INDEX(القوائم!$B$1:$B$288,MATCH(TRIM(D202),القوائم!$A$1:$A$288,0)),IFERROR(MOD(TIMEVALUE(D202),1),""))))</f>
        <v/>
      </c>
      <c r="M202" s="25" t="n">
        <f aca="false">M199</f>
        <v>0</v>
      </c>
      <c r="Q202" s="25" t="n">
        <f aca="false">IF(N(G210)&gt;0,1,0)</f>
        <v>0</v>
      </c>
      <c r="S202" s="0" t="n">
        <v>17</v>
      </c>
    </row>
    <row r="203" customFormat="false" ht="15" hidden="false" customHeight="false" outlineLevel="0" collapsed="false">
      <c r="A203" s="28" t="n">
        <f aca="false">IF(17&lt;=NW,SAT1+114,"")</f>
        <v>46132</v>
      </c>
      <c r="B203" s="29" t="str">
        <f aca="false">IF(A203="","",CHOOSE(WEEKDAY(A203,1),"الأحد","الاثنين","الثلاثاء","الأربعاء","الخميس","الجمعة","السبت"))</f>
        <v>الاثنين</v>
      </c>
      <c r="C203" s="30"/>
      <c r="D203" s="30"/>
      <c r="E203" s="31" t="str">
        <f aca="false">IF(OR(M203=0,K203="",L203=""),"",MOD(L203-K203,1))</f>
        <v/>
      </c>
      <c r="F203" s="31" t="str">
        <f aca="false">IF(OR(E203="",M203=0),"",IF(WEEKDAY(A203,1)=6,E203,MIN(E203,MAX(0,MIN(IF(L203&lt;K203,L203+1,L203),OMR_OT_AT)-K203))))</f>
        <v/>
      </c>
      <c r="G203" s="31" t="str">
        <f aca="false">IF(OR(E203="",M203=0),"",MAX(0,E203-F203))</f>
        <v/>
      </c>
      <c r="H203" s="32" t="str">
        <f aca="false">IF(OR(E203="",M203=0),"",ROUND((F203*$N$199+G203*$O$199)*24,3))</f>
        <v/>
      </c>
      <c r="I203" s="30"/>
      <c r="K203" s="33" t="str">
        <f aca="false">IF(OR(M203=0,C203=""),"",IF(ISNUMBER(C203),MOD(C203,1),IFERROR(INDEX(القوائم!$B$1:$B$288,MATCH(TRIM(C203),القوائم!$A$1:$A$288,0)),IFERROR(MOD(TIMEVALUE(C203),1),""))))</f>
        <v/>
      </c>
      <c r="L203" s="33" t="str">
        <f aca="false">IF(OR(M203=0,D203=""),"",IF(ISNUMBER(D203),MOD(D203,1),IFERROR(INDEX(القوائم!$B$1:$B$288,MATCH(TRIM(D203),القوائم!$A$1:$A$288,0)),IFERROR(MOD(TIMEVALUE(D203),1),""))))</f>
        <v/>
      </c>
      <c r="M203" s="25" t="n">
        <f aca="false">M199</f>
        <v>0</v>
      </c>
      <c r="Q203" s="25" t="n">
        <f aca="false">IF(N(G210)&gt;0,1,0)</f>
        <v>0</v>
      </c>
      <c r="S203" s="0" t="n">
        <v>17</v>
      </c>
    </row>
    <row r="204" customFormat="false" ht="15" hidden="false" customHeight="false" outlineLevel="0" collapsed="false">
      <c r="A204" s="28" t="n">
        <f aca="false">IF(17&lt;=NW,SAT1+115,"")</f>
        <v>46133</v>
      </c>
      <c r="B204" s="29" t="str">
        <f aca="false">IF(A204="","",CHOOSE(WEEKDAY(A204,1),"الأحد","الاثنين","الثلاثاء","الأربعاء","الخميس","الجمعة","السبت"))</f>
        <v>الثلاثاء</v>
      </c>
      <c r="C204" s="30"/>
      <c r="D204" s="30"/>
      <c r="E204" s="31" t="str">
        <f aca="false">IF(OR(M204=0,K204="",L204=""),"",MOD(L204-K204,1))</f>
        <v/>
      </c>
      <c r="F204" s="31" t="str">
        <f aca="false">IF(OR(E204="",M204=0),"",IF(WEEKDAY(A204,1)=6,E204,MIN(E204,MAX(0,MIN(IF(L204&lt;K204,L204+1,L204),OMR_OT_AT)-K204))))</f>
        <v/>
      </c>
      <c r="G204" s="31" t="str">
        <f aca="false">IF(OR(E204="",M204=0),"",MAX(0,E204-F204))</f>
        <v/>
      </c>
      <c r="H204" s="32" t="str">
        <f aca="false">IF(OR(E204="",M204=0),"",ROUND((F204*$N$199+G204*$O$199)*24,3))</f>
        <v/>
      </c>
      <c r="I204" s="30"/>
      <c r="K204" s="33" t="str">
        <f aca="false">IF(OR(M204=0,C204=""),"",IF(ISNUMBER(C204),MOD(C204,1),IFERROR(INDEX(القوائم!$B$1:$B$288,MATCH(TRIM(C204),القوائم!$A$1:$A$288,0)),IFERROR(MOD(TIMEVALUE(C204),1),""))))</f>
        <v/>
      </c>
      <c r="L204" s="33" t="str">
        <f aca="false">IF(OR(M204=0,D204=""),"",IF(ISNUMBER(D204),MOD(D204,1),IFERROR(INDEX(القوائم!$B$1:$B$288,MATCH(TRIM(D204),القوائم!$A$1:$A$288,0)),IFERROR(MOD(TIMEVALUE(D204),1),""))))</f>
        <v/>
      </c>
      <c r="M204" s="25" t="n">
        <f aca="false">M199</f>
        <v>0</v>
      </c>
      <c r="Q204" s="25" t="n">
        <f aca="false">IF(N(G210)&gt;0,1,0)</f>
        <v>0</v>
      </c>
      <c r="S204" s="0" t="n">
        <v>17</v>
      </c>
    </row>
    <row r="205" customFormat="false" ht="15" hidden="false" customHeight="false" outlineLevel="0" collapsed="false">
      <c r="A205" s="28" t="n">
        <f aca="false">IF(17&lt;=NW,SAT1+116,"")</f>
        <v>46134</v>
      </c>
      <c r="B205" s="29" t="str">
        <f aca="false">IF(A205="","",CHOOSE(WEEKDAY(A205,1),"الأحد","الاثنين","الثلاثاء","الأربعاء","الخميس","الجمعة","السبت"))</f>
        <v>الأربعاء</v>
      </c>
      <c r="C205" s="30"/>
      <c r="D205" s="30"/>
      <c r="E205" s="31" t="str">
        <f aca="false">IF(OR(M205=0,K205="",L205=""),"",MOD(L205-K205,1))</f>
        <v/>
      </c>
      <c r="F205" s="31" t="str">
        <f aca="false">IF(OR(E205="",M205=0),"",IF(WEEKDAY(A205,1)=6,E205,MIN(E205,MAX(0,MIN(IF(L205&lt;K205,L205+1,L205),OMR_OT_AT)-K205))))</f>
        <v/>
      </c>
      <c r="G205" s="31" t="str">
        <f aca="false">IF(OR(E205="",M205=0),"",MAX(0,E205-F205))</f>
        <v/>
      </c>
      <c r="H205" s="32" t="str">
        <f aca="false">IF(OR(E205="",M205=0),"",ROUND((F205*$N$199+G205*$O$199)*24,3))</f>
        <v/>
      </c>
      <c r="I205" s="30"/>
      <c r="K205" s="33" t="str">
        <f aca="false">IF(OR(M205=0,C205=""),"",IF(ISNUMBER(C205),MOD(C205,1),IFERROR(INDEX(القوائم!$B$1:$B$288,MATCH(TRIM(C205),القوائم!$A$1:$A$288,0)),IFERROR(MOD(TIMEVALUE(C205),1),""))))</f>
        <v/>
      </c>
      <c r="L205" s="33" t="str">
        <f aca="false">IF(OR(M205=0,D205=""),"",IF(ISNUMBER(D205),MOD(D205,1),IFERROR(INDEX(القوائم!$B$1:$B$288,MATCH(TRIM(D205),القوائم!$A$1:$A$288,0)),IFERROR(MOD(TIMEVALUE(D205),1),""))))</f>
        <v/>
      </c>
      <c r="M205" s="25" t="n">
        <f aca="false">M199</f>
        <v>0</v>
      </c>
      <c r="Q205" s="25" t="n">
        <f aca="false">IF(N(G210)&gt;0,1,0)</f>
        <v>0</v>
      </c>
      <c r="S205" s="0" t="n">
        <v>17</v>
      </c>
    </row>
    <row r="206" customFormat="false" ht="15" hidden="false" customHeight="false" outlineLevel="0" collapsed="false">
      <c r="A206" s="28" t="n">
        <f aca="false">IF(17&lt;=NW,SAT1+117,"")</f>
        <v>46135</v>
      </c>
      <c r="B206" s="29" t="str">
        <f aca="false">IF(A206="","",CHOOSE(WEEKDAY(A206,1),"الأحد","الاثنين","الثلاثاء","الأربعاء","الخميس","الجمعة","السبت"))</f>
        <v>الخميس</v>
      </c>
      <c r="C206" s="30"/>
      <c r="D206" s="30"/>
      <c r="E206" s="31" t="str">
        <f aca="false">IF(OR(M206=0,K206="",L206=""),"",MOD(L206-K206,1))</f>
        <v/>
      </c>
      <c r="F206" s="31" t="str">
        <f aca="false">IF(OR(E206="",M206=0),"",IF(WEEKDAY(A206,1)=6,E206,MIN(E206,MAX(0,MIN(IF(L206&lt;K206,L206+1,L206),OMR_OT_AT)-K206))))</f>
        <v/>
      </c>
      <c r="G206" s="31" t="str">
        <f aca="false">IF(OR(E206="",M206=0),"",MAX(0,E206-F206))</f>
        <v/>
      </c>
      <c r="H206" s="32" t="str">
        <f aca="false">IF(OR(E206="",M206=0),"",ROUND((F206*$N$199+G206*$O$199)*24,3))</f>
        <v/>
      </c>
      <c r="I206" s="30"/>
      <c r="K206" s="33" t="str">
        <f aca="false">IF(OR(M206=0,C206=""),"",IF(ISNUMBER(C206),MOD(C206,1),IFERROR(INDEX(القوائم!$B$1:$B$288,MATCH(TRIM(C206),القوائم!$A$1:$A$288,0)),IFERROR(MOD(TIMEVALUE(C206),1),""))))</f>
        <v/>
      </c>
      <c r="L206" s="33" t="str">
        <f aca="false">IF(OR(M206=0,D206=""),"",IF(ISNUMBER(D206),MOD(D206,1),IFERROR(INDEX(القوائم!$B$1:$B$288,MATCH(TRIM(D206),القوائم!$A$1:$A$288,0)),IFERROR(MOD(TIMEVALUE(D206),1),""))))</f>
        <v/>
      </c>
      <c r="M206" s="25" t="n">
        <f aca="false">M199</f>
        <v>0</v>
      </c>
      <c r="Q206" s="25" t="n">
        <f aca="false">IF(N(G210)&gt;0,1,0)</f>
        <v>0</v>
      </c>
      <c r="S206" s="0" t="n">
        <v>17</v>
      </c>
    </row>
    <row r="207" customFormat="false" ht="15" hidden="false" customHeight="false" outlineLevel="0" collapsed="false">
      <c r="A207" s="34" t="n">
        <f aca="false">IF(17&lt;=NW,SAT1+118,"")</f>
        <v>46136</v>
      </c>
      <c r="B207" s="35" t="str">
        <f aca="false">IF(A207="","",CHOOSE(WEEKDAY(A207,1),"الأحد","الاثنين","الثلاثاء","الأربعاء","الخميس","الجمعة","السبت"))</f>
        <v>الجمعة</v>
      </c>
      <c r="C207" s="30"/>
      <c r="D207" s="30"/>
      <c r="E207" s="31" t="str">
        <f aca="false">IF(OR(M207=0,K207="",L207=""),"",MOD(L207-K207,1))</f>
        <v/>
      </c>
      <c r="F207" s="31" t="str">
        <f aca="false">IF(OR(E207="",M207=0),"",IF(WEEKDAY(A207,1)=6,E207,MIN(E207,MAX(0,MIN(IF(L207&lt;K207,L207+1,L207),OMR_OT_AT)-K207))))</f>
        <v/>
      </c>
      <c r="G207" s="31" t="str">
        <f aca="false">IF(OR(E207="",M207=0),"",MAX(0,E207-F207))</f>
        <v/>
      </c>
      <c r="H207" s="32" t="str">
        <f aca="false">IF(OR(E207="",M207=0),"",ROUND((F207*$N$199+G207*$O$199)*24,3))</f>
        <v/>
      </c>
      <c r="I207" s="30"/>
      <c r="K207" s="33" t="str">
        <f aca="false">IF(OR(M207=0,C207=""),"",IF(ISNUMBER(C207),MOD(C207,1),IFERROR(INDEX(القوائم!$B$1:$B$288,MATCH(TRIM(C207),القوائم!$A$1:$A$288,0)),IFERROR(MOD(TIMEVALUE(C207),1),""))))</f>
        <v/>
      </c>
      <c r="L207" s="33" t="str">
        <f aca="false">IF(OR(M207=0,D207=""),"",IF(ISNUMBER(D207),MOD(D207,1),IFERROR(INDEX(القوائم!$B$1:$B$288,MATCH(TRIM(D207),القوائم!$A$1:$A$288,0)),IFERROR(MOD(TIMEVALUE(D207),1),""))))</f>
        <v/>
      </c>
      <c r="M207" s="25" t="n">
        <f aca="false">M199</f>
        <v>0</v>
      </c>
      <c r="Q207" s="25" t="n">
        <f aca="false">IF(N(G210)&gt;0,1,0)</f>
        <v>0</v>
      </c>
      <c r="S207" s="0" t="n">
        <v>17</v>
      </c>
    </row>
    <row r="208" customFormat="false" ht="15" hidden="false" customHeight="false" outlineLevel="0" collapsed="false">
      <c r="A208" s="36" t="str">
        <f aca="false">IF(M199=1,"مجموع أيام الأسبوع 17","")</f>
        <v/>
      </c>
      <c r="B208" s="36"/>
      <c r="C208" s="36"/>
      <c r="D208" s="36"/>
      <c r="E208" s="37" t="str">
        <f aca="false">IF(M199=1,SUM(E201:E207),"")</f>
        <v/>
      </c>
      <c r="F208" s="37" t="str">
        <f aca="false">IF(M199=1,SUM(F201:F207),"")</f>
        <v/>
      </c>
      <c r="G208" s="37" t="str">
        <f aca="false">IF(M199=1,SUM(G201:G207),"")</f>
        <v/>
      </c>
      <c r="H208" s="38" t="str">
        <f aca="false">IF(M199=1,SUM(H201:H207),"")</f>
        <v/>
      </c>
      <c r="I208" s="36"/>
      <c r="S208" s="0" t="n">
        <v>17</v>
      </c>
    </row>
    <row r="209" customFormat="false" ht="31.5" hidden="false" customHeight="true" outlineLevel="0" collapsed="false">
      <c r="A209" s="39" t="str">
        <f aca="false">IF(M199=1,"ساعات تحميل الجبسمبورد بهالأسبوع (رقم: 2 أو 1.5) ←","")</f>
        <v/>
      </c>
      <c r="B209" s="39"/>
      <c r="C209" s="39"/>
      <c r="D209" s="39"/>
      <c r="E209" s="40"/>
      <c r="F209" s="41" t="str">
        <f aca="false">IF(M199=1,"المستحق النهائي للأسبوع مع الإكرامية (دينار) ←","")</f>
        <v/>
      </c>
      <c r="G209" s="41"/>
      <c r="H209" s="42" t="str">
        <f aca="false">IF(M199=1,IF(ROUND_MODE="للأعلى",CEILING(ROUND((N(H208)+N(E209)*($P$199-$N$199)),3),0.25),ROUND((N(H208)+N(E209)*($P$199-$N$199))*4,0)/4)+N(D210),"")</f>
        <v/>
      </c>
      <c r="I209" s="43" t="str">
        <f aca="false">IF(M199=1,"قبل الجبر: "&amp;TEXT(N(H208)+N(E209)*($P$199-$N$199),"0.000")&amp;IF(N(D210)&gt;0," + إكرامية "&amp;TEXT(D210,"0.000"),""),"")</f>
        <v/>
      </c>
      <c r="S209" s="0" t="n">
        <v>17</v>
      </c>
    </row>
    <row r="210" customFormat="false" ht="25.5" hidden="false" customHeight="true" outlineLevel="0" collapsed="false">
      <c r="A210" s="39" t="str">
        <f aca="false">IF(M199=1,"إكرامية الأسبوع (دينار) ←","")</f>
        <v/>
      </c>
      <c r="B210" s="39"/>
      <c r="C210" s="39"/>
      <c r="D210" s="44"/>
      <c r="E210" s="39" t="str">
        <f aca="false">IF(M199=1,"المدفوع (دينار) ←","")</f>
        <v/>
      </c>
      <c r="F210" s="39"/>
      <c r="G210" s="44"/>
      <c r="H210" s="45" t="str">
        <f aca="false">IF(M199=1,IF(N(G210)&gt;0,"✔ انقبض — الأسبوع مقفول","⏳ لسا ما انقبض"),"")</f>
        <v/>
      </c>
      <c r="I210" s="45"/>
      <c r="S210" s="0" t="n">
        <v>17</v>
      </c>
    </row>
    <row r="211" customFormat="false" ht="27.75" hidden="false" customHeight="true" outlineLevel="0" collapsed="false">
      <c r="A211" s="23" t="str">
        <f aca="false">IF(18&lt;=NW,"من السبت "&amp;TEXT(DAY(SAT1+119),"00")&amp;"/"&amp;TEXT(MONTH(SAT1+119),"00")&amp;"/"&amp;YEAR(SAT1+119)&amp;" إلى الجمعة "&amp;TEXT(DAY(SAT1+125),"00")&amp;"/"&amp;TEXT(MONTH(SAT1+125),"00")&amp;"/"&amp;YEAR(SAT1+125)&amp;" · الأسبوع 18"&amp;"  (يوم القبض: الجمعة)"&amp;IF(18&lt;START_O,"   — قبل أسبوع البداية (ما بينحسب)",""),"ما في أسبوع 18 هالسنة")</f>
        <v>من السبت 25/04/2026 إلى الجمعة 01/05/2026 · الأسبوع 18  (يوم القبض: الجمعة)   — قبل أسبوع البداية (ما بينحسب)</v>
      </c>
      <c r="B211" s="23"/>
      <c r="C211" s="23"/>
      <c r="D211" s="23"/>
      <c r="E211" s="23"/>
      <c r="F211" s="23"/>
      <c r="G211" s="23"/>
      <c r="H211" s="23"/>
      <c r="I211" s="23"/>
      <c r="L211" s="24" t="n">
        <f aca="false">IF(18&lt;=NW,SAT1+125,"")</f>
        <v>46143</v>
      </c>
      <c r="M211" s="25" t="n">
        <f aca="false">IF(AND(18&lt;=NW,18&gt;=START_O),1,0)</f>
        <v>0</v>
      </c>
      <c r="N211" s="26" t="n">
        <f aca="false">IFERROR(INDEX(RT_OMR,MATCH(L211,RT_K,1)),INDEX(RT_OMR,1))</f>
        <v>1.25</v>
      </c>
      <c r="O211" s="26" t="n">
        <f aca="false">IFERROR(INDEX(RT_OT,MATCH(L211,RT_K,1)),INDEX(RT_OT,1))</f>
        <v>1.5</v>
      </c>
      <c r="P211" s="26" t="n">
        <f aca="false">IFERROR(INDEX(RT_GYP,MATCH(L211,RT_K,1)),INDEX(RT_GYP,1))</f>
        <v>2.5</v>
      </c>
      <c r="R211" s="0" t="n">
        <v>18</v>
      </c>
      <c r="S211" s="0" t="n">
        <v>18</v>
      </c>
    </row>
    <row r="212" customFormat="false" ht="25.5" hidden="false" customHeight="true" outlineLevel="0" collapsed="false">
      <c r="A212" s="27" t="s">
        <v>22</v>
      </c>
      <c r="B212" s="27" t="s">
        <v>23</v>
      </c>
      <c r="C212" s="27" t="s">
        <v>24</v>
      </c>
      <c r="D212" s="27" t="s">
        <v>25</v>
      </c>
      <c r="E212" s="27" t="s">
        <v>26</v>
      </c>
      <c r="F212" s="27" t="s">
        <v>27</v>
      </c>
      <c r="G212" s="27" t="s">
        <v>28</v>
      </c>
      <c r="H212" s="27" t="s">
        <v>29</v>
      </c>
      <c r="I212" s="27" t="s">
        <v>30</v>
      </c>
      <c r="S212" s="0" t="n">
        <v>18</v>
      </c>
    </row>
    <row r="213" customFormat="false" ht="15" hidden="false" customHeight="false" outlineLevel="0" collapsed="false">
      <c r="A213" s="28" t="n">
        <f aca="false">IF(18&lt;=NW,SAT1+119,"")</f>
        <v>46137</v>
      </c>
      <c r="B213" s="29" t="str">
        <f aca="false">IF(A213="","",CHOOSE(WEEKDAY(A213,1),"الأحد","الاثنين","الثلاثاء","الأربعاء","الخميس","الجمعة","السبت"))</f>
        <v>السبت</v>
      </c>
      <c r="C213" s="30"/>
      <c r="D213" s="30"/>
      <c r="E213" s="31" t="str">
        <f aca="false">IF(OR(M213=0,K213="",L213=""),"",MOD(L213-K213,1))</f>
        <v/>
      </c>
      <c r="F213" s="31" t="str">
        <f aca="false">IF(OR(E213="",M213=0),"",IF(WEEKDAY(A213,1)=6,E213,MIN(E213,MAX(0,MIN(IF(L213&lt;K213,L213+1,L213),OMR_OT_AT)-K213))))</f>
        <v/>
      </c>
      <c r="G213" s="31" t="str">
        <f aca="false">IF(OR(E213="",M213=0),"",MAX(0,E213-F213))</f>
        <v/>
      </c>
      <c r="H213" s="32" t="str">
        <f aca="false">IF(OR(E213="",M213=0),"",ROUND((F213*$N$211+G213*$O$211)*24,3))</f>
        <v/>
      </c>
      <c r="I213" s="30"/>
      <c r="K213" s="33" t="str">
        <f aca="false">IF(OR(M213=0,C213=""),"",IF(ISNUMBER(C213),MOD(C213,1),IFERROR(INDEX(القوائم!$B$1:$B$288,MATCH(TRIM(C213),القوائم!$A$1:$A$288,0)),IFERROR(MOD(TIMEVALUE(C213),1),""))))</f>
        <v/>
      </c>
      <c r="L213" s="33" t="str">
        <f aca="false">IF(OR(M213=0,D213=""),"",IF(ISNUMBER(D213),MOD(D213,1),IFERROR(INDEX(القوائم!$B$1:$B$288,MATCH(TRIM(D213),القوائم!$A$1:$A$288,0)),IFERROR(MOD(TIMEVALUE(D213),1),""))))</f>
        <v/>
      </c>
      <c r="M213" s="25" t="n">
        <f aca="false">M211</f>
        <v>0</v>
      </c>
      <c r="Q213" s="25" t="n">
        <f aca="false">IF(N(G222)&gt;0,1,0)</f>
        <v>0</v>
      </c>
      <c r="S213" s="0" t="n">
        <v>18</v>
      </c>
    </row>
    <row r="214" customFormat="false" ht="15" hidden="false" customHeight="false" outlineLevel="0" collapsed="false">
      <c r="A214" s="28" t="n">
        <f aca="false">IF(18&lt;=NW,SAT1+120,"")</f>
        <v>46138</v>
      </c>
      <c r="B214" s="29" t="str">
        <f aca="false">IF(A214="","",CHOOSE(WEEKDAY(A214,1),"الأحد","الاثنين","الثلاثاء","الأربعاء","الخميس","الجمعة","السبت"))</f>
        <v>الأحد</v>
      </c>
      <c r="C214" s="30"/>
      <c r="D214" s="30"/>
      <c r="E214" s="31" t="str">
        <f aca="false">IF(OR(M214=0,K214="",L214=""),"",MOD(L214-K214,1))</f>
        <v/>
      </c>
      <c r="F214" s="31" t="str">
        <f aca="false">IF(OR(E214="",M214=0),"",IF(WEEKDAY(A214,1)=6,E214,MIN(E214,MAX(0,MIN(IF(L214&lt;K214,L214+1,L214),OMR_OT_AT)-K214))))</f>
        <v/>
      </c>
      <c r="G214" s="31" t="str">
        <f aca="false">IF(OR(E214="",M214=0),"",MAX(0,E214-F214))</f>
        <v/>
      </c>
      <c r="H214" s="32" t="str">
        <f aca="false">IF(OR(E214="",M214=0),"",ROUND((F214*$N$211+G214*$O$211)*24,3))</f>
        <v/>
      </c>
      <c r="I214" s="30"/>
      <c r="K214" s="33" t="str">
        <f aca="false">IF(OR(M214=0,C214=""),"",IF(ISNUMBER(C214),MOD(C214,1),IFERROR(INDEX(القوائم!$B$1:$B$288,MATCH(TRIM(C214),القوائم!$A$1:$A$288,0)),IFERROR(MOD(TIMEVALUE(C214),1),""))))</f>
        <v/>
      </c>
      <c r="L214" s="33" t="str">
        <f aca="false">IF(OR(M214=0,D214=""),"",IF(ISNUMBER(D214),MOD(D214,1),IFERROR(INDEX(القوائم!$B$1:$B$288,MATCH(TRIM(D214),القوائم!$A$1:$A$288,0)),IFERROR(MOD(TIMEVALUE(D214),1),""))))</f>
        <v/>
      </c>
      <c r="M214" s="25" t="n">
        <f aca="false">M211</f>
        <v>0</v>
      </c>
      <c r="Q214" s="25" t="n">
        <f aca="false">IF(N(G222)&gt;0,1,0)</f>
        <v>0</v>
      </c>
      <c r="S214" s="0" t="n">
        <v>18</v>
      </c>
    </row>
    <row r="215" customFormat="false" ht="15" hidden="false" customHeight="false" outlineLevel="0" collapsed="false">
      <c r="A215" s="28" t="n">
        <f aca="false">IF(18&lt;=NW,SAT1+121,"")</f>
        <v>46139</v>
      </c>
      <c r="B215" s="29" t="str">
        <f aca="false">IF(A215="","",CHOOSE(WEEKDAY(A215,1),"الأحد","الاثنين","الثلاثاء","الأربعاء","الخميس","الجمعة","السبت"))</f>
        <v>الاثنين</v>
      </c>
      <c r="C215" s="30"/>
      <c r="D215" s="30"/>
      <c r="E215" s="31" t="str">
        <f aca="false">IF(OR(M215=0,K215="",L215=""),"",MOD(L215-K215,1))</f>
        <v/>
      </c>
      <c r="F215" s="31" t="str">
        <f aca="false">IF(OR(E215="",M215=0),"",IF(WEEKDAY(A215,1)=6,E215,MIN(E215,MAX(0,MIN(IF(L215&lt;K215,L215+1,L215),OMR_OT_AT)-K215))))</f>
        <v/>
      </c>
      <c r="G215" s="31" t="str">
        <f aca="false">IF(OR(E215="",M215=0),"",MAX(0,E215-F215))</f>
        <v/>
      </c>
      <c r="H215" s="32" t="str">
        <f aca="false">IF(OR(E215="",M215=0),"",ROUND((F215*$N$211+G215*$O$211)*24,3))</f>
        <v/>
      </c>
      <c r="I215" s="30"/>
      <c r="K215" s="33" t="str">
        <f aca="false">IF(OR(M215=0,C215=""),"",IF(ISNUMBER(C215),MOD(C215,1),IFERROR(INDEX(القوائم!$B$1:$B$288,MATCH(TRIM(C215),القوائم!$A$1:$A$288,0)),IFERROR(MOD(TIMEVALUE(C215),1),""))))</f>
        <v/>
      </c>
      <c r="L215" s="33" t="str">
        <f aca="false">IF(OR(M215=0,D215=""),"",IF(ISNUMBER(D215),MOD(D215,1),IFERROR(INDEX(القوائم!$B$1:$B$288,MATCH(TRIM(D215),القوائم!$A$1:$A$288,0)),IFERROR(MOD(TIMEVALUE(D215),1),""))))</f>
        <v/>
      </c>
      <c r="M215" s="25" t="n">
        <f aca="false">M211</f>
        <v>0</v>
      </c>
      <c r="Q215" s="25" t="n">
        <f aca="false">IF(N(G222)&gt;0,1,0)</f>
        <v>0</v>
      </c>
      <c r="S215" s="0" t="n">
        <v>18</v>
      </c>
    </row>
    <row r="216" customFormat="false" ht="15" hidden="false" customHeight="false" outlineLevel="0" collapsed="false">
      <c r="A216" s="28" t="n">
        <f aca="false">IF(18&lt;=NW,SAT1+122,"")</f>
        <v>46140</v>
      </c>
      <c r="B216" s="29" t="str">
        <f aca="false">IF(A216="","",CHOOSE(WEEKDAY(A216,1),"الأحد","الاثنين","الثلاثاء","الأربعاء","الخميس","الجمعة","السبت"))</f>
        <v>الثلاثاء</v>
      </c>
      <c r="C216" s="30"/>
      <c r="D216" s="30"/>
      <c r="E216" s="31" t="str">
        <f aca="false">IF(OR(M216=0,K216="",L216=""),"",MOD(L216-K216,1))</f>
        <v/>
      </c>
      <c r="F216" s="31" t="str">
        <f aca="false">IF(OR(E216="",M216=0),"",IF(WEEKDAY(A216,1)=6,E216,MIN(E216,MAX(0,MIN(IF(L216&lt;K216,L216+1,L216),OMR_OT_AT)-K216))))</f>
        <v/>
      </c>
      <c r="G216" s="31" t="str">
        <f aca="false">IF(OR(E216="",M216=0),"",MAX(0,E216-F216))</f>
        <v/>
      </c>
      <c r="H216" s="32" t="str">
        <f aca="false">IF(OR(E216="",M216=0),"",ROUND((F216*$N$211+G216*$O$211)*24,3))</f>
        <v/>
      </c>
      <c r="I216" s="30"/>
      <c r="K216" s="33" t="str">
        <f aca="false">IF(OR(M216=0,C216=""),"",IF(ISNUMBER(C216),MOD(C216,1),IFERROR(INDEX(القوائم!$B$1:$B$288,MATCH(TRIM(C216),القوائم!$A$1:$A$288,0)),IFERROR(MOD(TIMEVALUE(C216),1),""))))</f>
        <v/>
      </c>
      <c r="L216" s="33" t="str">
        <f aca="false">IF(OR(M216=0,D216=""),"",IF(ISNUMBER(D216),MOD(D216,1),IFERROR(INDEX(القوائم!$B$1:$B$288,MATCH(TRIM(D216),القوائم!$A$1:$A$288,0)),IFERROR(MOD(TIMEVALUE(D216),1),""))))</f>
        <v/>
      </c>
      <c r="M216" s="25" t="n">
        <f aca="false">M211</f>
        <v>0</v>
      </c>
      <c r="Q216" s="25" t="n">
        <f aca="false">IF(N(G222)&gt;0,1,0)</f>
        <v>0</v>
      </c>
      <c r="S216" s="0" t="n">
        <v>18</v>
      </c>
    </row>
    <row r="217" customFormat="false" ht="15" hidden="false" customHeight="false" outlineLevel="0" collapsed="false">
      <c r="A217" s="28" t="n">
        <f aca="false">IF(18&lt;=NW,SAT1+123,"")</f>
        <v>46141</v>
      </c>
      <c r="B217" s="29" t="str">
        <f aca="false">IF(A217="","",CHOOSE(WEEKDAY(A217,1),"الأحد","الاثنين","الثلاثاء","الأربعاء","الخميس","الجمعة","السبت"))</f>
        <v>الأربعاء</v>
      </c>
      <c r="C217" s="30"/>
      <c r="D217" s="30"/>
      <c r="E217" s="31" t="str">
        <f aca="false">IF(OR(M217=0,K217="",L217=""),"",MOD(L217-K217,1))</f>
        <v/>
      </c>
      <c r="F217" s="31" t="str">
        <f aca="false">IF(OR(E217="",M217=0),"",IF(WEEKDAY(A217,1)=6,E217,MIN(E217,MAX(0,MIN(IF(L217&lt;K217,L217+1,L217),OMR_OT_AT)-K217))))</f>
        <v/>
      </c>
      <c r="G217" s="31" t="str">
        <f aca="false">IF(OR(E217="",M217=0),"",MAX(0,E217-F217))</f>
        <v/>
      </c>
      <c r="H217" s="32" t="str">
        <f aca="false">IF(OR(E217="",M217=0),"",ROUND((F217*$N$211+G217*$O$211)*24,3))</f>
        <v/>
      </c>
      <c r="I217" s="30"/>
      <c r="K217" s="33" t="str">
        <f aca="false">IF(OR(M217=0,C217=""),"",IF(ISNUMBER(C217),MOD(C217,1),IFERROR(INDEX(القوائم!$B$1:$B$288,MATCH(TRIM(C217),القوائم!$A$1:$A$288,0)),IFERROR(MOD(TIMEVALUE(C217),1),""))))</f>
        <v/>
      </c>
      <c r="L217" s="33" t="str">
        <f aca="false">IF(OR(M217=0,D217=""),"",IF(ISNUMBER(D217),MOD(D217,1),IFERROR(INDEX(القوائم!$B$1:$B$288,MATCH(TRIM(D217),القوائم!$A$1:$A$288,0)),IFERROR(MOD(TIMEVALUE(D217),1),""))))</f>
        <v/>
      </c>
      <c r="M217" s="25" t="n">
        <f aca="false">M211</f>
        <v>0</v>
      </c>
      <c r="Q217" s="25" t="n">
        <f aca="false">IF(N(G222)&gt;0,1,0)</f>
        <v>0</v>
      </c>
      <c r="S217" s="0" t="n">
        <v>18</v>
      </c>
    </row>
    <row r="218" customFormat="false" ht="15" hidden="false" customHeight="false" outlineLevel="0" collapsed="false">
      <c r="A218" s="28" t="n">
        <f aca="false">IF(18&lt;=NW,SAT1+124,"")</f>
        <v>46142</v>
      </c>
      <c r="B218" s="29" t="str">
        <f aca="false">IF(A218="","",CHOOSE(WEEKDAY(A218,1),"الأحد","الاثنين","الثلاثاء","الأربعاء","الخميس","الجمعة","السبت"))</f>
        <v>الخميس</v>
      </c>
      <c r="C218" s="30"/>
      <c r="D218" s="30"/>
      <c r="E218" s="31" t="str">
        <f aca="false">IF(OR(M218=0,K218="",L218=""),"",MOD(L218-K218,1))</f>
        <v/>
      </c>
      <c r="F218" s="31" t="str">
        <f aca="false">IF(OR(E218="",M218=0),"",IF(WEEKDAY(A218,1)=6,E218,MIN(E218,MAX(0,MIN(IF(L218&lt;K218,L218+1,L218),OMR_OT_AT)-K218))))</f>
        <v/>
      </c>
      <c r="G218" s="31" t="str">
        <f aca="false">IF(OR(E218="",M218=0),"",MAX(0,E218-F218))</f>
        <v/>
      </c>
      <c r="H218" s="32" t="str">
        <f aca="false">IF(OR(E218="",M218=0),"",ROUND((F218*$N$211+G218*$O$211)*24,3))</f>
        <v/>
      </c>
      <c r="I218" s="30"/>
      <c r="K218" s="33" t="str">
        <f aca="false">IF(OR(M218=0,C218=""),"",IF(ISNUMBER(C218),MOD(C218,1),IFERROR(INDEX(القوائم!$B$1:$B$288,MATCH(TRIM(C218),القوائم!$A$1:$A$288,0)),IFERROR(MOD(TIMEVALUE(C218),1),""))))</f>
        <v/>
      </c>
      <c r="L218" s="33" t="str">
        <f aca="false">IF(OR(M218=0,D218=""),"",IF(ISNUMBER(D218),MOD(D218,1),IFERROR(INDEX(القوائم!$B$1:$B$288,MATCH(TRIM(D218),القوائم!$A$1:$A$288,0)),IFERROR(MOD(TIMEVALUE(D218),1),""))))</f>
        <v/>
      </c>
      <c r="M218" s="25" t="n">
        <f aca="false">M211</f>
        <v>0</v>
      </c>
      <c r="Q218" s="25" t="n">
        <f aca="false">IF(N(G222)&gt;0,1,0)</f>
        <v>0</v>
      </c>
      <c r="S218" s="0" t="n">
        <v>18</v>
      </c>
    </row>
    <row r="219" customFormat="false" ht="15" hidden="false" customHeight="false" outlineLevel="0" collapsed="false">
      <c r="A219" s="34" t="n">
        <f aca="false">IF(18&lt;=NW,SAT1+125,"")</f>
        <v>46143</v>
      </c>
      <c r="B219" s="35" t="str">
        <f aca="false">IF(A219="","",CHOOSE(WEEKDAY(A219,1),"الأحد","الاثنين","الثلاثاء","الأربعاء","الخميس","الجمعة","السبت"))</f>
        <v>الجمعة</v>
      </c>
      <c r="C219" s="30"/>
      <c r="D219" s="30"/>
      <c r="E219" s="31" t="str">
        <f aca="false">IF(OR(M219=0,K219="",L219=""),"",MOD(L219-K219,1))</f>
        <v/>
      </c>
      <c r="F219" s="31" t="str">
        <f aca="false">IF(OR(E219="",M219=0),"",IF(WEEKDAY(A219,1)=6,E219,MIN(E219,MAX(0,MIN(IF(L219&lt;K219,L219+1,L219),OMR_OT_AT)-K219))))</f>
        <v/>
      </c>
      <c r="G219" s="31" t="str">
        <f aca="false">IF(OR(E219="",M219=0),"",MAX(0,E219-F219))</f>
        <v/>
      </c>
      <c r="H219" s="32" t="str">
        <f aca="false">IF(OR(E219="",M219=0),"",ROUND((F219*$N$211+G219*$O$211)*24,3))</f>
        <v/>
      </c>
      <c r="I219" s="30"/>
      <c r="K219" s="33" t="str">
        <f aca="false">IF(OR(M219=0,C219=""),"",IF(ISNUMBER(C219),MOD(C219,1),IFERROR(INDEX(القوائم!$B$1:$B$288,MATCH(TRIM(C219),القوائم!$A$1:$A$288,0)),IFERROR(MOD(TIMEVALUE(C219),1),""))))</f>
        <v/>
      </c>
      <c r="L219" s="33" t="str">
        <f aca="false">IF(OR(M219=0,D219=""),"",IF(ISNUMBER(D219),MOD(D219,1),IFERROR(INDEX(القوائم!$B$1:$B$288,MATCH(TRIM(D219),القوائم!$A$1:$A$288,0)),IFERROR(MOD(TIMEVALUE(D219),1),""))))</f>
        <v/>
      </c>
      <c r="M219" s="25" t="n">
        <f aca="false">M211</f>
        <v>0</v>
      </c>
      <c r="Q219" s="25" t="n">
        <f aca="false">IF(N(G222)&gt;0,1,0)</f>
        <v>0</v>
      </c>
      <c r="S219" s="0" t="n">
        <v>18</v>
      </c>
    </row>
    <row r="220" customFormat="false" ht="15" hidden="false" customHeight="false" outlineLevel="0" collapsed="false">
      <c r="A220" s="36" t="str">
        <f aca="false">IF(M211=1,"مجموع أيام الأسبوع 18","")</f>
        <v/>
      </c>
      <c r="B220" s="36"/>
      <c r="C220" s="36"/>
      <c r="D220" s="36"/>
      <c r="E220" s="37" t="str">
        <f aca="false">IF(M211=1,SUM(E213:E219),"")</f>
        <v/>
      </c>
      <c r="F220" s="37" t="str">
        <f aca="false">IF(M211=1,SUM(F213:F219),"")</f>
        <v/>
      </c>
      <c r="G220" s="37" t="str">
        <f aca="false">IF(M211=1,SUM(G213:G219),"")</f>
        <v/>
      </c>
      <c r="H220" s="38" t="str">
        <f aca="false">IF(M211=1,SUM(H213:H219),"")</f>
        <v/>
      </c>
      <c r="I220" s="36"/>
      <c r="S220" s="0" t="n">
        <v>18</v>
      </c>
    </row>
    <row r="221" customFormat="false" ht="31.5" hidden="false" customHeight="true" outlineLevel="0" collapsed="false">
      <c r="A221" s="39" t="str">
        <f aca="false">IF(M211=1,"ساعات تحميل الجبسمبورد بهالأسبوع (رقم: 2 أو 1.5) ←","")</f>
        <v/>
      </c>
      <c r="B221" s="39"/>
      <c r="C221" s="39"/>
      <c r="D221" s="39"/>
      <c r="E221" s="40"/>
      <c r="F221" s="41" t="str">
        <f aca="false">IF(M211=1,"المستحق النهائي للأسبوع مع الإكرامية (دينار) ←","")</f>
        <v/>
      </c>
      <c r="G221" s="41"/>
      <c r="H221" s="42" t="str">
        <f aca="false">IF(M211=1,IF(ROUND_MODE="للأعلى",CEILING(ROUND((N(H220)+N(E221)*($P$211-$N$211)),3),0.25),ROUND((N(H220)+N(E221)*($P$211-$N$211))*4,0)/4)+N(D222),"")</f>
        <v/>
      </c>
      <c r="I221" s="43" t="str">
        <f aca="false">IF(M211=1,"قبل الجبر: "&amp;TEXT(N(H220)+N(E221)*($P$211-$N$211),"0.000")&amp;IF(N(D222)&gt;0," + إكرامية "&amp;TEXT(D222,"0.000"),""),"")</f>
        <v/>
      </c>
      <c r="S221" s="0" t="n">
        <v>18</v>
      </c>
    </row>
    <row r="222" customFormat="false" ht="25.5" hidden="false" customHeight="true" outlineLevel="0" collapsed="false">
      <c r="A222" s="39" t="str">
        <f aca="false">IF(M211=1,"إكرامية الأسبوع (دينار) ←","")</f>
        <v/>
      </c>
      <c r="B222" s="39"/>
      <c r="C222" s="39"/>
      <c r="D222" s="44"/>
      <c r="E222" s="39" t="str">
        <f aca="false">IF(M211=1,"المدفوع (دينار) ←","")</f>
        <v/>
      </c>
      <c r="F222" s="39"/>
      <c r="G222" s="44"/>
      <c r="H222" s="45" t="str">
        <f aca="false">IF(M211=1,IF(N(G222)&gt;0,"✔ انقبض — الأسبوع مقفول","⏳ لسا ما انقبض"),"")</f>
        <v/>
      </c>
      <c r="I222" s="45"/>
      <c r="S222" s="0" t="n">
        <v>18</v>
      </c>
    </row>
    <row r="223" customFormat="false" ht="27.75" hidden="false" customHeight="true" outlineLevel="0" collapsed="false">
      <c r="A223" s="23" t="str">
        <f aca="false">IF(19&lt;=NW,"من السبت "&amp;TEXT(DAY(SAT1+126),"00")&amp;"/"&amp;TEXT(MONTH(SAT1+126),"00")&amp;"/"&amp;YEAR(SAT1+126)&amp;" إلى الجمعة "&amp;TEXT(DAY(SAT1+132),"00")&amp;"/"&amp;TEXT(MONTH(SAT1+132),"00")&amp;"/"&amp;YEAR(SAT1+132)&amp;" · الأسبوع 19"&amp;"  (يوم القبض: الجمعة)"&amp;IF(19&lt;START_O,"   — قبل أسبوع البداية (ما بينحسب)",""),"ما في أسبوع 19 هالسنة")</f>
        <v>من السبت 02/05/2026 إلى الجمعة 08/05/2026 · الأسبوع 19  (يوم القبض: الجمعة)   — قبل أسبوع البداية (ما بينحسب)</v>
      </c>
      <c r="B223" s="23"/>
      <c r="C223" s="23"/>
      <c r="D223" s="23"/>
      <c r="E223" s="23"/>
      <c r="F223" s="23"/>
      <c r="G223" s="23"/>
      <c r="H223" s="23"/>
      <c r="I223" s="23"/>
      <c r="L223" s="24" t="n">
        <f aca="false">IF(19&lt;=NW,SAT1+132,"")</f>
        <v>46150</v>
      </c>
      <c r="M223" s="25" t="n">
        <f aca="false">IF(AND(19&lt;=NW,19&gt;=START_O),1,0)</f>
        <v>0</v>
      </c>
      <c r="N223" s="26" t="n">
        <f aca="false">IFERROR(INDEX(RT_OMR,MATCH(L223,RT_K,1)),INDEX(RT_OMR,1))</f>
        <v>1.25</v>
      </c>
      <c r="O223" s="26" t="n">
        <f aca="false">IFERROR(INDEX(RT_OT,MATCH(L223,RT_K,1)),INDEX(RT_OT,1))</f>
        <v>1.5</v>
      </c>
      <c r="P223" s="26" t="n">
        <f aca="false">IFERROR(INDEX(RT_GYP,MATCH(L223,RT_K,1)),INDEX(RT_GYP,1))</f>
        <v>2.5</v>
      </c>
      <c r="R223" s="0" t="n">
        <v>19</v>
      </c>
      <c r="S223" s="0" t="n">
        <v>19</v>
      </c>
    </row>
    <row r="224" customFormat="false" ht="25.5" hidden="false" customHeight="true" outlineLevel="0" collapsed="false">
      <c r="A224" s="27" t="s">
        <v>22</v>
      </c>
      <c r="B224" s="27" t="s">
        <v>23</v>
      </c>
      <c r="C224" s="27" t="s">
        <v>24</v>
      </c>
      <c r="D224" s="27" t="s">
        <v>25</v>
      </c>
      <c r="E224" s="27" t="s">
        <v>26</v>
      </c>
      <c r="F224" s="27" t="s">
        <v>27</v>
      </c>
      <c r="G224" s="27" t="s">
        <v>28</v>
      </c>
      <c r="H224" s="27" t="s">
        <v>29</v>
      </c>
      <c r="I224" s="27" t="s">
        <v>30</v>
      </c>
      <c r="S224" s="0" t="n">
        <v>19</v>
      </c>
    </row>
    <row r="225" customFormat="false" ht="15" hidden="false" customHeight="false" outlineLevel="0" collapsed="false">
      <c r="A225" s="28" t="n">
        <f aca="false">IF(19&lt;=NW,SAT1+126,"")</f>
        <v>46144</v>
      </c>
      <c r="B225" s="29" t="str">
        <f aca="false">IF(A225="","",CHOOSE(WEEKDAY(A225,1),"الأحد","الاثنين","الثلاثاء","الأربعاء","الخميس","الجمعة","السبت"))</f>
        <v>السبت</v>
      </c>
      <c r="C225" s="30"/>
      <c r="D225" s="30"/>
      <c r="E225" s="31" t="str">
        <f aca="false">IF(OR(M225=0,K225="",L225=""),"",MOD(L225-K225,1))</f>
        <v/>
      </c>
      <c r="F225" s="31" t="str">
        <f aca="false">IF(OR(E225="",M225=0),"",IF(WEEKDAY(A225,1)=6,E225,MIN(E225,MAX(0,MIN(IF(L225&lt;K225,L225+1,L225),OMR_OT_AT)-K225))))</f>
        <v/>
      </c>
      <c r="G225" s="31" t="str">
        <f aca="false">IF(OR(E225="",M225=0),"",MAX(0,E225-F225))</f>
        <v/>
      </c>
      <c r="H225" s="32" t="str">
        <f aca="false">IF(OR(E225="",M225=0),"",ROUND((F225*$N$223+G225*$O$223)*24,3))</f>
        <v/>
      </c>
      <c r="I225" s="30"/>
      <c r="K225" s="33" t="str">
        <f aca="false">IF(OR(M225=0,C225=""),"",IF(ISNUMBER(C225),MOD(C225,1),IFERROR(INDEX(القوائم!$B$1:$B$288,MATCH(TRIM(C225),القوائم!$A$1:$A$288,0)),IFERROR(MOD(TIMEVALUE(C225),1),""))))</f>
        <v/>
      </c>
      <c r="L225" s="33" t="str">
        <f aca="false">IF(OR(M225=0,D225=""),"",IF(ISNUMBER(D225),MOD(D225,1),IFERROR(INDEX(القوائم!$B$1:$B$288,MATCH(TRIM(D225),القوائم!$A$1:$A$288,0)),IFERROR(MOD(TIMEVALUE(D225),1),""))))</f>
        <v/>
      </c>
      <c r="M225" s="25" t="n">
        <f aca="false">M223</f>
        <v>0</v>
      </c>
      <c r="Q225" s="25" t="n">
        <f aca="false">IF(N(G234)&gt;0,1,0)</f>
        <v>0</v>
      </c>
      <c r="S225" s="0" t="n">
        <v>19</v>
      </c>
    </row>
    <row r="226" customFormat="false" ht="15" hidden="false" customHeight="false" outlineLevel="0" collapsed="false">
      <c r="A226" s="28" t="n">
        <f aca="false">IF(19&lt;=NW,SAT1+127,"")</f>
        <v>46145</v>
      </c>
      <c r="B226" s="29" t="str">
        <f aca="false">IF(A226="","",CHOOSE(WEEKDAY(A226,1),"الأحد","الاثنين","الثلاثاء","الأربعاء","الخميس","الجمعة","السبت"))</f>
        <v>الأحد</v>
      </c>
      <c r="C226" s="30"/>
      <c r="D226" s="30"/>
      <c r="E226" s="31" t="str">
        <f aca="false">IF(OR(M226=0,K226="",L226=""),"",MOD(L226-K226,1))</f>
        <v/>
      </c>
      <c r="F226" s="31" t="str">
        <f aca="false">IF(OR(E226="",M226=0),"",IF(WEEKDAY(A226,1)=6,E226,MIN(E226,MAX(0,MIN(IF(L226&lt;K226,L226+1,L226),OMR_OT_AT)-K226))))</f>
        <v/>
      </c>
      <c r="G226" s="31" t="str">
        <f aca="false">IF(OR(E226="",M226=0),"",MAX(0,E226-F226))</f>
        <v/>
      </c>
      <c r="H226" s="32" t="str">
        <f aca="false">IF(OR(E226="",M226=0),"",ROUND((F226*$N$223+G226*$O$223)*24,3))</f>
        <v/>
      </c>
      <c r="I226" s="30"/>
      <c r="K226" s="33" t="str">
        <f aca="false">IF(OR(M226=0,C226=""),"",IF(ISNUMBER(C226),MOD(C226,1),IFERROR(INDEX(القوائم!$B$1:$B$288,MATCH(TRIM(C226),القوائم!$A$1:$A$288,0)),IFERROR(MOD(TIMEVALUE(C226),1),""))))</f>
        <v/>
      </c>
      <c r="L226" s="33" t="str">
        <f aca="false">IF(OR(M226=0,D226=""),"",IF(ISNUMBER(D226),MOD(D226,1),IFERROR(INDEX(القوائم!$B$1:$B$288,MATCH(TRIM(D226),القوائم!$A$1:$A$288,0)),IFERROR(MOD(TIMEVALUE(D226),1),""))))</f>
        <v/>
      </c>
      <c r="M226" s="25" t="n">
        <f aca="false">M223</f>
        <v>0</v>
      </c>
      <c r="Q226" s="25" t="n">
        <f aca="false">IF(N(G234)&gt;0,1,0)</f>
        <v>0</v>
      </c>
      <c r="S226" s="0" t="n">
        <v>19</v>
      </c>
    </row>
    <row r="227" customFormat="false" ht="15" hidden="false" customHeight="false" outlineLevel="0" collapsed="false">
      <c r="A227" s="28" t="n">
        <f aca="false">IF(19&lt;=NW,SAT1+128,"")</f>
        <v>46146</v>
      </c>
      <c r="B227" s="29" t="str">
        <f aca="false">IF(A227="","",CHOOSE(WEEKDAY(A227,1),"الأحد","الاثنين","الثلاثاء","الأربعاء","الخميس","الجمعة","السبت"))</f>
        <v>الاثنين</v>
      </c>
      <c r="C227" s="30"/>
      <c r="D227" s="30"/>
      <c r="E227" s="31" t="str">
        <f aca="false">IF(OR(M227=0,K227="",L227=""),"",MOD(L227-K227,1))</f>
        <v/>
      </c>
      <c r="F227" s="31" t="str">
        <f aca="false">IF(OR(E227="",M227=0),"",IF(WEEKDAY(A227,1)=6,E227,MIN(E227,MAX(0,MIN(IF(L227&lt;K227,L227+1,L227),OMR_OT_AT)-K227))))</f>
        <v/>
      </c>
      <c r="G227" s="31" t="str">
        <f aca="false">IF(OR(E227="",M227=0),"",MAX(0,E227-F227))</f>
        <v/>
      </c>
      <c r="H227" s="32" t="str">
        <f aca="false">IF(OR(E227="",M227=0),"",ROUND((F227*$N$223+G227*$O$223)*24,3))</f>
        <v/>
      </c>
      <c r="I227" s="30"/>
      <c r="K227" s="33" t="str">
        <f aca="false">IF(OR(M227=0,C227=""),"",IF(ISNUMBER(C227),MOD(C227,1),IFERROR(INDEX(القوائم!$B$1:$B$288,MATCH(TRIM(C227),القوائم!$A$1:$A$288,0)),IFERROR(MOD(TIMEVALUE(C227),1),""))))</f>
        <v/>
      </c>
      <c r="L227" s="33" t="str">
        <f aca="false">IF(OR(M227=0,D227=""),"",IF(ISNUMBER(D227),MOD(D227,1),IFERROR(INDEX(القوائم!$B$1:$B$288,MATCH(TRIM(D227),القوائم!$A$1:$A$288,0)),IFERROR(MOD(TIMEVALUE(D227),1),""))))</f>
        <v/>
      </c>
      <c r="M227" s="25" t="n">
        <f aca="false">M223</f>
        <v>0</v>
      </c>
      <c r="Q227" s="25" t="n">
        <f aca="false">IF(N(G234)&gt;0,1,0)</f>
        <v>0</v>
      </c>
      <c r="S227" s="0" t="n">
        <v>19</v>
      </c>
    </row>
    <row r="228" customFormat="false" ht="15" hidden="false" customHeight="false" outlineLevel="0" collapsed="false">
      <c r="A228" s="28" t="n">
        <f aca="false">IF(19&lt;=NW,SAT1+129,"")</f>
        <v>46147</v>
      </c>
      <c r="B228" s="29" t="str">
        <f aca="false">IF(A228="","",CHOOSE(WEEKDAY(A228,1),"الأحد","الاثنين","الثلاثاء","الأربعاء","الخميس","الجمعة","السبت"))</f>
        <v>الثلاثاء</v>
      </c>
      <c r="C228" s="30"/>
      <c r="D228" s="30"/>
      <c r="E228" s="31" t="str">
        <f aca="false">IF(OR(M228=0,K228="",L228=""),"",MOD(L228-K228,1))</f>
        <v/>
      </c>
      <c r="F228" s="31" t="str">
        <f aca="false">IF(OR(E228="",M228=0),"",IF(WEEKDAY(A228,1)=6,E228,MIN(E228,MAX(0,MIN(IF(L228&lt;K228,L228+1,L228),OMR_OT_AT)-K228))))</f>
        <v/>
      </c>
      <c r="G228" s="31" t="str">
        <f aca="false">IF(OR(E228="",M228=0),"",MAX(0,E228-F228))</f>
        <v/>
      </c>
      <c r="H228" s="32" t="str">
        <f aca="false">IF(OR(E228="",M228=0),"",ROUND((F228*$N$223+G228*$O$223)*24,3))</f>
        <v/>
      </c>
      <c r="I228" s="30"/>
      <c r="K228" s="33" t="str">
        <f aca="false">IF(OR(M228=0,C228=""),"",IF(ISNUMBER(C228),MOD(C228,1),IFERROR(INDEX(القوائم!$B$1:$B$288,MATCH(TRIM(C228),القوائم!$A$1:$A$288,0)),IFERROR(MOD(TIMEVALUE(C228),1),""))))</f>
        <v/>
      </c>
      <c r="L228" s="33" t="str">
        <f aca="false">IF(OR(M228=0,D228=""),"",IF(ISNUMBER(D228),MOD(D228,1),IFERROR(INDEX(القوائم!$B$1:$B$288,MATCH(TRIM(D228),القوائم!$A$1:$A$288,0)),IFERROR(MOD(TIMEVALUE(D228),1),""))))</f>
        <v/>
      </c>
      <c r="M228" s="25" t="n">
        <f aca="false">M223</f>
        <v>0</v>
      </c>
      <c r="Q228" s="25" t="n">
        <f aca="false">IF(N(G234)&gt;0,1,0)</f>
        <v>0</v>
      </c>
      <c r="S228" s="0" t="n">
        <v>19</v>
      </c>
    </row>
    <row r="229" customFormat="false" ht="15" hidden="false" customHeight="false" outlineLevel="0" collapsed="false">
      <c r="A229" s="28" t="n">
        <f aca="false">IF(19&lt;=NW,SAT1+130,"")</f>
        <v>46148</v>
      </c>
      <c r="B229" s="29" t="str">
        <f aca="false">IF(A229="","",CHOOSE(WEEKDAY(A229,1),"الأحد","الاثنين","الثلاثاء","الأربعاء","الخميس","الجمعة","السبت"))</f>
        <v>الأربعاء</v>
      </c>
      <c r="C229" s="30"/>
      <c r="D229" s="30"/>
      <c r="E229" s="31" t="str">
        <f aca="false">IF(OR(M229=0,K229="",L229=""),"",MOD(L229-K229,1))</f>
        <v/>
      </c>
      <c r="F229" s="31" t="str">
        <f aca="false">IF(OR(E229="",M229=0),"",IF(WEEKDAY(A229,1)=6,E229,MIN(E229,MAX(0,MIN(IF(L229&lt;K229,L229+1,L229),OMR_OT_AT)-K229))))</f>
        <v/>
      </c>
      <c r="G229" s="31" t="str">
        <f aca="false">IF(OR(E229="",M229=0),"",MAX(0,E229-F229))</f>
        <v/>
      </c>
      <c r="H229" s="32" t="str">
        <f aca="false">IF(OR(E229="",M229=0),"",ROUND((F229*$N$223+G229*$O$223)*24,3))</f>
        <v/>
      </c>
      <c r="I229" s="30"/>
      <c r="K229" s="33" t="str">
        <f aca="false">IF(OR(M229=0,C229=""),"",IF(ISNUMBER(C229),MOD(C229,1),IFERROR(INDEX(القوائم!$B$1:$B$288,MATCH(TRIM(C229),القوائم!$A$1:$A$288,0)),IFERROR(MOD(TIMEVALUE(C229),1),""))))</f>
        <v/>
      </c>
      <c r="L229" s="33" t="str">
        <f aca="false">IF(OR(M229=0,D229=""),"",IF(ISNUMBER(D229),MOD(D229,1),IFERROR(INDEX(القوائم!$B$1:$B$288,MATCH(TRIM(D229),القوائم!$A$1:$A$288,0)),IFERROR(MOD(TIMEVALUE(D229),1),""))))</f>
        <v/>
      </c>
      <c r="M229" s="25" t="n">
        <f aca="false">M223</f>
        <v>0</v>
      </c>
      <c r="Q229" s="25" t="n">
        <f aca="false">IF(N(G234)&gt;0,1,0)</f>
        <v>0</v>
      </c>
      <c r="S229" s="0" t="n">
        <v>19</v>
      </c>
    </row>
    <row r="230" customFormat="false" ht="15" hidden="false" customHeight="false" outlineLevel="0" collapsed="false">
      <c r="A230" s="28" t="n">
        <f aca="false">IF(19&lt;=NW,SAT1+131,"")</f>
        <v>46149</v>
      </c>
      <c r="B230" s="29" t="str">
        <f aca="false">IF(A230="","",CHOOSE(WEEKDAY(A230,1),"الأحد","الاثنين","الثلاثاء","الأربعاء","الخميس","الجمعة","السبت"))</f>
        <v>الخميس</v>
      </c>
      <c r="C230" s="30"/>
      <c r="D230" s="30"/>
      <c r="E230" s="31" t="str">
        <f aca="false">IF(OR(M230=0,K230="",L230=""),"",MOD(L230-K230,1))</f>
        <v/>
      </c>
      <c r="F230" s="31" t="str">
        <f aca="false">IF(OR(E230="",M230=0),"",IF(WEEKDAY(A230,1)=6,E230,MIN(E230,MAX(0,MIN(IF(L230&lt;K230,L230+1,L230),OMR_OT_AT)-K230))))</f>
        <v/>
      </c>
      <c r="G230" s="31" t="str">
        <f aca="false">IF(OR(E230="",M230=0),"",MAX(0,E230-F230))</f>
        <v/>
      </c>
      <c r="H230" s="32" t="str">
        <f aca="false">IF(OR(E230="",M230=0),"",ROUND((F230*$N$223+G230*$O$223)*24,3))</f>
        <v/>
      </c>
      <c r="I230" s="30"/>
      <c r="K230" s="33" t="str">
        <f aca="false">IF(OR(M230=0,C230=""),"",IF(ISNUMBER(C230),MOD(C230,1),IFERROR(INDEX(القوائم!$B$1:$B$288,MATCH(TRIM(C230),القوائم!$A$1:$A$288,0)),IFERROR(MOD(TIMEVALUE(C230),1),""))))</f>
        <v/>
      </c>
      <c r="L230" s="33" t="str">
        <f aca="false">IF(OR(M230=0,D230=""),"",IF(ISNUMBER(D230),MOD(D230,1),IFERROR(INDEX(القوائم!$B$1:$B$288,MATCH(TRIM(D230),القوائم!$A$1:$A$288,0)),IFERROR(MOD(TIMEVALUE(D230),1),""))))</f>
        <v/>
      </c>
      <c r="M230" s="25" t="n">
        <f aca="false">M223</f>
        <v>0</v>
      </c>
      <c r="Q230" s="25" t="n">
        <f aca="false">IF(N(G234)&gt;0,1,0)</f>
        <v>0</v>
      </c>
      <c r="S230" s="0" t="n">
        <v>19</v>
      </c>
    </row>
    <row r="231" customFormat="false" ht="15" hidden="false" customHeight="false" outlineLevel="0" collapsed="false">
      <c r="A231" s="34" t="n">
        <f aca="false">IF(19&lt;=NW,SAT1+132,"")</f>
        <v>46150</v>
      </c>
      <c r="B231" s="35" t="str">
        <f aca="false">IF(A231="","",CHOOSE(WEEKDAY(A231,1),"الأحد","الاثنين","الثلاثاء","الأربعاء","الخميس","الجمعة","السبت"))</f>
        <v>الجمعة</v>
      </c>
      <c r="C231" s="30"/>
      <c r="D231" s="30"/>
      <c r="E231" s="31" t="str">
        <f aca="false">IF(OR(M231=0,K231="",L231=""),"",MOD(L231-K231,1))</f>
        <v/>
      </c>
      <c r="F231" s="31" t="str">
        <f aca="false">IF(OR(E231="",M231=0),"",IF(WEEKDAY(A231,1)=6,E231,MIN(E231,MAX(0,MIN(IF(L231&lt;K231,L231+1,L231),OMR_OT_AT)-K231))))</f>
        <v/>
      </c>
      <c r="G231" s="31" t="str">
        <f aca="false">IF(OR(E231="",M231=0),"",MAX(0,E231-F231))</f>
        <v/>
      </c>
      <c r="H231" s="32" t="str">
        <f aca="false">IF(OR(E231="",M231=0),"",ROUND((F231*$N$223+G231*$O$223)*24,3))</f>
        <v/>
      </c>
      <c r="I231" s="30"/>
      <c r="K231" s="33" t="str">
        <f aca="false">IF(OR(M231=0,C231=""),"",IF(ISNUMBER(C231),MOD(C231,1),IFERROR(INDEX(القوائم!$B$1:$B$288,MATCH(TRIM(C231),القوائم!$A$1:$A$288,0)),IFERROR(MOD(TIMEVALUE(C231),1),""))))</f>
        <v/>
      </c>
      <c r="L231" s="33" t="str">
        <f aca="false">IF(OR(M231=0,D231=""),"",IF(ISNUMBER(D231),MOD(D231,1),IFERROR(INDEX(القوائم!$B$1:$B$288,MATCH(TRIM(D231),القوائم!$A$1:$A$288,0)),IFERROR(MOD(TIMEVALUE(D231),1),""))))</f>
        <v/>
      </c>
      <c r="M231" s="25" t="n">
        <f aca="false">M223</f>
        <v>0</v>
      </c>
      <c r="Q231" s="25" t="n">
        <f aca="false">IF(N(G234)&gt;0,1,0)</f>
        <v>0</v>
      </c>
      <c r="S231" s="0" t="n">
        <v>19</v>
      </c>
    </row>
    <row r="232" customFormat="false" ht="15" hidden="false" customHeight="false" outlineLevel="0" collapsed="false">
      <c r="A232" s="36" t="str">
        <f aca="false">IF(M223=1,"مجموع أيام الأسبوع 19","")</f>
        <v/>
      </c>
      <c r="B232" s="36"/>
      <c r="C232" s="36"/>
      <c r="D232" s="36"/>
      <c r="E232" s="37" t="str">
        <f aca="false">IF(M223=1,SUM(E225:E231),"")</f>
        <v/>
      </c>
      <c r="F232" s="37" t="str">
        <f aca="false">IF(M223=1,SUM(F225:F231),"")</f>
        <v/>
      </c>
      <c r="G232" s="37" t="str">
        <f aca="false">IF(M223=1,SUM(G225:G231),"")</f>
        <v/>
      </c>
      <c r="H232" s="38" t="str">
        <f aca="false">IF(M223=1,SUM(H225:H231),"")</f>
        <v/>
      </c>
      <c r="I232" s="36"/>
      <c r="S232" s="0" t="n">
        <v>19</v>
      </c>
    </row>
    <row r="233" customFormat="false" ht="31.5" hidden="false" customHeight="true" outlineLevel="0" collapsed="false">
      <c r="A233" s="39" t="str">
        <f aca="false">IF(M223=1,"ساعات تحميل الجبسمبورد بهالأسبوع (رقم: 2 أو 1.5) ←","")</f>
        <v/>
      </c>
      <c r="B233" s="39"/>
      <c r="C233" s="39"/>
      <c r="D233" s="39"/>
      <c r="E233" s="40"/>
      <c r="F233" s="41" t="str">
        <f aca="false">IF(M223=1,"المستحق النهائي للأسبوع مع الإكرامية (دينار) ←","")</f>
        <v/>
      </c>
      <c r="G233" s="41"/>
      <c r="H233" s="42" t="str">
        <f aca="false">IF(M223=1,IF(ROUND_MODE="للأعلى",CEILING(ROUND((N(H232)+N(E233)*($P$223-$N$223)),3),0.25),ROUND((N(H232)+N(E233)*($P$223-$N$223))*4,0)/4)+N(D234),"")</f>
        <v/>
      </c>
      <c r="I233" s="43" t="str">
        <f aca="false">IF(M223=1,"قبل الجبر: "&amp;TEXT(N(H232)+N(E233)*($P$223-$N$223),"0.000")&amp;IF(N(D234)&gt;0," + إكرامية "&amp;TEXT(D234,"0.000"),""),"")</f>
        <v/>
      </c>
      <c r="S233" s="0" t="n">
        <v>19</v>
      </c>
    </row>
    <row r="234" customFormat="false" ht="25.5" hidden="false" customHeight="true" outlineLevel="0" collapsed="false">
      <c r="A234" s="39" t="str">
        <f aca="false">IF(M223=1,"إكرامية الأسبوع (دينار) ←","")</f>
        <v/>
      </c>
      <c r="B234" s="39"/>
      <c r="C234" s="39"/>
      <c r="D234" s="44"/>
      <c r="E234" s="39" t="str">
        <f aca="false">IF(M223=1,"المدفوع (دينار) ←","")</f>
        <v/>
      </c>
      <c r="F234" s="39"/>
      <c r="G234" s="44"/>
      <c r="H234" s="45" t="str">
        <f aca="false">IF(M223=1,IF(N(G234)&gt;0,"✔ انقبض — الأسبوع مقفول","⏳ لسا ما انقبض"),"")</f>
        <v/>
      </c>
      <c r="I234" s="45"/>
      <c r="S234" s="0" t="n">
        <v>19</v>
      </c>
    </row>
    <row r="235" customFormat="false" ht="27.75" hidden="false" customHeight="true" outlineLevel="0" collapsed="false">
      <c r="A235" s="23" t="str">
        <f aca="false">IF(20&lt;=NW,"من السبت "&amp;TEXT(DAY(SAT1+133),"00")&amp;"/"&amp;TEXT(MONTH(SAT1+133),"00")&amp;"/"&amp;YEAR(SAT1+133)&amp;" إلى الجمعة "&amp;TEXT(DAY(SAT1+139),"00")&amp;"/"&amp;TEXT(MONTH(SAT1+139),"00")&amp;"/"&amp;YEAR(SAT1+139)&amp;" · الأسبوع 20"&amp;"  (يوم القبض: الجمعة)"&amp;IF(20&lt;START_O,"   — قبل أسبوع البداية (ما بينحسب)",""),"ما في أسبوع 20 هالسنة")</f>
        <v>من السبت 09/05/2026 إلى الجمعة 15/05/2026 · الأسبوع 20  (يوم القبض: الجمعة)   — قبل أسبوع البداية (ما بينحسب)</v>
      </c>
      <c r="B235" s="23"/>
      <c r="C235" s="23"/>
      <c r="D235" s="23"/>
      <c r="E235" s="23"/>
      <c r="F235" s="23"/>
      <c r="G235" s="23"/>
      <c r="H235" s="23"/>
      <c r="I235" s="23"/>
      <c r="L235" s="24" t="n">
        <f aca="false">IF(20&lt;=NW,SAT1+139,"")</f>
        <v>46157</v>
      </c>
      <c r="M235" s="25" t="n">
        <f aca="false">IF(AND(20&lt;=NW,20&gt;=START_O),1,0)</f>
        <v>0</v>
      </c>
      <c r="N235" s="26" t="n">
        <f aca="false">IFERROR(INDEX(RT_OMR,MATCH(L235,RT_K,1)),INDEX(RT_OMR,1))</f>
        <v>1.25</v>
      </c>
      <c r="O235" s="26" t="n">
        <f aca="false">IFERROR(INDEX(RT_OT,MATCH(L235,RT_K,1)),INDEX(RT_OT,1))</f>
        <v>1.5</v>
      </c>
      <c r="P235" s="26" t="n">
        <f aca="false">IFERROR(INDEX(RT_GYP,MATCH(L235,RT_K,1)),INDEX(RT_GYP,1))</f>
        <v>2.5</v>
      </c>
      <c r="R235" s="0" t="n">
        <v>20</v>
      </c>
      <c r="S235" s="0" t="n">
        <v>20</v>
      </c>
    </row>
    <row r="236" customFormat="false" ht="25.5" hidden="false" customHeight="true" outlineLevel="0" collapsed="false">
      <c r="A236" s="27" t="s">
        <v>22</v>
      </c>
      <c r="B236" s="27" t="s">
        <v>23</v>
      </c>
      <c r="C236" s="27" t="s">
        <v>24</v>
      </c>
      <c r="D236" s="27" t="s">
        <v>25</v>
      </c>
      <c r="E236" s="27" t="s">
        <v>26</v>
      </c>
      <c r="F236" s="27" t="s">
        <v>27</v>
      </c>
      <c r="G236" s="27" t="s">
        <v>28</v>
      </c>
      <c r="H236" s="27" t="s">
        <v>29</v>
      </c>
      <c r="I236" s="27" t="s">
        <v>30</v>
      </c>
      <c r="S236" s="0" t="n">
        <v>20</v>
      </c>
    </row>
    <row r="237" customFormat="false" ht="15" hidden="false" customHeight="false" outlineLevel="0" collapsed="false">
      <c r="A237" s="28" t="n">
        <f aca="false">IF(20&lt;=NW,SAT1+133,"")</f>
        <v>46151</v>
      </c>
      <c r="B237" s="29" t="str">
        <f aca="false">IF(A237="","",CHOOSE(WEEKDAY(A237,1),"الأحد","الاثنين","الثلاثاء","الأربعاء","الخميس","الجمعة","السبت"))</f>
        <v>السبت</v>
      </c>
      <c r="C237" s="30"/>
      <c r="D237" s="30"/>
      <c r="E237" s="31" t="str">
        <f aca="false">IF(OR(M237=0,K237="",L237=""),"",MOD(L237-K237,1))</f>
        <v/>
      </c>
      <c r="F237" s="31" t="str">
        <f aca="false">IF(OR(E237="",M237=0),"",IF(WEEKDAY(A237,1)=6,E237,MIN(E237,MAX(0,MIN(IF(L237&lt;K237,L237+1,L237),OMR_OT_AT)-K237))))</f>
        <v/>
      </c>
      <c r="G237" s="31" t="str">
        <f aca="false">IF(OR(E237="",M237=0),"",MAX(0,E237-F237))</f>
        <v/>
      </c>
      <c r="H237" s="32" t="str">
        <f aca="false">IF(OR(E237="",M237=0),"",ROUND((F237*$N$235+G237*$O$235)*24,3))</f>
        <v/>
      </c>
      <c r="I237" s="30"/>
      <c r="K237" s="33" t="str">
        <f aca="false">IF(OR(M237=0,C237=""),"",IF(ISNUMBER(C237),MOD(C237,1),IFERROR(INDEX(القوائم!$B$1:$B$288,MATCH(TRIM(C237),القوائم!$A$1:$A$288,0)),IFERROR(MOD(TIMEVALUE(C237),1),""))))</f>
        <v/>
      </c>
      <c r="L237" s="33" t="str">
        <f aca="false">IF(OR(M237=0,D237=""),"",IF(ISNUMBER(D237),MOD(D237,1),IFERROR(INDEX(القوائم!$B$1:$B$288,MATCH(TRIM(D237),القوائم!$A$1:$A$288,0)),IFERROR(MOD(TIMEVALUE(D237),1),""))))</f>
        <v/>
      </c>
      <c r="M237" s="25" t="n">
        <f aca="false">M235</f>
        <v>0</v>
      </c>
      <c r="Q237" s="25" t="n">
        <f aca="false">IF(N(G246)&gt;0,1,0)</f>
        <v>0</v>
      </c>
      <c r="S237" s="0" t="n">
        <v>20</v>
      </c>
    </row>
    <row r="238" customFormat="false" ht="15" hidden="false" customHeight="false" outlineLevel="0" collapsed="false">
      <c r="A238" s="28" t="n">
        <f aca="false">IF(20&lt;=NW,SAT1+134,"")</f>
        <v>46152</v>
      </c>
      <c r="B238" s="29" t="str">
        <f aca="false">IF(A238="","",CHOOSE(WEEKDAY(A238,1),"الأحد","الاثنين","الثلاثاء","الأربعاء","الخميس","الجمعة","السبت"))</f>
        <v>الأحد</v>
      </c>
      <c r="C238" s="30"/>
      <c r="D238" s="30"/>
      <c r="E238" s="31" t="str">
        <f aca="false">IF(OR(M238=0,K238="",L238=""),"",MOD(L238-K238,1))</f>
        <v/>
      </c>
      <c r="F238" s="31" t="str">
        <f aca="false">IF(OR(E238="",M238=0),"",IF(WEEKDAY(A238,1)=6,E238,MIN(E238,MAX(0,MIN(IF(L238&lt;K238,L238+1,L238),OMR_OT_AT)-K238))))</f>
        <v/>
      </c>
      <c r="G238" s="31" t="str">
        <f aca="false">IF(OR(E238="",M238=0),"",MAX(0,E238-F238))</f>
        <v/>
      </c>
      <c r="H238" s="32" t="str">
        <f aca="false">IF(OR(E238="",M238=0),"",ROUND((F238*$N$235+G238*$O$235)*24,3))</f>
        <v/>
      </c>
      <c r="I238" s="30"/>
      <c r="K238" s="33" t="str">
        <f aca="false">IF(OR(M238=0,C238=""),"",IF(ISNUMBER(C238),MOD(C238,1),IFERROR(INDEX(القوائم!$B$1:$B$288,MATCH(TRIM(C238),القوائم!$A$1:$A$288,0)),IFERROR(MOD(TIMEVALUE(C238),1),""))))</f>
        <v/>
      </c>
      <c r="L238" s="33" t="str">
        <f aca="false">IF(OR(M238=0,D238=""),"",IF(ISNUMBER(D238),MOD(D238,1),IFERROR(INDEX(القوائم!$B$1:$B$288,MATCH(TRIM(D238),القوائم!$A$1:$A$288,0)),IFERROR(MOD(TIMEVALUE(D238),1),""))))</f>
        <v/>
      </c>
      <c r="M238" s="25" t="n">
        <f aca="false">M235</f>
        <v>0</v>
      </c>
      <c r="Q238" s="25" t="n">
        <f aca="false">IF(N(G246)&gt;0,1,0)</f>
        <v>0</v>
      </c>
      <c r="S238" s="0" t="n">
        <v>20</v>
      </c>
    </row>
    <row r="239" customFormat="false" ht="15" hidden="false" customHeight="false" outlineLevel="0" collapsed="false">
      <c r="A239" s="28" t="n">
        <f aca="false">IF(20&lt;=NW,SAT1+135,"")</f>
        <v>46153</v>
      </c>
      <c r="B239" s="29" t="str">
        <f aca="false">IF(A239="","",CHOOSE(WEEKDAY(A239,1),"الأحد","الاثنين","الثلاثاء","الأربعاء","الخميس","الجمعة","السبت"))</f>
        <v>الاثنين</v>
      </c>
      <c r="C239" s="30"/>
      <c r="D239" s="30"/>
      <c r="E239" s="31" t="str">
        <f aca="false">IF(OR(M239=0,K239="",L239=""),"",MOD(L239-K239,1))</f>
        <v/>
      </c>
      <c r="F239" s="31" t="str">
        <f aca="false">IF(OR(E239="",M239=0),"",IF(WEEKDAY(A239,1)=6,E239,MIN(E239,MAX(0,MIN(IF(L239&lt;K239,L239+1,L239),OMR_OT_AT)-K239))))</f>
        <v/>
      </c>
      <c r="G239" s="31" t="str">
        <f aca="false">IF(OR(E239="",M239=0),"",MAX(0,E239-F239))</f>
        <v/>
      </c>
      <c r="H239" s="32" t="str">
        <f aca="false">IF(OR(E239="",M239=0),"",ROUND((F239*$N$235+G239*$O$235)*24,3))</f>
        <v/>
      </c>
      <c r="I239" s="30"/>
      <c r="K239" s="33" t="str">
        <f aca="false">IF(OR(M239=0,C239=""),"",IF(ISNUMBER(C239),MOD(C239,1),IFERROR(INDEX(القوائم!$B$1:$B$288,MATCH(TRIM(C239),القوائم!$A$1:$A$288,0)),IFERROR(MOD(TIMEVALUE(C239),1),""))))</f>
        <v/>
      </c>
      <c r="L239" s="33" t="str">
        <f aca="false">IF(OR(M239=0,D239=""),"",IF(ISNUMBER(D239),MOD(D239,1),IFERROR(INDEX(القوائم!$B$1:$B$288,MATCH(TRIM(D239),القوائم!$A$1:$A$288,0)),IFERROR(MOD(TIMEVALUE(D239),1),""))))</f>
        <v/>
      </c>
      <c r="M239" s="25" t="n">
        <f aca="false">M235</f>
        <v>0</v>
      </c>
      <c r="Q239" s="25" t="n">
        <f aca="false">IF(N(G246)&gt;0,1,0)</f>
        <v>0</v>
      </c>
      <c r="S239" s="0" t="n">
        <v>20</v>
      </c>
    </row>
    <row r="240" customFormat="false" ht="15" hidden="false" customHeight="false" outlineLevel="0" collapsed="false">
      <c r="A240" s="28" t="n">
        <f aca="false">IF(20&lt;=NW,SAT1+136,"")</f>
        <v>46154</v>
      </c>
      <c r="B240" s="29" t="str">
        <f aca="false">IF(A240="","",CHOOSE(WEEKDAY(A240,1),"الأحد","الاثنين","الثلاثاء","الأربعاء","الخميس","الجمعة","السبت"))</f>
        <v>الثلاثاء</v>
      </c>
      <c r="C240" s="30"/>
      <c r="D240" s="30"/>
      <c r="E240" s="31" t="str">
        <f aca="false">IF(OR(M240=0,K240="",L240=""),"",MOD(L240-K240,1))</f>
        <v/>
      </c>
      <c r="F240" s="31" t="str">
        <f aca="false">IF(OR(E240="",M240=0),"",IF(WEEKDAY(A240,1)=6,E240,MIN(E240,MAX(0,MIN(IF(L240&lt;K240,L240+1,L240),OMR_OT_AT)-K240))))</f>
        <v/>
      </c>
      <c r="G240" s="31" t="str">
        <f aca="false">IF(OR(E240="",M240=0),"",MAX(0,E240-F240))</f>
        <v/>
      </c>
      <c r="H240" s="32" t="str">
        <f aca="false">IF(OR(E240="",M240=0),"",ROUND((F240*$N$235+G240*$O$235)*24,3))</f>
        <v/>
      </c>
      <c r="I240" s="30"/>
      <c r="K240" s="33" t="str">
        <f aca="false">IF(OR(M240=0,C240=""),"",IF(ISNUMBER(C240),MOD(C240,1),IFERROR(INDEX(القوائم!$B$1:$B$288,MATCH(TRIM(C240),القوائم!$A$1:$A$288,0)),IFERROR(MOD(TIMEVALUE(C240),1),""))))</f>
        <v/>
      </c>
      <c r="L240" s="33" t="str">
        <f aca="false">IF(OR(M240=0,D240=""),"",IF(ISNUMBER(D240),MOD(D240,1),IFERROR(INDEX(القوائم!$B$1:$B$288,MATCH(TRIM(D240),القوائم!$A$1:$A$288,0)),IFERROR(MOD(TIMEVALUE(D240),1),""))))</f>
        <v/>
      </c>
      <c r="M240" s="25" t="n">
        <f aca="false">M235</f>
        <v>0</v>
      </c>
      <c r="Q240" s="25" t="n">
        <f aca="false">IF(N(G246)&gt;0,1,0)</f>
        <v>0</v>
      </c>
      <c r="S240" s="0" t="n">
        <v>20</v>
      </c>
    </row>
    <row r="241" customFormat="false" ht="15" hidden="false" customHeight="false" outlineLevel="0" collapsed="false">
      <c r="A241" s="28" t="n">
        <f aca="false">IF(20&lt;=NW,SAT1+137,"")</f>
        <v>46155</v>
      </c>
      <c r="B241" s="29" t="str">
        <f aca="false">IF(A241="","",CHOOSE(WEEKDAY(A241,1),"الأحد","الاثنين","الثلاثاء","الأربعاء","الخميس","الجمعة","السبت"))</f>
        <v>الأربعاء</v>
      </c>
      <c r="C241" s="30"/>
      <c r="D241" s="30"/>
      <c r="E241" s="31" t="str">
        <f aca="false">IF(OR(M241=0,K241="",L241=""),"",MOD(L241-K241,1))</f>
        <v/>
      </c>
      <c r="F241" s="31" t="str">
        <f aca="false">IF(OR(E241="",M241=0),"",IF(WEEKDAY(A241,1)=6,E241,MIN(E241,MAX(0,MIN(IF(L241&lt;K241,L241+1,L241),OMR_OT_AT)-K241))))</f>
        <v/>
      </c>
      <c r="G241" s="31" t="str">
        <f aca="false">IF(OR(E241="",M241=0),"",MAX(0,E241-F241))</f>
        <v/>
      </c>
      <c r="H241" s="32" t="str">
        <f aca="false">IF(OR(E241="",M241=0),"",ROUND((F241*$N$235+G241*$O$235)*24,3))</f>
        <v/>
      </c>
      <c r="I241" s="30"/>
      <c r="K241" s="33" t="str">
        <f aca="false">IF(OR(M241=0,C241=""),"",IF(ISNUMBER(C241),MOD(C241,1),IFERROR(INDEX(القوائم!$B$1:$B$288,MATCH(TRIM(C241),القوائم!$A$1:$A$288,0)),IFERROR(MOD(TIMEVALUE(C241),1),""))))</f>
        <v/>
      </c>
      <c r="L241" s="33" t="str">
        <f aca="false">IF(OR(M241=0,D241=""),"",IF(ISNUMBER(D241),MOD(D241,1),IFERROR(INDEX(القوائم!$B$1:$B$288,MATCH(TRIM(D241),القوائم!$A$1:$A$288,0)),IFERROR(MOD(TIMEVALUE(D241),1),""))))</f>
        <v/>
      </c>
      <c r="M241" s="25" t="n">
        <f aca="false">M235</f>
        <v>0</v>
      </c>
      <c r="Q241" s="25" t="n">
        <f aca="false">IF(N(G246)&gt;0,1,0)</f>
        <v>0</v>
      </c>
      <c r="S241" s="0" t="n">
        <v>20</v>
      </c>
    </row>
    <row r="242" customFormat="false" ht="15" hidden="false" customHeight="false" outlineLevel="0" collapsed="false">
      <c r="A242" s="28" t="n">
        <f aca="false">IF(20&lt;=NW,SAT1+138,"")</f>
        <v>46156</v>
      </c>
      <c r="B242" s="29" t="str">
        <f aca="false">IF(A242="","",CHOOSE(WEEKDAY(A242,1),"الأحد","الاثنين","الثلاثاء","الأربعاء","الخميس","الجمعة","السبت"))</f>
        <v>الخميس</v>
      </c>
      <c r="C242" s="30"/>
      <c r="D242" s="30"/>
      <c r="E242" s="31" t="str">
        <f aca="false">IF(OR(M242=0,K242="",L242=""),"",MOD(L242-K242,1))</f>
        <v/>
      </c>
      <c r="F242" s="31" t="str">
        <f aca="false">IF(OR(E242="",M242=0),"",IF(WEEKDAY(A242,1)=6,E242,MIN(E242,MAX(0,MIN(IF(L242&lt;K242,L242+1,L242),OMR_OT_AT)-K242))))</f>
        <v/>
      </c>
      <c r="G242" s="31" t="str">
        <f aca="false">IF(OR(E242="",M242=0),"",MAX(0,E242-F242))</f>
        <v/>
      </c>
      <c r="H242" s="32" t="str">
        <f aca="false">IF(OR(E242="",M242=0),"",ROUND((F242*$N$235+G242*$O$235)*24,3))</f>
        <v/>
      </c>
      <c r="I242" s="30"/>
      <c r="K242" s="33" t="str">
        <f aca="false">IF(OR(M242=0,C242=""),"",IF(ISNUMBER(C242),MOD(C242,1),IFERROR(INDEX(القوائم!$B$1:$B$288,MATCH(TRIM(C242),القوائم!$A$1:$A$288,0)),IFERROR(MOD(TIMEVALUE(C242),1),""))))</f>
        <v/>
      </c>
      <c r="L242" s="33" t="str">
        <f aca="false">IF(OR(M242=0,D242=""),"",IF(ISNUMBER(D242),MOD(D242,1),IFERROR(INDEX(القوائم!$B$1:$B$288,MATCH(TRIM(D242),القوائم!$A$1:$A$288,0)),IFERROR(MOD(TIMEVALUE(D242),1),""))))</f>
        <v/>
      </c>
      <c r="M242" s="25" t="n">
        <f aca="false">M235</f>
        <v>0</v>
      </c>
      <c r="Q242" s="25" t="n">
        <f aca="false">IF(N(G246)&gt;0,1,0)</f>
        <v>0</v>
      </c>
      <c r="S242" s="0" t="n">
        <v>20</v>
      </c>
    </row>
    <row r="243" customFormat="false" ht="15" hidden="false" customHeight="false" outlineLevel="0" collapsed="false">
      <c r="A243" s="34" t="n">
        <f aca="false">IF(20&lt;=NW,SAT1+139,"")</f>
        <v>46157</v>
      </c>
      <c r="B243" s="35" t="str">
        <f aca="false">IF(A243="","",CHOOSE(WEEKDAY(A243,1),"الأحد","الاثنين","الثلاثاء","الأربعاء","الخميس","الجمعة","السبت"))</f>
        <v>الجمعة</v>
      </c>
      <c r="C243" s="30"/>
      <c r="D243" s="30"/>
      <c r="E243" s="31" t="str">
        <f aca="false">IF(OR(M243=0,K243="",L243=""),"",MOD(L243-K243,1))</f>
        <v/>
      </c>
      <c r="F243" s="31" t="str">
        <f aca="false">IF(OR(E243="",M243=0),"",IF(WEEKDAY(A243,1)=6,E243,MIN(E243,MAX(0,MIN(IF(L243&lt;K243,L243+1,L243),OMR_OT_AT)-K243))))</f>
        <v/>
      </c>
      <c r="G243" s="31" t="str">
        <f aca="false">IF(OR(E243="",M243=0),"",MAX(0,E243-F243))</f>
        <v/>
      </c>
      <c r="H243" s="32" t="str">
        <f aca="false">IF(OR(E243="",M243=0),"",ROUND((F243*$N$235+G243*$O$235)*24,3))</f>
        <v/>
      </c>
      <c r="I243" s="30"/>
      <c r="K243" s="33" t="str">
        <f aca="false">IF(OR(M243=0,C243=""),"",IF(ISNUMBER(C243),MOD(C243,1),IFERROR(INDEX(القوائم!$B$1:$B$288,MATCH(TRIM(C243),القوائم!$A$1:$A$288,0)),IFERROR(MOD(TIMEVALUE(C243),1),""))))</f>
        <v/>
      </c>
      <c r="L243" s="33" t="str">
        <f aca="false">IF(OR(M243=0,D243=""),"",IF(ISNUMBER(D243),MOD(D243,1),IFERROR(INDEX(القوائم!$B$1:$B$288,MATCH(TRIM(D243),القوائم!$A$1:$A$288,0)),IFERROR(MOD(TIMEVALUE(D243),1),""))))</f>
        <v/>
      </c>
      <c r="M243" s="25" t="n">
        <f aca="false">M235</f>
        <v>0</v>
      </c>
      <c r="Q243" s="25" t="n">
        <f aca="false">IF(N(G246)&gt;0,1,0)</f>
        <v>0</v>
      </c>
      <c r="S243" s="0" t="n">
        <v>20</v>
      </c>
    </row>
    <row r="244" customFormat="false" ht="15" hidden="false" customHeight="false" outlineLevel="0" collapsed="false">
      <c r="A244" s="36" t="str">
        <f aca="false">IF(M235=1,"مجموع أيام الأسبوع 20","")</f>
        <v/>
      </c>
      <c r="B244" s="36"/>
      <c r="C244" s="36"/>
      <c r="D244" s="36"/>
      <c r="E244" s="37" t="str">
        <f aca="false">IF(M235=1,SUM(E237:E243),"")</f>
        <v/>
      </c>
      <c r="F244" s="37" t="str">
        <f aca="false">IF(M235=1,SUM(F237:F243),"")</f>
        <v/>
      </c>
      <c r="G244" s="37" t="str">
        <f aca="false">IF(M235=1,SUM(G237:G243),"")</f>
        <v/>
      </c>
      <c r="H244" s="38" t="str">
        <f aca="false">IF(M235=1,SUM(H237:H243),"")</f>
        <v/>
      </c>
      <c r="I244" s="36"/>
      <c r="S244" s="0" t="n">
        <v>20</v>
      </c>
    </row>
    <row r="245" customFormat="false" ht="31.5" hidden="false" customHeight="true" outlineLevel="0" collapsed="false">
      <c r="A245" s="39" t="str">
        <f aca="false">IF(M235=1,"ساعات تحميل الجبسمبورد بهالأسبوع (رقم: 2 أو 1.5) ←","")</f>
        <v/>
      </c>
      <c r="B245" s="39"/>
      <c r="C245" s="39"/>
      <c r="D245" s="39"/>
      <c r="E245" s="40"/>
      <c r="F245" s="41" t="str">
        <f aca="false">IF(M235=1,"المستحق النهائي للأسبوع مع الإكرامية (دينار) ←","")</f>
        <v/>
      </c>
      <c r="G245" s="41"/>
      <c r="H245" s="42" t="str">
        <f aca="false">IF(M235=1,IF(ROUND_MODE="للأعلى",CEILING(ROUND((N(H244)+N(E245)*($P$235-$N$235)),3),0.25),ROUND((N(H244)+N(E245)*($P$235-$N$235))*4,0)/4)+N(D246),"")</f>
        <v/>
      </c>
      <c r="I245" s="43" t="str">
        <f aca="false">IF(M235=1,"قبل الجبر: "&amp;TEXT(N(H244)+N(E245)*($P$235-$N$235),"0.000")&amp;IF(N(D246)&gt;0," + إكرامية "&amp;TEXT(D246,"0.000"),""),"")</f>
        <v/>
      </c>
      <c r="S245" s="0" t="n">
        <v>20</v>
      </c>
    </row>
    <row r="246" customFormat="false" ht="25.5" hidden="false" customHeight="true" outlineLevel="0" collapsed="false">
      <c r="A246" s="39" t="str">
        <f aca="false">IF(M235=1,"إكرامية الأسبوع (دينار) ←","")</f>
        <v/>
      </c>
      <c r="B246" s="39"/>
      <c r="C246" s="39"/>
      <c r="D246" s="44"/>
      <c r="E246" s="39" t="str">
        <f aca="false">IF(M235=1,"المدفوع (دينار) ←","")</f>
        <v/>
      </c>
      <c r="F246" s="39"/>
      <c r="G246" s="44"/>
      <c r="H246" s="45" t="str">
        <f aca="false">IF(M235=1,IF(N(G246)&gt;0,"✔ انقبض — الأسبوع مقفول","⏳ لسا ما انقبض"),"")</f>
        <v/>
      </c>
      <c r="I246" s="45"/>
      <c r="S246" s="0" t="n">
        <v>20</v>
      </c>
    </row>
    <row r="247" customFormat="false" ht="27.75" hidden="false" customHeight="true" outlineLevel="0" collapsed="false">
      <c r="A247" s="23" t="str">
        <f aca="false">IF(21&lt;=NW,"من السبت "&amp;TEXT(DAY(SAT1+140),"00")&amp;"/"&amp;TEXT(MONTH(SAT1+140),"00")&amp;"/"&amp;YEAR(SAT1+140)&amp;" إلى الجمعة "&amp;TEXT(DAY(SAT1+146),"00")&amp;"/"&amp;TEXT(MONTH(SAT1+146),"00")&amp;"/"&amp;YEAR(SAT1+146)&amp;" · الأسبوع 21"&amp;"  (يوم القبض: الجمعة)"&amp;IF(21&lt;START_O,"   — قبل أسبوع البداية (ما بينحسب)",""),"ما في أسبوع 21 هالسنة")</f>
        <v>من السبت 16/05/2026 إلى الجمعة 22/05/2026 · الأسبوع 21  (يوم القبض: الجمعة)   — قبل أسبوع البداية (ما بينحسب)</v>
      </c>
      <c r="B247" s="23"/>
      <c r="C247" s="23"/>
      <c r="D247" s="23"/>
      <c r="E247" s="23"/>
      <c r="F247" s="23"/>
      <c r="G247" s="23"/>
      <c r="H247" s="23"/>
      <c r="I247" s="23"/>
      <c r="L247" s="24" t="n">
        <f aca="false">IF(21&lt;=NW,SAT1+146,"")</f>
        <v>46164</v>
      </c>
      <c r="M247" s="25" t="n">
        <f aca="false">IF(AND(21&lt;=NW,21&gt;=START_O),1,0)</f>
        <v>0</v>
      </c>
      <c r="N247" s="26" t="n">
        <f aca="false">IFERROR(INDEX(RT_OMR,MATCH(L247,RT_K,1)),INDEX(RT_OMR,1))</f>
        <v>1.25</v>
      </c>
      <c r="O247" s="26" t="n">
        <f aca="false">IFERROR(INDEX(RT_OT,MATCH(L247,RT_K,1)),INDEX(RT_OT,1))</f>
        <v>1.5</v>
      </c>
      <c r="P247" s="26" t="n">
        <f aca="false">IFERROR(INDEX(RT_GYP,MATCH(L247,RT_K,1)),INDEX(RT_GYP,1))</f>
        <v>2.5</v>
      </c>
      <c r="R247" s="0" t="n">
        <v>21</v>
      </c>
      <c r="S247" s="0" t="n">
        <v>21</v>
      </c>
    </row>
    <row r="248" customFormat="false" ht="25.5" hidden="false" customHeight="true" outlineLevel="0" collapsed="false">
      <c r="A248" s="27" t="s">
        <v>22</v>
      </c>
      <c r="B248" s="27" t="s">
        <v>23</v>
      </c>
      <c r="C248" s="27" t="s">
        <v>24</v>
      </c>
      <c r="D248" s="27" t="s">
        <v>25</v>
      </c>
      <c r="E248" s="27" t="s">
        <v>26</v>
      </c>
      <c r="F248" s="27" t="s">
        <v>27</v>
      </c>
      <c r="G248" s="27" t="s">
        <v>28</v>
      </c>
      <c r="H248" s="27" t="s">
        <v>29</v>
      </c>
      <c r="I248" s="27" t="s">
        <v>30</v>
      </c>
      <c r="S248" s="0" t="n">
        <v>21</v>
      </c>
    </row>
    <row r="249" customFormat="false" ht="15" hidden="false" customHeight="false" outlineLevel="0" collapsed="false">
      <c r="A249" s="28" t="n">
        <f aca="false">IF(21&lt;=NW,SAT1+140,"")</f>
        <v>46158</v>
      </c>
      <c r="B249" s="29" t="str">
        <f aca="false">IF(A249="","",CHOOSE(WEEKDAY(A249,1),"الأحد","الاثنين","الثلاثاء","الأربعاء","الخميس","الجمعة","السبت"))</f>
        <v>السبت</v>
      </c>
      <c r="C249" s="30"/>
      <c r="D249" s="30"/>
      <c r="E249" s="31" t="str">
        <f aca="false">IF(OR(M249=0,K249="",L249=""),"",MOD(L249-K249,1))</f>
        <v/>
      </c>
      <c r="F249" s="31" t="str">
        <f aca="false">IF(OR(E249="",M249=0),"",IF(WEEKDAY(A249,1)=6,E249,MIN(E249,MAX(0,MIN(IF(L249&lt;K249,L249+1,L249),OMR_OT_AT)-K249))))</f>
        <v/>
      </c>
      <c r="G249" s="31" t="str">
        <f aca="false">IF(OR(E249="",M249=0),"",MAX(0,E249-F249))</f>
        <v/>
      </c>
      <c r="H249" s="32" t="str">
        <f aca="false">IF(OR(E249="",M249=0),"",ROUND((F249*$N$247+G249*$O$247)*24,3))</f>
        <v/>
      </c>
      <c r="I249" s="30"/>
      <c r="K249" s="33" t="str">
        <f aca="false">IF(OR(M249=0,C249=""),"",IF(ISNUMBER(C249),MOD(C249,1),IFERROR(INDEX(القوائم!$B$1:$B$288,MATCH(TRIM(C249),القوائم!$A$1:$A$288,0)),IFERROR(MOD(TIMEVALUE(C249),1),""))))</f>
        <v/>
      </c>
      <c r="L249" s="33" t="str">
        <f aca="false">IF(OR(M249=0,D249=""),"",IF(ISNUMBER(D249),MOD(D249,1),IFERROR(INDEX(القوائم!$B$1:$B$288,MATCH(TRIM(D249),القوائم!$A$1:$A$288,0)),IFERROR(MOD(TIMEVALUE(D249),1),""))))</f>
        <v/>
      </c>
      <c r="M249" s="25" t="n">
        <f aca="false">M247</f>
        <v>0</v>
      </c>
      <c r="Q249" s="25" t="n">
        <f aca="false">IF(N(G258)&gt;0,1,0)</f>
        <v>0</v>
      </c>
      <c r="S249" s="0" t="n">
        <v>21</v>
      </c>
    </row>
    <row r="250" customFormat="false" ht="15" hidden="false" customHeight="false" outlineLevel="0" collapsed="false">
      <c r="A250" s="28" t="n">
        <f aca="false">IF(21&lt;=NW,SAT1+141,"")</f>
        <v>46159</v>
      </c>
      <c r="B250" s="29" t="str">
        <f aca="false">IF(A250="","",CHOOSE(WEEKDAY(A250,1),"الأحد","الاثنين","الثلاثاء","الأربعاء","الخميس","الجمعة","السبت"))</f>
        <v>الأحد</v>
      </c>
      <c r="C250" s="30"/>
      <c r="D250" s="30"/>
      <c r="E250" s="31" t="str">
        <f aca="false">IF(OR(M250=0,K250="",L250=""),"",MOD(L250-K250,1))</f>
        <v/>
      </c>
      <c r="F250" s="31" t="str">
        <f aca="false">IF(OR(E250="",M250=0),"",IF(WEEKDAY(A250,1)=6,E250,MIN(E250,MAX(0,MIN(IF(L250&lt;K250,L250+1,L250),OMR_OT_AT)-K250))))</f>
        <v/>
      </c>
      <c r="G250" s="31" t="str">
        <f aca="false">IF(OR(E250="",M250=0),"",MAX(0,E250-F250))</f>
        <v/>
      </c>
      <c r="H250" s="32" t="str">
        <f aca="false">IF(OR(E250="",M250=0),"",ROUND((F250*$N$247+G250*$O$247)*24,3))</f>
        <v/>
      </c>
      <c r="I250" s="30"/>
      <c r="K250" s="33" t="str">
        <f aca="false">IF(OR(M250=0,C250=""),"",IF(ISNUMBER(C250),MOD(C250,1),IFERROR(INDEX(القوائم!$B$1:$B$288,MATCH(TRIM(C250),القوائم!$A$1:$A$288,0)),IFERROR(MOD(TIMEVALUE(C250),1),""))))</f>
        <v/>
      </c>
      <c r="L250" s="33" t="str">
        <f aca="false">IF(OR(M250=0,D250=""),"",IF(ISNUMBER(D250),MOD(D250,1),IFERROR(INDEX(القوائم!$B$1:$B$288,MATCH(TRIM(D250),القوائم!$A$1:$A$288,0)),IFERROR(MOD(TIMEVALUE(D250),1),""))))</f>
        <v/>
      </c>
      <c r="M250" s="25" t="n">
        <f aca="false">M247</f>
        <v>0</v>
      </c>
      <c r="Q250" s="25" t="n">
        <f aca="false">IF(N(G258)&gt;0,1,0)</f>
        <v>0</v>
      </c>
      <c r="S250" s="0" t="n">
        <v>21</v>
      </c>
    </row>
    <row r="251" customFormat="false" ht="15" hidden="false" customHeight="false" outlineLevel="0" collapsed="false">
      <c r="A251" s="28" t="n">
        <f aca="false">IF(21&lt;=NW,SAT1+142,"")</f>
        <v>46160</v>
      </c>
      <c r="B251" s="29" t="str">
        <f aca="false">IF(A251="","",CHOOSE(WEEKDAY(A251,1),"الأحد","الاثنين","الثلاثاء","الأربعاء","الخميس","الجمعة","السبت"))</f>
        <v>الاثنين</v>
      </c>
      <c r="C251" s="30"/>
      <c r="D251" s="30"/>
      <c r="E251" s="31" t="str">
        <f aca="false">IF(OR(M251=0,K251="",L251=""),"",MOD(L251-K251,1))</f>
        <v/>
      </c>
      <c r="F251" s="31" t="str">
        <f aca="false">IF(OR(E251="",M251=0),"",IF(WEEKDAY(A251,1)=6,E251,MIN(E251,MAX(0,MIN(IF(L251&lt;K251,L251+1,L251),OMR_OT_AT)-K251))))</f>
        <v/>
      </c>
      <c r="G251" s="31" t="str">
        <f aca="false">IF(OR(E251="",M251=0),"",MAX(0,E251-F251))</f>
        <v/>
      </c>
      <c r="H251" s="32" t="str">
        <f aca="false">IF(OR(E251="",M251=0),"",ROUND((F251*$N$247+G251*$O$247)*24,3))</f>
        <v/>
      </c>
      <c r="I251" s="30"/>
      <c r="K251" s="33" t="str">
        <f aca="false">IF(OR(M251=0,C251=""),"",IF(ISNUMBER(C251),MOD(C251,1),IFERROR(INDEX(القوائم!$B$1:$B$288,MATCH(TRIM(C251),القوائم!$A$1:$A$288,0)),IFERROR(MOD(TIMEVALUE(C251),1),""))))</f>
        <v/>
      </c>
      <c r="L251" s="33" t="str">
        <f aca="false">IF(OR(M251=0,D251=""),"",IF(ISNUMBER(D251),MOD(D251,1),IFERROR(INDEX(القوائم!$B$1:$B$288,MATCH(TRIM(D251),القوائم!$A$1:$A$288,0)),IFERROR(MOD(TIMEVALUE(D251),1),""))))</f>
        <v/>
      </c>
      <c r="M251" s="25" t="n">
        <f aca="false">M247</f>
        <v>0</v>
      </c>
      <c r="Q251" s="25" t="n">
        <f aca="false">IF(N(G258)&gt;0,1,0)</f>
        <v>0</v>
      </c>
      <c r="S251" s="0" t="n">
        <v>21</v>
      </c>
    </row>
    <row r="252" customFormat="false" ht="15" hidden="false" customHeight="false" outlineLevel="0" collapsed="false">
      <c r="A252" s="28" t="n">
        <f aca="false">IF(21&lt;=NW,SAT1+143,"")</f>
        <v>46161</v>
      </c>
      <c r="B252" s="29" t="str">
        <f aca="false">IF(A252="","",CHOOSE(WEEKDAY(A252,1),"الأحد","الاثنين","الثلاثاء","الأربعاء","الخميس","الجمعة","السبت"))</f>
        <v>الثلاثاء</v>
      </c>
      <c r="C252" s="30"/>
      <c r="D252" s="30"/>
      <c r="E252" s="31" t="str">
        <f aca="false">IF(OR(M252=0,K252="",L252=""),"",MOD(L252-K252,1))</f>
        <v/>
      </c>
      <c r="F252" s="31" t="str">
        <f aca="false">IF(OR(E252="",M252=0),"",IF(WEEKDAY(A252,1)=6,E252,MIN(E252,MAX(0,MIN(IF(L252&lt;K252,L252+1,L252),OMR_OT_AT)-K252))))</f>
        <v/>
      </c>
      <c r="G252" s="31" t="str">
        <f aca="false">IF(OR(E252="",M252=0),"",MAX(0,E252-F252))</f>
        <v/>
      </c>
      <c r="H252" s="32" t="str">
        <f aca="false">IF(OR(E252="",M252=0),"",ROUND((F252*$N$247+G252*$O$247)*24,3))</f>
        <v/>
      </c>
      <c r="I252" s="30"/>
      <c r="K252" s="33" t="str">
        <f aca="false">IF(OR(M252=0,C252=""),"",IF(ISNUMBER(C252),MOD(C252,1),IFERROR(INDEX(القوائم!$B$1:$B$288,MATCH(TRIM(C252),القوائم!$A$1:$A$288,0)),IFERROR(MOD(TIMEVALUE(C252),1),""))))</f>
        <v/>
      </c>
      <c r="L252" s="33" t="str">
        <f aca="false">IF(OR(M252=0,D252=""),"",IF(ISNUMBER(D252),MOD(D252,1),IFERROR(INDEX(القوائم!$B$1:$B$288,MATCH(TRIM(D252),القوائم!$A$1:$A$288,0)),IFERROR(MOD(TIMEVALUE(D252),1),""))))</f>
        <v/>
      </c>
      <c r="M252" s="25" t="n">
        <f aca="false">M247</f>
        <v>0</v>
      </c>
      <c r="Q252" s="25" t="n">
        <f aca="false">IF(N(G258)&gt;0,1,0)</f>
        <v>0</v>
      </c>
      <c r="S252" s="0" t="n">
        <v>21</v>
      </c>
    </row>
    <row r="253" customFormat="false" ht="15" hidden="false" customHeight="false" outlineLevel="0" collapsed="false">
      <c r="A253" s="28" t="n">
        <f aca="false">IF(21&lt;=NW,SAT1+144,"")</f>
        <v>46162</v>
      </c>
      <c r="B253" s="29" t="str">
        <f aca="false">IF(A253="","",CHOOSE(WEEKDAY(A253,1),"الأحد","الاثنين","الثلاثاء","الأربعاء","الخميس","الجمعة","السبت"))</f>
        <v>الأربعاء</v>
      </c>
      <c r="C253" s="30"/>
      <c r="D253" s="30"/>
      <c r="E253" s="31" t="str">
        <f aca="false">IF(OR(M253=0,K253="",L253=""),"",MOD(L253-K253,1))</f>
        <v/>
      </c>
      <c r="F253" s="31" t="str">
        <f aca="false">IF(OR(E253="",M253=0),"",IF(WEEKDAY(A253,1)=6,E253,MIN(E253,MAX(0,MIN(IF(L253&lt;K253,L253+1,L253),OMR_OT_AT)-K253))))</f>
        <v/>
      </c>
      <c r="G253" s="31" t="str">
        <f aca="false">IF(OR(E253="",M253=0),"",MAX(0,E253-F253))</f>
        <v/>
      </c>
      <c r="H253" s="32" t="str">
        <f aca="false">IF(OR(E253="",M253=0),"",ROUND((F253*$N$247+G253*$O$247)*24,3))</f>
        <v/>
      </c>
      <c r="I253" s="30"/>
      <c r="K253" s="33" t="str">
        <f aca="false">IF(OR(M253=0,C253=""),"",IF(ISNUMBER(C253),MOD(C253,1),IFERROR(INDEX(القوائم!$B$1:$B$288,MATCH(TRIM(C253),القوائم!$A$1:$A$288,0)),IFERROR(MOD(TIMEVALUE(C253),1),""))))</f>
        <v/>
      </c>
      <c r="L253" s="33" t="str">
        <f aca="false">IF(OR(M253=0,D253=""),"",IF(ISNUMBER(D253),MOD(D253,1),IFERROR(INDEX(القوائم!$B$1:$B$288,MATCH(TRIM(D253),القوائم!$A$1:$A$288,0)),IFERROR(MOD(TIMEVALUE(D253),1),""))))</f>
        <v/>
      </c>
      <c r="M253" s="25" t="n">
        <f aca="false">M247</f>
        <v>0</v>
      </c>
      <c r="Q253" s="25" t="n">
        <f aca="false">IF(N(G258)&gt;0,1,0)</f>
        <v>0</v>
      </c>
      <c r="S253" s="0" t="n">
        <v>21</v>
      </c>
    </row>
    <row r="254" customFormat="false" ht="15" hidden="false" customHeight="false" outlineLevel="0" collapsed="false">
      <c r="A254" s="28" t="n">
        <f aca="false">IF(21&lt;=NW,SAT1+145,"")</f>
        <v>46163</v>
      </c>
      <c r="B254" s="29" t="str">
        <f aca="false">IF(A254="","",CHOOSE(WEEKDAY(A254,1),"الأحد","الاثنين","الثلاثاء","الأربعاء","الخميس","الجمعة","السبت"))</f>
        <v>الخميس</v>
      </c>
      <c r="C254" s="30"/>
      <c r="D254" s="30"/>
      <c r="E254" s="31" t="str">
        <f aca="false">IF(OR(M254=0,K254="",L254=""),"",MOD(L254-K254,1))</f>
        <v/>
      </c>
      <c r="F254" s="31" t="str">
        <f aca="false">IF(OR(E254="",M254=0),"",IF(WEEKDAY(A254,1)=6,E254,MIN(E254,MAX(0,MIN(IF(L254&lt;K254,L254+1,L254),OMR_OT_AT)-K254))))</f>
        <v/>
      </c>
      <c r="G254" s="31" t="str">
        <f aca="false">IF(OR(E254="",M254=0),"",MAX(0,E254-F254))</f>
        <v/>
      </c>
      <c r="H254" s="32" t="str">
        <f aca="false">IF(OR(E254="",M254=0),"",ROUND((F254*$N$247+G254*$O$247)*24,3))</f>
        <v/>
      </c>
      <c r="I254" s="30"/>
      <c r="K254" s="33" t="str">
        <f aca="false">IF(OR(M254=0,C254=""),"",IF(ISNUMBER(C254),MOD(C254,1),IFERROR(INDEX(القوائم!$B$1:$B$288,MATCH(TRIM(C254),القوائم!$A$1:$A$288,0)),IFERROR(MOD(TIMEVALUE(C254),1),""))))</f>
        <v/>
      </c>
      <c r="L254" s="33" t="str">
        <f aca="false">IF(OR(M254=0,D254=""),"",IF(ISNUMBER(D254),MOD(D254,1),IFERROR(INDEX(القوائم!$B$1:$B$288,MATCH(TRIM(D254),القوائم!$A$1:$A$288,0)),IFERROR(MOD(TIMEVALUE(D254),1),""))))</f>
        <v/>
      </c>
      <c r="M254" s="25" t="n">
        <f aca="false">M247</f>
        <v>0</v>
      </c>
      <c r="Q254" s="25" t="n">
        <f aca="false">IF(N(G258)&gt;0,1,0)</f>
        <v>0</v>
      </c>
      <c r="S254" s="0" t="n">
        <v>21</v>
      </c>
    </row>
    <row r="255" customFormat="false" ht="15" hidden="false" customHeight="false" outlineLevel="0" collapsed="false">
      <c r="A255" s="34" t="n">
        <f aca="false">IF(21&lt;=NW,SAT1+146,"")</f>
        <v>46164</v>
      </c>
      <c r="B255" s="35" t="str">
        <f aca="false">IF(A255="","",CHOOSE(WEEKDAY(A255,1),"الأحد","الاثنين","الثلاثاء","الأربعاء","الخميس","الجمعة","السبت"))</f>
        <v>الجمعة</v>
      </c>
      <c r="C255" s="30"/>
      <c r="D255" s="30"/>
      <c r="E255" s="31" t="str">
        <f aca="false">IF(OR(M255=0,K255="",L255=""),"",MOD(L255-K255,1))</f>
        <v/>
      </c>
      <c r="F255" s="31" t="str">
        <f aca="false">IF(OR(E255="",M255=0),"",IF(WEEKDAY(A255,1)=6,E255,MIN(E255,MAX(0,MIN(IF(L255&lt;K255,L255+1,L255),OMR_OT_AT)-K255))))</f>
        <v/>
      </c>
      <c r="G255" s="31" t="str">
        <f aca="false">IF(OR(E255="",M255=0),"",MAX(0,E255-F255))</f>
        <v/>
      </c>
      <c r="H255" s="32" t="str">
        <f aca="false">IF(OR(E255="",M255=0),"",ROUND((F255*$N$247+G255*$O$247)*24,3))</f>
        <v/>
      </c>
      <c r="I255" s="30"/>
      <c r="K255" s="33" t="str">
        <f aca="false">IF(OR(M255=0,C255=""),"",IF(ISNUMBER(C255),MOD(C255,1),IFERROR(INDEX(القوائم!$B$1:$B$288,MATCH(TRIM(C255),القوائم!$A$1:$A$288,0)),IFERROR(MOD(TIMEVALUE(C255),1),""))))</f>
        <v/>
      </c>
      <c r="L255" s="33" t="str">
        <f aca="false">IF(OR(M255=0,D255=""),"",IF(ISNUMBER(D255),MOD(D255,1),IFERROR(INDEX(القوائم!$B$1:$B$288,MATCH(TRIM(D255),القوائم!$A$1:$A$288,0)),IFERROR(MOD(TIMEVALUE(D255),1),""))))</f>
        <v/>
      </c>
      <c r="M255" s="25" t="n">
        <f aca="false">M247</f>
        <v>0</v>
      </c>
      <c r="Q255" s="25" t="n">
        <f aca="false">IF(N(G258)&gt;0,1,0)</f>
        <v>0</v>
      </c>
      <c r="S255" s="0" t="n">
        <v>21</v>
      </c>
    </row>
    <row r="256" customFormat="false" ht="15" hidden="false" customHeight="false" outlineLevel="0" collapsed="false">
      <c r="A256" s="36" t="str">
        <f aca="false">IF(M247=1,"مجموع أيام الأسبوع 21","")</f>
        <v/>
      </c>
      <c r="B256" s="36"/>
      <c r="C256" s="36"/>
      <c r="D256" s="36"/>
      <c r="E256" s="37" t="str">
        <f aca="false">IF(M247=1,SUM(E249:E255),"")</f>
        <v/>
      </c>
      <c r="F256" s="37" t="str">
        <f aca="false">IF(M247=1,SUM(F249:F255),"")</f>
        <v/>
      </c>
      <c r="G256" s="37" t="str">
        <f aca="false">IF(M247=1,SUM(G249:G255),"")</f>
        <v/>
      </c>
      <c r="H256" s="38" t="str">
        <f aca="false">IF(M247=1,SUM(H249:H255),"")</f>
        <v/>
      </c>
      <c r="I256" s="36"/>
      <c r="S256" s="0" t="n">
        <v>21</v>
      </c>
    </row>
    <row r="257" customFormat="false" ht="31.5" hidden="false" customHeight="true" outlineLevel="0" collapsed="false">
      <c r="A257" s="39" t="str">
        <f aca="false">IF(M247=1,"ساعات تحميل الجبسمبورد بهالأسبوع (رقم: 2 أو 1.5) ←","")</f>
        <v/>
      </c>
      <c r="B257" s="39"/>
      <c r="C257" s="39"/>
      <c r="D257" s="39"/>
      <c r="E257" s="40"/>
      <c r="F257" s="41" t="str">
        <f aca="false">IF(M247=1,"المستحق النهائي للأسبوع مع الإكرامية (دينار) ←","")</f>
        <v/>
      </c>
      <c r="G257" s="41"/>
      <c r="H257" s="42" t="str">
        <f aca="false">IF(M247=1,IF(ROUND_MODE="للأعلى",CEILING(ROUND((N(H256)+N(E257)*($P$247-$N$247)),3),0.25),ROUND((N(H256)+N(E257)*($P$247-$N$247))*4,0)/4)+N(D258),"")</f>
        <v/>
      </c>
      <c r="I257" s="43" t="str">
        <f aca="false">IF(M247=1,"قبل الجبر: "&amp;TEXT(N(H256)+N(E257)*($P$247-$N$247),"0.000")&amp;IF(N(D258)&gt;0," + إكرامية "&amp;TEXT(D258,"0.000"),""),"")</f>
        <v/>
      </c>
      <c r="S257" s="0" t="n">
        <v>21</v>
      </c>
    </row>
    <row r="258" customFormat="false" ht="25.5" hidden="false" customHeight="true" outlineLevel="0" collapsed="false">
      <c r="A258" s="39" t="str">
        <f aca="false">IF(M247=1,"إكرامية الأسبوع (دينار) ←","")</f>
        <v/>
      </c>
      <c r="B258" s="39"/>
      <c r="C258" s="39"/>
      <c r="D258" s="44"/>
      <c r="E258" s="39" t="str">
        <f aca="false">IF(M247=1,"المدفوع (دينار) ←","")</f>
        <v/>
      </c>
      <c r="F258" s="39"/>
      <c r="G258" s="44"/>
      <c r="H258" s="45" t="str">
        <f aca="false">IF(M247=1,IF(N(G258)&gt;0,"✔ انقبض — الأسبوع مقفول","⏳ لسا ما انقبض"),"")</f>
        <v/>
      </c>
      <c r="I258" s="45"/>
      <c r="S258" s="0" t="n">
        <v>21</v>
      </c>
    </row>
    <row r="259" customFormat="false" ht="27.75" hidden="false" customHeight="true" outlineLevel="0" collapsed="false">
      <c r="A259" s="23" t="str">
        <f aca="false">IF(22&lt;=NW,"من السبت "&amp;TEXT(DAY(SAT1+147),"00")&amp;"/"&amp;TEXT(MONTH(SAT1+147),"00")&amp;"/"&amp;YEAR(SAT1+147)&amp;" إلى الجمعة "&amp;TEXT(DAY(SAT1+153),"00")&amp;"/"&amp;TEXT(MONTH(SAT1+153),"00")&amp;"/"&amp;YEAR(SAT1+153)&amp;" · الأسبوع 22"&amp;"  (يوم القبض: الجمعة)"&amp;IF(22&lt;START_O,"   — قبل أسبوع البداية (ما بينحسب)",""),"ما في أسبوع 22 هالسنة")</f>
        <v>من السبت 23/05/2026 إلى الجمعة 29/05/2026 · الأسبوع 22  (يوم القبض: الجمعة)   — قبل أسبوع البداية (ما بينحسب)</v>
      </c>
      <c r="B259" s="23"/>
      <c r="C259" s="23"/>
      <c r="D259" s="23"/>
      <c r="E259" s="23"/>
      <c r="F259" s="23"/>
      <c r="G259" s="23"/>
      <c r="H259" s="23"/>
      <c r="I259" s="23"/>
      <c r="L259" s="24" t="n">
        <f aca="false">IF(22&lt;=NW,SAT1+153,"")</f>
        <v>46171</v>
      </c>
      <c r="M259" s="25" t="n">
        <f aca="false">IF(AND(22&lt;=NW,22&gt;=START_O),1,0)</f>
        <v>0</v>
      </c>
      <c r="N259" s="26" t="n">
        <f aca="false">IFERROR(INDEX(RT_OMR,MATCH(L259,RT_K,1)),INDEX(RT_OMR,1))</f>
        <v>1.25</v>
      </c>
      <c r="O259" s="26" t="n">
        <f aca="false">IFERROR(INDEX(RT_OT,MATCH(L259,RT_K,1)),INDEX(RT_OT,1))</f>
        <v>1.5</v>
      </c>
      <c r="P259" s="26" t="n">
        <f aca="false">IFERROR(INDEX(RT_GYP,MATCH(L259,RT_K,1)),INDEX(RT_GYP,1))</f>
        <v>2.5</v>
      </c>
      <c r="R259" s="0" t="n">
        <v>22</v>
      </c>
      <c r="S259" s="0" t="n">
        <v>22</v>
      </c>
    </row>
    <row r="260" customFormat="false" ht="25.5" hidden="false" customHeight="true" outlineLevel="0" collapsed="false">
      <c r="A260" s="27" t="s">
        <v>22</v>
      </c>
      <c r="B260" s="27" t="s">
        <v>23</v>
      </c>
      <c r="C260" s="27" t="s">
        <v>24</v>
      </c>
      <c r="D260" s="27" t="s">
        <v>25</v>
      </c>
      <c r="E260" s="27" t="s">
        <v>26</v>
      </c>
      <c r="F260" s="27" t="s">
        <v>27</v>
      </c>
      <c r="G260" s="27" t="s">
        <v>28</v>
      </c>
      <c r="H260" s="27" t="s">
        <v>29</v>
      </c>
      <c r="I260" s="27" t="s">
        <v>30</v>
      </c>
      <c r="S260" s="0" t="n">
        <v>22</v>
      </c>
    </row>
    <row r="261" customFormat="false" ht="15" hidden="false" customHeight="false" outlineLevel="0" collapsed="false">
      <c r="A261" s="28" t="n">
        <f aca="false">IF(22&lt;=NW,SAT1+147,"")</f>
        <v>46165</v>
      </c>
      <c r="B261" s="29" t="str">
        <f aca="false">IF(A261="","",CHOOSE(WEEKDAY(A261,1),"الأحد","الاثنين","الثلاثاء","الأربعاء","الخميس","الجمعة","السبت"))</f>
        <v>السبت</v>
      </c>
      <c r="C261" s="30"/>
      <c r="D261" s="30"/>
      <c r="E261" s="31" t="str">
        <f aca="false">IF(OR(M261=0,K261="",L261=""),"",MOD(L261-K261,1))</f>
        <v/>
      </c>
      <c r="F261" s="31" t="str">
        <f aca="false">IF(OR(E261="",M261=0),"",IF(WEEKDAY(A261,1)=6,E261,MIN(E261,MAX(0,MIN(IF(L261&lt;K261,L261+1,L261),OMR_OT_AT)-K261))))</f>
        <v/>
      </c>
      <c r="G261" s="31" t="str">
        <f aca="false">IF(OR(E261="",M261=0),"",MAX(0,E261-F261))</f>
        <v/>
      </c>
      <c r="H261" s="32" t="str">
        <f aca="false">IF(OR(E261="",M261=0),"",ROUND((F261*$N$259+G261*$O$259)*24,3))</f>
        <v/>
      </c>
      <c r="I261" s="30"/>
      <c r="K261" s="33" t="str">
        <f aca="false">IF(OR(M261=0,C261=""),"",IF(ISNUMBER(C261),MOD(C261,1),IFERROR(INDEX(القوائم!$B$1:$B$288,MATCH(TRIM(C261),القوائم!$A$1:$A$288,0)),IFERROR(MOD(TIMEVALUE(C261),1),""))))</f>
        <v/>
      </c>
      <c r="L261" s="33" t="str">
        <f aca="false">IF(OR(M261=0,D261=""),"",IF(ISNUMBER(D261),MOD(D261,1),IFERROR(INDEX(القوائم!$B$1:$B$288,MATCH(TRIM(D261),القوائم!$A$1:$A$288,0)),IFERROR(MOD(TIMEVALUE(D261),1),""))))</f>
        <v/>
      </c>
      <c r="M261" s="25" t="n">
        <f aca="false">M259</f>
        <v>0</v>
      </c>
      <c r="Q261" s="25" t="n">
        <f aca="false">IF(N(G270)&gt;0,1,0)</f>
        <v>0</v>
      </c>
      <c r="S261" s="0" t="n">
        <v>22</v>
      </c>
    </row>
    <row r="262" customFormat="false" ht="15" hidden="false" customHeight="false" outlineLevel="0" collapsed="false">
      <c r="A262" s="28" t="n">
        <f aca="false">IF(22&lt;=NW,SAT1+148,"")</f>
        <v>46166</v>
      </c>
      <c r="B262" s="29" t="str">
        <f aca="false">IF(A262="","",CHOOSE(WEEKDAY(A262,1),"الأحد","الاثنين","الثلاثاء","الأربعاء","الخميس","الجمعة","السبت"))</f>
        <v>الأحد</v>
      </c>
      <c r="C262" s="30"/>
      <c r="D262" s="30"/>
      <c r="E262" s="31" t="str">
        <f aca="false">IF(OR(M262=0,K262="",L262=""),"",MOD(L262-K262,1))</f>
        <v/>
      </c>
      <c r="F262" s="31" t="str">
        <f aca="false">IF(OR(E262="",M262=0),"",IF(WEEKDAY(A262,1)=6,E262,MIN(E262,MAX(0,MIN(IF(L262&lt;K262,L262+1,L262),OMR_OT_AT)-K262))))</f>
        <v/>
      </c>
      <c r="G262" s="31" t="str">
        <f aca="false">IF(OR(E262="",M262=0),"",MAX(0,E262-F262))</f>
        <v/>
      </c>
      <c r="H262" s="32" t="str">
        <f aca="false">IF(OR(E262="",M262=0),"",ROUND((F262*$N$259+G262*$O$259)*24,3))</f>
        <v/>
      </c>
      <c r="I262" s="30"/>
      <c r="K262" s="33" t="str">
        <f aca="false">IF(OR(M262=0,C262=""),"",IF(ISNUMBER(C262),MOD(C262,1),IFERROR(INDEX(القوائم!$B$1:$B$288,MATCH(TRIM(C262),القوائم!$A$1:$A$288,0)),IFERROR(MOD(TIMEVALUE(C262),1),""))))</f>
        <v/>
      </c>
      <c r="L262" s="33" t="str">
        <f aca="false">IF(OR(M262=0,D262=""),"",IF(ISNUMBER(D262),MOD(D262,1),IFERROR(INDEX(القوائم!$B$1:$B$288,MATCH(TRIM(D262),القوائم!$A$1:$A$288,0)),IFERROR(MOD(TIMEVALUE(D262),1),""))))</f>
        <v/>
      </c>
      <c r="M262" s="25" t="n">
        <f aca="false">M259</f>
        <v>0</v>
      </c>
      <c r="Q262" s="25" t="n">
        <f aca="false">IF(N(G270)&gt;0,1,0)</f>
        <v>0</v>
      </c>
      <c r="S262" s="0" t="n">
        <v>22</v>
      </c>
    </row>
    <row r="263" customFormat="false" ht="15" hidden="false" customHeight="false" outlineLevel="0" collapsed="false">
      <c r="A263" s="28" t="n">
        <f aca="false">IF(22&lt;=NW,SAT1+149,"")</f>
        <v>46167</v>
      </c>
      <c r="B263" s="29" t="str">
        <f aca="false">IF(A263="","",CHOOSE(WEEKDAY(A263,1),"الأحد","الاثنين","الثلاثاء","الأربعاء","الخميس","الجمعة","السبت"))</f>
        <v>الاثنين</v>
      </c>
      <c r="C263" s="30"/>
      <c r="D263" s="30"/>
      <c r="E263" s="31" t="str">
        <f aca="false">IF(OR(M263=0,K263="",L263=""),"",MOD(L263-K263,1))</f>
        <v/>
      </c>
      <c r="F263" s="31" t="str">
        <f aca="false">IF(OR(E263="",M263=0),"",IF(WEEKDAY(A263,1)=6,E263,MIN(E263,MAX(0,MIN(IF(L263&lt;K263,L263+1,L263),OMR_OT_AT)-K263))))</f>
        <v/>
      </c>
      <c r="G263" s="31" t="str">
        <f aca="false">IF(OR(E263="",M263=0),"",MAX(0,E263-F263))</f>
        <v/>
      </c>
      <c r="H263" s="32" t="str">
        <f aca="false">IF(OR(E263="",M263=0),"",ROUND((F263*$N$259+G263*$O$259)*24,3))</f>
        <v/>
      </c>
      <c r="I263" s="30"/>
      <c r="K263" s="33" t="str">
        <f aca="false">IF(OR(M263=0,C263=""),"",IF(ISNUMBER(C263),MOD(C263,1),IFERROR(INDEX(القوائم!$B$1:$B$288,MATCH(TRIM(C263),القوائم!$A$1:$A$288,0)),IFERROR(MOD(TIMEVALUE(C263),1),""))))</f>
        <v/>
      </c>
      <c r="L263" s="33" t="str">
        <f aca="false">IF(OR(M263=0,D263=""),"",IF(ISNUMBER(D263),MOD(D263,1),IFERROR(INDEX(القوائم!$B$1:$B$288,MATCH(TRIM(D263),القوائم!$A$1:$A$288,0)),IFERROR(MOD(TIMEVALUE(D263),1),""))))</f>
        <v/>
      </c>
      <c r="M263" s="25" t="n">
        <f aca="false">M259</f>
        <v>0</v>
      </c>
      <c r="Q263" s="25" t="n">
        <f aca="false">IF(N(G270)&gt;0,1,0)</f>
        <v>0</v>
      </c>
      <c r="S263" s="0" t="n">
        <v>22</v>
      </c>
    </row>
    <row r="264" customFormat="false" ht="15" hidden="false" customHeight="false" outlineLevel="0" collapsed="false">
      <c r="A264" s="28" t="n">
        <f aca="false">IF(22&lt;=NW,SAT1+150,"")</f>
        <v>46168</v>
      </c>
      <c r="B264" s="29" t="str">
        <f aca="false">IF(A264="","",CHOOSE(WEEKDAY(A264,1),"الأحد","الاثنين","الثلاثاء","الأربعاء","الخميس","الجمعة","السبت"))</f>
        <v>الثلاثاء</v>
      </c>
      <c r="C264" s="30"/>
      <c r="D264" s="30"/>
      <c r="E264" s="31" t="str">
        <f aca="false">IF(OR(M264=0,K264="",L264=""),"",MOD(L264-K264,1))</f>
        <v/>
      </c>
      <c r="F264" s="31" t="str">
        <f aca="false">IF(OR(E264="",M264=0),"",IF(WEEKDAY(A264,1)=6,E264,MIN(E264,MAX(0,MIN(IF(L264&lt;K264,L264+1,L264),OMR_OT_AT)-K264))))</f>
        <v/>
      </c>
      <c r="G264" s="31" t="str">
        <f aca="false">IF(OR(E264="",M264=0),"",MAX(0,E264-F264))</f>
        <v/>
      </c>
      <c r="H264" s="32" t="str">
        <f aca="false">IF(OR(E264="",M264=0),"",ROUND((F264*$N$259+G264*$O$259)*24,3))</f>
        <v/>
      </c>
      <c r="I264" s="30"/>
      <c r="K264" s="33" t="str">
        <f aca="false">IF(OR(M264=0,C264=""),"",IF(ISNUMBER(C264),MOD(C264,1),IFERROR(INDEX(القوائم!$B$1:$B$288,MATCH(TRIM(C264),القوائم!$A$1:$A$288,0)),IFERROR(MOD(TIMEVALUE(C264),1),""))))</f>
        <v/>
      </c>
      <c r="L264" s="33" t="str">
        <f aca="false">IF(OR(M264=0,D264=""),"",IF(ISNUMBER(D264),MOD(D264,1),IFERROR(INDEX(القوائم!$B$1:$B$288,MATCH(TRIM(D264),القوائم!$A$1:$A$288,0)),IFERROR(MOD(TIMEVALUE(D264),1),""))))</f>
        <v/>
      </c>
      <c r="M264" s="25" t="n">
        <f aca="false">M259</f>
        <v>0</v>
      </c>
      <c r="Q264" s="25" t="n">
        <f aca="false">IF(N(G270)&gt;0,1,0)</f>
        <v>0</v>
      </c>
      <c r="S264" s="0" t="n">
        <v>22</v>
      </c>
    </row>
    <row r="265" customFormat="false" ht="15" hidden="false" customHeight="false" outlineLevel="0" collapsed="false">
      <c r="A265" s="28" t="n">
        <f aca="false">IF(22&lt;=NW,SAT1+151,"")</f>
        <v>46169</v>
      </c>
      <c r="B265" s="29" t="str">
        <f aca="false">IF(A265="","",CHOOSE(WEEKDAY(A265,1),"الأحد","الاثنين","الثلاثاء","الأربعاء","الخميس","الجمعة","السبت"))</f>
        <v>الأربعاء</v>
      </c>
      <c r="C265" s="30"/>
      <c r="D265" s="30"/>
      <c r="E265" s="31" t="str">
        <f aca="false">IF(OR(M265=0,K265="",L265=""),"",MOD(L265-K265,1))</f>
        <v/>
      </c>
      <c r="F265" s="31" t="str">
        <f aca="false">IF(OR(E265="",M265=0),"",IF(WEEKDAY(A265,1)=6,E265,MIN(E265,MAX(0,MIN(IF(L265&lt;K265,L265+1,L265),OMR_OT_AT)-K265))))</f>
        <v/>
      </c>
      <c r="G265" s="31" t="str">
        <f aca="false">IF(OR(E265="",M265=0),"",MAX(0,E265-F265))</f>
        <v/>
      </c>
      <c r="H265" s="32" t="str">
        <f aca="false">IF(OR(E265="",M265=0),"",ROUND((F265*$N$259+G265*$O$259)*24,3))</f>
        <v/>
      </c>
      <c r="I265" s="30"/>
      <c r="K265" s="33" t="str">
        <f aca="false">IF(OR(M265=0,C265=""),"",IF(ISNUMBER(C265),MOD(C265,1),IFERROR(INDEX(القوائم!$B$1:$B$288,MATCH(TRIM(C265),القوائم!$A$1:$A$288,0)),IFERROR(MOD(TIMEVALUE(C265),1),""))))</f>
        <v/>
      </c>
      <c r="L265" s="33" t="str">
        <f aca="false">IF(OR(M265=0,D265=""),"",IF(ISNUMBER(D265),MOD(D265,1),IFERROR(INDEX(القوائم!$B$1:$B$288,MATCH(TRIM(D265),القوائم!$A$1:$A$288,0)),IFERROR(MOD(TIMEVALUE(D265),1),""))))</f>
        <v/>
      </c>
      <c r="M265" s="25" t="n">
        <f aca="false">M259</f>
        <v>0</v>
      </c>
      <c r="Q265" s="25" t="n">
        <f aca="false">IF(N(G270)&gt;0,1,0)</f>
        <v>0</v>
      </c>
      <c r="S265" s="0" t="n">
        <v>22</v>
      </c>
    </row>
    <row r="266" customFormat="false" ht="15" hidden="false" customHeight="false" outlineLevel="0" collapsed="false">
      <c r="A266" s="28" t="n">
        <f aca="false">IF(22&lt;=NW,SAT1+152,"")</f>
        <v>46170</v>
      </c>
      <c r="B266" s="29" t="str">
        <f aca="false">IF(A266="","",CHOOSE(WEEKDAY(A266,1),"الأحد","الاثنين","الثلاثاء","الأربعاء","الخميس","الجمعة","السبت"))</f>
        <v>الخميس</v>
      </c>
      <c r="C266" s="30"/>
      <c r="D266" s="30"/>
      <c r="E266" s="31" t="str">
        <f aca="false">IF(OR(M266=0,K266="",L266=""),"",MOD(L266-K266,1))</f>
        <v/>
      </c>
      <c r="F266" s="31" t="str">
        <f aca="false">IF(OR(E266="",M266=0),"",IF(WEEKDAY(A266,1)=6,E266,MIN(E266,MAX(0,MIN(IF(L266&lt;K266,L266+1,L266),OMR_OT_AT)-K266))))</f>
        <v/>
      </c>
      <c r="G266" s="31" t="str">
        <f aca="false">IF(OR(E266="",M266=0),"",MAX(0,E266-F266))</f>
        <v/>
      </c>
      <c r="H266" s="32" t="str">
        <f aca="false">IF(OR(E266="",M266=0),"",ROUND((F266*$N$259+G266*$O$259)*24,3))</f>
        <v/>
      </c>
      <c r="I266" s="30"/>
      <c r="K266" s="33" t="str">
        <f aca="false">IF(OR(M266=0,C266=""),"",IF(ISNUMBER(C266),MOD(C266,1),IFERROR(INDEX(القوائم!$B$1:$B$288,MATCH(TRIM(C266),القوائم!$A$1:$A$288,0)),IFERROR(MOD(TIMEVALUE(C266),1),""))))</f>
        <v/>
      </c>
      <c r="L266" s="33" t="str">
        <f aca="false">IF(OR(M266=0,D266=""),"",IF(ISNUMBER(D266),MOD(D266,1),IFERROR(INDEX(القوائم!$B$1:$B$288,MATCH(TRIM(D266),القوائم!$A$1:$A$288,0)),IFERROR(MOD(TIMEVALUE(D266),1),""))))</f>
        <v/>
      </c>
      <c r="M266" s="25" t="n">
        <f aca="false">M259</f>
        <v>0</v>
      </c>
      <c r="Q266" s="25" t="n">
        <f aca="false">IF(N(G270)&gt;0,1,0)</f>
        <v>0</v>
      </c>
      <c r="S266" s="0" t="n">
        <v>22</v>
      </c>
    </row>
    <row r="267" customFormat="false" ht="15" hidden="false" customHeight="false" outlineLevel="0" collapsed="false">
      <c r="A267" s="34" t="n">
        <f aca="false">IF(22&lt;=NW,SAT1+153,"")</f>
        <v>46171</v>
      </c>
      <c r="B267" s="35" t="str">
        <f aca="false">IF(A267="","",CHOOSE(WEEKDAY(A267,1),"الأحد","الاثنين","الثلاثاء","الأربعاء","الخميس","الجمعة","السبت"))</f>
        <v>الجمعة</v>
      </c>
      <c r="C267" s="30"/>
      <c r="D267" s="30"/>
      <c r="E267" s="31" t="str">
        <f aca="false">IF(OR(M267=0,K267="",L267=""),"",MOD(L267-K267,1))</f>
        <v/>
      </c>
      <c r="F267" s="31" t="str">
        <f aca="false">IF(OR(E267="",M267=0),"",IF(WEEKDAY(A267,1)=6,E267,MIN(E267,MAX(0,MIN(IF(L267&lt;K267,L267+1,L267),OMR_OT_AT)-K267))))</f>
        <v/>
      </c>
      <c r="G267" s="31" t="str">
        <f aca="false">IF(OR(E267="",M267=0),"",MAX(0,E267-F267))</f>
        <v/>
      </c>
      <c r="H267" s="32" t="str">
        <f aca="false">IF(OR(E267="",M267=0),"",ROUND((F267*$N$259+G267*$O$259)*24,3))</f>
        <v/>
      </c>
      <c r="I267" s="30"/>
      <c r="K267" s="33" t="str">
        <f aca="false">IF(OR(M267=0,C267=""),"",IF(ISNUMBER(C267),MOD(C267,1),IFERROR(INDEX(القوائم!$B$1:$B$288,MATCH(TRIM(C267),القوائم!$A$1:$A$288,0)),IFERROR(MOD(TIMEVALUE(C267),1),""))))</f>
        <v/>
      </c>
      <c r="L267" s="33" t="str">
        <f aca="false">IF(OR(M267=0,D267=""),"",IF(ISNUMBER(D267),MOD(D267,1),IFERROR(INDEX(القوائم!$B$1:$B$288,MATCH(TRIM(D267),القوائم!$A$1:$A$288,0)),IFERROR(MOD(TIMEVALUE(D267),1),""))))</f>
        <v/>
      </c>
      <c r="M267" s="25" t="n">
        <f aca="false">M259</f>
        <v>0</v>
      </c>
      <c r="Q267" s="25" t="n">
        <f aca="false">IF(N(G270)&gt;0,1,0)</f>
        <v>0</v>
      </c>
      <c r="S267" s="0" t="n">
        <v>22</v>
      </c>
    </row>
    <row r="268" customFormat="false" ht="15" hidden="false" customHeight="false" outlineLevel="0" collapsed="false">
      <c r="A268" s="36" t="str">
        <f aca="false">IF(M259=1,"مجموع أيام الأسبوع 22","")</f>
        <v/>
      </c>
      <c r="B268" s="36"/>
      <c r="C268" s="36"/>
      <c r="D268" s="36"/>
      <c r="E268" s="37" t="str">
        <f aca="false">IF(M259=1,SUM(E261:E267),"")</f>
        <v/>
      </c>
      <c r="F268" s="37" t="str">
        <f aca="false">IF(M259=1,SUM(F261:F267),"")</f>
        <v/>
      </c>
      <c r="G268" s="37" t="str">
        <f aca="false">IF(M259=1,SUM(G261:G267),"")</f>
        <v/>
      </c>
      <c r="H268" s="38" t="str">
        <f aca="false">IF(M259=1,SUM(H261:H267),"")</f>
        <v/>
      </c>
      <c r="I268" s="36"/>
      <c r="S268" s="0" t="n">
        <v>22</v>
      </c>
    </row>
    <row r="269" customFormat="false" ht="31.5" hidden="false" customHeight="true" outlineLevel="0" collapsed="false">
      <c r="A269" s="39" t="str">
        <f aca="false">IF(M259=1,"ساعات تحميل الجبسمبورد بهالأسبوع (رقم: 2 أو 1.5) ←","")</f>
        <v/>
      </c>
      <c r="B269" s="39"/>
      <c r="C269" s="39"/>
      <c r="D269" s="39"/>
      <c r="E269" s="40"/>
      <c r="F269" s="41" t="str">
        <f aca="false">IF(M259=1,"المستحق النهائي للأسبوع مع الإكرامية (دينار) ←","")</f>
        <v/>
      </c>
      <c r="G269" s="41"/>
      <c r="H269" s="42" t="str">
        <f aca="false">IF(M259=1,IF(ROUND_MODE="للأعلى",CEILING(ROUND((N(H268)+N(E269)*($P$259-$N$259)),3),0.25),ROUND((N(H268)+N(E269)*($P$259-$N$259))*4,0)/4)+N(D270),"")</f>
        <v/>
      </c>
      <c r="I269" s="43" t="str">
        <f aca="false">IF(M259=1,"قبل الجبر: "&amp;TEXT(N(H268)+N(E269)*($P$259-$N$259),"0.000")&amp;IF(N(D270)&gt;0," + إكرامية "&amp;TEXT(D270,"0.000"),""),"")</f>
        <v/>
      </c>
      <c r="S269" s="0" t="n">
        <v>22</v>
      </c>
    </row>
    <row r="270" customFormat="false" ht="25.5" hidden="false" customHeight="true" outlineLevel="0" collapsed="false">
      <c r="A270" s="39" t="str">
        <f aca="false">IF(M259=1,"إكرامية الأسبوع (دينار) ←","")</f>
        <v/>
      </c>
      <c r="B270" s="39"/>
      <c r="C270" s="39"/>
      <c r="D270" s="44"/>
      <c r="E270" s="39" t="str">
        <f aca="false">IF(M259=1,"المدفوع (دينار) ←","")</f>
        <v/>
      </c>
      <c r="F270" s="39"/>
      <c r="G270" s="44"/>
      <c r="H270" s="45" t="str">
        <f aca="false">IF(M259=1,IF(N(G270)&gt;0,"✔ انقبض — الأسبوع مقفول","⏳ لسا ما انقبض"),"")</f>
        <v/>
      </c>
      <c r="I270" s="45"/>
      <c r="S270" s="0" t="n">
        <v>22</v>
      </c>
    </row>
    <row r="271" customFormat="false" ht="27.75" hidden="false" customHeight="true" outlineLevel="0" collapsed="false">
      <c r="A271" s="23" t="str">
        <f aca="false">IF(23&lt;=NW,"من السبت "&amp;TEXT(DAY(SAT1+154),"00")&amp;"/"&amp;TEXT(MONTH(SAT1+154),"00")&amp;"/"&amp;YEAR(SAT1+154)&amp;" إلى الجمعة "&amp;TEXT(DAY(SAT1+160),"00")&amp;"/"&amp;TEXT(MONTH(SAT1+160),"00")&amp;"/"&amp;YEAR(SAT1+160)&amp;" · الأسبوع 23"&amp;"  (يوم القبض: الجمعة)"&amp;IF(23&lt;START_O,"   — قبل أسبوع البداية (ما بينحسب)",""),"ما في أسبوع 23 هالسنة")</f>
        <v>من السبت 30/05/2026 إلى الجمعة 05/06/2026 · الأسبوع 23  (يوم القبض: الجمعة)   — قبل أسبوع البداية (ما بينحسب)</v>
      </c>
      <c r="B271" s="23"/>
      <c r="C271" s="23"/>
      <c r="D271" s="23"/>
      <c r="E271" s="23"/>
      <c r="F271" s="23"/>
      <c r="G271" s="23"/>
      <c r="H271" s="23"/>
      <c r="I271" s="23"/>
      <c r="L271" s="24" t="n">
        <f aca="false">IF(23&lt;=NW,SAT1+160,"")</f>
        <v>46178</v>
      </c>
      <c r="M271" s="25" t="n">
        <f aca="false">IF(AND(23&lt;=NW,23&gt;=START_O),1,0)</f>
        <v>0</v>
      </c>
      <c r="N271" s="26" t="n">
        <f aca="false">IFERROR(INDEX(RT_OMR,MATCH(L271,RT_K,1)),INDEX(RT_OMR,1))</f>
        <v>1.25</v>
      </c>
      <c r="O271" s="26" t="n">
        <f aca="false">IFERROR(INDEX(RT_OT,MATCH(L271,RT_K,1)),INDEX(RT_OT,1))</f>
        <v>1.5</v>
      </c>
      <c r="P271" s="26" t="n">
        <f aca="false">IFERROR(INDEX(RT_GYP,MATCH(L271,RT_K,1)),INDEX(RT_GYP,1))</f>
        <v>2.5</v>
      </c>
      <c r="R271" s="0" t="n">
        <v>23</v>
      </c>
      <c r="S271" s="0" t="n">
        <v>23</v>
      </c>
    </row>
    <row r="272" customFormat="false" ht="25.5" hidden="false" customHeight="true" outlineLevel="0" collapsed="false">
      <c r="A272" s="27" t="s">
        <v>22</v>
      </c>
      <c r="B272" s="27" t="s">
        <v>23</v>
      </c>
      <c r="C272" s="27" t="s">
        <v>24</v>
      </c>
      <c r="D272" s="27" t="s">
        <v>25</v>
      </c>
      <c r="E272" s="27" t="s">
        <v>26</v>
      </c>
      <c r="F272" s="27" t="s">
        <v>27</v>
      </c>
      <c r="G272" s="27" t="s">
        <v>28</v>
      </c>
      <c r="H272" s="27" t="s">
        <v>29</v>
      </c>
      <c r="I272" s="27" t="s">
        <v>30</v>
      </c>
      <c r="S272" s="0" t="n">
        <v>23</v>
      </c>
    </row>
    <row r="273" customFormat="false" ht="15" hidden="false" customHeight="false" outlineLevel="0" collapsed="false">
      <c r="A273" s="28" t="n">
        <f aca="false">IF(23&lt;=NW,SAT1+154,"")</f>
        <v>46172</v>
      </c>
      <c r="B273" s="29" t="str">
        <f aca="false">IF(A273="","",CHOOSE(WEEKDAY(A273,1),"الأحد","الاثنين","الثلاثاء","الأربعاء","الخميس","الجمعة","السبت"))</f>
        <v>السبت</v>
      </c>
      <c r="C273" s="30"/>
      <c r="D273" s="30"/>
      <c r="E273" s="31" t="str">
        <f aca="false">IF(OR(M273=0,K273="",L273=""),"",MOD(L273-K273,1))</f>
        <v/>
      </c>
      <c r="F273" s="31" t="str">
        <f aca="false">IF(OR(E273="",M273=0),"",IF(WEEKDAY(A273,1)=6,E273,MIN(E273,MAX(0,MIN(IF(L273&lt;K273,L273+1,L273),OMR_OT_AT)-K273))))</f>
        <v/>
      </c>
      <c r="G273" s="31" t="str">
        <f aca="false">IF(OR(E273="",M273=0),"",MAX(0,E273-F273))</f>
        <v/>
      </c>
      <c r="H273" s="32" t="str">
        <f aca="false">IF(OR(E273="",M273=0),"",ROUND((F273*$N$271+G273*$O$271)*24,3))</f>
        <v/>
      </c>
      <c r="I273" s="30"/>
      <c r="K273" s="33" t="str">
        <f aca="false">IF(OR(M273=0,C273=""),"",IF(ISNUMBER(C273),MOD(C273,1),IFERROR(INDEX(القوائم!$B$1:$B$288,MATCH(TRIM(C273),القوائم!$A$1:$A$288,0)),IFERROR(MOD(TIMEVALUE(C273),1),""))))</f>
        <v/>
      </c>
      <c r="L273" s="33" t="str">
        <f aca="false">IF(OR(M273=0,D273=""),"",IF(ISNUMBER(D273),MOD(D273,1),IFERROR(INDEX(القوائم!$B$1:$B$288,MATCH(TRIM(D273),القوائم!$A$1:$A$288,0)),IFERROR(MOD(TIMEVALUE(D273),1),""))))</f>
        <v/>
      </c>
      <c r="M273" s="25" t="n">
        <f aca="false">M271</f>
        <v>0</v>
      </c>
      <c r="Q273" s="25" t="n">
        <f aca="false">IF(N(G282)&gt;0,1,0)</f>
        <v>0</v>
      </c>
      <c r="S273" s="0" t="n">
        <v>23</v>
      </c>
    </row>
    <row r="274" customFormat="false" ht="15" hidden="false" customHeight="false" outlineLevel="0" collapsed="false">
      <c r="A274" s="28" t="n">
        <f aca="false">IF(23&lt;=NW,SAT1+155,"")</f>
        <v>46173</v>
      </c>
      <c r="B274" s="29" t="str">
        <f aca="false">IF(A274="","",CHOOSE(WEEKDAY(A274,1),"الأحد","الاثنين","الثلاثاء","الأربعاء","الخميس","الجمعة","السبت"))</f>
        <v>الأحد</v>
      </c>
      <c r="C274" s="30"/>
      <c r="D274" s="30"/>
      <c r="E274" s="31" t="str">
        <f aca="false">IF(OR(M274=0,K274="",L274=""),"",MOD(L274-K274,1))</f>
        <v/>
      </c>
      <c r="F274" s="31" t="str">
        <f aca="false">IF(OR(E274="",M274=0),"",IF(WEEKDAY(A274,1)=6,E274,MIN(E274,MAX(0,MIN(IF(L274&lt;K274,L274+1,L274),OMR_OT_AT)-K274))))</f>
        <v/>
      </c>
      <c r="G274" s="31" t="str">
        <f aca="false">IF(OR(E274="",M274=0),"",MAX(0,E274-F274))</f>
        <v/>
      </c>
      <c r="H274" s="32" t="str">
        <f aca="false">IF(OR(E274="",M274=0),"",ROUND((F274*$N$271+G274*$O$271)*24,3))</f>
        <v/>
      </c>
      <c r="I274" s="30"/>
      <c r="K274" s="33" t="str">
        <f aca="false">IF(OR(M274=0,C274=""),"",IF(ISNUMBER(C274),MOD(C274,1),IFERROR(INDEX(القوائم!$B$1:$B$288,MATCH(TRIM(C274),القوائم!$A$1:$A$288,0)),IFERROR(MOD(TIMEVALUE(C274),1),""))))</f>
        <v/>
      </c>
      <c r="L274" s="33" t="str">
        <f aca="false">IF(OR(M274=0,D274=""),"",IF(ISNUMBER(D274),MOD(D274,1),IFERROR(INDEX(القوائم!$B$1:$B$288,MATCH(TRIM(D274),القوائم!$A$1:$A$288,0)),IFERROR(MOD(TIMEVALUE(D274),1),""))))</f>
        <v/>
      </c>
      <c r="M274" s="25" t="n">
        <f aca="false">M271</f>
        <v>0</v>
      </c>
      <c r="Q274" s="25" t="n">
        <f aca="false">IF(N(G282)&gt;0,1,0)</f>
        <v>0</v>
      </c>
      <c r="S274" s="0" t="n">
        <v>23</v>
      </c>
    </row>
    <row r="275" customFormat="false" ht="15" hidden="false" customHeight="false" outlineLevel="0" collapsed="false">
      <c r="A275" s="28" t="n">
        <f aca="false">IF(23&lt;=NW,SAT1+156,"")</f>
        <v>46174</v>
      </c>
      <c r="B275" s="29" t="str">
        <f aca="false">IF(A275="","",CHOOSE(WEEKDAY(A275,1),"الأحد","الاثنين","الثلاثاء","الأربعاء","الخميس","الجمعة","السبت"))</f>
        <v>الاثنين</v>
      </c>
      <c r="C275" s="30"/>
      <c r="D275" s="30"/>
      <c r="E275" s="31" t="str">
        <f aca="false">IF(OR(M275=0,K275="",L275=""),"",MOD(L275-K275,1))</f>
        <v/>
      </c>
      <c r="F275" s="31" t="str">
        <f aca="false">IF(OR(E275="",M275=0),"",IF(WEEKDAY(A275,1)=6,E275,MIN(E275,MAX(0,MIN(IF(L275&lt;K275,L275+1,L275),OMR_OT_AT)-K275))))</f>
        <v/>
      </c>
      <c r="G275" s="31" t="str">
        <f aca="false">IF(OR(E275="",M275=0),"",MAX(0,E275-F275))</f>
        <v/>
      </c>
      <c r="H275" s="32" t="str">
        <f aca="false">IF(OR(E275="",M275=0),"",ROUND((F275*$N$271+G275*$O$271)*24,3))</f>
        <v/>
      </c>
      <c r="I275" s="30"/>
      <c r="K275" s="33" t="str">
        <f aca="false">IF(OR(M275=0,C275=""),"",IF(ISNUMBER(C275),MOD(C275,1),IFERROR(INDEX(القوائم!$B$1:$B$288,MATCH(TRIM(C275),القوائم!$A$1:$A$288,0)),IFERROR(MOD(TIMEVALUE(C275),1),""))))</f>
        <v/>
      </c>
      <c r="L275" s="33" t="str">
        <f aca="false">IF(OR(M275=0,D275=""),"",IF(ISNUMBER(D275),MOD(D275,1),IFERROR(INDEX(القوائم!$B$1:$B$288,MATCH(TRIM(D275),القوائم!$A$1:$A$288,0)),IFERROR(MOD(TIMEVALUE(D275),1),""))))</f>
        <v/>
      </c>
      <c r="M275" s="25" t="n">
        <f aca="false">M271</f>
        <v>0</v>
      </c>
      <c r="Q275" s="25" t="n">
        <f aca="false">IF(N(G282)&gt;0,1,0)</f>
        <v>0</v>
      </c>
      <c r="S275" s="0" t="n">
        <v>23</v>
      </c>
    </row>
    <row r="276" customFormat="false" ht="15" hidden="false" customHeight="false" outlineLevel="0" collapsed="false">
      <c r="A276" s="28" t="n">
        <f aca="false">IF(23&lt;=NW,SAT1+157,"")</f>
        <v>46175</v>
      </c>
      <c r="B276" s="29" t="str">
        <f aca="false">IF(A276="","",CHOOSE(WEEKDAY(A276,1),"الأحد","الاثنين","الثلاثاء","الأربعاء","الخميس","الجمعة","السبت"))</f>
        <v>الثلاثاء</v>
      </c>
      <c r="C276" s="30"/>
      <c r="D276" s="30"/>
      <c r="E276" s="31" t="str">
        <f aca="false">IF(OR(M276=0,K276="",L276=""),"",MOD(L276-K276,1))</f>
        <v/>
      </c>
      <c r="F276" s="31" t="str">
        <f aca="false">IF(OR(E276="",M276=0),"",IF(WEEKDAY(A276,1)=6,E276,MIN(E276,MAX(0,MIN(IF(L276&lt;K276,L276+1,L276),OMR_OT_AT)-K276))))</f>
        <v/>
      </c>
      <c r="G276" s="31" t="str">
        <f aca="false">IF(OR(E276="",M276=0),"",MAX(0,E276-F276))</f>
        <v/>
      </c>
      <c r="H276" s="32" t="str">
        <f aca="false">IF(OR(E276="",M276=0),"",ROUND((F276*$N$271+G276*$O$271)*24,3))</f>
        <v/>
      </c>
      <c r="I276" s="30"/>
      <c r="K276" s="33" t="str">
        <f aca="false">IF(OR(M276=0,C276=""),"",IF(ISNUMBER(C276),MOD(C276,1),IFERROR(INDEX(القوائم!$B$1:$B$288,MATCH(TRIM(C276),القوائم!$A$1:$A$288,0)),IFERROR(MOD(TIMEVALUE(C276),1),""))))</f>
        <v/>
      </c>
      <c r="L276" s="33" t="str">
        <f aca="false">IF(OR(M276=0,D276=""),"",IF(ISNUMBER(D276),MOD(D276,1),IFERROR(INDEX(القوائم!$B$1:$B$288,MATCH(TRIM(D276),القوائم!$A$1:$A$288,0)),IFERROR(MOD(TIMEVALUE(D276),1),""))))</f>
        <v/>
      </c>
      <c r="M276" s="25" t="n">
        <f aca="false">M271</f>
        <v>0</v>
      </c>
      <c r="Q276" s="25" t="n">
        <f aca="false">IF(N(G282)&gt;0,1,0)</f>
        <v>0</v>
      </c>
      <c r="S276" s="0" t="n">
        <v>23</v>
      </c>
    </row>
    <row r="277" customFormat="false" ht="15" hidden="false" customHeight="false" outlineLevel="0" collapsed="false">
      <c r="A277" s="28" t="n">
        <f aca="false">IF(23&lt;=NW,SAT1+158,"")</f>
        <v>46176</v>
      </c>
      <c r="B277" s="29" t="str">
        <f aca="false">IF(A277="","",CHOOSE(WEEKDAY(A277,1),"الأحد","الاثنين","الثلاثاء","الأربعاء","الخميس","الجمعة","السبت"))</f>
        <v>الأربعاء</v>
      </c>
      <c r="C277" s="30"/>
      <c r="D277" s="30"/>
      <c r="E277" s="31" t="str">
        <f aca="false">IF(OR(M277=0,K277="",L277=""),"",MOD(L277-K277,1))</f>
        <v/>
      </c>
      <c r="F277" s="31" t="str">
        <f aca="false">IF(OR(E277="",M277=0),"",IF(WEEKDAY(A277,1)=6,E277,MIN(E277,MAX(0,MIN(IF(L277&lt;K277,L277+1,L277),OMR_OT_AT)-K277))))</f>
        <v/>
      </c>
      <c r="G277" s="31" t="str">
        <f aca="false">IF(OR(E277="",M277=0),"",MAX(0,E277-F277))</f>
        <v/>
      </c>
      <c r="H277" s="32" t="str">
        <f aca="false">IF(OR(E277="",M277=0),"",ROUND((F277*$N$271+G277*$O$271)*24,3))</f>
        <v/>
      </c>
      <c r="I277" s="30"/>
      <c r="K277" s="33" t="str">
        <f aca="false">IF(OR(M277=0,C277=""),"",IF(ISNUMBER(C277),MOD(C277,1),IFERROR(INDEX(القوائم!$B$1:$B$288,MATCH(TRIM(C277),القوائم!$A$1:$A$288,0)),IFERROR(MOD(TIMEVALUE(C277),1),""))))</f>
        <v/>
      </c>
      <c r="L277" s="33" t="str">
        <f aca="false">IF(OR(M277=0,D277=""),"",IF(ISNUMBER(D277),MOD(D277,1),IFERROR(INDEX(القوائم!$B$1:$B$288,MATCH(TRIM(D277),القوائم!$A$1:$A$288,0)),IFERROR(MOD(TIMEVALUE(D277),1),""))))</f>
        <v/>
      </c>
      <c r="M277" s="25" t="n">
        <f aca="false">M271</f>
        <v>0</v>
      </c>
      <c r="Q277" s="25" t="n">
        <f aca="false">IF(N(G282)&gt;0,1,0)</f>
        <v>0</v>
      </c>
      <c r="S277" s="0" t="n">
        <v>23</v>
      </c>
    </row>
    <row r="278" customFormat="false" ht="15" hidden="false" customHeight="false" outlineLevel="0" collapsed="false">
      <c r="A278" s="28" t="n">
        <f aca="false">IF(23&lt;=NW,SAT1+159,"")</f>
        <v>46177</v>
      </c>
      <c r="B278" s="29" t="str">
        <f aca="false">IF(A278="","",CHOOSE(WEEKDAY(A278,1),"الأحد","الاثنين","الثلاثاء","الأربعاء","الخميس","الجمعة","السبت"))</f>
        <v>الخميس</v>
      </c>
      <c r="C278" s="30"/>
      <c r="D278" s="30"/>
      <c r="E278" s="31" t="str">
        <f aca="false">IF(OR(M278=0,K278="",L278=""),"",MOD(L278-K278,1))</f>
        <v/>
      </c>
      <c r="F278" s="31" t="str">
        <f aca="false">IF(OR(E278="",M278=0),"",IF(WEEKDAY(A278,1)=6,E278,MIN(E278,MAX(0,MIN(IF(L278&lt;K278,L278+1,L278),OMR_OT_AT)-K278))))</f>
        <v/>
      </c>
      <c r="G278" s="31" t="str">
        <f aca="false">IF(OR(E278="",M278=0),"",MAX(0,E278-F278))</f>
        <v/>
      </c>
      <c r="H278" s="32" t="str">
        <f aca="false">IF(OR(E278="",M278=0),"",ROUND((F278*$N$271+G278*$O$271)*24,3))</f>
        <v/>
      </c>
      <c r="I278" s="30"/>
      <c r="K278" s="33" t="str">
        <f aca="false">IF(OR(M278=0,C278=""),"",IF(ISNUMBER(C278),MOD(C278,1),IFERROR(INDEX(القوائم!$B$1:$B$288,MATCH(TRIM(C278),القوائم!$A$1:$A$288,0)),IFERROR(MOD(TIMEVALUE(C278),1),""))))</f>
        <v/>
      </c>
      <c r="L278" s="33" t="str">
        <f aca="false">IF(OR(M278=0,D278=""),"",IF(ISNUMBER(D278),MOD(D278,1),IFERROR(INDEX(القوائم!$B$1:$B$288,MATCH(TRIM(D278),القوائم!$A$1:$A$288,0)),IFERROR(MOD(TIMEVALUE(D278),1),""))))</f>
        <v/>
      </c>
      <c r="M278" s="25" t="n">
        <f aca="false">M271</f>
        <v>0</v>
      </c>
      <c r="Q278" s="25" t="n">
        <f aca="false">IF(N(G282)&gt;0,1,0)</f>
        <v>0</v>
      </c>
      <c r="S278" s="0" t="n">
        <v>23</v>
      </c>
    </row>
    <row r="279" customFormat="false" ht="15" hidden="false" customHeight="false" outlineLevel="0" collapsed="false">
      <c r="A279" s="34" t="n">
        <f aca="false">IF(23&lt;=NW,SAT1+160,"")</f>
        <v>46178</v>
      </c>
      <c r="B279" s="35" t="str">
        <f aca="false">IF(A279="","",CHOOSE(WEEKDAY(A279,1),"الأحد","الاثنين","الثلاثاء","الأربعاء","الخميس","الجمعة","السبت"))</f>
        <v>الجمعة</v>
      </c>
      <c r="C279" s="30"/>
      <c r="D279" s="30"/>
      <c r="E279" s="31" t="str">
        <f aca="false">IF(OR(M279=0,K279="",L279=""),"",MOD(L279-K279,1))</f>
        <v/>
      </c>
      <c r="F279" s="31" t="str">
        <f aca="false">IF(OR(E279="",M279=0),"",IF(WEEKDAY(A279,1)=6,E279,MIN(E279,MAX(0,MIN(IF(L279&lt;K279,L279+1,L279),OMR_OT_AT)-K279))))</f>
        <v/>
      </c>
      <c r="G279" s="31" t="str">
        <f aca="false">IF(OR(E279="",M279=0),"",MAX(0,E279-F279))</f>
        <v/>
      </c>
      <c r="H279" s="32" t="str">
        <f aca="false">IF(OR(E279="",M279=0),"",ROUND((F279*$N$271+G279*$O$271)*24,3))</f>
        <v/>
      </c>
      <c r="I279" s="30"/>
      <c r="K279" s="33" t="str">
        <f aca="false">IF(OR(M279=0,C279=""),"",IF(ISNUMBER(C279),MOD(C279,1),IFERROR(INDEX(القوائم!$B$1:$B$288,MATCH(TRIM(C279),القوائم!$A$1:$A$288,0)),IFERROR(MOD(TIMEVALUE(C279),1),""))))</f>
        <v/>
      </c>
      <c r="L279" s="33" t="str">
        <f aca="false">IF(OR(M279=0,D279=""),"",IF(ISNUMBER(D279),MOD(D279,1),IFERROR(INDEX(القوائم!$B$1:$B$288,MATCH(TRIM(D279),القوائم!$A$1:$A$288,0)),IFERROR(MOD(TIMEVALUE(D279),1),""))))</f>
        <v/>
      </c>
      <c r="M279" s="25" t="n">
        <f aca="false">M271</f>
        <v>0</v>
      </c>
      <c r="Q279" s="25" t="n">
        <f aca="false">IF(N(G282)&gt;0,1,0)</f>
        <v>0</v>
      </c>
      <c r="S279" s="0" t="n">
        <v>23</v>
      </c>
    </row>
    <row r="280" customFormat="false" ht="15" hidden="false" customHeight="false" outlineLevel="0" collapsed="false">
      <c r="A280" s="36" t="str">
        <f aca="false">IF(M271=1,"مجموع أيام الأسبوع 23","")</f>
        <v/>
      </c>
      <c r="B280" s="36"/>
      <c r="C280" s="36"/>
      <c r="D280" s="36"/>
      <c r="E280" s="37" t="str">
        <f aca="false">IF(M271=1,SUM(E273:E279),"")</f>
        <v/>
      </c>
      <c r="F280" s="37" t="str">
        <f aca="false">IF(M271=1,SUM(F273:F279),"")</f>
        <v/>
      </c>
      <c r="G280" s="37" t="str">
        <f aca="false">IF(M271=1,SUM(G273:G279),"")</f>
        <v/>
      </c>
      <c r="H280" s="38" t="str">
        <f aca="false">IF(M271=1,SUM(H273:H279),"")</f>
        <v/>
      </c>
      <c r="I280" s="36"/>
      <c r="S280" s="0" t="n">
        <v>23</v>
      </c>
    </row>
    <row r="281" customFormat="false" ht="31.5" hidden="false" customHeight="true" outlineLevel="0" collapsed="false">
      <c r="A281" s="39" t="str">
        <f aca="false">IF(M271=1,"ساعات تحميل الجبسمبورد بهالأسبوع (رقم: 2 أو 1.5) ←","")</f>
        <v/>
      </c>
      <c r="B281" s="39"/>
      <c r="C281" s="39"/>
      <c r="D281" s="39"/>
      <c r="E281" s="40"/>
      <c r="F281" s="41" t="str">
        <f aca="false">IF(M271=1,"المستحق النهائي للأسبوع مع الإكرامية (دينار) ←","")</f>
        <v/>
      </c>
      <c r="G281" s="41"/>
      <c r="H281" s="42" t="str">
        <f aca="false">IF(M271=1,IF(ROUND_MODE="للأعلى",CEILING(ROUND((N(H280)+N(E281)*($P$271-$N$271)),3),0.25),ROUND((N(H280)+N(E281)*($P$271-$N$271))*4,0)/4)+N(D282),"")</f>
        <v/>
      </c>
      <c r="I281" s="43" t="str">
        <f aca="false">IF(M271=1,"قبل الجبر: "&amp;TEXT(N(H280)+N(E281)*($P$271-$N$271),"0.000")&amp;IF(N(D282)&gt;0," + إكرامية "&amp;TEXT(D282,"0.000"),""),"")</f>
        <v/>
      </c>
      <c r="S281" s="0" t="n">
        <v>23</v>
      </c>
    </row>
    <row r="282" customFormat="false" ht="25.5" hidden="false" customHeight="true" outlineLevel="0" collapsed="false">
      <c r="A282" s="39" t="str">
        <f aca="false">IF(M271=1,"إكرامية الأسبوع (دينار) ←","")</f>
        <v/>
      </c>
      <c r="B282" s="39"/>
      <c r="C282" s="39"/>
      <c r="D282" s="44"/>
      <c r="E282" s="39" t="str">
        <f aca="false">IF(M271=1,"المدفوع (دينار) ←","")</f>
        <v/>
      </c>
      <c r="F282" s="39"/>
      <c r="G282" s="44"/>
      <c r="H282" s="45" t="str">
        <f aca="false">IF(M271=1,IF(N(G282)&gt;0,"✔ انقبض — الأسبوع مقفول","⏳ لسا ما انقبض"),"")</f>
        <v/>
      </c>
      <c r="I282" s="45"/>
      <c r="S282" s="0" t="n">
        <v>23</v>
      </c>
    </row>
    <row r="283" customFormat="false" ht="27.75" hidden="false" customHeight="true" outlineLevel="0" collapsed="false">
      <c r="A283" s="23" t="str">
        <f aca="false">IF(24&lt;=NW,"من السبت "&amp;TEXT(DAY(SAT1+161),"00")&amp;"/"&amp;TEXT(MONTH(SAT1+161),"00")&amp;"/"&amp;YEAR(SAT1+161)&amp;" إلى الجمعة "&amp;TEXT(DAY(SAT1+167),"00")&amp;"/"&amp;TEXT(MONTH(SAT1+167),"00")&amp;"/"&amp;YEAR(SAT1+167)&amp;" · الأسبوع 24"&amp;"  (يوم القبض: الجمعة)"&amp;IF(24&lt;START_O,"   — قبل أسبوع البداية (ما بينحسب)",""),"ما في أسبوع 24 هالسنة")</f>
        <v>من السبت 06/06/2026 إلى الجمعة 12/06/2026 · الأسبوع 24  (يوم القبض: الجمعة)   — قبل أسبوع البداية (ما بينحسب)</v>
      </c>
      <c r="B283" s="23"/>
      <c r="C283" s="23"/>
      <c r="D283" s="23"/>
      <c r="E283" s="23"/>
      <c r="F283" s="23"/>
      <c r="G283" s="23"/>
      <c r="H283" s="23"/>
      <c r="I283" s="23"/>
      <c r="L283" s="24" t="n">
        <f aca="false">IF(24&lt;=NW,SAT1+167,"")</f>
        <v>46185</v>
      </c>
      <c r="M283" s="25" t="n">
        <f aca="false">IF(AND(24&lt;=NW,24&gt;=START_O),1,0)</f>
        <v>0</v>
      </c>
      <c r="N283" s="26" t="n">
        <f aca="false">IFERROR(INDEX(RT_OMR,MATCH(L283,RT_K,1)),INDEX(RT_OMR,1))</f>
        <v>1.25</v>
      </c>
      <c r="O283" s="26" t="n">
        <f aca="false">IFERROR(INDEX(RT_OT,MATCH(L283,RT_K,1)),INDEX(RT_OT,1))</f>
        <v>1.5</v>
      </c>
      <c r="P283" s="26" t="n">
        <f aca="false">IFERROR(INDEX(RT_GYP,MATCH(L283,RT_K,1)),INDEX(RT_GYP,1))</f>
        <v>2.5</v>
      </c>
      <c r="R283" s="0" t="n">
        <v>24</v>
      </c>
      <c r="S283" s="0" t="n">
        <v>24</v>
      </c>
    </row>
    <row r="284" customFormat="false" ht="25.5" hidden="false" customHeight="true" outlineLevel="0" collapsed="false">
      <c r="A284" s="27" t="s">
        <v>22</v>
      </c>
      <c r="B284" s="27" t="s">
        <v>23</v>
      </c>
      <c r="C284" s="27" t="s">
        <v>24</v>
      </c>
      <c r="D284" s="27" t="s">
        <v>25</v>
      </c>
      <c r="E284" s="27" t="s">
        <v>26</v>
      </c>
      <c r="F284" s="27" t="s">
        <v>27</v>
      </c>
      <c r="G284" s="27" t="s">
        <v>28</v>
      </c>
      <c r="H284" s="27" t="s">
        <v>29</v>
      </c>
      <c r="I284" s="27" t="s">
        <v>30</v>
      </c>
      <c r="S284" s="0" t="n">
        <v>24</v>
      </c>
    </row>
    <row r="285" customFormat="false" ht="15" hidden="false" customHeight="false" outlineLevel="0" collapsed="false">
      <c r="A285" s="28" t="n">
        <f aca="false">IF(24&lt;=NW,SAT1+161,"")</f>
        <v>46179</v>
      </c>
      <c r="B285" s="29" t="str">
        <f aca="false">IF(A285="","",CHOOSE(WEEKDAY(A285,1),"الأحد","الاثنين","الثلاثاء","الأربعاء","الخميس","الجمعة","السبت"))</f>
        <v>السبت</v>
      </c>
      <c r="C285" s="30"/>
      <c r="D285" s="30"/>
      <c r="E285" s="31" t="str">
        <f aca="false">IF(OR(M285=0,K285="",L285=""),"",MOD(L285-K285,1))</f>
        <v/>
      </c>
      <c r="F285" s="31" t="str">
        <f aca="false">IF(OR(E285="",M285=0),"",IF(WEEKDAY(A285,1)=6,E285,MIN(E285,MAX(0,MIN(IF(L285&lt;K285,L285+1,L285),OMR_OT_AT)-K285))))</f>
        <v/>
      </c>
      <c r="G285" s="31" t="str">
        <f aca="false">IF(OR(E285="",M285=0),"",MAX(0,E285-F285))</f>
        <v/>
      </c>
      <c r="H285" s="32" t="str">
        <f aca="false">IF(OR(E285="",M285=0),"",ROUND((F285*$N$283+G285*$O$283)*24,3))</f>
        <v/>
      </c>
      <c r="I285" s="30"/>
      <c r="K285" s="33" t="str">
        <f aca="false">IF(OR(M285=0,C285=""),"",IF(ISNUMBER(C285),MOD(C285,1),IFERROR(INDEX(القوائم!$B$1:$B$288,MATCH(TRIM(C285),القوائم!$A$1:$A$288,0)),IFERROR(MOD(TIMEVALUE(C285),1),""))))</f>
        <v/>
      </c>
      <c r="L285" s="33" t="str">
        <f aca="false">IF(OR(M285=0,D285=""),"",IF(ISNUMBER(D285),MOD(D285,1),IFERROR(INDEX(القوائم!$B$1:$B$288,MATCH(TRIM(D285),القوائم!$A$1:$A$288,0)),IFERROR(MOD(TIMEVALUE(D285),1),""))))</f>
        <v/>
      </c>
      <c r="M285" s="25" t="n">
        <f aca="false">M283</f>
        <v>0</v>
      </c>
      <c r="Q285" s="25" t="n">
        <f aca="false">IF(N(G294)&gt;0,1,0)</f>
        <v>0</v>
      </c>
      <c r="S285" s="0" t="n">
        <v>24</v>
      </c>
    </row>
    <row r="286" customFormat="false" ht="15" hidden="false" customHeight="false" outlineLevel="0" collapsed="false">
      <c r="A286" s="28" t="n">
        <f aca="false">IF(24&lt;=NW,SAT1+162,"")</f>
        <v>46180</v>
      </c>
      <c r="B286" s="29" t="str">
        <f aca="false">IF(A286="","",CHOOSE(WEEKDAY(A286,1),"الأحد","الاثنين","الثلاثاء","الأربعاء","الخميس","الجمعة","السبت"))</f>
        <v>الأحد</v>
      </c>
      <c r="C286" s="30"/>
      <c r="D286" s="30"/>
      <c r="E286" s="31" t="str">
        <f aca="false">IF(OR(M286=0,K286="",L286=""),"",MOD(L286-K286,1))</f>
        <v/>
      </c>
      <c r="F286" s="31" t="str">
        <f aca="false">IF(OR(E286="",M286=0),"",IF(WEEKDAY(A286,1)=6,E286,MIN(E286,MAX(0,MIN(IF(L286&lt;K286,L286+1,L286),OMR_OT_AT)-K286))))</f>
        <v/>
      </c>
      <c r="G286" s="31" t="str">
        <f aca="false">IF(OR(E286="",M286=0),"",MAX(0,E286-F286))</f>
        <v/>
      </c>
      <c r="H286" s="32" t="str">
        <f aca="false">IF(OR(E286="",M286=0),"",ROUND((F286*$N$283+G286*$O$283)*24,3))</f>
        <v/>
      </c>
      <c r="I286" s="30"/>
      <c r="K286" s="33" t="str">
        <f aca="false">IF(OR(M286=0,C286=""),"",IF(ISNUMBER(C286),MOD(C286,1),IFERROR(INDEX(القوائم!$B$1:$B$288,MATCH(TRIM(C286),القوائم!$A$1:$A$288,0)),IFERROR(MOD(TIMEVALUE(C286),1),""))))</f>
        <v/>
      </c>
      <c r="L286" s="33" t="str">
        <f aca="false">IF(OR(M286=0,D286=""),"",IF(ISNUMBER(D286),MOD(D286,1),IFERROR(INDEX(القوائم!$B$1:$B$288,MATCH(TRIM(D286),القوائم!$A$1:$A$288,0)),IFERROR(MOD(TIMEVALUE(D286),1),""))))</f>
        <v/>
      </c>
      <c r="M286" s="25" t="n">
        <f aca="false">M283</f>
        <v>0</v>
      </c>
      <c r="Q286" s="25" t="n">
        <f aca="false">IF(N(G294)&gt;0,1,0)</f>
        <v>0</v>
      </c>
      <c r="S286" s="0" t="n">
        <v>24</v>
      </c>
    </row>
    <row r="287" customFormat="false" ht="15" hidden="false" customHeight="false" outlineLevel="0" collapsed="false">
      <c r="A287" s="28" t="n">
        <f aca="false">IF(24&lt;=NW,SAT1+163,"")</f>
        <v>46181</v>
      </c>
      <c r="B287" s="29" t="str">
        <f aca="false">IF(A287="","",CHOOSE(WEEKDAY(A287,1),"الأحد","الاثنين","الثلاثاء","الأربعاء","الخميس","الجمعة","السبت"))</f>
        <v>الاثنين</v>
      </c>
      <c r="C287" s="30"/>
      <c r="D287" s="30"/>
      <c r="E287" s="31" t="str">
        <f aca="false">IF(OR(M287=0,K287="",L287=""),"",MOD(L287-K287,1))</f>
        <v/>
      </c>
      <c r="F287" s="31" t="str">
        <f aca="false">IF(OR(E287="",M287=0),"",IF(WEEKDAY(A287,1)=6,E287,MIN(E287,MAX(0,MIN(IF(L287&lt;K287,L287+1,L287),OMR_OT_AT)-K287))))</f>
        <v/>
      </c>
      <c r="G287" s="31" t="str">
        <f aca="false">IF(OR(E287="",M287=0),"",MAX(0,E287-F287))</f>
        <v/>
      </c>
      <c r="H287" s="32" t="str">
        <f aca="false">IF(OR(E287="",M287=0),"",ROUND((F287*$N$283+G287*$O$283)*24,3))</f>
        <v/>
      </c>
      <c r="I287" s="30"/>
      <c r="K287" s="33" t="str">
        <f aca="false">IF(OR(M287=0,C287=""),"",IF(ISNUMBER(C287),MOD(C287,1),IFERROR(INDEX(القوائم!$B$1:$B$288,MATCH(TRIM(C287),القوائم!$A$1:$A$288,0)),IFERROR(MOD(TIMEVALUE(C287),1),""))))</f>
        <v/>
      </c>
      <c r="L287" s="33" t="str">
        <f aca="false">IF(OR(M287=0,D287=""),"",IF(ISNUMBER(D287),MOD(D287,1),IFERROR(INDEX(القوائم!$B$1:$B$288,MATCH(TRIM(D287),القوائم!$A$1:$A$288,0)),IFERROR(MOD(TIMEVALUE(D287),1),""))))</f>
        <v/>
      </c>
      <c r="M287" s="25" t="n">
        <f aca="false">M283</f>
        <v>0</v>
      </c>
      <c r="Q287" s="25" t="n">
        <f aca="false">IF(N(G294)&gt;0,1,0)</f>
        <v>0</v>
      </c>
      <c r="S287" s="0" t="n">
        <v>24</v>
      </c>
    </row>
    <row r="288" customFormat="false" ht="15" hidden="false" customHeight="false" outlineLevel="0" collapsed="false">
      <c r="A288" s="28" t="n">
        <f aca="false">IF(24&lt;=NW,SAT1+164,"")</f>
        <v>46182</v>
      </c>
      <c r="B288" s="29" t="str">
        <f aca="false">IF(A288="","",CHOOSE(WEEKDAY(A288,1),"الأحد","الاثنين","الثلاثاء","الأربعاء","الخميس","الجمعة","السبت"))</f>
        <v>الثلاثاء</v>
      </c>
      <c r="C288" s="30"/>
      <c r="D288" s="30"/>
      <c r="E288" s="31" t="str">
        <f aca="false">IF(OR(M288=0,K288="",L288=""),"",MOD(L288-K288,1))</f>
        <v/>
      </c>
      <c r="F288" s="31" t="str">
        <f aca="false">IF(OR(E288="",M288=0),"",IF(WEEKDAY(A288,1)=6,E288,MIN(E288,MAX(0,MIN(IF(L288&lt;K288,L288+1,L288),OMR_OT_AT)-K288))))</f>
        <v/>
      </c>
      <c r="G288" s="31" t="str">
        <f aca="false">IF(OR(E288="",M288=0),"",MAX(0,E288-F288))</f>
        <v/>
      </c>
      <c r="H288" s="32" t="str">
        <f aca="false">IF(OR(E288="",M288=0),"",ROUND((F288*$N$283+G288*$O$283)*24,3))</f>
        <v/>
      </c>
      <c r="I288" s="30"/>
      <c r="K288" s="33" t="str">
        <f aca="false">IF(OR(M288=0,C288=""),"",IF(ISNUMBER(C288),MOD(C288,1),IFERROR(INDEX(القوائم!$B$1:$B$288,MATCH(TRIM(C288),القوائم!$A$1:$A$288,0)),IFERROR(MOD(TIMEVALUE(C288),1),""))))</f>
        <v/>
      </c>
      <c r="L288" s="33" t="str">
        <f aca="false">IF(OR(M288=0,D288=""),"",IF(ISNUMBER(D288),MOD(D288,1),IFERROR(INDEX(القوائم!$B$1:$B$288,MATCH(TRIM(D288),القوائم!$A$1:$A$288,0)),IFERROR(MOD(TIMEVALUE(D288),1),""))))</f>
        <v/>
      </c>
      <c r="M288" s="25" t="n">
        <f aca="false">M283</f>
        <v>0</v>
      </c>
      <c r="Q288" s="25" t="n">
        <f aca="false">IF(N(G294)&gt;0,1,0)</f>
        <v>0</v>
      </c>
      <c r="S288" s="0" t="n">
        <v>24</v>
      </c>
    </row>
    <row r="289" customFormat="false" ht="15" hidden="false" customHeight="false" outlineLevel="0" collapsed="false">
      <c r="A289" s="28" t="n">
        <f aca="false">IF(24&lt;=NW,SAT1+165,"")</f>
        <v>46183</v>
      </c>
      <c r="B289" s="29" t="str">
        <f aca="false">IF(A289="","",CHOOSE(WEEKDAY(A289,1),"الأحد","الاثنين","الثلاثاء","الأربعاء","الخميس","الجمعة","السبت"))</f>
        <v>الأربعاء</v>
      </c>
      <c r="C289" s="30"/>
      <c r="D289" s="30"/>
      <c r="E289" s="31" t="str">
        <f aca="false">IF(OR(M289=0,K289="",L289=""),"",MOD(L289-K289,1))</f>
        <v/>
      </c>
      <c r="F289" s="31" t="str">
        <f aca="false">IF(OR(E289="",M289=0),"",IF(WEEKDAY(A289,1)=6,E289,MIN(E289,MAX(0,MIN(IF(L289&lt;K289,L289+1,L289),OMR_OT_AT)-K289))))</f>
        <v/>
      </c>
      <c r="G289" s="31" t="str">
        <f aca="false">IF(OR(E289="",M289=0),"",MAX(0,E289-F289))</f>
        <v/>
      </c>
      <c r="H289" s="32" t="str">
        <f aca="false">IF(OR(E289="",M289=0),"",ROUND((F289*$N$283+G289*$O$283)*24,3))</f>
        <v/>
      </c>
      <c r="I289" s="30"/>
      <c r="K289" s="33" t="str">
        <f aca="false">IF(OR(M289=0,C289=""),"",IF(ISNUMBER(C289),MOD(C289,1),IFERROR(INDEX(القوائم!$B$1:$B$288,MATCH(TRIM(C289),القوائم!$A$1:$A$288,0)),IFERROR(MOD(TIMEVALUE(C289),1),""))))</f>
        <v/>
      </c>
      <c r="L289" s="33" t="str">
        <f aca="false">IF(OR(M289=0,D289=""),"",IF(ISNUMBER(D289),MOD(D289,1),IFERROR(INDEX(القوائم!$B$1:$B$288,MATCH(TRIM(D289),القوائم!$A$1:$A$288,0)),IFERROR(MOD(TIMEVALUE(D289),1),""))))</f>
        <v/>
      </c>
      <c r="M289" s="25" t="n">
        <f aca="false">M283</f>
        <v>0</v>
      </c>
      <c r="Q289" s="25" t="n">
        <f aca="false">IF(N(G294)&gt;0,1,0)</f>
        <v>0</v>
      </c>
      <c r="S289" s="0" t="n">
        <v>24</v>
      </c>
    </row>
    <row r="290" customFormat="false" ht="15" hidden="false" customHeight="false" outlineLevel="0" collapsed="false">
      <c r="A290" s="28" t="n">
        <f aca="false">IF(24&lt;=NW,SAT1+166,"")</f>
        <v>46184</v>
      </c>
      <c r="B290" s="29" t="str">
        <f aca="false">IF(A290="","",CHOOSE(WEEKDAY(A290,1),"الأحد","الاثنين","الثلاثاء","الأربعاء","الخميس","الجمعة","السبت"))</f>
        <v>الخميس</v>
      </c>
      <c r="C290" s="30"/>
      <c r="D290" s="30"/>
      <c r="E290" s="31" t="str">
        <f aca="false">IF(OR(M290=0,K290="",L290=""),"",MOD(L290-K290,1))</f>
        <v/>
      </c>
      <c r="F290" s="31" t="str">
        <f aca="false">IF(OR(E290="",M290=0),"",IF(WEEKDAY(A290,1)=6,E290,MIN(E290,MAX(0,MIN(IF(L290&lt;K290,L290+1,L290),OMR_OT_AT)-K290))))</f>
        <v/>
      </c>
      <c r="G290" s="31" t="str">
        <f aca="false">IF(OR(E290="",M290=0),"",MAX(0,E290-F290))</f>
        <v/>
      </c>
      <c r="H290" s="32" t="str">
        <f aca="false">IF(OR(E290="",M290=0),"",ROUND((F290*$N$283+G290*$O$283)*24,3))</f>
        <v/>
      </c>
      <c r="I290" s="30"/>
      <c r="K290" s="33" t="str">
        <f aca="false">IF(OR(M290=0,C290=""),"",IF(ISNUMBER(C290),MOD(C290,1),IFERROR(INDEX(القوائم!$B$1:$B$288,MATCH(TRIM(C290),القوائم!$A$1:$A$288,0)),IFERROR(MOD(TIMEVALUE(C290),1),""))))</f>
        <v/>
      </c>
      <c r="L290" s="33" t="str">
        <f aca="false">IF(OR(M290=0,D290=""),"",IF(ISNUMBER(D290),MOD(D290,1),IFERROR(INDEX(القوائم!$B$1:$B$288,MATCH(TRIM(D290),القوائم!$A$1:$A$288,0)),IFERROR(MOD(TIMEVALUE(D290),1),""))))</f>
        <v/>
      </c>
      <c r="M290" s="25" t="n">
        <f aca="false">M283</f>
        <v>0</v>
      </c>
      <c r="Q290" s="25" t="n">
        <f aca="false">IF(N(G294)&gt;0,1,0)</f>
        <v>0</v>
      </c>
      <c r="S290" s="0" t="n">
        <v>24</v>
      </c>
    </row>
    <row r="291" customFormat="false" ht="15" hidden="false" customHeight="false" outlineLevel="0" collapsed="false">
      <c r="A291" s="34" t="n">
        <f aca="false">IF(24&lt;=NW,SAT1+167,"")</f>
        <v>46185</v>
      </c>
      <c r="B291" s="35" t="str">
        <f aca="false">IF(A291="","",CHOOSE(WEEKDAY(A291,1),"الأحد","الاثنين","الثلاثاء","الأربعاء","الخميس","الجمعة","السبت"))</f>
        <v>الجمعة</v>
      </c>
      <c r="C291" s="30"/>
      <c r="D291" s="30"/>
      <c r="E291" s="31" t="str">
        <f aca="false">IF(OR(M291=0,K291="",L291=""),"",MOD(L291-K291,1))</f>
        <v/>
      </c>
      <c r="F291" s="31" t="str">
        <f aca="false">IF(OR(E291="",M291=0),"",IF(WEEKDAY(A291,1)=6,E291,MIN(E291,MAX(0,MIN(IF(L291&lt;K291,L291+1,L291),OMR_OT_AT)-K291))))</f>
        <v/>
      </c>
      <c r="G291" s="31" t="str">
        <f aca="false">IF(OR(E291="",M291=0),"",MAX(0,E291-F291))</f>
        <v/>
      </c>
      <c r="H291" s="32" t="str">
        <f aca="false">IF(OR(E291="",M291=0),"",ROUND((F291*$N$283+G291*$O$283)*24,3))</f>
        <v/>
      </c>
      <c r="I291" s="30"/>
      <c r="K291" s="33" t="str">
        <f aca="false">IF(OR(M291=0,C291=""),"",IF(ISNUMBER(C291),MOD(C291,1),IFERROR(INDEX(القوائم!$B$1:$B$288,MATCH(TRIM(C291),القوائم!$A$1:$A$288,0)),IFERROR(MOD(TIMEVALUE(C291),1),""))))</f>
        <v/>
      </c>
      <c r="L291" s="33" t="str">
        <f aca="false">IF(OR(M291=0,D291=""),"",IF(ISNUMBER(D291),MOD(D291,1),IFERROR(INDEX(القوائم!$B$1:$B$288,MATCH(TRIM(D291),القوائم!$A$1:$A$288,0)),IFERROR(MOD(TIMEVALUE(D291),1),""))))</f>
        <v/>
      </c>
      <c r="M291" s="25" t="n">
        <f aca="false">M283</f>
        <v>0</v>
      </c>
      <c r="Q291" s="25" t="n">
        <f aca="false">IF(N(G294)&gt;0,1,0)</f>
        <v>0</v>
      </c>
      <c r="S291" s="0" t="n">
        <v>24</v>
      </c>
    </row>
    <row r="292" customFormat="false" ht="15" hidden="false" customHeight="false" outlineLevel="0" collapsed="false">
      <c r="A292" s="36" t="str">
        <f aca="false">IF(M283=1,"مجموع أيام الأسبوع 24","")</f>
        <v/>
      </c>
      <c r="B292" s="36"/>
      <c r="C292" s="36"/>
      <c r="D292" s="36"/>
      <c r="E292" s="37" t="str">
        <f aca="false">IF(M283=1,SUM(E285:E291),"")</f>
        <v/>
      </c>
      <c r="F292" s="37" t="str">
        <f aca="false">IF(M283=1,SUM(F285:F291),"")</f>
        <v/>
      </c>
      <c r="G292" s="37" t="str">
        <f aca="false">IF(M283=1,SUM(G285:G291),"")</f>
        <v/>
      </c>
      <c r="H292" s="38" t="str">
        <f aca="false">IF(M283=1,SUM(H285:H291),"")</f>
        <v/>
      </c>
      <c r="I292" s="36"/>
      <c r="S292" s="0" t="n">
        <v>24</v>
      </c>
    </row>
    <row r="293" customFormat="false" ht="31.5" hidden="false" customHeight="true" outlineLevel="0" collapsed="false">
      <c r="A293" s="39" t="str">
        <f aca="false">IF(M283=1,"ساعات تحميل الجبسمبورد بهالأسبوع (رقم: 2 أو 1.5) ←","")</f>
        <v/>
      </c>
      <c r="B293" s="39"/>
      <c r="C293" s="39"/>
      <c r="D293" s="39"/>
      <c r="E293" s="40"/>
      <c r="F293" s="41" t="str">
        <f aca="false">IF(M283=1,"المستحق النهائي للأسبوع مع الإكرامية (دينار) ←","")</f>
        <v/>
      </c>
      <c r="G293" s="41"/>
      <c r="H293" s="42" t="str">
        <f aca="false">IF(M283=1,IF(ROUND_MODE="للأعلى",CEILING(ROUND((N(H292)+N(E293)*($P$283-$N$283)),3),0.25),ROUND((N(H292)+N(E293)*($P$283-$N$283))*4,0)/4)+N(D294),"")</f>
        <v/>
      </c>
      <c r="I293" s="43" t="str">
        <f aca="false">IF(M283=1,"قبل الجبر: "&amp;TEXT(N(H292)+N(E293)*($P$283-$N$283),"0.000")&amp;IF(N(D294)&gt;0," + إكرامية "&amp;TEXT(D294,"0.000"),""),"")</f>
        <v/>
      </c>
      <c r="S293" s="0" t="n">
        <v>24</v>
      </c>
    </row>
    <row r="294" customFormat="false" ht="25.5" hidden="false" customHeight="true" outlineLevel="0" collapsed="false">
      <c r="A294" s="39" t="str">
        <f aca="false">IF(M283=1,"إكرامية الأسبوع (دينار) ←","")</f>
        <v/>
      </c>
      <c r="B294" s="39"/>
      <c r="C294" s="39"/>
      <c r="D294" s="44"/>
      <c r="E294" s="39" t="str">
        <f aca="false">IF(M283=1,"المدفوع (دينار) ←","")</f>
        <v/>
      </c>
      <c r="F294" s="39"/>
      <c r="G294" s="44"/>
      <c r="H294" s="45" t="str">
        <f aca="false">IF(M283=1,IF(N(G294)&gt;0,"✔ انقبض — الأسبوع مقفول","⏳ لسا ما انقبض"),"")</f>
        <v/>
      </c>
      <c r="I294" s="45"/>
      <c r="S294" s="0" t="n">
        <v>24</v>
      </c>
    </row>
    <row r="295" customFormat="false" ht="27.75" hidden="false" customHeight="true" outlineLevel="0" collapsed="false">
      <c r="A295" s="23" t="str">
        <f aca="false">IF(25&lt;=NW,"من السبت "&amp;TEXT(DAY(SAT1+168),"00")&amp;"/"&amp;TEXT(MONTH(SAT1+168),"00")&amp;"/"&amp;YEAR(SAT1+168)&amp;" إلى الجمعة "&amp;TEXT(DAY(SAT1+174),"00")&amp;"/"&amp;TEXT(MONTH(SAT1+174),"00")&amp;"/"&amp;YEAR(SAT1+174)&amp;" · الأسبوع 25"&amp;"  (يوم القبض: الجمعة)"&amp;IF(25&lt;START_O,"   — قبل أسبوع البداية (ما بينحسب)",""),"ما في أسبوع 25 هالسنة")</f>
        <v>من السبت 13/06/2026 إلى الجمعة 19/06/2026 · الأسبوع 25  (يوم القبض: الجمعة)   — قبل أسبوع البداية (ما بينحسب)</v>
      </c>
      <c r="B295" s="23"/>
      <c r="C295" s="23"/>
      <c r="D295" s="23"/>
      <c r="E295" s="23"/>
      <c r="F295" s="23"/>
      <c r="G295" s="23"/>
      <c r="H295" s="23"/>
      <c r="I295" s="23"/>
      <c r="L295" s="24" t="n">
        <f aca="false">IF(25&lt;=NW,SAT1+174,"")</f>
        <v>46192</v>
      </c>
      <c r="M295" s="25" t="n">
        <f aca="false">IF(AND(25&lt;=NW,25&gt;=START_O),1,0)</f>
        <v>0</v>
      </c>
      <c r="N295" s="26" t="n">
        <f aca="false">IFERROR(INDEX(RT_OMR,MATCH(L295,RT_K,1)),INDEX(RT_OMR,1))</f>
        <v>1.25</v>
      </c>
      <c r="O295" s="26" t="n">
        <f aca="false">IFERROR(INDEX(RT_OT,MATCH(L295,RT_K,1)),INDEX(RT_OT,1))</f>
        <v>1.5</v>
      </c>
      <c r="P295" s="26" t="n">
        <f aca="false">IFERROR(INDEX(RT_GYP,MATCH(L295,RT_K,1)),INDEX(RT_GYP,1))</f>
        <v>2.5</v>
      </c>
      <c r="R295" s="0" t="n">
        <v>25</v>
      </c>
      <c r="S295" s="0" t="n">
        <v>25</v>
      </c>
    </row>
    <row r="296" customFormat="false" ht="25.5" hidden="false" customHeight="true" outlineLevel="0" collapsed="false">
      <c r="A296" s="27" t="s">
        <v>22</v>
      </c>
      <c r="B296" s="27" t="s">
        <v>23</v>
      </c>
      <c r="C296" s="27" t="s">
        <v>24</v>
      </c>
      <c r="D296" s="27" t="s">
        <v>25</v>
      </c>
      <c r="E296" s="27" t="s">
        <v>26</v>
      </c>
      <c r="F296" s="27" t="s">
        <v>27</v>
      </c>
      <c r="G296" s="27" t="s">
        <v>28</v>
      </c>
      <c r="H296" s="27" t="s">
        <v>29</v>
      </c>
      <c r="I296" s="27" t="s">
        <v>30</v>
      </c>
      <c r="S296" s="0" t="n">
        <v>25</v>
      </c>
    </row>
    <row r="297" customFormat="false" ht="15" hidden="false" customHeight="false" outlineLevel="0" collapsed="false">
      <c r="A297" s="28" t="n">
        <f aca="false">IF(25&lt;=NW,SAT1+168,"")</f>
        <v>46186</v>
      </c>
      <c r="B297" s="29" t="str">
        <f aca="false">IF(A297="","",CHOOSE(WEEKDAY(A297,1),"الأحد","الاثنين","الثلاثاء","الأربعاء","الخميس","الجمعة","السبت"))</f>
        <v>السبت</v>
      </c>
      <c r="C297" s="30"/>
      <c r="D297" s="30"/>
      <c r="E297" s="31" t="str">
        <f aca="false">IF(OR(M297=0,K297="",L297=""),"",MOD(L297-K297,1))</f>
        <v/>
      </c>
      <c r="F297" s="31" t="str">
        <f aca="false">IF(OR(E297="",M297=0),"",IF(WEEKDAY(A297,1)=6,E297,MIN(E297,MAX(0,MIN(IF(L297&lt;K297,L297+1,L297),OMR_OT_AT)-K297))))</f>
        <v/>
      </c>
      <c r="G297" s="31" t="str">
        <f aca="false">IF(OR(E297="",M297=0),"",MAX(0,E297-F297))</f>
        <v/>
      </c>
      <c r="H297" s="32" t="str">
        <f aca="false">IF(OR(E297="",M297=0),"",ROUND((F297*$N$295+G297*$O$295)*24,3))</f>
        <v/>
      </c>
      <c r="I297" s="30"/>
      <c r="K297" s="33" t="str">
        <f aca="false">IF(OR(M297=0,C297=""),"",IF(ISNUMBER(C297),MOD(C297,1),IFERROR(INDEX(القوائم!$B$1:$B$288,MATCH(TRIM(C297),القوائم!$A$1:$A$288,0)),IFERROR(MOD(TIMEVALUE(C297),1),""))))</f>
        <v/>
      </c>
      <c r="L297" s="33" t="str">
        <f aca="false">IF(OR(M297=0,D297=""),"",IF(ISNUMBER(D297),MOD(D297,1),IFERROR(INDEX(القوائم!$B$1:$B$288,MATCH(TRIM(D297),القوائم!$A$1:$A$288,0)),IFERROR(MOD(TIMEVALUE(D297),1),""))))</f>
        <v/>
      </c>
      <c r="M297" s="25" t="n">
        <f aca="false">M295</f>
        <v>0</v>
      </c>
      <c r="Q297" s="25" t="n">
        <f aca="false">IF(N(G306)&gt;0,1,0)</f>
        <v>0</v>
      </c>
      <c r="S297" s="0" t="n">
        <v>25</v>
      </c>
    </row>
    <row r="298" customFormat="false" ht="15" hidden="false" customHeight="false" outlineLevel="0" collapsed="false">
      <c r="A298" s="28" t="n">
        <f aca="false">IF(25&lt;=NW,SAT1+169,"")</f>
        <v>46187</v>
      </c>
      <c r="B298" s="29" t="str">
        <f aca="false">IF(A298="","",CHOOSE(WEEKDAY(A298,1),"الأحد","الاثنين","الثلاثاء","الأربعاء","الخميس","الجمعة","السبت"))</f>
        <v>الأحد</v>
      </c>
      <c r="C298" s="30"/>
      <c r="D298" s="30"/>
      <c r="E298" s="31" t="str">
        <f aca="false">IF(OR(M298=0,K298="",L298=""),"",MOD(L298-K298,1))</f>
        <v/>
      </c>
      <c r="F298" s="31" t="str">
        <f aca="false">IF(OR(E298="",M298=0),"",IF(WEEKDAY(A298,1)=6,E298,MIN(E298,MAX(0,MIN(IF(L298&lt;K298,L298+1,L298),OMR_OT_AT)-K298))))</f>
        <v/>
      </c>
      <c r="G298" s="31" t="str">
        <f aca="false">IF(OR(E298="",M298=0),"",MAX(0,E298-F298))</f>
        <v/>
      </c>
      <c r="H298" s="32" t="str">
        <f aca="false">IF(OR(E298="",M298=0),"",ROUND((F298*$N$295+G298*$O$295)*24,3))</f>
        <v/>
      </c>
      <c r="I298" s="30"/>
      <c r="K298" s="33" t="str">
        <f aca="false">IF(OR(M298=0,C298=""),"",IF(ISNUMBER(C298),MOD(C298,1),IFERROR(INDEX(القوائم!$B$1:$B$288,MATCH(TRIM(C298),القوائم!$A$1:$A$288,0)),IFERROR(MOD(TIMEVALUE(C298),1),""))))</f>
        <v/>
      </c>
      <c r="L298" s="33" t="str">
        <f aca="false">IF(OR(M298=0,D298=""),"",IF(ISNUMBER(D298),MOD(D298,1),IFERROR(INDEX(القوائم!$B$1:$B$288,MATCH(TRIM(D298),القوائم!$A$1:$A$288,0)),IFERROR(MOD(TIMEVALUE(D298),1),""))))</f>
        <v/>
      </c>
      <c r="M298" s="25" t="n">
        <f aca="false">M295</f>
        <v>0</v>
      </c>
      <c r="Q298" s="25" t="n">
        <f aca="false">IF(N(G306)&gt;0,1,0)</f>
        <v>0</v>
      </c>
      <c r="S298" s="0" t="n">
        <v>25</v>
      </c>
    </row>
    <row r="299" customFormat="false" ht="15" hidden="false" customHeight="false" outlineLevel="0" collapsed="false">
      <c r="A299" s="28" t="n">
        <f aca="false">IF(25&lt;=NW,SAT1+170,"")</f>
        <v>46188</v>
      </c>
      <c r="B299" s="29" t="str">
        <f aca="false">IF(A299="","",CHOOSE(WEEKDAY(A299,1),"الأحد","الاثنين","الثلاثاء","الأربعاء","الخميس","الجمعة","السبت"))</f>
        <v>الاثنين</v>
      </c>
      <c r="C299" s="30"/>
      <c r="D299" s="30"/>
      <c r="E299" s="31" t="str">
        <f aca="false">IF(OR(M299=0,K299="",L299=""),"",MOD(L299-K299,1))</f>
        <v/>
      </c>
      <c r="F299" s="31" t="str">
        <f aca="false">IF(OR(E299="",M299=0),"",IF(WEEKDAY(A299,1)=6,E299,MIN(E299,MAX(0,MIN(IF(L299&lt;K299,L299+1,L299),OMR_OT_AT)-K299))))</f>
        <v/>
      </c>
      <c r="G299" s="31" t="str">
        <f aca="false">IF(OR(E299="",M299=0),"",MAX(0,E299-F299))</f>
        <v/>
      </c>
      <c r="H299" s="32" t="str">
        <f aca="false">IF(OR(E299="",M299=0),"",ROUND((F299*$N$295+G299*$O$295)*24,3))</f>
        <v/>
      </c>
      <c r="I299" s="30"/>
      <c r="K299" s="33" t="str">
        <f aca="false">IF(OR(M299=0,C299=""),"",IF(ISNUMBER(C299),MOD(C299,1),IFERROR(INDEX(القوائم!$B$1:$B$288,MATCH(TRIM(C299),القوائم!$A$1:$A$288,0)),IFERROR(MOD(TIMEVALUE(C299),1),""))))</f>
        <v/>
      </c>
      <c r="L299" s="33" t="str">
        <f aca="false">IF(OR(M299=0,D299=""),"",IF(ISNUMBER(D299),MOD(D299,1),IFERROR(INDEX(القوائم!$B$1:$B$288,MATCH(TRIM(D299),القوائم!$A$1:$A$288,0)),IFERROR(MOD(TIMEVALUE(D299),1),""))))</f>
        <v/>
      </c>
      <c r="M299" s="25" t="n">
        <f aca="false">M295</f>
        <v>0</v>
      </c>
      <c r="Q299" s="25" t="n">
        <f aca="false">IF(N(G306)&gt;0,1,0)</f>
        <v>0</v>
      </c>
      <c r="S299" s="0" t="n">
        <v>25</v>
      </c>
    </row>
    <row r="300" customFormat="false" ht="15" hidden="false" customHeight="false" outlineLevel="0" collapsed="false">
      <c r="A300" s="28" t="n">
        <f aca="false">IF(25&lt;=NW,SAT1+171,"")</f>
        <v>46189</v>
      </c>
      <c r="B300" s="29" t="str">
        <f aca="false">IF(A300="","",CHOOSE(WEEKDAY(A300,1),"الأحد","الاثنين","الثلاثاء","الأربعاء","الخميس","الجمعة","السبت"))</f>
        <v>الثلاثاء</v>
      </c>
      <c r="C300" s="30"/>
      <c r="D300" s="30"/>
      <c r="E300" s="31" t="str">
        <f aca="false">IF(OR(M300=0,K300="",L300=""),"",MOD(L300-K300,1))</f>
        <v/>
      </c>
      <c r="F300" s="31" t="str">
        <f aca="false">IF(OR(E300="",M300=0),"",IF(WEEKDAY(A300,1)=6,E300,MIN(E300,MAX(0,MIN(IF(L300&lt;K300,L300+1,L300),OMR_OT_AT)-K300))))</f>
        <v/>
      </c>
      <c r="G300" s="31" t="str">
        <f aca="false">IF(OR(E300="",M300=0),"",MAX(0,E300-F300))</f>
        <v/>
      </c>
      <c r="H300" s="32" t="str">
        <f aca="false">IF(OR(E300="",M300=0),"",ROUND((F300*$N$295+G300*$O$295)*24,3))</f>
        <v/>
      </c>
      <c r="I300" s="30"/>
      <c r="K300" s="33" t="str">
        <f aca="false">IF(OR(M300=0,C300=""),"",IF(ISNUMBER(C300),MOD(C300,1),IFERROR(INDEX(القوائم!$B$1:$B$288,MATCH(TRIM(C300),القوائم!$A$1:$A$288,0)),IFERROR(MOD(TIMEVALUE(C300),1),""))))</f>
        <v/>
      </c>
      <c r="L300" s="33" t="str">
        <f aca="false">IF(OR(M300=0,D300=""),"",IF(ISNUMBER(D300),MOD(D300,1),IFERROR(INDEX(القوائم!$B$1:$B$288,MATCH(TRIM(D300),القوائم!$A$1:$A$288,0)),IFERROR(MOD(TIMEVALUE(D300),1),""))))</f>
        <v/>
      </c>
      <c r="M300" s="25" t="n">
        <f aca="false">M295</f>
        <v>0</v>
      </c>
      <c r="Q300" s="25" t="n">
        <f aca="false">IF(N(G306)&gt;0,1,0)</f>
        <v>0</v>
      </c>
      <c r="S300" s="0" t="n">
        <v>25</v>
      </c>
    </row>
    <row r="301" customFormat="false" ht="15" hidden="false" customHeight="false" outlineLevel="0" collapsed="false">
      <c r="A301" s="28" t="n">
        <f aca="false">IF(25&lt;=NW,SAT1+172,"")</f>
        <v>46190</v>
      </c>
      <c r="B301" s="29" t="str">
        <f aca="false">IF(A301="","",CHOOSE(WEEKDAY(A301,1),"الأحد","الاثنين","الثلاثاء","الأربعاء","الخميس","الجمعة","السبت"))</f>
        <v>الأربعاء</v>
      </c>
      <c r="C301" s="30"/>
      <c r="D301" s="30"/>
      <c r="E301" s="31" t="str">
        <f aca="false">IF(OR(M301=0,K301="",L301=""),"",MOD(L301-K301,1))</f>
        <v/>
      </c>
      <c r="F301" s="31" t="str">
        <f aca="false">IF(OR(E301="",M301=0),"",IF(WEEKDAY(A301,1)=6,E301,MIN(E301,MAX(0,MIN(IF(L301&lt;K301,L301+1,L301),OMR_OT_AT)-K301))))</f>
        <v/>
      </c>
      <c r="G301" s="31" t="str">
        <f aca="false">IF(OR(E301="",M301=0),"",MAX(0,E301-F301))</f>
        <v/>
      </c>
      <c r="H301" s="32" t="str">
        <f aca="false">IF(OR(E301="",M301=0),"",ROUND((F301*$N$295+G301*$O$295)*24,3))</f>
        <v/>
      </c>
      <c r="I301" s="30"/>
      <c r="K301" s="33" t="str">
        <f aca="false">IF(OR(M301=0,C301=""),"",IF(ISNUMBER(C301),MOD(C301,1),IFERROR(INDEX(القوائم!$B$1:$B$288,MATCH(TRIM(C301),القوائم!$A$1:$A$288,0)),IFERROR(MOD(TIMEVALUE(C301),1),""))))</f>
        <v/>
      </c>
      <c r="L301" s="33" t="str">
        <f aca="false">IF(OR(M301=0,D301=""),"",IF(ISNUMBER(D301),MOD(D301,1),IFERROR(INDEX(القوائم!$B$1:$B$288,MATCH(TRIM(D301),القوائم!$A$1:$A$288,0)),IFERROR(MOD(TIMEVALUE(D301),1),""))))</f>
        <v/>
      </c>
      <c r="M301" s="25" t="n">
        <f aca="false">M295</f>
        <v>0</v>
      </c>
      <c r="Q301" s="25" t="n">
        <f aca="false">IF(N(G306)&gt;0,1,0)</f>
        <v>0</v>
      </c>
      <c r="S301" s="0" t="n">
        <v>25</v>
      </c>
    </row>
    <row r="302" customFormat="false" ht="15" hidden="false" customHeight="false" outlineLevel="0" collapsed="false">
      <c r="A302" s="28" t="n">
        <f aca="false">IF(25&lt;=NW,SAT1+173,"")</f>
        <v>46191</v>
      </c>
      <c r="B302" s="29" t="str">
        <f aca="false">IF(A302="","",CHOOSE(WEEKDAY(A302,1),"الأحد","الاثنين","الثلاثاء","الأربعاء","الخميس","الجمعة","السبت"))</f>
        <v>الخميس</v>
      </c>
      <c r="C302" s="30"/>
      <c r="D302" s="30"/>
      <c r="E302" s="31" t="str">
        <f aca="false">IF(OR(M302=0,K302="",L302=""),"",MOD(L302-K302,1))</f>
        <v/>
      </c>
      <c r="F302" s="31" t="str">
        <f aca="false">IF(OR(E302="",M302=0),"",IF(WEEKDAY(A302,1)=6,E302,MIN(E302,MAX(0,MIN(IF(L302&lt;K302,L302+1,L302),OMR_OT_AT)-K302))))</f>
        <v/>
      </c>
      <c r="G302" s="31" t="str">
        <f aca="false">IF(OR(E302="",M302=0),"",MAX(0,E302-F302))</f>
        <v/>
      </c>
      <c r="H302" s="32" t="str">
        <f aca="false">IF(OR(E302="",M302=0),"",ROUND((F302*$N$295+G302*$O$295)*24,3))</f>
        <v/>
      </c>
      <c r="I302" s="30"/>
      <c r="K302" s="33" t="str">
        <f aca="false">IF(OR(M302=0,C302=""),"",IF(ISNUMBER(C302),MOD(C302,1),IFERROR(INDEX(القوائم!$B$1:$B$288,MATCH(TRIM(C302),القوائم!$A$1:$A$288,0)),IFERROR(MOD(TIMEVALUE(C302),1),""))))</f>
        <v/>
      </c>
      <c r="L302" s="33" t="str">
        <f aca="false">IF(OR(M302=0,D302=""),"",IF(ISNUMBER(D302),MOD(D302,1),IFERROR(INDEX(القوائم!$B$1:$B$288,MATCH(TRIM(D302),القوائم!$A$1:$A$288,0)),IFERROR(MOD(TIMEVALUE(D302),1),""))))</f>
        <v/>
      </c>
      <c r="M302" s="25" t="n">
        <f aca="false">M295</f>
        <v>0</v>
      </c>
      <c r="Q302" s="25" t="n">
        <f aca="false">IF(N(G306)&gt;0,1,0)</f>
        <v>0</v>
      </c>
      <c r="S302" s="0" t="n">
        <v>25</v>
      </c>
    </row>
    <row r="303" customFormat="false" ht="15" hidden="false" customHeight="false" outlineLevel="0" collapsed="false">
      <c r="A303" s="34" t="n">
        <f aca="false">IF(25&lt;=NW,SAT1+174,"")</f>
        <v>46192</v>
      </c>
      <c r="B303" s="35" t="str">
        <f aca="false">IF(A303="","",CHOOSE(WEEKDAY(A303,1),"الأحد","الاثنين","الثلاثاء","الأربعاء","الخميس","الجمعة","السبت"))</f>
        <v>الجمعة</v>
      </c>
      <c r="C303" s="30"/>
      <c r="D303" s="30"/>
      <c r="E303" s="31" t="str">
        <f aca="false">IF(OR(M303=0,K303="",L303=""),"",MOD(L303-K303,1))</f>
        <v/>
      </c>
      <c r="F303" s="31" t="str">
        <f aca="false">IF(OR(E303="",M303=0),"",IF(WEEKDAY(A303,1)=6,E303,MIN(E303,MAX(0,MIN(IF(L303&lt;K303,L303+1,L303),OMR_OT_AT)-K303))))</f>
        <v/>
      </c>
      <c r="G303" s="31" t="str">
        <f aca="false">IF(OR(E303="",M303=0),"",MAX(0,E303-F303))</f>
        <v/>
      </c>
      <c r="H303" s="32" t="str">
        <f aca="false">IF(OR(E303="",M303=0),"",ROUND((F303*$N$295+G303*$O$295)*24,3))</f>
        <v/>
      </c>
      <c r="I303" s="30"/>
      <c r="K303" s="33" t="str">
        <f aca="false">IF(OR(M303=0,C303=""),"",IF(ISNUMBER(C303),MOD(C303,1),IFERROR(INDEX(القوائم!$B$1:$B$288,MATCH(TRIM(C303),القوائم!$A$1:$A$288,0)),IFERROR(MOD(TIMEVALUE(C303),1),""))))</f>
        <v/>
      </c>
      <c r="L303" s="33" t="str">
        <f aca="false">IF(OR(M303=0,D303=""),"",IF(ISNUMBER(D303),MOD(D303,1),IFERROR(INDEX(القوائم!$B$1:$B$288,MATCH(TRIM(D303),القوائم!$A$1:$A$288,0)),IFERROR(MOD(TIMEVALUE(D303),1),""))))</f>
        <v/>
      </c>
      <c r="M303" s="25" t="n">
        <f aca="false">M295</f>
        <v>0</v>
      </c>
      <c r="Q303" s="25" t="n">
        <f aca="false">IF(N(G306)&gt;0,1,0)</f>
        <v>0</v>
      </c>
      <c r="S303" s="0" t="n">
        <v>25</v>
      </c>
    </row>
    <row r="304" customFormat="false" ht="15" hidden="false" customHeight="false" outlineLevel="0" collapsed="false">
      <c r="A304" s="36" t="str">
        <f aca="false">IF(M295=1,"مجموع أيام الأسبوع 25","")</f>
        <v/>
      </c>
      <c r="B304" s="36"/>
      <c r="C304" s="36"/>
      <c r="D304" s="36"/>
      <c r="E304" s="37" t="str">
        <f aca="false">IF(M295=1,SUM(E297:E303),"")</f>
        <v/>
      </c>
      <c r="F304" s="37" t="str">
        <f aca="false">IF(M295=1,SUM(F297:F303),"")</f>
        <v/>
      </c>
      <c r="G304" s="37" t="str">
        <f aca="false">IF(M295=1,SUM(G297:G303),"")</f>
        <v/>
      </c>
      <c r="H304" s="38" t="str">
        <f aca="false">IF(M295=1,SUM(H297:H303),"")</f>
        <v/>
      </c>
      <c r="I304" s="36"/>
      <c r="S304" s="0" t="n">
        <v>25</v>
      </c>
    </row>
    <row r="305" customFormat="false" ht="31.5" hidden="false" customHeight="true" outlineLevel="0" collapsed="false">
      <c r="A305" s="39" t="str">
        <f aca="false">IF(M295=1,"ساعات تحميل الجبسمبورد بهالأسبوع (رقم: 2 أو 1.5) ←","")</f>
        <v/>
      </c>
      <c r="B305" s="39"/>
      <c r="C305" s="39"/>
      <c r="D305" s="39"/>
      <c r="E305" s="40"/>
      <c r="F305" s="41" t="str">
        <f aca="false">IF(M295=1,"المستحق النهائي للأسبوع مع الإكرامية (دينار) ←","")</f>
        <v/>
      </c>
      <c r="G305" s="41"/>
      <c r="H305" s="42" t="str">
        <f aca="false">IF(M295=1,IF(ROUND_MODE="للأعلى",CEILING(ROUND((N(H304)+N(E305)*($P$295-$N$295)),3),0.25),ROUND((N(H304)+N(E305)*($P$295-$N$295))*4,0)/4)+N(D306),"")</f>
        <v/>
      </c>
      <c r="I305" s="43" t="str">
        <f aca="false">IF(M295=1,"قبل الجبر: "&amp;TEXT(N(H304)+N(E305)*($P$295-$N$295),"0.000")&amp;IF(N(D306)&gt;0," + إكرامية "&amp;TEXT(D306,"0.000"),""),"")</f>
        <v/>
      </c>
      <c r="S305" s="0" t="n">
        <v>25</v>
      </c>
    </row>
    <row r="306" customFormat="false" ht="25.5" hidden="false" customHeight="true" outlineLevel="0" collapsed="false">
      <c r="A306" s="39" t="str">
        <f aca="false">IF(M295=1,"إكرامية الأسبوع (دينار) ←","")</f>
        <v/>
      </c>
      <c r="B306" s="39"/>
      <c r="C306" s="39"/>
      <c r="D306" s="44"/>
      <c r="E306" s="39" t="str">
        <f aca="false">IF(M295=1,"المدفوع (دينار) ←","")</f>
        <v/>
      </c>
      <c r="F306" s="39"/>
      <c r="G306" s="44"/>
      <c r="H306" s="45" t="str">
        <f aca="false">IF(M295=1,IF(N(G306)&gt;0,"✔ انقبض — الأسبوع مقفول","⏳ لسا ما انقبض"),"")</f>
        <v/>
      </c>
      <c r="I306" s="45"/>
      <c r="S306" s="0" t="n">
        <v>25</v>
      </c>
    </row>
    <row r="307" customFormat="false" ht="27.75" hidden="false" customHeight="true" outlineLevel="0" collapsed="false">
      <c r="A307" s="23" t="str">
        <f aca="false">IF(26&lt;=NW,"من السبت "&amp;TEXT(DAY(SAT1+175),"00")&amp;"/"&amp;TEXT(MONTH(SAT1+175),"00")&amp;"/"&amp;YEAR(SAT1+175)&amp;" إلى الجمعة "&amp;TEXT(DAY(SAT1+181),"00")&amp;"/"&amp;TEXT(MONTH(SAT1+181),"00")&amp;"/"&amp;YEAR(SAT1+181)&amp;" · الأسبوع 26"&amp;"  (يوم القبض: الجمعة)"&amp;IF(26&lt;START_O,"   — قبل أسبوع البداية (ما بينحسب)",""),"ما في أسبوع 26 هالسنة")</f>
        <v>من السبت 20/06/2026 إلى الجمعة 26/06/2026 · الأسبوع 26  (يوم القبض: الجمعة)   — قبل أسبوع البداية (ما بينحسب)</v>
      </c>
      <c r="B307" s="23"/>
      <c r="C307" s="23"/>
      <c r="D307" s="23"/>
      <c r="E307" s="23"/>
      <c r="F307" s="23"/>
      <c r="G307" s="23"/>
      <c r="H307" s="23"/>
      <c r="I307" s="23"/>
      <c r="L307" s="24" t="n">
        <f aca="false">IF(26&lt;=NW,SAT1+181,"")</f>
        <v>46199</v>
      </c>
      <c r="M307" s="25" t="n">
        <f aca="false">IF(AND(26&lt;=NW,26&gt;=START_O),1,0)</f>
        <v>0</v>
      </c>
      <c r="N307" s="26" t="n">
        <f aca="false">IFERROR(INDEX(RT_OMR,MATCH(L307,RT_K,1)),INDEX(RT_OMR,1))</f>
        <v>1.25</v>
      </c>
      <c r="O307" s="26" t="n">
        <f aca="false">IFERROR(INDEX(RT_OT,MATCH(L307,RT_K,1)),INDEX(RT_OT,1))</f>
        <v>1.5</v>
      </c>
      <c r="P307" s="26" t="n">
        <f aca="false">IFERROR(INDEX(RT_GYP,MATCH(L307,RT_K,1)),INDEX(RT_GYP,1))</f>
        <v>2.5</v>
      </c>
      <c r="R307" s="0" t="n">
        <v>26</v>
      </c>
      <c r="S307" s="0" t="n">
        <v>26</v>
      </c>
    </row>
    <row r="308" customFormat="false" ht="25.5" hidden="false" customHeight="true" outlineLevel="0" collapsed="false">
      <c r="A308" s="27" t="s">
        <v>22</v>
      </c>
      <c r="B308" s="27" t="s">
        <v>23</v>
      </c>
      <c r="C308" s="27" t="s">
        <v>24</v>
      </c>
      <c r="D308" s="27" t="s">
        <v>25</v>
      </c>
      <c r="E308" s="27" t="s">
        <v>26</v>
      </c>
      <c r="F308" s="27" t="s">
        <v>27</v>
      </c>
      <c r="G308" s="27" t="s">
        <v>28</v>
      </c>
      <c r="H308" s="27" t="s">
        <v>29</v>
      </c>
      <c r="I308" s="27" t="s">
        <v>30</v>
      </c>
      <c r="S308" s="0" t="n">
        <v>26</v>
      </c>
    </row>
    <row r="309" customFormat="false" ht="15" hidden="false" customHeight="false" outlineLevel="0" collapsed="false">
      <c r="A309" s="28" t="n">
        <f aca="false">IF(26&lt;=NW,SAT1+175,"")</f>
        <v>46193</v>
      </c>
      <c r="B309" s="29" t="str">
        <f aca="false">IF(A309="","",CHOOSE(WEEKDAY(A309,1),"الأحد","الاثنين","الثلاثاء","الأربعاء","الخميس","الجمعة","السبت"))</f>
        <v>السبت</v>
      </c>
      <c r="C309" s="30"/>
      <c r="D309" s="30"/>
      <c r="E309" s="31" t="str">
        <f aca="false">IF(OR(M309=0,K309="",L309=""),"",MOD(L309-K309,1))</f>
        <v/>
      </c>
      <c r="F309" s="31" t="str">
        <f aca="false">IF(OR(E309="",M309=0),"",IF(WEEKDAY(A309,1)=6,E309,MIN(E309,MAX(0,MIN(IF(L309&lt;K309,L309+1,L309),OMR_OT_AT)-K309))))</f>
        <v/>
      </c>
      <c r="G309" s="31" t="str">
        <f aca="false">IF(OR(E309="",M309=0),"",MAX(0,E309-F309))</f>
        <v/>
      </c>
      <c r="H309" s="32" t="str">
        <f aca="false">IF(OR(E309="",M309=0),"",ROUND((F309*$N$307+G309*$O$307)*24,3))</f>
        <v/>
      </c>
      <c r="I309" s="30"/>
      <c r="K309" s="33" t="str">
        <f aca="false">IF(OR(M309=0,C309=""),"",IF(ISNUMBER(C309),MOD(C309,1),IFERROR(INDEX(القوائم!$B$1:$B$288,MATCH(TRIM(C309),القوائم!$A$1:$A$288,0)),IFERROR(MOD(TIMEVALUE(C309),1),""))))</f>
        <v/>
      </c>
      <c r="L309" s="33" t="str">
        <f aca="false">IF(OR(M309=0,D309=""),"",IF(ISNUMBER(D309),MOD(D309,1),IFERROR(INDEX(القوائم!$B$1:$B$288,MATCH(TRIM(D309),القوائم!$A$1:$A$288,0)),IFERROR(MOD(TIMEVALUE(D309),1),""))))</f>
        <v/>
      </c>
      <c r="M309" s="25" t="n">
        <f aca="false">M307</f>
        <v>0</v>
      </c>
      <c r="Q309" s="25" t="n">
        <f aca="false">IF(N(G318)&gt;0,1,0)</f>
        <v>0</v>
      </c>
      <c r="S309" s="0" t="n">
        <v>26</v>
      </c>
    </row>
    <row r="310" customFormat="false" ht="15" hidden="false" customHeight="false" outlineLevel="0" collapsed="false">
      <c r="A310" s="28" t="n">
        <f aca="false">IF(26&lt;=NW,SAT1+176,"")</f>
        <v>46194</v>
      </c>
      <c r="B310" s="29" t="str">
        <f aca="false">IF(A310="","",CHOOSE(WEEKDAY(A310,1),"الأحد","الاثنين","الثلاثاء","الأربعاء","الخميس","الجمعة","السبت"))</f>
        <v>الأحد</v>
      </c>
      <c r="C310" s="30"/>
      <c r="D310" s="30"/>
      <c r="E310" s="31" t="str">
        <f aca="false">IF(OR(M310=0,K310="",L310=""),"",MOD(L310-K310,1))</f>
        <v/>
      </c>
      <c r="F310" s="31" t="str">
        <f aca="false">IF(OR(E310="",M310=0),"",IF(WEEKDAY(A310,1)=6,E310,MIN(E310,MAX(0,MIN(IF(L310&lt;K310,L310+1,L310),OMR_OT_AT)-K310))))</f>
        <v/>
      </c>
      <c r="G310" s="31" t="str">
        <f aca="false">IF(OR(E310="",M310=0),"",MAX(0,E310-F310))</f>
        <v/>
      </c>
      <c r="H310" s="32" t="str">
        <f aca="false">IF(OR(E310="",M310=0),"",ROUND((F310*$N$307+G310*$O$307)*24,3))</f>
        <v/>
      </c>
      <c r="I310" s="30"/>
      <c r="K310" s="33" t="str">
        <f aca="false">IF(OR(M310=0,C310=""),"",IF(ISNUMBER(C310),MOD(C310,1),IFERROR(INDEX(القوائم!$B$1:$B$288,MATCH(TRIM(C310),القوائم!$A$1:$A$288,0)),IFERROR(MOD(TIMEVALUE(C310),1),""))))</f>
        <v/>
      </c>
      <c r="L310" s="33" t="str">
        <f aca="false">IF(OR(M310=0,D310=""),"",IF(ISNUMBER(D310),MOD(D310,1),IFERROR(INDEX(القوائم!$B$1:$B$288,MATCH(TRIM(D310),القوائم!$A$1:$A$288,0)),IFERROR(MOD(TIMEVALUE(D310),1),""))))</f>
        <v/>
      </c>
      <c r="M310" s="25" t="n">
        <f aca="false">M307</f>
        <v>0</v>
      </c>
      <c r="Q310" s="25" t="n">
        <f aca="false">IF(N(G318)&gt;0,1,0)</f>
        <v>0</v>
      </c>
      <c r="S310" s="0" t="n">
        <v>26</v>
      </c>
    </row>
    <row r="311" customFormat="false" ht="15" hidden="false" customHeight="false" outlineLevel="0" collapsed="false">
      <c r="A311" s="28" t="n">
        <f aca="false">IF(26&lt;=NW,SAT1+177,"")</f>
        <v>46195</v>
      </c>
      <c r="B311" s="29" t="str">
        <f aca="false">IF(A311="","",CHOOSE(WEEKDAY(A311,1),"الأحد","الاثنين","الثلاثاء","الأربعاء","الخميس","الجمعة","السبت"))</f>
        <v>الاثنين</v>
      </c>
      <c r="C311" s="30"/>
      <c r="D311" s="30"/>
      <c r="E311" s="31" t="str">
        <f aca="false">IF(OR(M311=0,K311="",L311=""),"",MOD(L311-K311,1))</f>
        <v/>
      </c>
      <c r="F311" s="31" t="str">
        <f aca="false">IF(OR(E311="",M311=0),"",IF(WEEKDAY(A311,1)=6,E311,MIN(E311,MAX(0,MIN(IF(L311&lt;K311,L311+1,L311),OMR_OT_AT)-K311))))</f>
        <v/>
      </c>
      <c r="G311" s="31" t="str">
        <f aca="false">IF(OR(E311="",M311=0),"",MAX(0,E311-F311))</f>
        <v/>
      </c>
      <c r="H311" s="32" t="str">
        <f aca="false">IF(OR(E311="",M311=0),"",ROUND((F311*$N$307+G311*$O$307)*24,3))</f>
        <v/>
      </c>
      <c r="I311" s="30"/>
      <c r="K311" s="33" t="str">
        <f aca="false">IF(OR(M311=0,C311=""),"",IF(ISNUMBER(C311),MOD(C311,1),IFERROR(INDEX(القوائم!$B$1:$B$288,MATCH(TRIM(C311),القوائم!$A$1:$A$288,0)),IFERROR(MOD(TIMEVALUE(C311),1),""))))</f>
        <v/>
      </c>
      <c r="L311" s="33" t="str">
        <f aca="false">IF(OR(M311=0,D311=""),"",IF(ISNUMBER(D311),MOD(D311,1),IFERROR(INDEX(القوائم!$B$1:$B$288,MATCH(TRIM(D311),القوائم!$A$1:$A$288,0)),IFERROR(MOD(TIMEVALUE(D311),1),""))))</f>
        <v/>
      </c>
      <c r="M311" s="25" t="n">
        <f aca="false">M307</f>
        <v>0</v>
      </c>
      <c r="Q311" s="25" t="n">
        <f aca="false">IF(N(G318)&gt;0,1,0)</f>
        <v>0</v>
      </c>
      <c r="S311" s="0" t="n">
        <v>26</v>
      </c>
    </row>
    <row r="312" customFormat="false" ht="15" hidden="false" customHeight="false" outlineLevel="0" collapsed="false">
      <c r="A312" s="28" t="n">
        <f aca="false">IF(26&lt;=NW,SAT1+178,"")</f>
        <v>46196</v>
      </c>
      <c r="B312" s="29" t="str">
        <f aca="false">IF(A312="","",CHOOSE(WEEKDAY(A312,1),"الأحد","الاثنين","الثلاثاء","الأربعاء","الخميس","الجمعة","السبت"))</f>
        <v>الثلاثاء</v>
      </c>
      <c r="C312" s="30"/>
      <c r="D312" s="30"/>
      <c r="E312" s="31" t="str">
        <f aca="false">IF(OR(M312=0,K312="",L312=""),"",MOD(L312-K312,1))</f>
        <v/>
      </c>
      <c r="F312" s="31" t="str">
        <f aca="false">IF(OR(E312="",M312=0),"",IF(WEEKDAY(A312,1)=6,E312,MIN(E312,MAX(0,MIN(IF(L312&lt;K312,L312+1,L312),OMR_OT_AT)-K312))))</f>
        <v/>
      </c>
      <c r="G312" s="31" t="str">
        <f aca="false">IF(OR(E312="",M312=0),"",MAX(0,E312-F312))</f>
        <v/>
      </c>
      <c r="H312" s="32" t="str">
        <f aca="false">IF(OR(E312="",M312=0),"",ROUND((F312*$N$307+G312*$O$307)*24,3))</f>
        <v/>
      </c>
      <c r="I312" s="30"/>
      <c r="K312" s="33" t="str">
        <f aca="false">IF(OR(M312=0,C312=""),"",IF(ISNUMBER(C312),MOD(C312,1),IFERROR(INDEX(القوائم!$B$1:$B$288,MATCH(TRIM(C312),القوائم!$A$1:$A$288,0)),IFERROR(MOD(TIMEVALUE(C312),1),""))))</f>
        <v/>
      </c>
      <c r="L312" s="33" t="str">
        <f aca="false">IF(OR(M312=0,D312=""),"",IF(ISNUMBER(D312),MOD(D312,1),IFERROR(INDEX(القوائم!$B$1:$B$288,MATCH(TRIM(D312),القوائم!$A$1:$A$288,0)),IFERROR(MOD(TIMEVALUE(D312),1),""))))</f>
        <v/>
      </c>
      <c r="M312" s="25" t="n">
        <f aca="false">M307</f>
        <v>0</v>
      </c>
      <c r="Q312" s="25" t="n">
        <f aca="false">IF(N(G318)&gt;0,1,0)</f>
        <v>0</v>
      </c>
      <c r="S312" s="0" t="n">
        <v>26</v>
      </c>
    </row>
    <row r="313" customFormat="false" ht="15" hidden="false" customHeight="false" outlineLevel="0" collapsed="false">
      <c r="A313" s="28" t="n">
        <f aca="false">IF(26&lt;=NW,SAT1+179,"")</f>
        <v>46197</v>
      </c>
      <c r="B313" s="29" t="str">
        <f aca="false">IF(A313="","",CHOOSE(WEEKDAY(A313,1),"الأحد","الاثنين","الثلاثاء","الأربعاء","الخميس","الجمعة","السبت"))</f>
        <v>الأربعاء</v>
      </c>
      <c r="C313" s="30"/>
      <c r="D313" s="30"/>
      <c r="E313" s="31" t="str">
        <f aca="false">IF(OR(M313=0,K313="",L313=""),"",MOD(L313-K313,1))</f>
        <v/>
      </c>
      <c r="F313" s="31" t="str">
        <f aca="false">IF(OR(E313="",M313=0),"",IF(WEEKDAY(A313,1)=6,E313,MIN(E313,MAX(0,MIN(IF(L313&lt;K313,L313+1,L313),OMR_OT_AT)-K313))))</f>
        <v/>
      </c>
      <c r="G313" s="31" t="str">
        <f aca="false">IF(OR(E313="",M313=0),"",MAX(0,E313-F313))</f>
        <v/>
      </c>
      <c r="H313" s="32" t="str">
        <f aca="false">IF(OR(E313="",M313=0),"",ROUND((F313*$N$307+G313*$O$307)*24,3))</f>
        <v/>
      </c>
      <c r="I313" s="30"/>
      <c r="K313" s="33" t="str">
        <f aca="false">IF(OR(M313=0,C313=""),"",IF(ISNUMBER(C313),MOD(C313,1),IFERROR(INDEX(القوائم!$B$1:$B$288,MATCH(TRIM(C313),القوائم!$A$1:$A$288,0)),IFERROR(MOD(TIMEVALUE(C313),1),""))))</f>
        <v/>
      </c>
      <c r="L313" s="33" t="str">
        <f aca="false">IF(OR(M313=0,D313=""),"",IF(ISNUMBER(D313),MOD(D313,1),IFERROR(INDEX(القوائم!$B$1:$B$288,MATCH(TRIM(D313),القوائم!$A$1:$A$288,0)),IFERROR(MOD(TIMEVALUE(D313),1),""))))</f>
        <v/>
      </c>
      <c r="M313" s="25" t="n">
        <f aca="false">M307</f>
        <v>0</v>
      </c>
      <c r="Q313" s="25" t="n">
        <f aca="false">IF(N(G318)&gt;0,1,0)</f>
        <v>0</v>
      </c>
      <c r="S313" s="0" t="n">
        <v>26</v>
      </c>
    </row>
    <row r="314" customFormat="false" ht="15" hidden="false" customHeight="false" outlineLevel="0" collapsed="false">
      <c r="A314" s="28" t="n">
        <f aca="false">IF(26&lt;=NW,SAT1+180,"")</f>
        <v>46198</v>
      </c>
      <c r="B314" s="29" t="str">
        <f aca="false">IF(A314="","",CHOOSE(WEEKDAY(A314,1),"الأحد","الاثنين","الثلاثاء","الأربعاء","الخميس","الجمعة","السبت"))</f>
        <v>الخميس</v>
      </c>
      <c r="C314" s="30"/>
      <c r="D314" s="30"/>
      <c r="E314" s="31" t="str">
        <f aca="false">IF(OR(M314=0,K314="",L314=""),"",MOD(L314-K314,1))</f>
        <v/>
      </c>
      <c r="F314" s="31" t="str">
        <f aca="false">IF(OR(E314="",M314=0),"",IF(WEEKDAY(A314,1)=6,E314,MIN(E314,MAX(0,MIN(IF(L314&lt;K314,L314+1,L314),OMR_OT_AT)-K314))))</f>
        <v/>
      </c>
      <c r="G314" s="31" t="str">
        <f aca="false">IF(OR(E314="",M314=0),"",MAX(0,E314-F314))</f>
        <v/>
      </c>
      <c r="H314" s="32" t="str">
        <f aca="false">IF(OR(E314="",M314=0),"",ROUND((F314*$N$307+G314*$O$307)*24,3))</f>
        <v/>
      </c>
      <c r="I314" s="30"/>
      <c r="K314" s="33" t="str">
        <f aca="false">IF(OR(M314=0,C314=""),"",IF(ISNUMBER(C314),MOD(C314,1),IFERROR(INDEX(القوائم!$B$1:$B$288,MATCH(TRIM(C314),القوائم!$A$1:$A$288,0)),IFERROR(MOD(TIMEVALUE(C314),1),""))))</f>
        <v/>
      </c>
      <c r="L314" s="33" t="str">
        <f aca="false">IF(OR(M314=0,D314=""),"",IF(ISNUMBER(D314),MOD(D314,1),IFERROR(INDEX(القوائم!$B$1:$B$288,MATCH(TRIM(D314),القوائم!$A$1:$A$288,0)),IFERROR(MOD(TIMEVALUE(D314),1),""))))</f>
        <v/>
      </c>
      <c r="M314" s="25" t="n">
        <f aca="false">M307</f>
        <v>0</v>
      </c>
      <c r="Q314" s="25" t="n">
        <f aca="false">IF(N(G318)&gt;0,1,0)</f>
        <v>0</v>
      </c>
      <c r="S314" s="0" t="n">
        <v>26</v>
      </c>
    </row>
    <row r="315" customFormat="false" ht="15" hidden="false" customHeight="false" outlineLevel="0" collapsed="false">
      <c r="A315" s="34" t="n">
        <f aca="false">IF(26&lt;=NW,SAT1+181,"")</f>
        <v>46199</v>
      </c>
      <c r="B315" s="35" t="str">
        <f aca="false">IF(A315="","",CHOOSE(WEEKDAY(A315,1),"الأحد","الاثنين","الثلاثاء","الأربعاء","الخميس","الجمعة","السبت"))</f>
        <v>الجمعة</v>
      </c>
      <c r="C315" s="30"/>
      <c r="D315" s="30"/>
      <c r="E315" s="31" t="str">
        <f aca="false">IF(OR(M315=0,K315="",L315=""),"",MOD(L315-K315,1))</f>
        <v/>
      </c>
      <c r="F315" s="31" t="str">
        <f aca="false">IF(OR(E315="",M315=0),"",IF(WEEKDAY(A315,1)=6,E315,MIN(E315,MAX(0,MIN(IF(L315&lt;K315,L315+1,L315),OMR_OT_AT)-K315))))</f>
        <v/>
      </c>
      <c r="G315" s="31" t="str">
        <f aca="false">IF(OR(E315="",M315=0),"",MAX(0,E315-F315))</f>
        <v/>
      </c>
      <c r="H315" s="32" t="str">
        <f aca="false">IF(OR(E315="",M315=0),"",ROUND((F315*$N$307+G315*$O$307)*24,3))</f>
        <v/>
      </c>
      <c r="I315" s="30"/>
      <c r="K315" s="33" t="str">
        <f aca="false">IF(OR(M315=0,C315=""),"",IF(ISNUMBER(C315),MOD(C315,1),IFERROR(INDEX(القوائم!$B$1:$B$288,MATCH(TRIM(C315),القوائم!$A$1:$A$288,0)),IFERROR(MOD(TIMEVALUE(C315),1),""))))</f>
        <v/>
      </c>
      <c r="L315" s="33" t="str">
        <f aca="false">IF(OR(M315=0,D315=""),"",IF(ISNUMBER(D315),MOD(D315,1),IFERROR(INDEX(القوائم!$B$1:$B$288,MATCH(TRIM(D315),القوائم!$A$1:$A$288,0)),IFERROR(MOD(TIMEVALUE(D315),1),""))))</f>
        <v/>
      </c>
      <c r="M315" s="25" t="n">
        <f aca="false">M307</f>
        <v>0</v>
      </c>
      <c r="Q315" s="25" t="n">
        <f aca="false">IF(N(G318)&gt;0,1,0)</f>
        <v>0</v>
      </c>
      <c r="S315" s="0" t="n">
        <v>26</v>
      </c>
    </row>
    <row r="316" customFormat="false" ht="15" hidden="false" customHeight="false" outlineLevel="0" collapsed="false">
      <c r="A316" s="36" t="str">
        <f aca="false">IF(M307=1,"مجموع أيام الأسبوع 26","")</f>
        <v/>
      </c>
      <c r="B316" s="36"/>
      <c r="C316" s="36"/>
      <c r="D316" s="36"/>
      <c r="E316" s="37" t="str">
        <f aca="false">IF(M307=1,SUM(E309:E315),"")</f>
        <v/>
      </c>
      <c r="F316" s="37" t="str">
        <f aca="false">IF(M307=1,SUM(F309:F315),"")</f>
        <v/>
      </c>
      <c r="G316" s="37" t="str">
        <f aca="false">IF(M307=1,SUM(G309:G315),"")</f>
        <v/>
      </c>
      <c r="H316" s="38" t="str">
        <f aca="false">IF(M307=1,SUM(H309:H315),"")</f>
        <v/>
      </c>
      <c r="I316" s="36"/>
      <c r="S316" s="0" t="n">
        <v>26</v>
      </c>
    </row>
    <row r="317" customFormat="false" ht="31.5" hidden="false" customHeight="true" outlineLevel="0" collapsed="false">
      <c r="A317" s="39" t="str">
        <f aca="false">IF(M307=1,"ساعات تحميل الجبسمبورد بهالأسبوع (رقم: 2 أو 1.5) ←","")</f>
        <v/>
      </c>
      <c r="B317" s="39"/>
      <c r="C317" s="39"/>
      <c r="D317" s="39"/>
      <c r="E317" s="40"/>
      <c r="F317" s="41" t="str">
        <f aca="false">IF(M307=1,"المستحق النهائي للأسبوع مع الإكرامية (دينار) ←","")</f>
        <v/>
      </c>
      <c r="G317" s="41"/>
      <c r="H317" s="42" t="str">
        <f aca="false">IF(M307=1,IF(ROUND_MODE="للأعلى",CEILING(ROUND((N(H316)+N(E317)*($P$307-$N$307)),3),0.25),ROUND((N(H316)+N(E317)*($P$307-$N$307))*4,0)/4)+N(D318),"")</f>
        <v/>
      </c>
      <c r="I317" s="43" t="str">
        <f aca="false">IF(M307=1,"قبل الجبر: "&amp;TEXT(N(H316)+N(E317)*($P$307-$N$307),"0.000")&amp;IF(N(D318)&gt;0," + إكرامية "&amp;TEXT(D318,"0.000"),""),"")</f>
        <v/>
      </c>
      <c r="S317" s="0" t="n">
        <v>26</v>
      </c>
    </row>
    <row r="318" customFormat="false" ht="25.5" hidden="false" customHeight="true" outlineLevel="0" collapsed="false">
      <c r="A318" s="39" t="str">
        <f aca="false">IF(M307=1,"إكرامية الأسبوع (دينار) ←","")</f>
        <v/>
      </c>
      <c r="B318" s="39"/>
      <c r="C318" s="39"/>
      <c r="D318" s="44"/>
      <c r="E318" s="39" t="str">
        <f aca="false">IF(M307=1,"المدفوع (دينار) ←","")</f>
        <v/>
      </c>
      <c r="F318" s="39"/>
      <c r="G318" s="44"/>
      <c r="H318" s="45" t="str">
        <f aca="false">IF(M307=1,IF(N(G318)&gt;0,"✔ انقبض — الأسبوع مقفول","⏳ لسا ما انقبض"),"")</f>
        <v/>
      </c>
      <c r="I318" s="45"/>
      <c r="S318" s="0" t="n">
        <v>26</v>
      </c>
    </row>
    <row r="319" customFormat="false" ht="27.75" hidden="false" customHeight="true" outlineLevel="0" collapsed="false">
      <c r="A319" s="23" t="str">
        <f aca="false">IF(27&lt;=NW,"من السبت "&amp;TEXT(DAY(SAT1+182),"00")&amp;"/"&amp;TEXT(MONTH(SAT1+182),"00")&amp;"/"&amp;YEAR(SAT1+182)&amp;" إلى الجمعة "&amp;TEXT(DAY(SAT1+188),"00")&amp;"/"&amp;TEXT(MONTH(SAT1+188),"00")&amp;"/"&amp;YEAR(SAT1+188)&amp;" · الأسبوع 27"&amp;"  (يوم القبض: الجمعة)"&amp;IF(27&lt;START_O,"   — قبل أسبوع البداية (ما بينحسب)",""),"ما في أسبوع 27 هالسنة")</f>
        <v>من السبت 27/06/2026 إلى الجمعة 03/07/2026 · الأسبوع 27  (يوم القبض: الجمعة)   — قبل أسبوع البداية (ما بينحسب)</v>
      </c>
      <c r="B319" s="23"/>
      <c r="C319" s="23"/>
      <c r="D319" s="23"/>
      <c r="E319" s="23"/>
      <c r="F319" s="23"/>
      <c r="G319" s="23"/>
      <c r="H319" s="23"/>
      <c r="I319" s="23"/>
      <c r="L319" s="24" t="n">
        <f aca="false">IF(27&lt;=NW,SAT1+188,"")</f>
        <v>46206</v>
      </c>
      <c r="M319" s="25" t="n">
        <f aca="false">IF(AND(27&lt;=NW,27&gt;=START_O),1,0)</f>
        <v>0</v>
      </c>
      <c r="N319" s="26" t="n">
        <f aca="false">IFERROR(INDEX(RT_OMR,MATCH(L319,RT_K,1)),INDEX(RT_OMR,1))</f>
        <v>1.25</v>
      </c>
      <c r="O319" s="26" t="n">
        <f aca="false">IFERROR(INDEX(RT_OT,MATCH(L319,RT_K,1)),INDEX(RT_OT,1))</f>
        <v>1.5</v>
      </c>
      <c r="P319" s="26" t="n">
        <f aca="false">IFERROR(INDEX(RT_GYP,MATCH(L319,RT_K,1)),INDEX(RT_GYP,1))</f>
        <v>2.5</v>
      </c>
      <c r="R319" s="0" t="n">
        <v>27</v>
      </c>
      <c r="S319" s="0" t="n">
        <v>27</v>
      </c>
    </row>
    <row r="320" customFormat="false" ht="25.5" hidden="false" customHeight="true" outlineLevel="0" collapsed="false">
      <c r="A320" s="27" t="s">
        <v>22</v>
      </c>
      <c r="B320" s="27" t="s">
        <v>23</v>
      </c>
      <c r="C320" s="27" t="s">
        <v>24</v>
      </c>
      <c r="D320" s="27" t="s">
        <v>25</v>
      </c>
      <c r="E320" s="27" t="s">
        <v>26</v>
      </c>
      <c r="F320" s="27" t="s">
        <v>27</v>
      </c>
      <c r="G320" s="27" t="s">
        <v>28</v>
      </c>
      <c r="H320" s="27" t="s">
        <v>29</v>
      </c>
      <c r="I320" s="27" t="s">
        <v>30</v>
      </c>
      <c r="S320" s="0" t="n">
        <v>27</v>
      </c>
    </row>
    <row r="321" customFormat="false" ht="15" hidden="false" customHeight="false" outlineLevel="0" collapsed="false">
      <c r="A321" s="28" t="n">
        <f aca="false">IF(27&lt;=NW,SAT1+182,"")</f>
        <v>46200</v>
      </c>
      <c r="B321" s="29" t="str">
        <f aca="false">IF(A321="","",CHOOSE(WEEKDAY(A321,1),"الأحد","الاثنين","الثلاثاء","الأربعاء","الخميس","الجمعة","السبت"))</f>
        <v>السبت</v>
      </c>
      <c r="C321" s="30"/>
      <c r="D321" s="30"/>
      <c r="E321" s="31" t="str">
        <f aca="false">IF(OR(M321=0,K321="",L321=""),"",MOD(L321-K321,1))</f>
        <v/>
      </c>
      <c r="F321" s="31" t="str">
        <f aca="false">IF(OR(E321="",M321=0),"",IF(WEEKDAY(A321,1)=6,E321,MIN(E321,MAX(0,MIN(IF(L321&lt;K321,L321+1,L321),OMR_OT_AT)-K321))))</f>
        <v/>
      </c>
      <c r="G321" s="31" t="str">
        <f aca="false">IF(OR(E321="",M321=0),"",MAX(0,E321-F321))</f>
        <v/>
      </c>
      <c r="H321" s="32" t="str">
        <f aca="false">IF(OR(E321="",M321=0),"",ROUND((F321*$N$319+G321*$O$319)*24,3))</f>
        <v/>
      </c>
      <c r="I321" s="30"/>
      <c r="K321" s="33" t="str">
        <f aca="false">IF(OR(M321=0,C321=""),"",IF(ISNUMBER(C321),MOD(C321,1),IFERROR(INDEX(القوائم!$B$1:$B$288,MATCH(TRIM(C321),القوائم!$A$1:$A$288,0)),IFERROR(MOD(TIMEVALUE(C321),1),""))))</f>
        <v/>
      </c>
      <c r="L321" s="33" t="str">
        <f aca="false">IF(OR(M321=0,D321=""),"",IF(ISNUMBER(D321),MOD(D321,1),IFERROR(INDEX(القوائم!$B$1:$B$288,MATCH(TRIM(D321),القوائم!$A$1:$A$288,0)),IFERROR(MOD(TIMEVALUE(D321),1),""))))</f>
        <v/>
      </c>
      <c r="M321" s="25" t="n">
        <f aca="false">M319</f>
        <v>0</v>
      </c>
      <c r="Q321" s="25" t="n">
        <f aca="false">IF(N(G330)&gt;0,1,0)</f>
        <v>0</v>
      </c>
      <c r="S321" s="0" t="n">
        <v>27</v>
      </c>
    </row>
    <row r="322" customFormat="false" ht="15" hidden="false" customHeight="false" outlineLevel="0" collapsed="false">
      <c r="A322" s="28" t="n">
        <f aca="false">IF(27&lt;=NW,SAT1+183,"")</f>
        <v>46201</v>
      </c>
      <c r="B322" s="29" t="str">
        <f aca="false">IF(A322="","",CHOOSE(WEEKDAY(A322,1),"الأحد","الاثنين","الثلاثاء","الأربعاء","الخميس","الجمعة","السبت"))</f>
        <v>الأحد</v>
      </c>
      <c r="C322" s="30"/>
      <c r="D322" s="30"/>
      <c r="E322" s="31" t="str">
        <f aca="false">IF(OR(M322=0,K322="",L322=""),"",MOD(L322-K322,1))</f>
        <v/>
      </c>
      <c r="F322" s="31" t="str">
        <f aca="false">IF(OR(E322="",M322=0),"",IF(WEEKDAY(A322,1)=6,E322,MIN(E322,MAX(0,MIN(IF(L322&lt;K322,L322+1,L322),OMR_OT_AT)-K322))))</f>
        <v/>
      </c>
      <c r="G322" s="31" t="str">
        <f aca="false">IF(OR(E322="",M322=0),"",MAX(0,E322-F322))</f>
        <v/>
      </c>
      <c r="H322" s="32" t="str">
        <f aca="false">IF(OR(E322="",M322=0),"",ROUND((F322*$N$319+G322*$O$319)*24,3))</f>
        <v/>
      </c>
      <c r="I322" s="30"/>
      <c r="K322" s="33" t="str">
        <f aca="false">IF(OR(M322=0,C322=""),"",IF(ISNUMBER(C322),MOD(C322,1),IFERROR(INDEX(القوائم!$B$1:$B$288,MATCH(TRIM(C322),القوائم!$A$1:$A$288,0)),IFERROR(MOD(TIMEVALUE(C322),1),""))))</f>
        <v/>
      </c>
      <c r="L322" s="33" t="str">
        <f aca="false">IF(OR(M322=0,D322=""),"",IF(ISNUMBER(D322),MOD(D322,1),IFERROR(INDEX(القوائم!$B$1:$B$288,MATCH(TRIM(D322),القوائم!$A$1:$A$288,0)),IFERROR(MOD(TIMEVALUE(D322),1),""))))</f>
        <v/>
      </c>
      <c r="M322" s="25" t="n">
        <f aca="false">M319</f>
        <v>0</v>
      </c>
      <c r="Q322" s="25" t="n">
        <f aca="false">IF(N(G330)&gt;0,1,0)</f>
        <v>0</v>
      </c>
      <c r="S322" s="0" t="n">
        <v>27</v>
      </c>
    </row>
    <row r="323" customFormat="false" ht="15" hidden="false" customHeight="false" outlineLevel="0" collapsed="false">
      <c r="A323" s="28" t="n">
        <f aca="false">IF(27&lt;=NW,SAT1+184,"")</f>
        <v>46202</v>
      </c>
      <c r="B323" s="29" t="str">
        <f aca="false">IF(A323="","",CHOOSE(WEEKDAY(A323,1),"الأحد","الاثنين","الثلاثاء","الأربعاء","الخميس","الجمعة","السبت"))</f>
        <v>الاثنين</v>
      </c>
      <c r="C323" s="30"/>
      <c r="D323" s="30"/>
      <c r="E323" s="31" t="str">
        <f aca="false">IF(OR(M323=0,K323="",L323=""),"",MOD(L323-K323,1))</f>
        <v/>
      </c>
      <c r="F323" s="31" t="str">
        <f aca="false">IF(OR(E323="",M323=0),"",IF(WEEKDAY(A323,1)=6,E323,MIN(E323,MAX(0,MIN(IF(L323&lt;K323,L323+1,L323),OMR_OT_AT)-K323))))</f>
        <v/>
      </c>
      <c r="G323" s="31" t="str">
        <f aca="false">IF(OR(E323="",M323=0),"",MAX(0,E323-F323))</f>
        <v/>
      </c>
      <c r="H323" s="32" t="str">
        <f aca="false">IF(OR(E323="",M323=0),"",ROUND((F323*$N$319+G323*$O$319)*24,3))</f>
        <v/>
      </c>
      <c r="I323" s="30"/>
      <c r="K323" s="33" t="str">
        <f aca="false">IF(OR(M323=0,C323=""),"",IF(ISNUMBER(C323),MOD(C323,1),IFERROR(INDEX(القوائم!$B$1:$B$288,MATCH(TRIM(C323),القوائم!$A$1:$A$288,0)),IFERROR(MOD(TIMEVALUE(C323),1),""))))</f>
        <v/>
      </c>
      <c r="L323" s="33" t="str">
        <f aca="false">IF(OR(M323=0,D323=""),"",IF(ISNUMBER(D323),MOD(D323,1),IFERROR(INDEX(القوائم!$B$1:$B$288,MATCH(TRIM(D323),القوائم!$A$1:$A$288,0)),IFERROR(MOD(TIMEVALUE(D323),1),""))))</f>
        <v/>
      </c>
      <c r="M323" s="25" t="n">
        <f aca="false">M319</f>
        <v>0</v>
      </c>
      <c r="Q323" s="25" t="n">
        <f aca="false">IF(N(G330)&gt;0,1,0)</f>
        <v>0</v>
      </c>
      <c r="S323" s="0" t="n">
        <v>27</v>
      </c>
    </row>
    <row r="324" customFormat="false" ht="15" hidden="false" customHeight="false" outlineLevel="0" collapsed="false">
      <c r="A324" s="28" t="n">
        <f aca="false">IF(27&lt;=NW,SAT1+185,"")</f>
        <v>46203</v>
      </c>
      <c r="B324" s="29" t="str">
        <f aca="false">IF(A324="","",CHOOSE(WEEKDAY(A324,1),"الأحد","الاثنين","الثلاثاء","الأربعاء","الخميس","الجمعة","السبت"))</f>
        <v>الثلاثاء</v>
      </c>
      <c r="C324" s="30"/>
      <c r="D324" s="30"/>
      <c r="E324" s="31" t="str">
        <f aca="false">IF(OR(M324=0,K324="",L324=""),"",MOD(L324-K324,1))</f>
        <v/>
      </c>
      <c r="F324" s="31" t="str">
        <f aca="false">IF(OR(E324="",M324=0),"",IF(WEEKDAY(A324,1)=6,E324,MIN(E324,MAX(0,MIN(IF(L324&lt;K324,L324+1,L324),OMR_OT_AT)-K324))))</f>
        <v/>
      </c>
      <c r="G324" s="31" t="str">
        <f aca="false">IF(OR(E324="",M324=0),"",MAX(0,E324-F324))</f>
        <v/>
      </c>
      <c r="H324" s="32" t="str">
        <f aca="false">IF(OR(E324="",M324=0),"",ROUND((F324*$N$319+G324*$O$319)*24,3))</f>
        <v/>
      </c>
      <c r="I324" s="30"/>
      <c r="K324" s="33" t="str">
        <f aca="false">IF(OR(M324=0,C324=""),"",IF(ISNUMBER(C324),MOD(C324,1),IFERROR(INDEX(القوائم!$B$1:$B$288,MATCH(TRIM(C324),القوائم!$A$1:$A$288,0)),IFERROR(MOD(TIMEVALUE(C324),1),""))))</f>
        <v/>
      </c>
      <c r="L324" s="33" t="str">
        <f aca="false">IF(OR(M324=0,D324=""),"",IF(ISNUMBER(D324),MOD(D324,1),IFERROR(INDEX(القوائم!$B$1:$B$288,MATCH(TRIM(D324),القوائم!$A$1:$A$288,0)),IFERROR(MOD(TIMEVALUE(D324),1),""))))</f>
        <v/>
      </c>
      <c r="M324" s="25" t="n">
        <f aca="false">M319</f>
        <v>0</v>
      </c>
      <c r="Q324" s="25" t="n">
        <f aca="false">IF(N(G330)&gt;0,1,0)</f>
        <v>0</v>
      </c>
      <c r="S324" s="0" t="n">
        <v>27</v>
      </c>
    </row>
    <row r="325" customFormat="false" ht="15" hidden="false" customHeight="false" outlineLevel="0" collapsed="false">
      <c r="A325" s="28" t="n">
        <f aca="false">IF(27&lt;=NW,SAT1+186,"")</f>
        <v>46204</v>
      </c>
      <c r="B325" s="29" t="str">
        <f aca="false">IF(A325="","",CHOOSE(WEEKDAY(A325,1),"الأحد","الاثنين","الثلاثاء","الأربعاء","الخميس","الجمعة","السبت"))</f>
        <v>الأربعاء</v>
      </c>
      <c r="C325" s="30"/>
      <c r="D325" s="30"/>
      <c r="E325" s="31" t="str">
        <f aca="false">IF(OR(M325=0,K325="",L325=""),"",MOD(L325-K325,1))</f>
        <v/>
      </c>
      <c r="F325" s="31" t="str">
        <f aca="false">IF(OR(E325="",M325=0),"",IF(WEEKDAY(A325,1)=6,E325,MIN(E325,MAX(0,MIN(IF(L325&lt;K325,L325+1,L325),OMR_OT_AT)-K325))))</f>
        <v/>
      </c>
      <c r="G325" s="31" t="str">
        <f aca="false">IF(OR(E325="",M325=0),"",MAX(0,E325-F325))</f>
        <v/>
      </c>
      <c r="H325" s="32" t="str">
        <f aca="false">IF(OR(E325="",M325=0),"",ROUND((F325*$N$319+G325*$O$319)*24,3))</f>
        <v/>
      </c>
      <c r="I325" s="30"/>
      <c r="K325" s="33" t="str">
        <f aca="false">IF(OR(M325=0,C325=""),"",IF(ISNUMBER(C325),MOD(C325,1),IFERROR(INDEX(القوائم!$B$1:$B$288,MATCH(TRIM(C325),القوائم!$A$1:$A$288,0)),IFERROR(MOD(TIMEVALUE(C325),1),""))))</f>
        <v/>
      </c>
      <c r="L325" s="33" t="str">
        <f aca="false">IF(OR(M325=0,D325=""),"",IF(ISNUMBER(D325),MOD(D325,1),IFERROR(INDEX(القوائم!$B$1:$B$288,MATCH(TRIM(D325),القوائم!$A$1:$A$288,0)),IFERROR(MOD(TIMEVALUE(D325),1),""))))</f>
        <v/>
      </c>
      <c r="M325" s="25" t="n">
        <f aca="false">M319</f>
        <v>0</v>
      </c>
      <c r="Q325" s="25" t="n">
        <f aca="false">IF(N(G330)&gt;0,1,0)</f>
        <v>0</v>
      </c>
      <c r="S325" s="0" t="n">
        <v>27</v>
      </c>
    </row>
    <row r="326" customFormat="false" ht="15" hidden="false" customHeight="false" outlineLevel="0" collapsed="false">
      <c r="A326" s="28" t="n">
        <f aca="false">IF(27&lt;=NW,SAT1+187,"")</f>
        <v>46205</v>
      </c>
      <c r="B326" s="29" t="str">
        <f aca="false">IF(A326="","",CHOOSE(WEEKDAY(A326,1),"الأحد","الاثنين","الثلاثاء","الأربعاء","الخميس","الجمعة","السبت"))</f>
        <v>الخميس</v>
      </c>
      <c r="C326" s="30"/>
      <c r="D326" s="30"/>
      <c r="E326" s="31" t="str">
        <f aca="false">IF(OR(M326=0,K326="",L326=""),"",MOD(L326-K326,1))</f>
        <v/>
      </c>
      <c r="F326" s="31" t="str">
        <f aca="false">IF(OR(E326="",M326=0),"",IF(WEEKDAY(A326,1)=6,E326,MIN(E326,MAX(0,MIN(IF(L326&lt;K326,L326+1,L326),OMR_OT_AT)-K326))))</f>
        <v/>
      </c>
      <c r="G326" s="31" t="str">
        <f aca="false">IF(OR(E326="",M326=0),"",MAX(0,E326-F326))</f>
        <v/>
      </c>
      <c r="H326" s="32" t="str">
        <f aca="false">IF(OR(E326="",M326=0),"",ROUND((F326*$N$319+G326*$O$319)*24,3))</f>
        <v/>
      </c>
      <c r="I326" s="30"/>
      <c r="K326" s="33" t="str">
        <f aca="false">IF(OR(M326=0,C326=""),"",IF(ISNUMBER(C326),MOD(C326,1),IFERROR(INDEX(القوائم!$B$1:$B$288,MATCH(TRIM(C326),القوائم!$A$1:$A$288,0)),IFERROR(MOD(TIMEVALUE(C326),1),""))))</f>
        <v/>
      </c>
      <c r="L326" s="33" t="str">
        <f aca="false">IF(OR(M326=0,D326=""),"",IF(ISNUMBER(D326),MOD(D326,1),IFERROR(INDEX(القوائم!$B$1:$B$288,MATCH(TRIM(D326),القوائم!$A$1:$A$288,0)),IFERROR(MOD(TIMEVALUE(D326),1),""))))</f>
        <v/>
      </c>
      <c r="M326" s="25" t="n">
        <f aca="false">M319</f>
        <v>0</v>
      </c>
      <c r="Q326" s="25" t="n">
        <f aca="false">IF(N(G330)&gt;0,1,0)</f>
        <v>0</v>
      </c>
      <c r="S326" s="0" t="n">
        <v>27</v>
      </c>
    </row>
    <row r="327" customFormat="false" ht="15" hidden="false" customHeight="false" outlineLevel="0" collapsed="false">
      <c r="A327" s="34" t="n">
        <f aca="false">IF(27&lt;=NW,SAT1+188,"")</f>
        <v>46206</v>
      </c>
      <c r="B327" s="35" t="str">
        <f aca="false">IF(A327="","",CHOOSE(WEEKDAY(A327,1),"الأحد","الاثنين","الثلاثاء","الأربعاء","الخميس","الجمعة","السبت"))</f>
        <v>الجمعة</v>
      </c>
      <c r="C327" s="30"/>
      <c r="D327" s="30"/>
      <c r="E327" s="31" t="str">
        <f aca="false">IF(OR(M327=0,K327="",L327=""),"",MOD(L327-K327,1))</f>
        <v/>
      </c>
      <c r="F327" s="31" t="str">
        <f aca="false">IF(OR(E327="",M327=0),"",IF(WEEKDAY(A327,1)=6,E327,MIN(E327,MAX(0,MIN(IF(L327&lt;K327,L327+1,L327),OMR_OT_AT)-K327))))</f>
        <v/>
      </c>
      <c r="G327" s="31" t="str">
        <f aca="false">IF(OR(E327="",M327=0),"",MAX(0,E327-F327))</f>
        <v/>
      </c>
      <c r="H327" s="32" t="str">
        <f aca="false">IF(OR(E327="",M327=0),"",ROUND((F327*$N$319+G327*$O$319)*24,3))</f>
        <v/>
      </c>
      <c r="I327" s="30"/>
      <c r="K327" s="33" t="str">
        <f aca="false">IF(OR(M327=0,C327=""),"",IF(ISNUMBER(C327),MOD(C327,1),IFERROR(INDEX(القوائم!$B$1:$B$288,MATCH(TRIM(C327),القوائم!$A$1:$A$288,0)),IFERROR(MOD(TIMEVALUE(C327),1),""))))</f>
        <v/>
      </c>
      <c r="L327" s="33" t="str">
        <f aca="false">IF(OR(M327=0,D327=""),"",IF(ISNUMBER(D327),MOD(D327,1),IFERROR(INDEX(القوائم!$B$1:$B$288,MATCH(TRIM(D327),القوائم!$A$1:$A$288,0)),IFERROR(MOD(TIMEVALUE(D327),1),""))))</f>
        <v/>
      </c>
      <c r="M327" s="25" t="n">
        <f aca="false">M319</f>
        <v>0</v>
      </c>
      <c r="Q327" s="25" t="n">
        <f aca="false">IF(N(G330)&gt;0,1,0)</f>
        <v>0</v>
      </c>
      <c r="S327" s="0" t="n">
        <v>27</v>
      </c>
    </row>
    <row r="328" customFormat="false" ht="15" hidden="false" customHeight="false" outlineLevel="0" collapsed="false">
      <c r="A328" s="36" t="str">
        <f aca="false">IF(M319=1,"مجموع أيام الأسبوع 27","")</f>
        <v/>
      </c>
      <c r="B328" s="36"/>
      <c r="C328" s="36"/>
      <c r="D328" s="36"/>
      <c r="E328" s="37" t="str">
        <f aca="false">IF(M319=1,SUM(E321:E327),"")</f>
        <v/>
      </c>
      <c r="F328" s="37" t="str">
        <f aca="false">IF(M319=1,SUM(F321:F327),"")</f>
        <v/>
      </c>
      <c r="G328" s="37" t="str">
        <f aca="false">IF(M319=1,SUM(G321:G327),"")</f>
        <v/>
      </c>
      <c r="H328" s="38" t="str">
        <f aca="false">IF(M319=1,SUM(H321:H327),"")</f>
        <v/>
      </c>
      <c r="I328" s="36"/>
      <c r="S328" s="0" t="n">
        <v>27</v>
      </c>
    </row>
    <row r="329" customFormat="false" ht="31.5" hidden="false" customHeight="true" outlineLevel="0" collapsed="false">
      <c r="A329" s="39" t="str">
        <f aca="false">IF(M319=1,"ساعات تحميل الجبسمبورد بهالأسبوع (رقم: 2 أو 1.5) ←","")</f>
        <v/>
      </c>
      <c r="B329" s="39"/>
      <c r="C329" s="39"/>
      <c r="D329" s="39"/>
      <c r="E329" s="40"/>
      <c r="F329" s="41" t="str">
        <f aca="false">IF(M319=1,"المستحق النهائي للأسبوع مع الإكرامية (دينار) ←","")</f>
        <v/>
      </c>
      <c r="G329" s="41"/>
      <c r="H329" s="42" t="str">
        <f aca="false">IF(M319=1,IF(ROUND_MODE="للأعلى",CEILING(ROUND((N(H328)+N(E329)*($P$319-$N$319)),3),0.25),ROUND((N(H328)+N(E329)*($P$319-$N$319))*4,0)/4)+N(D330),"")</f>
        <v/>
      </c>
      <c r="I329" s="43" t="str">
        <f aca="false">IF(M319=1,"قبل الجبر: "&amp;TEXT(N(H328)+N(E329)*($P$319-$N$319),"0.000")&amp;IF(N(D330)&gt;0," + إكرامية "&amp;TEXT(D330,"0.000"),""),"")</f>
        <v/>
      </c>
      <c r="S329" s="0" t="n">
        <v>27</v>
      </c>
    </row>
    <row r="330" customFormat="false" ht="25.5" hidden="false" customHeight="true" outlineLevel="0" collapsed="false">
      <c r="A330" s="39" t="str">
        <f aca="false">IF(M319=1,"إكرامية الأسبوع (دينار) ←","")</f>
        <v/>
      </c>
      <c r="B330" s="39"/>
      <c r="C330" s="39"/>
      <c r="D330" s="44"/>
      <c r="E330" s="39" t="str">
        <f aca="false">IF(M319=1,"المدفوع (دينار) ←","")</f>
        <v/>
      </c>
      <c r="F330" s="39"/>
      <c r="G330" s="44"/>
      <c r="H330" s="45" t="str">
        <f aca="false">IF(M319=1,IF(N(G330)&gt;0,"✔ انقبض — الأسبوع مقفول","⏳ لسا ما انقبض"),"")</f>
        <v/>
      </c>
      <c r="I330" s="45"/>
      <c r="S330" s="0" t="n">
        <v>27</v>
      </c>
    </row>
    <row r="331" customFormat="false" ht="27.75" hidden="false" customHeight="true" outlineLevel="0" collapsed="false">
      <c r="A331" s="23" t="str">
        <f aca="false">IF(28&lt;=NW,"من السبت "&amp;TEXT(DAY(SAT1+189),"00")&amp;"/"&amp;TEXT(MONTH(SAT1+189),"00")&amp;"/"&amp;YEAR(SAT1+189)&amp;" إلى الجمعة "&amp;TEXT(DAY(SAT1+195),"00")&amp;"/"&amp;TEXT(MONTH(SAT1+195),"00")&amp;"/"&amp;YEAR(SAT1+195)&amp;" · الأسبوع 28"&amp;"  (يوم القبض: الجمعة)"&amp;IF(28&lt;START_O,"   — قبل أسبوع البداية (ما بينحسب)",""),"ما في أسبوع 28 هالسنة")</f>
        <v>من السبت 04/07/2026 إلى الجمعة 10/07/2026 · الأسبوع 28  (يوم القبض: الجمعة)   — قبل أسبوع البداية (ما بينحسب)</v>
      </c>
      <c r="B331" s="23"/>
      <c r="C331" s="23"/>
      <c r="D331" s="23"/>
      <c r="E331" s="23"/>
      <c r="F331" s="23"/>
      <c r="G331" s="23"/>
      <c r="H331" s="23"/>
      <c r="I331" s="23"/>
      <c r="L331" s="24" t="n">
        <f aca="false">IF(28&lt;=NW,SAT1+195,"")</f>
        <v>46213</v>
      </c>
      <c r="M331" s="25" t="n">
        <f aca="false">IF(AND(28&lt;=NW,28&gt;=START_O),1,0)</f>
        <v>0</v>
      </c>
      <c r="N331" s="26" t="n">
        <f aca="false">IFERROR(INDEX(RT_OMR,MATCH(L331,RT_K,1)),INDEX(RT_OMR,1))</f>
        <v>1.25</v>
      </c>
      <c r="O331" s="26" t="n">
        <f aca="false">IFERROR(INDEX(RT_OT,MATCH(L331,RT_K,1)),INDEX(RT_OT,1))</f>
        <v>1.5</v>
      </c>
      <c r="P331" s="26" t="n">
        <f aca="false">IFERROR(INDEX(RT_GYP,MATCH(L331,RT_K,1)),INDEX(RT_GYP,1))</f>
        <v>2.5</v>
      </c>
      <c r="R331" s="0" t="n">
        <v>28</v>
      </c>
      <c r="S331" s="0" t="n">
        <v>28</v>
      </c>
    </row>
    <row r="332" customFormat="false" ht="25.5" hidden="false" customHeight="true" outlineLevel="0" collapsed="false">
      <c r="A332" s="27" t="s">
        <v>22</v>
      </c>
      <c r="B332" s="27" t="s">
        <v>23</v>
      </c>
      <c r="C332" s="27" t="s">
        <v>24</v>
      </c>
      <c r="D332" s="27" t="s">
        <v>25</v>
      </c>
      <c r="E332" s="27" t="s">
        <v>26</v>
      </c>
      <c r="F332" s="27" t="s">
        <v>27</v>
      </c>
      <c r="G332" s="27" t="s">
        <v>28</v>
      </c>
      <c r="H332" s="27" t="s">
        <v>29</v>
      </c>
      <c r="I332" s="27" t="s">
        <v>30</v>
      </c>
      <c r="S332" s="0" t="n">
        <v>28</v>
      </c>
    </row>
    <row r="333" customFormat="false" ht="15" hidden="false" customHeight="false" outlineLevel="0" collapsed="false">
      <c r="A333" s="28" t="n">
        <f aca="false">IF(28&lt;=NW,SAT1+189,"")</f>
        <v>46207</v>
      </c>
      <c r="B333" s="29" t="str">
        <f aca="false">IF(A333="","",CHOOSE(WEEKDAY(A333,1),"الأحد","الاثنين","الثلاثاء","الأربعاء","الخميس","الجمعة","السبت"))</f>
        <v>السبت</v>
      </c>
      <c r="C333" s="30"/>
      <c r="D333" s="30"/>
      <c r="E333" s="31" t="str">
        <f aca="false">IF(OR(M333=0,K333="",L333=""),"",MOD(L333-K333,1))</f>
        <v/>
      </c>
      <c r="F333" s="31" t="str">
        <f aca="false">IF(OR(E333="",M333=0),"",IF(WEEKDAY(A333,1)=6,E333,MIN(E333,MAX(0,MIN(IF(L333&lt;K333,L333+1,L333),OMR_OT_AT)-K333))))</f>
        <v/>
      </c>
      <c r="G333" s="31" t="str">
        <f aca="false">IF(OR(E333="",M333=0),"",MAX(0,E333-F333))</f>
        <v/>
      </c>
      <c r="H333" s="32" t="str">
        <f aca="false">IF(OR(E333="",M333=0),"",ROUND((F333*$N$331+G333*$O$331)*24,3))</f>
        <v/>
      </c>
      <c r="I333" s="30"/>
      <c r="K333" s="33" t="str">
        <f aca="false">IF(OR(M333=0,C333=""),"",IF(ISNUMBER(C333),MOD(C333,1),IFERROR(INDEX(القوائم!$B$1:$B$288,MATCH(TRIM(C333),القوائم!$A$1:$A$288,0)),IFERROR(MOD(TIMEVALUE(C333),1),""))))</f>
        <v/>
      </c>
      <c r="L333" s="33" t="str">
        <f aca="false">IF(OR(M333=0,D333=""),"",IF(ISNUMBER(D333),MOD(D333,1),IFERROR(INDEX(القوائم!$B$1:$B$288,MATCH(TRIM(D333),القوائم!$A$1:$A$288,0)),IFERROR(MOD(TIMEVALUE(D333),1),""))))</f>
        <v/>
      </c>
      <c r="M333" s="25" t="n">
        <f aca="false">M331</f>
        <v>0</v>
      </c>
      <c r="Q333" s="25" t="n">
        <f aca="false">IF(N(G342)&gt;0,1,0)</f>
        <v>0</v>
      </c>
      <c r="S333" s="0" t="n">
        <v>28</v>
      </c>
    </row>
    <row r="334" customFormat="false" ht="15" hidden="false" customHeight="false" outlineLevel="0" collapsed="false">
      <c r="A334" s="28" t="n">
        <f aca="false">IF(28&lt;=NW,SAT1+190,"")</f>
        <v>46208</v>
      </c>
      <c r="B334" s="29" t="str">
        <f aca="false">IF(A334="","",CHOOSE(WEEKDAY(A334,1),"الأحد","الاثنين","الثلاثاء","الأربعاء","الخميس","الجمعة","السبت"))</f>
        <v>الأحد</v>
      </c>
      <c r="C334" s="30"/>
      <c r="D334" s="30"/>
      <c r="E334" s="31" t="str">
        <f aca="false">IF(OR(M334=0,K334="",L334=""),"",MOD(L334-K334,1))</f>
        <v/>
      </c>
      <c r="F334" s="31" t="str">
        <f aca="false">IF(OR(E334="",M334=0),"",IF(WEEKDAY(A334,1)=6,E334,MIN(E334,MAX(0,MIN(IF(L334&lt;K334,L334+1,L334),OMR_OT_AT)-K334))))</f>
        <v/>
      </c>
      <c r="G334" s="31" t="str">
        <f aca="false">IF(OR(E334="",M334=0),"",MAX(0,E334-F334))</f>
        <v/>
      </c>
      <c r="H334" s="32" t="str">
        <f aca="false">IF(OR(E334="",M334=0),"",ROUND((F334*$N$331+G334*$O$331)*24,3))</f>
        <v/>
      </c>
      <c r="I334" s="30"/>
      <c r="K334" s="33" t="str">
        <f aca="false">IF(OR(M334=0,C334=""),"",IF(ISNUMBER(C334),MOD(C334,1),IFERROR(INDEX(القوائم!$B$1:$B$288,MATCH(TRIM(C334),القوائم!$A$1:$A$288,0)),IFERROR(MOD(TIMEVALUE(C334),1),""))))</f>
        <v/>
      </c>
      <c r="L334" s="33" t="str">
        <f aca="false">IF(OR(M334=0,D334=""),"",IF(ISNUMBER(D334),MOD(D334,1),IFERROR(INDEX(القوائم!$B$1:$B$288,MATCH(TRIM(D334),القوائم!$A$1:$A$288,0)),IFERROR(MOD(TIMEVALUE(D334),1),""))))</f>
        <v/>
      </c>
      <c r="M334" s="25" t="n">
        <f aca="false">M331</f>
        <v>0</v>
      </c>
      <c r="Q334" s="25" t="n">
        <f aca="false">IF(N(G342)&gt;0,1,0)</f>
        <v>0</v>
      </c>
      <c r="S334" s="0" t="n">
        <v>28</v>
      </c>
    </row>
    <row r="335" customFormat="false" ht="15" hidden="false" customHeight="false" outlineLevel="0" collapsed="false">
      <c r="A335" s="28" t="n">
        <f aca="false">IF(28&lt;=NW,SAT1+191,"")</f>
        <v>46209</v>
      </c>
      <c r="B335" s="29" t="str">
        <f aca="false">IF(A335="","",CHOOSE(WEEKDAY(A335,1),"الأحد","الاثنين","الثلاثاء","الأربعاء","الخميس","الجمعة","السبت"))</f>
        <v>الاثنين</v>
      </c>
      <c r="C335" s="30"/>
      <c r="D335" s="30"/>
      <c r="E335" s="31" t="str">
        <f aca="false">IF(OR(M335=0,K335="",L335=""),"",MOD(L335-K335,1))</f>
        <v/>
      </c>
      <c r="F335" s="31" t="str">
        <f aca="false">IF(OR(E335="",M335=0),"",IF(WEEKDAY(A335,1)=6,E335,MIN(E335,MAX(0,MIN(IF(L335&lt;K335,L335+1,L335),OMR_OT_AT)-K335))))</f>
        <v/>
      </c>
      <c r="G335" s="31" t="str">
        <f aca="false">IF(OR(E335="",M335=0),"",MAX(0,E335-F335))</f>
        <v/>
      </c>
      <c r="H335" s="32" t="str">
        <f aca="false">IF(OR(E335="",M335=0),"",ROUND((F335*$N$331+G335*$O$331)*24,3))</f>
        <v/>
      </c>
      <c r="I335" s="30"/>
      <c r="K335" s="33" t="str">
        <f aca="false">IF(OR(M335=0,C335=""),"",IF(ISNUMBER(C335),MOD(C335,1),IFERROR(INDEX(القوائم!$B$1:$B$288,MATCH(TRIM(C335),القوائم!$A$1:$A$288,0)),IFERROR(MOD(TIMEVALUE(C335),1),""))))</f>
        <v/>
      </c>
      <c r="L335" s="33" t="str">
        <f aca="false">IF(OR(M335=0,D335=""),"",IF(ISNUMBER(D335),MOD(D335,1),IFERROR(INDEX(القوائم!$B$1:$B$288,MATCH(TRIM(D335),القوائم!$A$1:$A$288,0)),IFERROR(MOD(TIMEVALUE(D335),1),""))))</f>
        <v/>
      </c>
      <c r="M335" s="25" t="n">
        <f aca="false">M331</f>
        <v>0</v>
      </c>
      <c r="Q335" s="25" t="n">
        <f aca="false">IF(N(G342)&gt;0,1,0)</f>
        <v>0</v>
      </c>
      <c r="S335" s="0" t="n">
        <v>28</v>
      </c>
    </row>
    <row r="336" customFormat="false" ht="15" hidden="false" customHeight="false" outlineLevel="0" collapsed="false">
      <c r="A336" s="28" t="n">
        <f aca="false">IF(28&lt;=NW,SAT1+192,"")</f>
        <v>46210</v>
      </c>
      <c r="B336" s="29" t="str">
        <f aca="false">IF(A336="","",CHOOSE(WEEKDAY(A336,1),"الأحد","الاثنين","الثلاثاء","الأربعاء","الخميس","الجمعة","السبت"))</f>
        <v>الثلاثاء</v>
      </c>
      <c r="C336" s="30"/>
      <c r="D336" s="30"/>
      <c r="E336" s="31" t="str">
        <f aca="false">IF(OR(M336=0,K336="",L336=""),"",MOD(L336-K336,1))</f>
        <v/>
      </c>
      <c r="F336" s="31" t="str">
        <f aca="false">IF(OR(E336="",M336=0),"",IF(WEEKDAY(A336,1)=6,E336,MIN(E336,MAX(0,MIN(IF(L336&lt;K336,L336+1,L336),OMR_OT_AT)-K336))))</f>
        <v/>
      </c>
      <c r="G336" s="31" t="str">
        <f aca="false">IF(OR(E336="",M336=0),"",MAX(0,E336-F336))</f>
        <v/>
      </c>
      <c r="H336" s="32" t="str">
        <f aca="false">IF(OR(E336="",M336=0),"",ROUND((F336*$N$331+G336*$O$331)*24,3))</f>
        <v/>
      </c>
      <c r="I336" s="30"/>
      <c r="K336" s="33" t="str">
        <f aca="false">IF(OR(M336=0,C336=""),"",IF(ISNUMBER(C336),MOD(C336,1),IFERROR(INDEX(القوائم!$B$1:$B$288,MATCH(TRIM(C336),القوائم!$A$1:$A$288,0)),IFERROR(MOD(TIMEVALUE(C336),1),""))))</f>
        <v/>
      </c>
      <c r="L336" s="33" t="str">
        <f aca="false">IF(OR(M336=0,D336=""),"",IF(ISNUMBER(D336),MOD(D336,1),IFERROR(INDEX(القوائم!$B$1:$B$288,MATCH(TRIM(D336),القوائم!$A$1:$A$288,0)),IFERROR(MOD(TIMEVALUE(D336),1),""))))</f>
        <v/>
      </c>
      <c r="M336" s="25" t="n">
        <f aca="false">M331</f>
        <v>0</v>
      </c>
      <c r="Q336" s="25" t="n">
        <f aca="false">IF(N(G342)&gt;0,1,0)</f>
        <v>0</v>
      </c>
      <c r="S336" s="0" t="n">
        <v>28</v>
      </c>
    </row>
    <row r="337" customFormat="false" ht="15" hidden="false" customHeight="false" outlineLevel="0" collapsed="false">
      <c r="A337" s="28" t="n">
        <f aca="false">IF(28&lt;=NW,SAT1+193,"")</f>
        <v>46211</v>
      </c>
      <c r="B337" s="29" t="str">
        <f aca="false">IF(A337="","",CHOOSE(WEEKDAY(A337,1),"الأحد","الاثنين","الثلاثاء","الأربعاء","الخميس","الجمعة","السبت"))</f>
        <v>الأربعاء</v>
      </c>
      <c r="C337" s="30"/>
      <c r="D337" s="30"/>
      <c r="E337" s="31" t="str">
        <f aca="false">IF(OR(M337=0,K337="",L337=""),"",MOD(L337-K337,1))</f>
        <v/>
      </c>
      <c r="F337" s="31" t="str">
        <f aca="false">IF(OR(E337="",M337=0),"",IF(WEEKDAY(A337,1)=6,E337,MIN(E337,MAX(0,MIN(IF(L337&lt;K337,L337+1,L337),OMR_OT_AT)-K337))))</f>
        <v/>
      </c>
      <c r="G337" s="31" t="str">
        <f aca="false">IF(OR(E337="",M337=0),"",MAX(0,E337-F337))</f>
        <v/>
      </c>
      <c r="H337" s="32" t="str">
        <f aca="false">IF(OR(E337="",M337=0),"",ROUND((F337*$N$331+G337*$O$331)*24,3))</f>
        <v/>
      </c>
      <c r="I337" s="30"/>
      <c r="K337" s="33" t="str">
        <f aca="false">IF(OR(M337=0,C337=""),"",IF(ISNUMBER(C337),MOD(C337,1),IFERROR(INDEX(القوائم!$B$1:$B$288,MATCH(TRIM(C337),القوائم!$A$1:$A$288,0)),IFERROR(MOD(TIMEVALUE(C337),1),""))))</f>
        <v/>
      </c>
      <c r="L337" s="33" t="str">
        <f aca="false">IF(OR(M337=0,D337=""),"",IF(ISNUMBER(D337),MOD(D337,1),IFERROR(INDEX(القوائم!$B$1:$B$288,MATCH(TRIM(D337),القوائم!$A$1:$A$288,0)),IFERROR(MOD(TIMEVALUE(D337),1),""))))</f>
        <v/>
      </c>
      <c r="M337" s="25" t="n">
        <f aca="false">M331</f>
        <v>0</v>
      </c>
      <c r="Q337" s="25" t="n">
        <f aca="false">IF(N(G342)&gt;0,1,0)</f>
        <v>0</v>
      </c>
      <c r="S337" s="0" t="n">
        <v>28</v>
      </c>
    </row>
    <row r="338" customFormat="false" ht="15" hidden="false" customHeight="false" outlineLevel="0" collapsed="false">
      <c r="A338" s="28" t="n">
        <f aca="false">IF(28&lt;=NW,SAT1+194,"")</f>
        <v>46212</v>
      </c>
      <c r="B338" s="29" t="str">
        <f aca="false">IF(A338="","",CHOOSE(WEEKDAY(A338,1),"الأحد","الاثنين","الثلاثاء","الأربعاء","الخميس","الجمعة","السبت"))</f>
        <v>الخميس</v>
      </c>
      <c r="C338" s="30"/>
      <c r="D338" s="30"/>
      <c r="E338" s="31" t="str">
        <f aca="false">IF(OR(M338=0,K338="",L338=""),"",MOD(L338-K338,1))</f>
        <v/>
      </c>
      <c r="F338" s="31" t="str">
        <f aca="false">IF(OR(E338="",M338=0),"",IF(WEEKDAY(A338,1)=6,E338,MIN(E338,MAX(0,MIN(IF(L338&lt;K338,L338+1,L338),OMR_OT_AT)-K338))))</f>
        <v/>
      </c>
      <c r="G338" s="31" t="str">
        <f aca="false">IF(OR(E338="",M338=0),"",MAX(0,E338-F338))</f>
        <v/>
      </c>
      <c r="H338" s="32" t="str">
        <f aca="false">IF(OR(E338="",M338=0),"",ROUND((F338*$N$331+G338*$O$331)*24,3))</f>
        <v/>
      </c>
      <c r="I338" s="30"/>
      <c r="K338" s="33" t="str">
        <f aca="false">IF(OR(M338=0,C338=""),"",IF(ISNUMBER(C338),MOD(C338,1),IFERROR(INDEX(القوائم!$B$1:$B$288,MATCH(TRIM(C338),القوائم!$A$1:$A$288,0)),IFERROR(MOD(TIMEVALUE(C338),1),""))))</f>
        <v/>
      </c>
      <c r="L338" s="33" t="str">
        <f aca="false">IF(OR(M338=0,D338=""),"",IF(ISNUMBER(D338),MOD(D338,1),IFERROR(INDEX(القوائم!$B$1:$B$288,MATCH(TRIM(D338),القوائم!$A$1:$A$288,0)),IFERROR(MOD(TIMEVALUE(D338),1),""))))</f>
        <v/>
      </c>
      <c r="M338" s="25" t="n">
        <f aca="false">M331</f>
        <v>0</v>
      </c>
      <c r="Q338" s="25" t="n">
        <f aca="false">IF(N(G342)&gt;0,1,0)</f>
        <v>0</v>
      </c>
      <c r="S338" s="0" t="n">
        <v>28</v>
      </c>
    </row>
    <row r="339" customFormat="false" ht="15" hidden="false" customHeight="false" outlineLevel="0" collapsed="false">
      <c r="A339" s="34" t="n">
        <f aca="false">IF(28&lt;=NW,SAT1+195,"")</f>
        <v>46213</v>
      </c>
      <c r="B339" s="35" t="str">
        <f aca="false">IF(A339="","",CHOOSE(WEEKDAY(A339,1),"الأحد","الاثنين","الثلاثاء","الأربعاء","الخميس","الجمعة","السبت"))</f>
        <v>الجمعة</v>
      </c>
      <c r="C339" s="30"/>
      <c r="D339" s="30"/>
      <c r="E339" s="31" t="str">
        <f aca="false">IF(OR(M339=0,K339="",L339=""),"",MOD(L339-K339,1))</f>
        <v/>
      </c>
      <c r="F339" s="31" t="str">
        <f aca="false">IF(OR(E339="",M339=0),"",IF(WEEKDAY(A339,1)=6,E339,MIN(E339,MAX(0,MIN(IF(L339&lt;K339,L339+1,L339),OMR_OT_AT)-K339))))</f>
        <v/>
      </c>
      <c r="G339" s="31" t="str">
        <f aca="false">IF(OR(E339="",M339=0),"",MAX(0,E339-F339))</f>
        <v/>
      </c>
      <c r="H339" s="32" t="str">
        <f aca="false">IF(OR(E339="",M339=0),"",ROUND((F339*$N$331+G339*$O$331)*24,3))</f>
        <v/>
      </c>
      <c r="I339" s="30"/>
      <c r="K339" s="33" t="str">
        <f aca="false">IF(OR(M339=0,C339=""),"",IF(ISNUMBER(C339),MOD(C339,1),IFERROR(INDEX(القوائم!$B$1:$B$288,MATCH(TRIM(C339),القوائم!$A$1:$A$288,0)),IFERROR(MOD(TIMEVALUE(C339),1),""))))</f>
        <v/>
      </c>
      <c r="L339" s="33" t="str">
        <f aca="false">IF(OR(M339=0,D339=""),"",IF(ISNUMBER(D339),MOD(D339,1),IFERROR(INDEX(القوائم!$B$1:$B$288,MATCH(TRIM(D339),القوائم!$A$1:$A$288,0)),IFERROR(MOD(TIMEVALUE(D339),1),""))))</f>
        <v/>
      </c>
      <c r="M339" s="25" t="n">
        <f aca="false">M331</f>
        <v>0</v>
      </c>
      <c r="Q339" s="25" t="n">
        <f aca="false">IF(N(G342)&gt;0,1,0)</f>
        <v>0</v>
      </c>
      <c r="S339" s="0" t="n">
        <v>28</v>
      </c>
    </row>
    <row r="340" customFormat="false" ht="15" hidden="false" customHeight="false" outlineLevel="0" collapsed="false">
      <c r="A340" s="36" t="str">
        <f aca="false">IF(M331=1,"مجموع أيام الأسبوع 28","")</f>
        <v/>
      </c>
      <c r="B340" s="36"/>
      <c r="C340" s="36"/>
      <c r="D340" s="36"/>
      <c r="E340" s="37" t="str">
        <f aca="false">IF(M331=1,SUM(E333:E339),"")</f>
        <v/>
      </c>
      <c r="F340" s="37" t="str">
        <f aca="false">IF(M331=1,SUM(F333:F339),"")</f>
        <v/>
      </c>
      <c r="G340" s="37" t="str">
        <f aca="false">IF(M331=1,SUM(G333:G339),"")</f>
        <v/>
      </c>
      <c r="H340" s="38" t="str">
        <f aca="false">IF(M331=1,SUM(H333:H339),"")</f>
        <v/>
      </c>
      <c r="I340" s="36"/>
      <c r="S340" s="0" t="n">
        <v>28</v>
      </c>
    </row>
    <row r="341" customFormat="false" ht="31.5" hidden="false" customHeight="true" outlineLevel="0" collapsed="false">
      <c r="A341" s="39" t="str">
        <f aca="false">IF(M331=1,"ساعات تحميل الجبسمبورد بهالأسبوع (رقم: 2 أو 1.5) ←","")</f>
        <v/>
      </c>
      <c r="B341" s="39"/>
      <c r="C341" s="39"/>
      <c r="D341" s="39"/>
      <c r="E341" s="40"/>
      <c r="F341" s="41" t="str">
        <f aca="false">IF(M331=1,"المستحق النهائي للأسبوع مع الإكرامية (دينار) ←","")</f>
        <v/>
      </c>
      <c r="G341" s="41"/>
      <c r="H341" s="42" t="str">
        <f aca="false">IF(M331=1,IF(ROUND_MODE="للأعلى",CEILING(ROUND((N(H340)+N(E341)*($P$331-$N$331)),3),0.25),ROUND((N(H340)+N(E341)*($P$331-$N$331))*4,0)/4)+N(D342),"")</f>
        <v/>
      </c>
      <c r="I341" s="43" t="str">
        <f aca="false">IF(M331=1,"قبل الجبر: "&amp;TEXT(N(H340)+N(E341)*($P$331-$N$331),"0.000")&amp;IF(N(D342)&gt;0," + إكرامية "&amp;TEXT(D342,"0.000"),""),"")</f>
        <v/>
      </c>
      <c r="S341" s="0" t="n">
        <v>28</v>
      </c>
    </row>
    <row r="342" customFormat="false" ht="25.5" hidden="false" customHeight="true" outlineLevel="0" collapsed="false">
      <c r="A342" s="39" t="str">
        <f aca="false">IF(M331=1,"إكرامية الأسبوع (دينار) ←","")</f>
        <v/>
      </c>
      <c r="B342" s="39"/>
      <c r="C342" s="39"/>
      <c r="D342" s="44"/>
      <c r="E342" s="39" t="str">
        <f aca="false">IF(M331=1,"المدفوع (دينار) ←","")</f>
        <v/>
      </c>
      <c r="F342" s="39"/>
      <c r="G342" s="44"/>
      <c r="H342" s="45" t="str">
        <f aca="false">IF(M331=1,IF(N(G342)&gt;0,"✔ انقبض — الأسبوع مقفول","⏳ لسا ما انقبض"),"")</f>
        <v/>
      </c>
      <c r="I342" s="45"/>
      <c r="S342" s="0" t="n">
        <v>28</v>
      </c>
    </row>
    <row r="343" customFormat="false" ht="27.75" hidden="false" customHeight="true" outlineLevel="0" collapsed="false">
      <c r="A343" s="23" t="str">
        <f aca="false">IF(29&lt;=NW,"من السبت "&amp;TEXT(DAY(SAT1+196),"00")&amp;"/"&amp;TEXT(MONTH(SAT1+196),"00")&amp;"/"&amp;YEAR(SAT1+196)&amp;" إلى الجمعة "&amp;TEXT(DAY(SAT1+202),"00")&amp;"/"&amp;TEXT(MONTH(SAT1+202),"00")&amp;"/"&amp;YEAR(SAT1+202)&amp;" · الأسبوع 29"&amp;"  (يوم القبض: الجمعة)"&amp;IF(29&lt;START_O,"   — قبل أسبوع البداية (ما بينحسب)",""),"ما في أسبوع 29 هالسنة")</f>
        <v>من السبت 11/07/2026 إلى الجمعة 17/07/2026 · الأسبوع 29  (يوم القبض: الجمعة)   — قبل أسبوع البداية (ما بينحسب)</v>
      </c>
      <c r="B343" s="23"/>
      <c r="C343" s="23"/>
      <c r="D343" s="23"/>
      <c r="E343" s="23"/>
      <c r="F343" s="23"/>
      <c r="G343" s="23"/>
      <c r="H343" s="23"/>
      <c r="I343" s="23"/>
      <c r="L343" s="24" t="n">
        <f aca="false">IF(29&lt;=NW,SAT1+202,"")</f>
        <v>46220</v>
      </c>
      <c r="M343" s="25" t="n">
        <f aca="false">IF(AND(29&lt;=NW,29&gt;=START_O),1,0)</f>
        <v>0</v>
      </c>
      <c r="N343" s="26" t="n">
        <f aca="false">IFERROR(INDEX(RT_OMR,MATCH(L343,RT_K,1)),INDEX(RT_OMR,1))</f>
        <v>1.25</v>
      </c>
      <c r="O343" s="26" t="n">
        <f aca="false">IFERROR(INDEX(RT_OT,MATCH(L343,RT_K,1)),INDEX(RT_OT,1))</f>
        <v>1.5</v>
      </c>
      <c r="P343" s="26" t="n">
        <f aca="false">IFERROR(INDEX(RT_GYP,MATCH(L343,RT_K,1)),INDEX(RT_GYP,1))</f>
        <v>2.5</v>
      </c>
      <c r="R343" s="0" t="n">
        <v>29</v>
      </c>
      <c r="S343" s="0" t="n">
        <v>29</v>
      </c>
    </row>
    <row r="344" customFormat="false" ht="25.5" hidden="false" customHeight="true" outlineLevel="0" collapsed="false">
      <c r="A344" s="27" t="s">
        <v>22</v>
      </c>
      <c r="B344" s="27" t="s">
        <v>23</v>
      </c>
      <c r="C344" s="27" t="s">
        <v>24</v>
      </c>
      <c r="D344" s="27" t="s">
        <v>25</v>
      </c>
      <c r="E344" s="27" t="s">
        <v>26</v>
      </c>
      <c r="F344" s="27" t="s">
        <v>27</v>
      </c>
      <c r="G344" s="27" t="s">
        <v>28</v>
      </c>
      <c r="H344" s="27" t="s">
        <v>29</v>
      </c>
      <c r="I344" s="27" t="s">
        <v>30</v>
      </c>
      <c r="S344" s="0" t="n">
        <v>29</v>
      </c>
    </row>
    <row r="345" customFormat="false" ht="15" hidden="false" customHeight="false" outlineLevel="0" collapsed="false">
      <c r="A345" s="28" t="n">
        <f aca="false">IF(29&lt;=NW,SAT1+196,"")</f>
        <v>46214</v>
      </c>
      <c r="B345" s="29" t="str">
        <f aca="false">IF(A345="","",CHOOSE(WEEKDAY(A345,1),"الأحد","الاثنين","الثلاثاء","الأربعاء","الخميس","الجمعة","السبت"))</f>
        <v>السبت</v>
      </c>
      <c r="C345" s="30"/>
      <c r="D345" s="30"/>
      <c r="E345" s="31" t="str">
        <f aca="false">IF(OR(M345=0,K345="",L345=""),"",MOD(L345-K345,1))</f>
        <v/>
      </c>
      <c r="F345" s="31" t="str">
        <f aca="false">IF(OR(E345="",M345=0),"",IF(WEEKDAY(A345,1)=6,E345,MIN(E345,MAX(0,MIN(IF(L345&lt;K345,L345+1,L345),OMR_OT_AT)-K345))))</f>
        <v/>
      </c>
      <c r="G345" s="31" t="str">
        <f aca="false">IF(OR(E345="",M345=0),"",MAX(0,E345-F345))</f>
        <v/>
      </c>
      <c r="H345" s="32" t="str">
        <f aca="false">IF(OR(E345="",M345=0),"",ROUND((F345*$N$343+G345*$O$343)*24,3))</f>
        <v/>
      </c>
      <c r="I345" s="30"/>
      <c r="K345" s="33" t="str">
        <f aca="false">IF(OR(M345=0,C345=""),"",IF(ISNUMBER(C345),MOD(C345,1),IFERROR(INDEX(القوائم!$B$1:$B$288,MATCH(TRIM(C345),القوائم!$A$1:$A$288,0)),IFERROR(MOD(TIMEVALUE(C345),1),""))))</f>
        <v/>
      </c>
      <c r="L345" s="33" t="str">
        <f aca="false">IF(OR(M345=0,D345=""),"",IF(ISNUMBER(D345),MOD(D345,1),IFERROR(INDEX(القوائم!$B$1:$B$288,MATCH(TRIM(D345),القوائم!$A$1:$A$288,0)),IFERROR(MOD(TIMEVALUE(D345),1),""))))</f>
        <v/>
      </c>
      <c r="M345" s="25" t="n">
        <f aca="false">M343</f>
        <v>0</v>
      </c>
      <c r="Q345" s="25" t="n">
        <f aca="false">IF(N(G354)&gt;0,1,0)</f>
        <v>0</v>
      </c>
      <c r="S345" s="0" t="n">
        <v>29</v>
      </c>
    </row>
    <row r="346" customFormat="false" ht="15" hidden="false" customHeight="false" outlineLevel="0" collapsed="false">
      <c r="A346" s="28" t="n">
        <f aca="false">IF(29&lt;=NW,SAT1+197,"")</f>
        <v>46215</v>
      </c>
      <c r="B346" s="29" t="str">
        <f aca="false">IF(A346="","",CHOOSE(WEEKDAY(A346,1),"الأحد","الاثنين","الثلاثاء","الأربعاء","الخميس","الجمعة","السبت"))</f>
        <v>الأحد</v>
      </c>
      <c r="C346" s="30"/>
      <c r="D346" s="30"/>
      <c r="E346" s="31" t="str">
        <f aca="false">IF(OR(M346=0,K346="",L346=""),"",MOD(L346-K346,1))</f>
        <v/>
      </c>
      <c r="F346" s="31" t="str">
        <f aca="false">IF(OR(E346="",M346=0),"",IF(WEEKDAY(A346,1)=6,E346,MIN(E346,MAX(0,MIN(IF(L346&lt;K346,L346+1,L346),OMR_OT_AT)-K346))))</f>
        <v/>
      </c>
      <c r="G346" s="31" t="str">
        <f aca="false">IF(OR(E346="",M346=0),"",MAX(0,E346-F346))</f>
        <v/>
      </c>
      <c r="H346" s="32" t="str">
        <f aca="false">IF(OR(E346="",M346=0),"",ROUND((F346*$N$343+G346*$O$343)*24,3))</f>
        <v/>
      </c>
      <c r="I346" s="30"/>
      <c r="K346" s="33" t="str">
        <f aca="false">IF(OR(M346=0,C346=""),"",IF(ISNUMBER(C346),MOD(C346,1),IFERROR(INDEX(القوائم!$B$1:$B$288,MATCH(TRIM(C346),القوائم!$A$1:$A$288,0)),IFERROR(MOD(TIMEVALUE(C346),1),""))))</f>
        <v/>
      </c>
      <c r="L346" s="33" t="str">
        <f aca="false">IF(OR(M346=0,D346=""),"",IF(ISNUMBER(D346),MOD(D346,1),IFERROR(INDEX(القوائم!$B$1:$B$288,MATCH(TRIM(D346),القوائم!$A$1:$A$288,0)),IFERROR(MOD(TIMEVALUE(D346),1),""))))</f>
        <v/>
      </c>
      <c r="M346" s="25" t="n">
        <f aca="false">M343</f>
        <v>0</v>
      </c>
      <c r="Q346" s="25" t="n">
        <f aca="false">IF(N(G354)&gt;0,1,0)</f>
        <v>0</v>
      </c>
      <c r="S346" s="0" t="n">
        <v>29</v>
      </c>
    </row>
    <row r="347" customFormat="false" ht="15" hidden="false" customHeight="false" outlineLevel="0" collapsed="false">
      <c r="A347" s="28" t="n">
        <f aca="false">IF(29&lt;=NW,SAT1+198,"")</f>
        <v>46216</v>
      </c>
      <c r="B347" s="29" t="str">
        <f aca="false">IF(A347="","",CHOOSE(WEEKDAY(A347,1),"الأحد","الاثنين","الثلاثاء","الأربعاء","الخميس","الجمعة","السبت"))</f>
        <v>الاثنين</v>
      </c>
      <c r="C347" s="30"/>
      <c r="D347" s="30"/>
      <c r="E347" s="31" t="str">
        <f aca="false">IF(OR(M347=0,K347="",L347=""),"",MOD(L347-K347,1))</f>
        <v/>
      </c>
      <c r="F347" s="31" t="str">
        <f aca="false">IF(OR(E347="",M347=0),"",IF(WEEKDAY(A347,1)=6,E347,MIN(E347,MAX(0,MIN(IF(L347&lt;K347,L347+1,L347),OMR_OT_AT)-K347))))</f>
        <v/>
      </c>
      <c r="G347" s="31" t="str">
        <f aca="false">IF(OR(E347="",M347=0),"",MAX(0,E347-F347))</f>
        <v/>
      </c>
      <c r="H347" s="32" t="str">
        <f aca="false">IF(OR(E347="",M347=0),"",ROUND((F347*$N$343+G347*$O$343)*24,3))</f>
        <v/>
      </c>
      <c r="I347" s="30"/>
      <c r="K347" s="33" t="str">
        <f aca="false">IF(OR(M347=0,C347=""),"",IF(ISNUMBER(C347),MOD(C347,1),IFERROR(INDEX(القوائم!$B$1:$B$288,MATCH(TRIM(C347),القوائم!$A$1:$A$288,0)),IFERROR(MOD(TIMEVALUE(C347),1),""))))</f>
        <v/>
      </c>
      <c r="L347" s="33" t="str">
        <f aca="false">IF(OR(M347=0,D347=""),"",IF(ISNUMBER(D347),MOD(D347,1),IFERROR(INDEX(القوائم!$B$1:$B$288,MATCH(TRIM(D347),القوائم!$A$1:$A$288,0)),IFERROR(MOD(TIMEVALUE(D347),1),""))))</f>
        <v/>
      </c>
      <c r="M347" s="25" t="n">
        <f aca="false">M343</f>
        <v>0</v>
      </c>
      <c r="Q347" s="25" t="n">
        <f aca="false">IF(N(G354)&gt;0,1,0)</f>
        <v>0</v>
      </c>
      <c r="S347" s="0" t="n">
        <v>29</v>
      </c>
    </row>
    <row r="348" customFormat="false" ht="15" hidden="false" customHeight="false" outlineLevel="0" collapsed="false">
      <c r="A348" s="28" t="n">
        <f aca="false">IF(29&lt;=NW,SAT1+199,"")</f>
        <v>46217</v>
      </c>
      <c r="B348" s="29" t="str">
        <f aca="false">IF(A348="","",CHOOSE(WEEKDAY(A348,1),"الأحد","الاثنين","الثلاثاء","الأربعاء","الخميس","الجمعة","السبت"))</f>
        <v>الثلاثاء</v>
      </c>
      <c r="C348" s="30"/>
      <c r="D348" s="30"/>
      <c r="E348" s="31" t="str">
        <f aca="false">IF(OR(M348=0,K348="",L348=""),"",MOD(L348-K348,1))</f>
        <v/>
      </c>
      <c r="F348" s="31" t="str">
        <f aca="false">IF(OR(E348="",M348=0),"",IF(WEEKDAY(A348,1)=6,E348,MIN(E348,MAX(0,MIN(IF(L348&lt;K348,L348+1,L348),OMR_OT_AT)-K348))))</f>
        <v/>
      </c>
      <c r="G348" s="31" t="str">
        <f aca="false">IF(OR(E348="",M348=0),"",MAX(0,E348-F348))</f>
        <v/>
      </c>
      <c r="H348" s="32" t="str">
        <f aca="false">IF(OR(E348="",M348=0),"",ROUND((F348*$N$343+G348*$O$343)*24,3))</f>
        <v/>
      </c>
      <c r="I348" s="30"/>
      <c r="K348" s="33" t="str">
        <f aca="false">IF(OR(M348=0,C348=""),"",IF(ISNUMBER(C348),MOD(C348,1),IFERROR(INDEX(القوائم!$B$1:$B$288,MATCH(TRIM(C348),القوائم!$A$1:$A$288,0)),IFERROR(MOD(TIMEVALUE(C348),1),""))))</f>
        <v/>
      </c>
      <c r="L348" s="33" t="str">
        <f aca="false">IF(OR(M348=0,D348=""),"",IF(ISNUMBER(D348),MOD(D348,1),IFERROR(INDEX(القوائم!$B$1:$B$288,MATCH(TRIM(D348),القوائم!$A$1:$A$288,0)),IFERROR(MOD(TIMEVALUE(D348),1),""))))</f>
        <v/>
      </c>
      <c r="M348" s="25" t="n">
        <f aca="false">M343</f>
        <v>0</v>
      </c>
      <c r="Q348" s="25" t="n">
        <f aca="false">IF(N(G354)&gt;0,1,0)</f>
        <v>0</v>
      </c>
      <c r="S348" s="0" t="n">
        <v>29</v>
      </c>
    </row>
    <row r="349" customFormat="false" ht="15" hidden="false" customHeight="false" outlineLevel="0" collapsed="false">
      <c r="A349" s="28" t="n">
        <f aca="false">IF(29&lt;=NW,SAT1+200,"")</f>
        <v>46218</v>
      </c>
      <c r="B349" s="29" t="str">
        <f aca="false">IF(A349="","",CHOOSE(WEEKDAY(A349,1),"الأحد","الاثنين","الثلاثاء","الأربعاء","الخميس","الجمعة","السبت"))</f>
        <v>الأربعاء</v>
      </c>
      <c r="C349" s="30"/>
      <c r="D349" s="30"/>
      <c r="E349" s="31" t="str">
        <f aca="false">IF(OR(M349=0,K349="",L349=""),"",MOD(L349-K349,1))</f>
        <v/>
      </c>
      <c r="F349" s="31" t="str">
        <f aca="false">IF(OR(E349="",M349=0),"",IF(WEEKDAY(A349,1)=6,E349,MIN(E349,MAX(0,MIN(IF(L349&lt;K349,L349+1,L349),OMR_OT_AT)-K349))))</f>
        <v/>
      </c>
      <c r="G349" s="31" t="str">
        <f aca="false">IF(OR(E349="",M349=0),"",MAX(0,E349-F349))</f>
        <v/>
      </c>
      <c r="H349" s="32" t="str">
        <f aca="false">IF(OR(E349="",M349=0),"",ROUND((F349*$N$343+G349*$O$343)*24,3))</f>
        <v/>
      </c>
      <c r="I349" s="30"/>
      <c r="K349" s="33" t="str">
        <f aca="false">IF(OR(M349=0,C349=""),"",IF(ISNUMBER(C349),MOD(C349,1),IFERROR(INDEX(القوائم!$B$1:$B$288,MATCH(TRIM(C349),القوائم!$A$1:$A$288,0)),IFERROR(MOD(TIMEVALUE(C349),1),""))))</f>
        <v/>
      </c>
      <c r="L349" s="33" t="str">
        <f aca="false">IF(OR(M349=0,D349=""),"",IF(ISNUMBER(D349),MOD(D349,1),IFERROR(INDEX(القوائم!$B$1:$B$288,MATCH(TRIM(D349),القوائم!$A$1:$A$288,0)),IFERROR(MOD(TIMEVALUE(D349),1),""))))</f>
        <v/>
      </c>
      <c r="M349" s="25" t="n">
        <f aca="false">M343</f>
        <v>0</v>
      </c>
      <c r="Q349" s="25" t="n">
        <f aca="false">IF(N(G354)&gt;0,1,0)</f>
        <v>0</v>
      </c>
      <c r="S349" s="0" t="n">
        <v>29</v>
      </c>
    </row>
    <row r="350" customFormat="false" ht="15" hidden="false" customHeight="false" outlineLevel="0" collapsed="false">
      <c r="A350" s="28" t="n">
        <f aca="false">IF(29&lt;=NW,SAT1+201,"")</f>
        <v>46219</v>
      </c>
      <c r="B350" s="29" t="str">
        <f aca="false">IF(A350="","",CHOOSE(WEEKDAY(A350,1),"الأحد","الاثنين","الثلاثاء","الأربعاء","الخميس","الجمعة","السبت"))</f>
        <v>الخميس</v>
      </c>
      <c r="C350" s="30"/>
      <c r="D350" s="30"/>
      <c r="E350" s="31" t="str">
        <f aca="false">IF(OR(M350=0,K350="",L350=""),"",MOD(L350-K350,1))</f>
        <v/>
      </c>
      <c r="F350" s="31" t="str">
        <f aca="false">IF(OR(E350="",M350=0),"",IF(WEEKDAY(A350,1)=6,E350,MIN(E350,MAX(0,MIN(IF(L350&lt;K350,L350+1,L350),OMR_OT_AT)-K350))))</f>
        <v/>
      </c>
      <c r="G350" s="31" t="str">
        <f aca="false">IF(OR(E350="",M350=0),"",MAX(0,E350-F350))</f>
        <v/>
      </c>
      <c r="H350" s="32" t="str">
        <f aca="false">IF(OR(E350="",M350=0),"",ROUND((F350*$N$343+G350*$O$343)*24,3))</f>
        <v/>
      </c>
      <c r="I350" s="30"/>
      <c r="K350" s="33" t="str">
        <f aca="false">IF(OR(M350=0,C350=""),"",IF(ISNUMBER(C350),MOD(C350,1),IFERROR(INDEX(القوائم!$B$1:$B$288,MATCH(TRIM(C350),القوائم!$A$1:$A$288,0)),IFERROR(MOD(TIMEVALUE(C350),1),""))))</f>
        <v/>
      </c>
      <c r="L350" s="33" t="str">
        <f aca="false">IF(OR(M350=0,D350=""),"",IF(ISNUMBER(D350),MOD(D350,1),IFERROR(INDEX(القوائم!$B$1:$B$288,MATCH(TRIM(D350),القوائم!$A$1:$A$288,0)),IFERROR(MOD(TIMEVALUE(D350),1),""))))</f>
        <v/>
      </c>
      <c r="M350" s="25" t="n">
        <f aca="false">M343</f>
        <v>0</v>
      </c>
      <c r="Q350" s="25" t="n">
        <f aca="false">IF(N(G354)&gt;0,1,0)</f>
        <v>0</v>
      </c>
      <c r="S350" s="0" t="n">
        <v>29</v>
      </c>
    </row>
    <row r="351" customFormat="false" ht="15" hidden="false" customHeight="false" outlineLevel="0" collapsed="false">
      <c r="A351" s="34" t="n">
        <f aca="false">IF(29&lt;=NW,SAT1+202,"")</f>
        <v>46220</v>
      </c>
      <c r="B351" s="35" t="str">
        <f aca="false">IF(A351="","",CHOOSE(WEEKDAY(A351,1),"الأحد","الاثنين","الثلاثاء","الأربعاء","الخميس","الجمعة","السبت"))</f>
        <v>الجمعة</v>
      </c>
      <c r="C351" s="30"/>
      <c r="D351" s="30"/>
      <c r="E351" s="31" t="str">
        <f aca="false">IF(OR(M351=0,K351="",L351=""),"",MOD(L351-K351,1))</f>
        <v/>
      </c>
      <c r="F351" s="31" t="str">
        <f aca="false">IF(OR(E351="",M351=0),"",IF(WEEKDAY(A351,1)=6,E351,MIN(E351,MAX(0,MIN(IF(L351&lt;K351,L351+1,L351),OMR_OT_AT)-K351))))</f>
        <v/>
      </c>
      <c r="G351" s="31" t="str">
        <f aca="false">IF(OR(E351="",M351=0),"",MAX(0,E351-F351))</f>
        <v/>
      </c>
      <c r="H351" s="32" t="str">
        <f aca="false">IF(OR(E351="",M351=0),"",ROUND((F351*$N$343+G351*$O$343)*24,3))</f>
        <v/>
      </c>
      <c r="I351" s="30"/>
      <c r="K351" s="33" t="str">
        <f aca="false">IF(OR(M351=0,C351=""),"",IF(ISNUMBER(C351),MOD(C351,1),IFERROR(INDEX(القوائم!$B$1:$B$288,MATCH(TRIM(C351),القوائم!$A$1:$A$288,0)),IFERROR(MOD(TIMEVALUE(C351),1),""))))</f>
        <v/>
      </c>
      <c r="L351" s="33" t="str">
        <f aca="false">IF(OR(M351=0,D351=""),"",IF(ISNUMBER(D351),MOD(D351,1),IFERROR(INDEX(القوائم!$B$1:$B$288,MATCH(TRIM(D351),القوائم!$A$1:$A$288,0)),IFERROR(MOD(TIMEVALUE(D351),1),""))))</f>
        <v/>
      </c>
      <c r="M351" s="25" t="n">
        <f aca="false">M343</f>
        <v>0</v>
      </c>
      <c r="Q351" s="25" t="n">
        <f aca="false">IF(N(G354)&gt;0,1,0)</f>
        <v>0</v>
      </c>
      <c r="S351" s="0" t="n">
        <v>29</v>
      </c>
    </row>
    <row r="352" customFormat="false" ht="15" hidden="false" customHeight="false" outlineLevel="0" collapsed="false">
      <c r="A352" s="36" t="str">
        <f aca="false">IF(M343=1,"مجموع أيام الأسبوع 29","")</f>
        <v/>
      </c>
      <c r="B352" s="36"/>
      <c r="C352" s="36"/>
      <c r="D352" s="36"/>
      <c r="E352" s="37" t="str">
        <f aca="false">IF(M343=1,SUM(E345:E351),"")</f>
        <v/>
      </c>
      <c r="F352" s="37" t="str">
        <f aca="false">IF(M343=1,SUM(F345:F351),"")</f>
        <v/>
      </c>
      <c r="G352" s="37" t="str">
        <f aca="false">IF(M343=1,SUM(G345:G351),"")</f>
        <v/>
      </c>
      <c r="H352" s="38" t="str">
        <f aca="false">IF(M343=1,SUM(H345:H351),"")</f>
        <v/>
      </c>
      <c r="I352" s="36"/>
      <c r="S352" s="0" t="n">
        <v>29</v>
      </c>
    </row>
    <row r="353" customFormat="false" ht="31.5" hidden="false" customHeight="true" outlineLevel="0" collapsed="false">
      <c r="A353" s="39" t="str">
        <f aca="false">IF(M343=1,"ساعات تحميل الجبسمبورد بهالأسبوع (رقم: 2 أو 1.5) ←","")</f>
        <v/>
      </c>
      <c r="B353" s="39"/>
      <c r="C353" s="39"/>
      <c r="D353" s="39"/>
      <c r="E353" s="40"/>
      <c r="F353" s="41" t="str">
        <f aca="false">IF(M343=1,"المستحق النهائي للأسبوع مع الإكرامية (دينار) ←","")</f>
        <v/>
      </c>
      <c r="G353" s="41"/>
      <c r="H353" s="42" t="str">
        <f aca="false">IF(M343=1,IF(ROUND_MODE="للأعلى",CEILING(ROUND((N(H352)+N(E353)*($P$343-$N$343)),3),0.25),ROUND((N(H352)+N(E353)*($P$343-$N$343))*4,0)/4)+N(D354),"")</f>
        <v/>
      </c>
      <c r="I353" s="43" t="str">
        <f aca="false">IF(M343=1,"قبل الجبر: "&amp;TEXT(N(H352)+N(E353)*($P$343-$N$343),"0.000")&amp;IF(N(D354)&gt;0," + إكرامية "&amp;TEXT(D354,"0.000"),""),"")</f>
        <v/>
      </c>
      <c r="S353" s="0" t="n">
        <v>29</v>
      </c>
    </row>
    <row r="354" customFormat="false" ht="25.5" hidden="false" customHeight="true" outlineLevel="0" collapsed="false">
      <c r="A354" s="39" t="str">
        <f aca="false">IF(M343=1,"إكرامية الأسبوع (دينار) ←","")</f>
        <v/>
      </c>
      <c r="B354" s="39"/>
      <c r="C354" s="39"/>
      <c r="D354" s="44"/>
      <c r="E354" s="39" t="str">
        <f aca="false">IF(M343=1,"المدفوع (دينار) ←","")</f>
        <v/>
      </c>
      <c r="F354" s="39"/>
      <c r="G354" s="44"/>
      <c r="H354" s="45" t="str">
        <f aca="false">IF(M343=1,IF(N(G354)&gt;0,"✔ انقبض — الأسبوع مقفول","⏳ لسا ما انقبض"),"")</f>
        <v/>
      </c>
      <c r="I354" s="45"/>
      <c r="S354" s="0" t="n">
        <v>29</v>
      </c>
    </row>
    <row r="355" customFormat="false" ht="27.75" hidden="false" customHeight="true" outlineLevel="0" collapsed="false">
      <c r="A355" s="23" t="str">
        <f aca="false">IF(30&lt;=NW,"من السبت "&amp;TEXT(DAY(SAT1+203),"00")&amp;"/"&amp;TEXT(MONTH(SAT1+203),"00")&amp;"/"&amp;YEAR(SAT1+203)&amp;" إلى الجمعة "&amp;TEXT(DAY(SAT1+209),"00")&amp;"/"&amp;TEXT(MONTH(SAT1+209),"00")&amp;"/"&amp;YEAR(SAT1+209)&amp;" · الأسبوع 30"&amp;"  (يوم القبض: الجمعة)"&amp;IF(30&lt;START_O,"   — قبل أسبوع البداية (ما بينحسب)",""),"ما في أسبوع 30 هالسنة")</f>
        <v>من السبت 18/07/2026 إلى الجمعة 24/07/2026 · الأسبوع 30  (يوم القبض: الجمعة)   — قبل أسبوع البداية (ما بينحسب)</v>
      </c>
      <c r="B355" s="23"/>
      <c r="C355" s="23"/>
      <c r="D355" s="23"/>
      <c r="E355" s="23"/>
      <c r="F355" s="23"/>
      <c r="G355" s="23"/>
      <c r="H355" s="23"/>
      <c r="I355" s="23"/>
      <c r="L355" s="24" t="n">
        <f aca="false">IF(30&lt;=NW,SAT1+209,"")</f>
        <v>46227</v>
      </c>
      <c r="M355" s="25" t="n">
        <f aca="false">IF(AND(30&lt;=NW,30&gt;=START_O),1,0)</f>
        <v>0</v>
      </c>
      <c r="N355" s="26" t="n">
        <f aca="false">IFERROR(INDEX(RT_OMR,MATCH(L355,RT_K,1)),INDEX(RT_OMR,1))</f>
        <v>1.25</v>
      </c>
      <c r="O355" s="26" t="n">
        <f aca="false">IFERROR(INDEX(RT_OT,MATCH(L355,RT_K,1)),INDEX(RT_OT,1))</f>
        <v>1.5</v>
      </c>
      <c r="P355" s="26" t="n">
        <f aca="false">IFERROR(INDEX(RT_GYP,MATCH(L355,RT_K,1)),INDEX(RT_GYP,1))</f>
        <v>2.5</v>
      </c>
      <c r="R355" s="0" t="n">
        <v>30</v>
      </c>
      <c r="S355" s="0" t="n">
        <v>30</v>
      </c>
    </row>
    <row r="356" customFormat="false" ht="25.5" hidden="false" customHeight="true" outlineLevel="0" collapsed="false">
      <c r="A356" s="27" t="s">
        <v>22</v>
      </c>
      <c r="B356" s="27" t="s">
        <v>23</v>
      </c>
      <c r="C356" s="27" t="s">
        <v>24</v>
      </c>
      <c r="D356" s="27" t="s">
        <v>25</v>
      </c>
      <c r="E356" s="27" t="s">
        <v>26</v>
      </c>
      <c r="F356" s="27" t="s">
        <v>27</v>
      </c>
      <c r="G356" s="27" t="s">
        <v>28</v>
      </c>
      <c r="H356" s="27" t="s">
        <v>29</v>
      </c>
      <c r="I356" s="27" t="s">
        <v>30</v>
      </c>
      <c r="S356" s="0" t="n">
        <v>30</v>
      </c>
    </row>
    <row r="357" customFormat="false" ht="15" hidden="false" customHeight="false" outlineLevel="0" collapsed="false">
      <c r="A357" s="28" t="n">
        <f aca="false">IF(30&lt;=NW,SAT1+203,"")</f>
        <v>46221</v>
      </c>
      <c r="B357" s="29" t="str">
        <f aca="false">IF(A357="","",CHOOSE(WEEKDAY(A357,1),"الأحد","الاثنين","الثلاثاء","الأربعاء","الخميس","الجمعة","السبت"))</f>
        <v>السبت</v>
      </c>
      <c r="C357" s="30"/>
      <c r="D357" s="30"/>
      <c r="E357" s="31" t="str">
        <f aca="false">IF(OR(M357=0,K357="",L357=""),"",MOD(L357-K357,1))</f>
        <v/>
      </c>
      <c r="F357" s="31" t="str">
        <f aca="false">IF(OR(E357="",M357=0),"",IF(WEEKDAY(A357,1)=6,E357,MIN(E357,MAX(0,MIN(IF(L357&lt;K357,L357+1,L357),OMR_OT_AT)-K357))))</f>
        <v/>
      </c>
      <c r="G357" s="31" t="str">
        <f aca="false">IF(OR(E357="",M357=0),"",MAX(0,E357-F357))</f>
        <v/>
      </c>
      <c r="H357" s="32" t="str">
        <f aca="false">IF(OR(E357="",M357=0),"",ROUND((F357*$N$355+G357*$O$355)*24,3))</f>
        <v/>
      </c>
      <c r="I357" s="30"/>
      <c r="K357" s="33" t="str">
        <f aca="false">IF(OR(M357=0,C357=""),"",IF(ISNUMBER(C357),MOD(C357,1),IFERROR(INDEX(القوائم!$B$1:$B$288,MATCH(TRIM(C357),القوائم!$A$1:$A$288,0)),IFERROR(MOD(TIMEVALUE(C357),1),""))))</f>
        <v/>
      </c>
      <c r="L357" s="33" t="str">
        <f aca="false">IF(OR(M357=0,D357=""),"",IF(ISNUMBER(D357),MOD(D357,1),IFERROR(INDEX(القوائم!$B$1:$B$288,MATCH(TRIM(D357),القوائم!$A$1:$A$288,0)),IFERROR(MOD(TIMEVALUE(D357),1),""))))</f>
        <v/>
      </c>
      <c r="M357" s="25" t="n">
        <f aca="false">M355</f>
        <v>0</v>
      </c>
      <c r="Q357" s="25" t="n">
        <f aca="false">IF(N(G366)&gt;0,1,0)</f>
        <v>0</v>
      </c>
      <c r="S357" s="0" t="n">
        <v>30</v>
      </c>
    </row>
    <row r="358" customFormat="false" ht="15" hidden="false" customHeight="false" outlineLevel="0" collapsed="false">
      <c r="A358" s="28" t="n">
        <f aca="false">IF(30&lt;=NW,SAT1+204,"")</f>
        <v>46222</v>
      </c>
      <c r="B358" s="29" t="str">
        <f aca="false">IF(A358="","",CHOOSE(WEEKDAY(A358,1),"الأحد","الاثنين","الثلاثاء","الأربعاء","الخميس","الجمعة","السبت"))</f>
        <v>الأحد</v>
      </c>
      <c r="C358" s="30"/>
      <c r="D358" s="30"/>
      <c r="E358" s="31" t="str">
        <f aca="false">IF(OR(M358=0,K358="",L358=""),"",MOD(L358-K358,1))</f>
        <v/>
      </c>
      <c r="F358" s="31" t="str">
        <f aca="false">IF(OR(E358="",M358=0),"",IF(WEEKDAY(A358,1)=6,E358,MIN(E358,MAX(0,MIN(IF(L358&lt;K358,L358+1,L358),OMR_OT_AT)-K358))))</f>
        <v/>
      </c>
      <c r="G358" s="31" t="str">
        <f aca="false">IF(OR(E358="",M358=0),"",MAX(0,E358-F358))</f>
        <v/>
      </c>
      <c r="H358" s="32" t="str">
        <f aca="false">IF(OR(E358="",M358=0),"",ROUND((F358*$N$355+G358*$O$355)*24,3))</f>
        <v/>
      </c>
      <c r="I358" s="30"/>
      <c r="K358" s="33" t="str">
        <f aca="false">IF(OR(M358=0,C358=""),"",IF(ISNUMBER(C358),MOD(C358,1),IFERROR(INDEX(القوائم!$B$1:$B$288,MATCH(TRIM(C358),القوائم!$A$1:$A$288,0)),IFERROR(MOD(TIMEVALUE(C358),1),""))))</f>
        <v/>
      </c>
      <c r="L358" s="33" t="str">
        <f aca="false">IF(OR(M358=0,D358=""),"",IF(ISNUMBER(D358),MOD(D358,1),IFERROR(INDEX(القوائم!$B$1:$B$288,MATCH(TRIM(D358),القوائم!$A$1:$A$288,0)),IFERROR(MOD(TIMEVALUE(D358),1),""))))</f>
        <v/>
      </c>
      <c r="M358" s="25" t="n">
        <f aca="false">M355</f>
        <v>0</v>
      </c>
      <c r="Q358" s="25" t="n">
        <f aca="false">IF(N(G366)&gt;0,1,0)</f>
        <v>0</v>
      </c>
      <c r="S358" s="0" t="n">
        <v>30</v>
      </c>
    </row>
    <row r="359" customFormat="false" ht="15" hidden="false" customHeight="false" outlineLevel="0" collapsed="false">
      <c r="A359" s="28" t="n">
        <f aca="false">IF(30&lt;=NW,SAT1+205,"")</f>
        <v>46223</v>
      </c>
      <c r="B359" s="29" t="str">
        <f aca="false">IF(A359="","",CHOOSE(WEEKDAY(A359,1),"الأحد","الاثنين","الثلاثاء","الأربعاء","الخميس","الجمعة","السبت"))</f>
        <v>الاثنين</v>
      </c>
      <c r="C359" s="30"/>
      <c r="D359" s="30"/>
      <c r="E359" s="31" t="str">
        <f aca="false">IF(OR(M359=0,K359="",L359=""),"",MOD(L359-K359,1))</f>
        <v/>
      </c>
      <c r="F359" s="31" t="str">
        <f aca="false">IF(OR(E359="",M359=0),"",IF(WEEKDAY(A359,1)=6,E359,MIN(E359,MAX(0,MIN(IF(L359&lt;K359,L359+1,L359),OMR_OT_AT)-K359))))</f>
        <v/>
      </c>
      <c r="G359" s="31" t="str">
        <f aca="false">IF(OR(E359="",M359=0),"",MAX(0,E359-F359))</f>
        <v/>
      </c>
      <c r="H359" s="32" t="str">
        <f aca="false">IF(OR(E359="",M359=0),"",ROUND((F359*$N$355+G359*$O$355)*24,3))</f>
        <v/>
      </c>
      <c r="I359" s="30"/>
      <c r="K359" s="33" t="str">
        <f aca="false">IF(OR(M359=0,C359=""),"",IF(ISNUMBER(C359),MOD(C359,1),IFERROR(INDEX(القوائم!$B$1:$B$288,MATCH(TRIM(C359),القوائم!$A$1:$A$288,0)),IFERROR(MOD(TIMEVALUE(C359),1),""))))</f>
        <v/>
      </c>
      <c r="L359" s="33" t="str">
        <f aca="false">IF(OR(M359=0,D359=""),"",IF(ISNUMBER(D359),MOD(D359,1),IFERROR(INDEX(القوائم!$B$1:$B$288,MATCH(TRIM(D359),القوائم!$A$1:$A$288,0)),IFERROR(MOD(TIMEVALUE(D359),1),""))))</f>
        <v/>
      </c>
      <c r="M359" s="25" t="n">
        <f aca="false">M355</f>
        <v>0</v>
      </c>
      <c r="Q359" s="25" t="n">
        <f aca="false">IF(N(G366)&gt;0,1,0)</f>
        <v>0</v>
      </c>
      <c r="S359" s="0" t="n">
        <v>30</v>
      </c>
    </row>
    <row r="360" customFormat="false" ht="15" hidden="false" customHeight="false" outlineLevel="0" collapsed="false">
      <c r="A360" s="28" t="n">
        <f aca="false">IF(30&lt;=NW,SAT1+206,"")</f>
        <v>46224</v>
      </c>
      <c r="B360" s="29" t="str">
        <f aca="false">IF(A360="","",CHOOSE(WEEKDAY(A360,1),"الأحد","الاثنين","الثلاثاء","الأربعاء","الخميس","الجمعة","السبت"))</f>
        <v>الثلاثاء</v>
      </c>
      <c r="C360" s="30"/>
      <c r="D360" s="30"/>
      <c r="E360" s="31" t="str">
        <f aca="false">IF(OR(M360=0,K360="",L360=""),"",MOD(L360-K360,1))</f>
        <v/>
      </c>
      <c r="F360" s="31" t="str">
        <f aca="false">IF(OR(E360="",M360=0),"",IF(WEEKDAY(A360,1)=6,E360,MIN(E360,MAX(0,MIN(IF(L360&lt;K360,L360+1,L360),OMR_OT_AT)-K360))))</f>
        <v/>
      </c>
      <c r="G360" s="31" t="str">
        <f aca="false">IF(OR(E360="",M360=0),"",MAX(0,E360-F360))</f>
        <v/>
      </c>
      <c r="H360" s="32" t="str">
        <f aca="false">IF(OR(E360="",M360=0),"",ROUND((F360*$N$355+G360*$O$355)*24,3))</f>
        <v/>
      </c>
      <c r="I360" s="30"/>
      <c r="K360" s="33" t="str">
        <f aca="false">IF(OR(M360=0,C360=""),"",IF(ISNUMBER(C360),MOD(C360,1),IFERROR(INDEX(القوائم!$B$1:$B$288,MATCH(TRIM(C360),القوائم!$A$1:$A$288,0)),IFERROR(MOD(TIMEVALUE(C360),1),""))))</f>
        <v/>
      </c>
      <c r="L360" s="33" t="str">
        <f aca="false">IF(OR(M360=0,D360=""),"",IF(ISNUMBER(D360),MOD(D360,1),IFERROR(INDEX(القوائم!$B$1:$B$288,MATCH(TRIM(D360),القوائم!$A$1:$A$288,0)),IFERROR(MOD(TIMEVALUE(D360),1),""))))</f>
        <v/>
      </c>
      <c r="M360" s="25" t="n">
        <f aca="false">M355</f>
        <v>0</v>
      </c>
      <c r="Q360" s="25" t="n">
        <f aca="false">IF(N(G366)&gt;0,1,0)</f>
        <v>0</v>
      </c>
      <c r="S360" s="0" t="n">
        <v>30</v>
      </c>
    </row>
    <row r="361" customFormat="false" ht="15" hidden="false" customHeight="false" outlineLevel="0" collapsed="false">
      <c r="A361" s="28" t="n">
        <f aca="false">IF(30&lt;=NW,SAT1+207,"")</f>
        <v>46225</v>
      </c>
      <c r="B361" s="29" t="str">
        <f aca="false">IF(A361="","",CHOOSE(WEEKDAY(A361,1),"الأحد","الاثنين","الثلاثاء","الأربعاء","الخميس","الجمعة","السبت"))</f>
        <v>الأربعاء</v>
      </c>
      <c r="C361" s="30"/>
      <c r="D361" s="30"/>
      <c r="E361" s="31" t="str">
        <f aca="false">IF(OR(M361=0,K361="",L361=""),"",MOD(L361-K361,1))</f>
        <v/>
      </c>
      <c r="F361" s="31" t="str">
        <f aca="false">IF(OR(E361="",M361=0),"",IF(WEEKDAY(A361,1)=6,E361,MIN(E361,MAX(0,MIN(IF(L361&lt;K361,L361+1,L361),OMR_OT_AT)-K361))))</f>
        <v/>
      </c>
      <c r="G361" s="31" t="str">
        <f aca="false">IF(OR(E361="",M361=0),"",MAX(0,E361-F361))</f>
        <v/>
      </c>
      <c r="H361" s="32" t="str">
        <f aca="false">IF(OR(E361="",M361=0),"",ROUND((F361*$N$355+G361*$O$355)*24,3))</f>
        <v/>
      </c>
      <c r="I361" s="30"/>
      <c r="K361" s="33" t="str">
        <f aca="false">IF(OR(M361=0,C361=""),"",IF(ISNUMBER(C361),MOD(C361,1),IFERROR(INDEX(القوائم!$B$1:$B$288,MATCH(TRIM(C361),القوائم!$A$1:$A$288,0)),IFERROR(MOD(TIMEVALUE(C361),1),""))))</f>
        <v/>
      </c>
      <c r="L361" s="33" t="str">
        <f aca="false">IF(OR(M361=0,D361=""),"",IF(ISNUMBER(D361),MOD(D361,1),IFERROR(INDEX(القوائم!$B$1:$B$288,MATCH(TRIM(D361),القوائم!$A$1:$A$288,0)),IFERROR(MOD(TIMEVALUE(D361),1),""))))</f>
        <v/>
      </c>
      <c r="M361" s="25" t="n">
        <f aca="false">M355</f>
        <v>0</v>
      </c>
      <c r="Q361" s="25" t="n">
        <f aca="false">IF(N(G366)&gt;0,1,0)</f>
        <v>0</v>
      </c>
      <c r="S361" s="0" t="n">
        <v>30</v>
      </c>
    </row>
    <row r="362" customFormat="false" ht="15" hidden="false" customHeight="false" outlineLevel="0" collapsed="false">
      <c r="A362" s="28" t="n">
        <f aca="false">IF(30&lt;=NW,SAT1+208,"")</f>
        <v>46226</v>
      </c>
      <c r="B362" s="29" t="str">
        <f aca="false">IF(A362="","",CHOOSE(WEEKDAY(A362,1),"الأحد","الاثنين","الثلاثاء","الأربعاء","الخميس","الجمعة","السبت"))</f>
        <v>الخميس</v>
      </c>
      <c r="C362" s="30"/>
      <c r="D362" s="30"/>
      <c r="E362" s="31" t="str">
        <f aca="false">IF(OR(M362=0,K362="",L362=""),"",MOD(L362-K362,1))</f>
        <v/>
      </c>
      <c r="F362" s="31" t="str">
        <f aca="false">IF(OR(E362="",M362=0),"",IF(WEEKDAY(A362,1)=6,E362,MIN(E362,MAX(0,MIN(IF(L362&lt;K362,L362+1,L362),OMR_OT_AT)-K362))))</f>
        <v/>
      </c>
      <c r="G362" s="31" t="str">
        <f aca="false">IF(OR(E362="",M362=0),"",MAX(0,E362-F362))</f>
        <v/>
      </c>
      <c r="H362" s="32" t="str">
        <f aca="false">IF(OR(E362="",M362=0),"",ROUND((F362*$N$355+G362*$O$355)*24,3))</f>
        <v/>
      </c>
      <c r="I362" s="30"/>
      <c r="K362" s="33" t="str">
        <f aca="false">IF(OR(M362=0,C362=""),"",IF(ISNUMBER(C362),MOD(C362,1),IFERROR(INDEX(القوائم!$B$1:$B$288,MATCH(TRIM(C362),القوائم!$A$1:$A$288,0)),IFERROR(MOD(TIMEVALUE(C362),1),""))))</f>
        <v/>
      </c>
      <c r="L362" s="33" t="str">
        <f aca="false">IF(OR(M362=0,D362=""),"",IF(ISNUMBER(D362),MOD(D362,1),IFERROR(INDEX(القوائم!$B$1:$B$288,MATCH(TRIM(D362),القوائم!$A$1:$A$288,0)),IFERROR(MOD(TIMEVALUE(D362),1),""))))</f>
        <v/>
      </c>
      <c r="M362" s="25" t="n">
        <f aca="false">M355</f>
        <v>0</v>
      </c>
      <c r="Q362" s="25" t="n">
        <f aca="false">IF(N(G366)&gt;0,1,0)</f>
        <v>0</v>
      </c>
      <c r="S362" s="0" t="n">
        <v>30</v>
      </c>
    </row>
    <row r="363" customFormat="false" ht="15" hidden="false" customHeight="false" outlineLevel="0" collapsed="false">
      <c r="A363" s="34" t="n">
        <f aca="false">IF(30&lt;=NW,SAT1+209,"")</f>
        <v>46227</v>
      </c>
      <c r="B363" s="35" t="str">
        <f aca="false">IF(A363="","",CHOOSE(WEEKDAY(A363,1),"الأحد","الاثنين","الثلاثاء","الأربعاء","الخميس","الجمعة","السبت"))</f>
        <v>الجمعة</v>
      </c>
      <c r="C363" s="30"/>
      <c r="D363" s="30"/>
      <c r="E363" s="31" t="str">
        <f aca="false">IF(OR(M363=0,K363="",L363=""),"",MOD(L363-K363,1))</f>
        <v/>
      </c>
      <c r="F363" s="31" t="str">
        <f aca="false">IF(OR(E363="",M363=0),"",IF(WEEKDAY(A363,1)=6,E363,MIN(E363,MAX(0,MIN(IF(L363&lt;K363,L363+1,L363),OMR_OT_AT)-K363))))</f>
        <v/>
      </c>
      <c r="G363" s="31" t="str">
        <f aca="false">IF(OR(E363="",M363=0),"",MAX(0,E363-F363))</f>
        <v/>
      </c>
      <c r="H363" s="32" t="str">
        <f aca="false">IF(OR(E363="",M363=0),"",ROUND((F363*$N$355+G363*$O$355)*24,3))</f>
        <v/>
      </c>
      <c r="I363" s="30"/>
      <c r="K363" s="33" t="str">
        <f aca="false">IF(OR(M363=0,C363=""),"",IF(ISNUMBER(C363),MOD(C363,1),IFERROR(INDEX(القوائم!$B$1:$B$288,MATCH(TRIM(C363),القوائم!$A$1:$A$288,0)),IFERROR(MOD(TIMEVALUE(C363),1),""))))</f>
        <v/>
      </c>
      <c r="L363" s="33" t="str">
        <f aca="false">IF(OR(M363=0,D363=""),"",IF(ISNUMBER(D363),MOD(D363,1),IFERROR(INDEX(القوائم!$B$1:$B$288,MATCH(TRIM(D363),القوائم!$A$1:$A$288,0)),IFERROR(MOD(TIMEVALUE(D363),1),""))))</f>
        <v/>
      </c>
      <c r="M363" s="25" t="n">
        <f aca="false">M355</f>
        <v>0</v>
      </c>
      <c r="Q363" s="25" t="n">
        <f aca="false">IF(N(G366)&gt;0,1,0)</f>
        <v>0</v>
      </c>
      <c r="S363" s="0" t="n">
        <v>30</v>
      </c>
    </row>
    <row r="364" customFormat="false" ht="15" hidden="false" customHeight="false" outlineLevel="0" collapsed="false">
      <c r="A364" s="36" t="str">
        <f aca="false">IF(M355=1,"مجموع أيام الأسبوع 30","")</f>
        <v/>
      </c>
      <c r="B364" s="36"/>
      <c r="C364" s="36"/>
      <c r="D364" s="36"/>
      <c r="E364" s="37" t="str">
        <f aca="false">IF(M355=1,SUM(E357:E363),"")</f>
        <v/>
      </c>
      <c r="F364" s="37" t="str">
        <f aca="false">IF(M355=1,SUM(F357:F363),"")</f>
        <v/>
      </c>
      <c r="G364" s="37" t="str">
        <f aca="false">IF(M355=1,SUM(G357:G363),"")</f>
        <v/>
      </c>
      <c r="H364" s="38" t="str">
        <f aca="false">IF(M355=1,SUM(H357:H363),"")</f>
        <v/>
      </c>
      <c r="I364" s="36"/>
      <c r="S364" s="0" t="n">
        <v>30</v>
      </c>
    </row>
    <row r="365" customFormat="false" ht="31.5" hidden="false" customHeight="true" outlineLevel="0" collapsed="false">
      <c r="A365" s="39" t="str">
        <f aca="false">IF(M355=1,"ساعات تحميل الجبسمبورد بهالأسبوع (رقم: 2 أو 1.5) ←","")</f>
        <v/>
      </c>
      <c r="B365" s="39"/>
      <c r="C365" s="39"/>
      <c r="D365" s="39"/>
      <c r="E365" s="40"/>
      <c r="F365" s="41" t="str">
        <f aca="false">IF(M355=1,"المستحق النهائي للأسبوع مع الإكرامية (دينار) ←","")</f>
        <v/>
      </c>
      <c r="G365" s="41"/>
      <c r="H365" s="42" t="str">
        <f aca="false">IF(M355=1,IF(ROUND_MODE="للأعلى",CEILING(ROUND((N(H364)+N(E365)*($P$355-$N$355)),3),0.25),ROUND((N(H364)+N(E365)*($P$355-$N$355))*4,0)/4)+N(D366),"")</f>
        <v/>
      </c>
      <c r="I365" s="43" t="str">
        <f aca="false">IF(M355=1,"قبل الجبر: "&amp;TEXT(N(H364)+N(E365)*($P$355-$N$355),"0.000")&amp;IF(N(D366)&gt;0," + إكرامية "&amp;TEXT(D366,"0.000"),""),"")</f>
        <v/>
      </c>
      <c r="S365" s="0" t="n">
        <v>30</v>
      </c>
    </row>
    <row r="366" customFormat="false" ht="25.5" hidden="false" customHeight="true" outlineLevel="0" collapsed="false">
      <c r="A366" s="39" t="str">
        <f aca="false">IF(M355=1,"إكرامية الأسبوع (دينار) ←","")</f>
        <v/>
      </c>
      <c r="B366" s="39"/>
      <c r="C366" s="39"/>
      <c r="D366" s="44"/>
      <c r="E366" s="39" t="str">
        <f aca="false">IF(M355=1,"المدفوع (دينار) ←","")</f>
        <v/>
      </c>
      <c r="F366" s="39"/>
      <c r="G366" s="44"/>
      <c r="H366" s="45" t="str">
        <f aca="false">IF(M355=1,IF(N(G366)&gt;0,"✔ انقبض — الأسبوع مقفول","⏳ لسا ما انقبض"),"")</f>
        <v/>
      </c>
      <c r="I366" s="45"/>
      <c r="S366" s="0" t="n">
        <v>30</v>
      </c>
    </row>
    <row r="367" customFormat="false" ht="27.75" hidden="false" customHeight="true" outlineLevel="0" collapsed="false">
      <c r="A367" s="23" t="str">
        <f aca="false">IF(31&lt;=NW,"من السبت "&amp;TEXT(DAY(SAT1+210),"00")&amp;"/"&amp;TEXT(MONTH(SAT1+210),"00")&amp;"/"&amp;YEAR(SAT1+210)&amp;" إلى الجمعة "&amp;TEXT(DAY(SAT1+216),"00")&amp;"/"&amp;TEXT(MONTH(SAT1+216),"00")&amp;"/"&amp;YEAR(SAT1+216)&amp;" · الأسبوع 31"&amp;"  (يوم القبض: الجمعة)"&amp;IF(31&lt;START_O,"   — قبل أسبوع البداية (ما بينحسب)",""),"ما في أسبوع 31 هالسنة")</f>
        <v>من السبت 25/07/2026 إلى الجمعة 31/07/2026 · الأسبوع 31  (يوم القبض: الجمعة)   — قبل أسبوع البداية (ما بينحسب)</v>
      </c>
      <c r="B367" s="23"/>
      <c r="C367" s="23"/>
      <c r="D367" s="23"/>
      <c r="E367" s="23"/>
      <c r="F367" s="23"/>
      <c r="G367" s="23"/>
      <c r="H367" s="23"/>
      <c r="I367" s="23"/>
      <c r="L367" s="24" t="n">
        <f aca="false">IF(31&lt;=NW,SAT1+216,"")</f>
        <v>46234</v>
      </c>
      <c r="M367" s="25" t="n">
        <f aca="false">IF(AND(31&lt;=NW,31&gt;=START_O),1,0)</f>
        <v>0</v>
      </c>
      <c r="N367" s="26" t="n">
        <f aca="false">IFERROR(INDEX(RT_OMR,MATCH(L367,RT_K,1)),INDEX(RT_OMR,1))</f>
        <v>1.25</v>
      </c>
      <c r="O367" s="26" t="n">
        <f aca="false">IFERROR(INDEX(RT_OT,MATCH(L367,RT_K,1)),INDEX(RT_OT,1))</f>
        <v>1.5</v>
      </c>
      <c r="P367" s="26" t="n">
        <f aca="false">IFERROR(INDEX(RT_GYP,MATCH(L367,RT_K,1)),INDEX(RT_GYP,1))</f>
        <v>2.5</v>
      </c>
      <c r="R367" s="0" t="n">
        <v>31</v>
      </c>
      <c r="S367" s="0" t="n">
        <v>31</v>
      </c>
    </row>
    <row r="368" customFormat="false" ht="25.5" hidden="false" customHeight="true" outlineLevel="0" collapsed="false">
      <c r="A368" s="27" t="s">
        <v>22</v>
      </c>
      <c r="B368" s="27" t="s">
        <v>23</v>
      </c>
      <c r="C368" s="27" t="s">
        <v>24</v>
      </c>
      <c r="D368" s="27" t="s">
        <v>25</v>
      </c>
      <c r="E368" s="27" t="s">
        <v>26</v>
      </c>
      <c r="F368" s="27" t="s">
        <v>27</v>
      </c>
      <c r="G368" s="27" t="s">
        <v>28</v>
      </c>
      <c r="H368" s="27" t="s">
        <v>29</v>
      </c>
      <c r="I368" s="27" t="s">
        <v>30</v>
      </c>
      <c r="S368" s="0" t="n">
        <v>31</v>
      </c>
    </row>
    <row r="369" customFormat="false" ht="15" hidden="false" customHeight="false" outlineLevel="0" collapsed="false">
      <c r="A369" s="28" t="n">
        <f aca="false">IF(31&lt;=NW,SAT1+210,"")</f>
        <v>46228</v>
      </c>
      <c r="B369" s="29" t="str">
        <f aca="false">IF(A369="","",CHOOSE(WEEKDAY(A369,1),"الأحد","الاثنين","الثلاثاء","الأربعاء","الخميس","الجمعة","السبت"))</f>
        <v>السبت</v>
      </c>
      <c r="C369" s="30"/>
      <c r="D369" s="30"/>
      <c r="E369" s="31" t="str">
        <f aca="false">IF(OR(M369=0,K369="",L369=""),"",MOD(L369-K369,1))</f>
        <v/>
      </c>
      <c r="F369" s="31" t="str">
        <f aca="false">IF(OR(E369="",M369=0),"",IF(WEEKDAY(A369,1)=6,E369,MIN(E369,MAX(0,MIN(IF(L369&lt;K369,L369+1,L369),OMR_OT_AT)-K369))))</f>
        <v/>
      </c>
      <c r="G369" s="31" t="str">
        <f aca="false">IF(OR(E369="",M369=0),"",MAX(0,E369-F369))</f>
        <v/>
      </c>
      <c r="H369" s="32" t="str">
        <f aca="false">IF(OR(E369="",M369=0),"",ROUND((F369*$N$367+G369*$O$367)*24,3))</f>
        <v/>
      </c>
      <c r="I369" s="30"/>
      <c r="K369" s="33" t="str">
        <f aca="false">IF(OR(M369=0,C369=""),"",IF(ISNUMBER(C369),MOD(C369,1),IFERROR(INDEX(القوائم!$B$1:$B$288,MATCH(TRIM(C369),القوائم!$A$1:$A$288,0)),IFERROR(MOD(TIMEVALUE(C369),1),""))))</f>
        <v/>
      </c>
      <c r="L369" s="33" t="str">
        <f aca="false">IF(OR(M369=0,D369=""),"",IF(ISNUMBER(D369),MOD(D369,1),IFERROR(INDEX(القوائم!$B$1:$B$288,MATCH(TRIM(D369),القوائم!$A$1:$A$288,0)),IFERROR(MOD(TIMEVALUE(D369),1),""))))</f>
        <v/>
      </c>
      <c r="M369" s="25" t="n">
        <f aca="false">M367</f>
        <v>0</v>
      </c>
      <c r="Q369" s="25" t="n">
        <f aca="false">IF(N(G378)&gt;0,1,0)</f>
        <v>0</v>
      </c>
      <c r="S369" s="0" t="n">
        <v>31</v>
      </c>
    </row>
    <row r="370" customFormat="false" ht="15" hidden="false" customHeight="false" outlineLevel="0" collapsed="false">
      <c r="A370" s="28" t="n">
        <f aca="false">IF(31&lt;=NW,SAT1+211,"")</f>
        <v>46229</v>
      </c>
      <c r="B370" s="29" t="str">
        <f aca="false">IF(A370="","",CHOOSE(WEEKDAY(A370,1),"الأحد","الاثنين","الثلاثاء","الأربعاء","الخميس","الجمعة","السبت"))</f>
        <v>الأحد</v>
      </c>
      <c r="C370" s="30"/>
      <c r="D370" s="30"/>
      <c r="E370" s="31" t="str">
        <f aca="false">IF(OR(M370=0,K370="",L370=""),"",MOD(L370-K370,1))</f>
        <v/>
      </c>
      <c r="F370" s="31" t="str">
        <f aca="false">IF(OR(E370="",M370=0),"",IF(WEEKDAY(A370,1)=6,E370,MIN(E370,MAX(0,MIN(IF(L370&lt;K370,L370+1,L370),OMR_OT_AT)-K370))))</f>
        <v/>
      </c>
      <c r="G370" s="31" t="str">
        <f aca="false">IF(OR(E370="",M370=0),"",MAX(0,E370-F370))</f>
        <v/>
      </c>
      <c r="H370" s="32" t="str">
        <f aca="false">IF(OR(E370="",M370=0),"",ROUND((F370*$N$367+G370*$O$367)*24,3))</f>
        <v/>
      </c>
      <c r="I370" s="30"/>
      <c r="K370" s="33" t="str">
        <f aca="false">IF(OR(M370=0,C370=""),"",IF(ISNUMBER(C370),MOD(C370,1),IFERROR(INDEX(القوائم!$B$1:$B$288,MATCH(TRIM(C370),القوائم!$A$1:$A$288,0)),IFERROR(MOD(TIMEVALUE(C370),1),""))))</f>
        <v/>
      </c>
      <c r="L370" s="33" t="str">
        <f aca="false">IF(OR(M370=0,D370=""),"",IF(ISNUMBER(D370),MOD(D370,1),IFERROR(INDEX(القوائم!$B$1:$B$288,MATCH(TRIM(D370),القوائم!$A$1:$A$288,0)),IFERROR(MOD(TIMEVALUE(D370),1),""))))</f>
        <v/>
      </c>
      <c r="M370" s="25" t="n">
        <f aca="false">M367</f>
        <v>0</v>
      </c>
      <c r="Q370" s="25" t="n">
        <f aca="false">IF(N(G378)&gt;0,1,0)</f>
        <v>0</v>
      </c>
      <c r="S370" s="0" t="n">
        <v>31</v>
      </c>
    </row>
    <row r="371" customFormat="false" ht="15" hidden="false" customHeight="false" outlineLevel="0" collapsed="false">
      <c r="A371" s="28" t="n">
        <f aca="false">IF(31&lt;=NW,SAT1+212,"")</f>
        <v>46230</v>
      </c>
      <c r="B371" s="29" t="str">
        <f aca="false">IF(A371="","",CHOOSE(WEEKDAY(A371,1),"الأحد","الاثنين","الثلاثاء","الأربعاء","الخميس","الجمعة","السبت"))</f>
        <v>الاثنين</v>
      </c>
      <c r="C371" s="30"/>
      <c r="D371" s="30"/>
      <c r="E371" s="31" t="str">
        <f aca="false">IF(OR(M371=0,K371="",L371=""),"",MOD(L371-K371,1))</f>
        <v/>
      </c>
      <c r="F371" s="31" t="str">
        <f aca="false">IF(OR(E371="",M371=0),"",IF(WEEKDAY(A371,1)=6,E371,MIN(E371,MAX(0,MIN(IF(L371&lt;K371,L371+1,L371),OMR_OT_AT)-K371))))</f>
        <v/>
      </c>
      <c r="G371" s="31" t="str">
        <f aca="false">IF(OR(E371="",M371=0),"",MAX(0,E371-F371))</f>
        <v/>
      </c>
      <c r="H371" s="32" t="str">
        <f aca="false">IF(OR(E371="",M371=0),"",ROUND((F371*$N$367+G371*$O$367)*24,3))</f>
        <v/>
      </c>
      <c r="I371" s="30"/>
      <c r="K371" s="33" t="str">
        <f aca="false">IF(OR(M371=0,C371=""),"",IF(ISNUMBER(C371),MOD(C371,1),IFERROR(INDEX(القوائم!$B$1:$B$288,MATCH(TRIM(C371),القوائم!$A$1:$A$288,0)),IFERROR(MOD(TIMEVALUE(C371),1),""))))</f>
        <v/>
      </c>
      <c r="L371" s="33" t="str">
        <f aca="false">IF(OR(M371=0,D371=""),"",IF(ISNUMBER(D371),MOD(D371,1),IFERROR(INDEX(القوائم!$B$1:$B$288,MATCH(TRIM(D371),القوائم!$A$1:$A$288,0)),IFERROR(MOD(TIMEVALUE(D371),1),""))))</f>
        <v/>
      </c>
      <c r="M371" s="25" t="n">
        <f aca="false">M367</f>
        <v>0</v>
      </c>
      <c r="Q371" s="25" t="n">
        <f aca="false">IF(N(G378)&gt;0,1,0)</f>
        <v>0</v>
      </c>
      <c r="S371" s="0" t="n">
        <v>31</v>
      </c>
    </row>
    <row r="372" customFormat="false" ht="15" hidden="false" customHeight="false" outlineLevel="0" collapsed="false">
      <c r="A372" s="28" t="n">
        <f aca="false">IF(31&lt;=NW,SAT1+213,"")</f>
        <v>46231</v>
      </c>
      <c r="B372" s="29" t="str">
        <f aca="false">IF(A372="","",CHOOSE(WEEKDAY(A372,1),"الأحد","الاثنين","الثلاثاء","الأربعاء","الخميس","الجمعة","السبت"))</f>
        <v>الثلاثاء</v>
      </c>
      <c r="C372" s="30"/>
      <c r="D372" s="30"/>
      <c r="E372" s="31" t="str">
        <f aca="false">IF(OR(M372=0,K372="",L372=""),"",MOD(L372-K372,1))</f>
        <v/>
      </c>
      <c r="F372" s="31" t="str">
        <f aca="false">IF(OR(E372="",M372=0),"",IF(WEEKDAY(A372,1)=6,E372,MIN(E372,MAX(0,MIN(IF(L372&lt;K372,L372+1,L372),OMR_OT_AT)-K372))))</f>
        <v/>
      </c>
      <c r="G372" s="31" t="str">
        <f aca="false">IF(OR(E372="",M372=0),"",MAX(0,E372-F372))</f>
        <v/>
      </c>
      <c r="H372" s="32" t="str">
        <f aca="false">IF(OR(E372="",M372=0),"",ROUND((F372*$N$367+G372*$O$367)*24,3))</f>
        <v/>
      </c>
      <c r="I372" s="30"/>
      <c r="K372" s="33" t="str">
        <f aca="false">IF(OR(M372=0,C372=""),"",IF(ISNUMBER(C372),MOD(C372,1),IFERROR(INDEX(القوائم!$B$1:$B$288,MATCH(TRIM(C372),القوائم!$A$1:$A$288,0)),IFERROR(MOD(TIMEVALUE(C372),1),""))))</f>
        <v/>
      </c>
      <c r="L372" s="33" t="str">
        <f aca="false">IF(OR(M372=0,D372=""),"",IF(ISNUMBER(D372),MOD(D372,1),IFERROR(INDEX(القوائم!$B$1:$B$288,MATCH(TRIM(D372),القوائم!$A$1:$A$288,0)),IFERROR(MOD(TIMEVALUE(D372),1),""))))</f>
        <v/>
      </c>
      <c r="M372" s="25" t="n">
        <f aca="false">M367</f>
        <v>0</v>
      </c>
      <c r="Q372" s="25" t="n">
        <f aca="false">IF(N(G378)&gt;0,1,0)</f>
        <v>0</v>
      </c>
      <c r="S372" s="0" t="n">
        <v>31</v>
      </c>
    </row>
    <row r="373" customFormat="false" ht="15" hidden="false" customHeight="false" outlineLevel="0" collapsed="false">
      <c r="A373" s="28" t="n">
        <f aca="false">IF(31&lt;=NW,SAT1+214,"")</f>
        <v>46232</v>
      </c>
      <c r="B373" s="29" t="str">
        <f aca="false">IF(A373="","",CHOOSE(WEEKDAY(A373,1),"الأحد","الاثنين","الثلاثاء","الأربعاء","الخميس","الجمعة","السبت"))</f>
        <v>الأربعاء</v>
      </c>
      <c r="C373" s="30"/>
      <c r="D373" s="30"/>
      <c r="E373" s="31" t="str">
        <f aca="false">IF(OR(M373=0,K373="",L373=""),"",MOD(L373-K373,1))</f>
        <v/>
      </c>
      <c r="F373" s="31" t="str">
        <f aca="false">IF(OR(E373="",M373=0),"",IF(WEEKDAY(A373,1)=6,E373,MIN(E373,MAX(0,MIN(IF(L373&lt;K373,L373+1,L373),OMR_OT_AT)-K373))))</f>
        <v/>
      </c>
      <c r="G373" s="31" t="str">
        <f aca="false">IF(OR(E373="",M373=0),"",MAX(0,E373-F373))</f>
        <v/>
      </c>
      <c r="H373" s="32" t="str">
        <f aca="false">IF(OR(E373="",M373=0),"",ROUND((F373*$N$367+G373*$O$367)*24,3))</f>
        <v/>
      </c>
      <c r="I373" s="30"/>
      <c r="K373" s="33" t="str">
        <f aca="false">IF(OR(M373=0,C373=""),"",IF(ISNUMBER(C373),MOD(C373,1),IFERROR(INDEX(القوائم!$B$1:$B$288,MATCH(TRIM(C373),القوائم!$A$1:$A$288,0)),IFERROR(MOD(TIMEVALUE(C373),1),""))))</f>
        <v/>
      </c>
      <c r="L373" s="33" t="str">
        <f aca="false">IF(OR(M373=0,D373=""),"",IF(ISNUMBER(D373),MOD(D373,1),IFERROR(INDEX(القوائم!$B$1:$B$288,MATCH(TRIM(D373),القوائم!$A$1:$A$288,0)),IFERROR(MOD(TIMEVALUE(D373),1),""))))</f>
        <v/>
      </c>
      <c r="M373" s="25" t="n">
        <f aca="false">M367</f>
        <v>0</v>
      </c>
      <c r="Q373" s="25" t="n">
        <f aca="false">IF(N(G378)&gt;0,1,0)</f>
        <v>0</v>
      </c>
      <c r="S373" s="0" t="n">
        <v>31</v>
      </c>
    </row>
    <row r="374" customFormat="false" ht="15" hidden="false" customHeight="false" outlineLevel="0" collapsed="false">
      <c r="A374" s="28" t="n">
        <f aca="false">IF(31&lt;=NW,SAT1+215,"")</f>
        <v>46233</v>
      </c>
      <c r="B374" s="29" t="str">
        <f aca="false">IF(A374="","",CHOOSE(WEEKDAY(A374,1),"الأحد","الاثنين","الثلاثاء","الأربعاء","الخميس","الجمعة","السبت"))</f>
        <v>الخميس</v>
      </c>
      <c r="C374" s="30"/>
      <c r="D374" s="30"/>
      <c r="E374" s="31" t="str">
        <f aca="false">IF(OR(M374=0,K374="",L374=""),"",MOD(L374-K374,1))</f>
        <v/>
      </c>
      <c r="F374" s="31" t="str">
        <f aca="false">IF(OR(E374="",M374=0),"",IF(WEEKDAY(A374,1)=6,E374,MIN(E374,MAX(0,MIN(IF(L374&lt;K374,L374+1,L374),OMR_OT_AT)-K374))))</f>
        <v/>
      </c>
      <c r="G374" s="31" t="str">
        <f aca="false">IF(OR(E374="",M374=0),"",MAX(0,E374-F374))</f>
        <v/>
      </c>
      <c r="H374" s="32" t="str">
        <f aca="false">IF(OR(E374="",M374=0),"",ROUND((F374*$N$367+G374*$O$367)*24,3))</f>
        <v/>
      </c>
      <c r="I374" s="30"/>
      <c r="K374" s="33" t="str">
        <f aca="false">IF(OR(M374=0,C374=""),"",IF(ISNUMBER(C374),MOD(C374,1),IFERROR(INDEX(القوائم!$B$1:$B$288,MATCH(TRIM(C374),القوائم!$A$1:$A$288,0)),IFERROR(MOD(TIMEVALUE(C374),1),""))))</f>
        <v/>
      </c>
      <c r="L374" s="33" t="str">
        <f aca="false">IF(OR(M374=0,D374=""),"",IF(ISNUMBER(D374),MOD(D374,1),IFERROR(INDEX(القوائم!$B$1:$B$288,MATCH(TRIM(D374),القوائم!$A$1:$A$288,0)),IFERROR(MOD(TIMEVALUE(D374),1),""))))</f>
        <v/>
      </c>
      <c r="M374" s="25" t="n">
        <f aca="false">M367</f>
        <v>0</v>
      </c>
      <c r="Q374" s="25" t="n">
        <f aca="false">IF(N(G378)&gt;0,1,0)</f>
        <v>0</v>
      </c>
      <c r="S374" s="0" t="n">
        <v>31</v>
      </c>
    </row>
    <row r="375" customFormat="false" ht="15" hidden="false" customHeight="false" outlineLevel="0" collapsed="false">
      <c r="A375" s="34" t="n">
        <f aca="false">IF(31&lt;=NW,SAT1+216,"")</f>
        <v>46234</v>
      </c>
      <c r="B375" s="35" t="str">
        <f aca="false">IF(A375="","",CHOOSE(WEEKDAY(A375,1),"الأحد","الاثنين","الثلاثاء","الأربعاء","الخميس","الجمعة","السبت"))</f>
        <v>الجمعة</v>
      </c>
      <c r="C375" s="30"/>
      <c r="D375" s="30"/>
      <c r="E375" s="31" t="str">
        <f aca="false">IF(OR(M375=0,K375="",L375=""),"",MOD(L375-K375,1))</f>
        <v/>
      </c>
      <c r="F375" s="31" t="str">
        <f aca="false">IF(OR(E375="",M375=0),"",IF(WEEKDAY(A375,1)=6,E375,MIN(E375,MAX(0,MIN(IF(L375&lt;K375,L375+1,L375),OMR_OT_AT)-K375))))</f>
        <v/>
      </c>
      <c r="G375" s="31" t="str">
        <f aca="false">IF(OR(E375="",M375=0),"",MAX(0,E375-F375))</f>
        <v/>
      </c>
      <c r="H375" s="32" t="str">
        <f aca="false">IF(OR(E375="",M375=0),"",ROUND((F375*$N$367+G375*$O$367)*24,3))</f>
        <v/>
      </c>
      <c r="I375" s="30"/>
      <c r="K375" s="33" t="str">
        <f aca="false">IF(OR(M375=0,C375=""),"",IF(ISNUMBER(C375),MOD(C375,1),IFERROR(INDEX(القوائم!$B$1:$B$288,MATCH(TRIM(C375),القوائم!$A$1:$A$288,0)),IFERROR(MOD(TIMEVALUE(C375),1),""))))</f>
        <v/>
      </c>
      <c r="L375" s="33" t="str">
        <f aca="false">IF(OR(M375=0,D375=""),"",IF(ISNUMBER(D375),MOD(D375,1),IFERROR(INDEX(القوائم!$B$1:$B$288,MATCH(TRIM(D375),القوائم!$A$1:$A$288,0)),IFERROR(MOD(TIMEVALUE(D375),1),""))))</f>
        <v/>
      </c>
      <c r="M375" s="25" t="n">
        <f aca="false">M367</f>
        <v>0</v>
      </c>
      <c r="Q375" s="25" t="n">
        <f aca="false">IF(N(G378)&gt;0,1,0)</f>
        <v>0</v>
      </c>
      <c r="S375" s="0" t="n">
        <v>31</v>
      </c>
    </row>
    <row r="376" customFormat="false" ht="15" hidden="false" customHeight="false" outlineLevel="0" collapsed="false">
      <c r="A376" s="36" t="str">
        <f aca="false">IF(M367=1,"مجموع أيام الأسبوع 31","")</f>
        <v/>
      </c>
      <c r="B376" s="36"/>
      <c r="C376" s="36"/>
      <c r="D376" s="36"/>
      <c r="E376" s="37" t="str">
        <f aca="false">IF(M367=1,SUM(E369:E375),"")</f>
        <v/>
      </c>
      <c r="F376" s="37" t="str">
        <f aca="false">IF(M367=1,SUM(F369:F375),"")</f>
        <v/>
      </c>
      <c r="G376" s="37" t="str">
        <f aca="false">IF(M367=1,SUM(G369:G375),"")</f>
        <v/>
      </c>
      <c r="H376" s="38" t="str">
        <f aca="false">IF(M367=1,SUM(H369:H375),"")</f>
        <v/>
      </c>
      <c r="I376" s="36"/>
      <c r="S376" s="0" t="n">
        <v>31</v>
      </c>
    </row>
    <row r="377" customFormat="false" ht="31.5" hidden="false" customHeight="true" outlineLevel="0" collapsed="false">
      <c r="A377" s="39" t="str">
        <f aca="false">IF(M367=1,"ساعات تحميل الجبسمبورد بهالأسبوع (رقم: 2 أو 1.5) ←","")</f>
        <v/>
      </c>
      <c r="B377" s="39"/>
      <c r="C377" s="39"/>
      <c r="D377" s="39"/>
      <c r="E377" s="40"/>
      <c r="F377" s="41" t="str">
        <f aca="false">IF(M367=1,"المستحق النهائي للأسبوع مع الإكرامية (دينار) ←","")</f>
        <v/>
      </c>
      <c r="G377" s="41"/>
      <c r="H377" s="42" t="str">
        <f aca="false">IF(M367=1,IF(ROUND_MODE="للأعلى",CEILING(ROUND((N(H376)+N(E377)*($P$367-$N$367)),3),0.25),ROUND((N(H376)+N(E377)*($P$367-$N$367))*4,0)/4)+N(D378),"")</f>
        <v/>
      </c>
      <c r="I377" s="43" t="str">
        <f aca="false">IF(M367=1,"قبل الجبر: "&amp;TEXT(N(H376)+N(E377)*($P$367-$N$367),"0.000")&amp;IF(N(D378)&gt;0," + إكرامية "&amp;TEXT(D378,"0.000"),""),"")</f>
        <v/>
      </c>
      <c r="S377" s="0" t="n">
        <v>31</v>
      </c>
    </row>
    <row r="378" customFormat="false" ht="25.5" hidden="false" customHeight="true" outlineLevel="0" collapsed="false">
      <c r="A378" s="39" t="str">
        <f aca="false">IF(M367=1,"إكرامية الأسبوع (دينار) ←","")</f>
        <v/>
      </c>
      <c r="B378" s="39"/>
      <c r="C378" s="39"/>
      <c r="D378" s="44"/>
      <c r="E378" s="39" t="str">
        <f aca="false">IF(M367=1,"المدفوع (دينار) ←","")</f>
        <v/>
      </c>
      <c r="F378" s="39"/>
      <c r="G378" s="44"/>
      <c r="H378" s="45" t="str">
        <f aca="false">IF(M367=1,IF(N(G378)&gt;0,"✔ انقبض — الأسبوع مقفول","⏳ لسا ما انقبض"),"")</f>
        <v/>
      </c>
      <c r="I378" s="45"/>
      <c r="S378" s="0" t="n">
        <v>31</v>
      </c>
    </row>
    <row r="379" customFormat="false" ht="27.75" hidden="false" customHeight="true" outlineLevel="0" collapsed="false">
      <c r="A379" s="23" t="str">
        <f aca="false">IF(32&lt;=NW,"من السبت "&amp;TEXT(DAY(SAT1+217),"00")&amp;"/"&amp;TEXT(MONTH(SAT1+217),"00")&amp;"/"&amp;YEAR(SAT1+217)&amp;" إلى الجمعة "&amp;TEXT(DAY(SAT1+223),"00")&amp;"/"&amp;TEXT(MONTH(SAT1+223),"00")&amp;"/"&amp;YEAR(SAT1+223)&amp;" · الأسبوع 32"&amp;"  (يوم القبض: الجمعة)"&amp;IF(32&lt;START_O,"   — قبل أسبوع البداية (ما بينحسب)",""),"ما في أسبوع 32 هالسنة")</f>
        <v>من السبت 01/08/2026 إلى الجمعة 07/08/2026 · الأسبوع 32  (يوم القبض: الجمعة)   — قبل أسبوع البداية (ما بينحسب)</v>
      </c>
      <c r="B379" s="23"/>
      <c r="C379" s="23"/>
      <c r="D379" s="23"/>
      <c r="E379" s="23"/>
      <c r="F379" s="23"/>
      <c r="G379" s="23"/>
      <c r="H379" s="23"/>
      <c r="I379" s="23"/>
      <c r="L379" s="24" t="n">
        <f aca="false">IF(32&lt;=NW,SAT1+223,"")</f>
        <v>46241</v>
      </c>
      <c r="M379" s="25" t="n">
        <f aca="false">IF(AND(32&lt;=NW,32&gt;=START_O),1,0)</f>
        <v>0</v>
      </c>
      <c r="N379" s="26" t="n">
        <f aca="false">IFERROR(INDEX(RT_OMR,MATCH(L379,RT_K,1)),INDEX(RT_OMR,1))</f>
        <v>1.25</v>
      </c>
      <c r="O379" s="26" t="n">
        <f aca="false">IFERROR(INDEX(RT_OT,MATCH(L379,RT_K,1)),INDEX(RT_OT,1))</f>
        <v>1.5</v>
      </c>
      <c r="P379" s="26" t="n">
        <f aca="false">IFERROR(INDEX(RT_GYP,MATCH(L379,RT_K,1)),INDEX(RT_GYP,1))</f>
        <v>2.5</v>
      </c>
      <c r="R379" s="0" t="n">
        <v>32</v>
      </c>
      <c r="S379" s="0" t="n">
        <v>32</v>
      </c>
    </row>
    <row r="380" customFormat="false" ht="25.5" hidden="false" customHeight="true" outlineLevel="0" collapsed="false">
      <c r="A380" s="27" t="s">
        <v>22</v>
      </c>
      <c r="B380" s="27" t="s">
        <v>23</v>
      </c>
      <c r="C380" s="27" t="s">
        <v>24</v>
      </c>
      <c r="D380" s="27" t="s">
        <v>25</v>
      </c>
      <c r="E380" s="27" t="s">
        <v>26</v>
      </c>
      <c r="F380" s="27" t="s">
        <v>27</v>
      </c>
      <c r="G380" s="27" t="s">
        <v>28</v>
      </c>
      <c r="H380" s="27" t="s">
        <v>29</v>
      </c>
      <c r="I380" s="27" t="s">
        <v>30</v>
      </c>
      <c r="S380" s="0" t="n">
        <v>32</v>
      </c>
    </row>
    <row r="381" customFormat="false" ht="15" hidden="false" customHeight="false" outlineLevel="0" collapsed="false">
      <c r="A381" s="28" t="n">
        <f aca="false">IF(32&lt;=NW,SAT1+217,"")</f>
        <v>46235</v>
      </c>
      <c r="B381" s="29" t="str">
        <f aca="false">IF(A381="","",CHOOSE(WEEKDAY(A381,1),"الأحد","الاثنين","الثلاثاء","الأربعاء","الخميس","الجمعة","السبت"))</f>
        <v>السبت</v>
      </c>
      <c r="C381" s="30"/>
      <c r="D381" s="30"/>
      <c r="E381" s="31" t="str">
        <f aca="false">IF(OR(M381=0,K381="",L381=""),"",MOD(L381-K381,1))</f>
        <v/>
      </c>
      <c r="F381" s="31" t="str">
        <f aca="false">IF(OR(E381="",M381=0),"",IF(WEEKDAY(A381,1)=6,E381,MIN(E381,MAX(0,MIN(IF(L381&lt;K381,L381+1,L381),OMR_OT_AT)-K381))))</f>
        <v/>
      </c>
      <c r="G381" s="31" t="str">
        <f aca="false">IF(OR(E381="",M381=0),"",MAX(0,E381-F381))</f>
        <v/>
      </c>
      <c r="H381" s="32" t="str">
        <f aca="false">IF(OR(E381="",M381=0),"",ROUND((F381*$N$379+G381*$O$379)*24,3))</f>
        <v/>
      </c>
      <c r="I381" s="30"/>
      <c r="K381" s="33" t="str">
        <f aca="false">IF(OR(M381=0,C381=""),"",IF(ISNUMBER(C381),MOD(C381,1),IFERROR(INDEX(القوائم!$B$1:$B$288,MATCH(TRIM(C381),القوائم!$A$1:$A$288,0)),IFERROR(MOD(TIMEVALUE(C381),1),""))))</f>
        <v/>
      </c>
      <c r="L381" s="33" t="str">
        <f aca="false">IF(OR(M381=0,D381=""),"",IF(ISNUMBER(D381),MOD(D381,1),IFERROR(INDEX(القوائم!$B$1:$B$288,MATCH(TRIM(D381),القوائم!$A$1:$A$288,0)),IFERROR(MOD(TIMEVALUE(D381),1),""))))</f>
        <v/>
      </c>
      <c r="M381" s="25" t="n">
        <f aca="false">M379</f>
        <v>0</v>
      </c>
      <c r="Q381" s="25" t="n">
        <f aca="false">IF(N(G390)&gt;0,1,0)</f>
        <v>0</v>
      </c>
      <c r="S381" s="0" t="n">
        <v>32</v>
      </c>
    </row>
    <row r="382" customFormat="false" ht="15" hidden="false" customHeight="false" outlineLevel="0" collapsed="false">
      <c r="A382" s="28" t="n">
        <f aca="false">IF(32&lt;=NW,SAT1+218,"")</f>
        <v>46236</v>
      </c>
      <c r="B382" s="29" t="str">
        <f aca="false">IF(A382="","",CHOOSE(WEEKDAY(A382,1),"الأحد","الاثنين","الثلاثاء","الأربعاء","الخميس","الجمعة","السبت"))</f>
        <v>الأحد</v>
      </c>
      <c r="C382" s="30"/>
      <c r="D382" s="30"/>
      <c r="E382" s="31" t="str">
        <f aca="false">IF(OR(M382=0,K382="",L382=""),"",MOD(L382-K382,1))</f>
        <v/>
      </c>
      <c r="F382" s="31" t="str">
        <f aca="false">IF(OR(E382="",M382=0),"",IF(WEEKDAY(A382,1)=6,E382,MIN(E382,MAX(0,MIN(IF(L382&lt;K382,L382+1,L382),OMR_OT_AT)-K382))))</f>
        <v/>
      </c>
      <c r="G382" s="31" t="str">
        <f aca="false">IF(OR(E382="",M382=0),"",MAX(0,E382-F382))</f>
        <v/>
      </c>
      <c r="H382" s="32" t="str">
        <f aca="false">IF(OR(E382="",M382=0),"",ROUND((F382*$N$379+G382*$O$379)*24,3))</f>
        <v/>
      </c>
      <c r="I382" s="30"/>
      <c r="K382" s="33" t="str">
        <f aca="false">IF(OR(M382=0,C382=""),"",IF(ISNUMBER(C382),MOD(C382,1),IFERROR(INDEX(القوائم!$B$1:$B$288,MATCH(TRIM(C382),القوائم!$A$1:$A$288,0)),IFERROR(MOD(TIMEVALUE(C382),1),""))))</f>
        <v/>
      </c>
      <c r="L382" s="33" t="str">
        <f aca="false">IF(OR(M382=0,D382=""),"",IF(ISNUMBER(D382),MOD(D382,1),IFERROR(INDEX(القوائم!$B$1:$B$288,MATCH(TRIM(D382),القوائم!$A$1:$A$288,0)),IFERROR(MOD(TIMEVALUE(D382),1),""))))</f>
        <v/>
      </c>
      <c r="M382" s="25" t="n">
        <f aca="false">M379</f>
        <v>0</v>
      </c>
      <c r="Q382" s="25" t="n">
        <f aca="false">IF(N(G390)&gt;0,1,0)</f>
        <v>0</v>
      </c>
      <c r="S382" s="0" t="n">
        <v>32</v>
      </c>
    </row>
    <row r="383" customFormat="false" ht="15" hidden="false" customHeight="false" outlineLevel="0" collapsed="false">
      <c r="A383" s="28" t="n">
        <f aca="false">IF(32&lt;=NW,SAT1+219,"")</f>
        <v>46237</v>
      </c>
      <c r="B383" s="29" t="str">
        <f aca="false">IF(A383="","",CHOOSE(WEEKDAY(A383,1),"الأحد","الاثنين","الثلاثاء","الأربعاء","الخميس","الجمعة","السبت"))</f>
        <v>الاثنين</v>
      </c>
      <c r="C383" s="30"/>
      <c r="D383" s="30"/>
      <c r="E383" s="31" t="str">
        <f aca="false">IF(OR(M383=0,K383="",L383=""),"",MOD(L383-K383,1))</f>
        <v/>
      </c>
      <c r="F383" s="31" t="str">
        <f aca="false">IF(OR(E383="",M383=0),"",IF(WEEKDAY(A383,1)=6,E383,MIN(E383,MAX(0,MIN(IF(L383&lt;K383,L383+1,L383),OMR_OT_AT)-K383))))</f>
        <v/>
      </c>
      <c r="G383" s="31" t="str">
        <f aca="false">IF(OR(E383="",M383=0),"",MAX(0,E383-F383))</f>
        <v/>
      </c>
      <c r="H383" s="32" t="str">
        <f aca="false">IF(OR(E383="",M383=0),"",ROUND((F383*$N$379+G383*$O$379)*24,3))</f>
        <v/>
      </c>
      <c r="I383" s="30"/>
      <c r="K383" s="33" t="str">
        <f aca="false">IF(OR(M383=0,C383=""),"",IF(ISNUMBER(C383),MOD(C383,1),IFERROR(INDEX(القوائم!$B$1:$B$288,MATCH(TRIM(C383),القوائم!$A$1:$A$288,0)),IFERROR(MOD(TIMEVALUE(C383),1),""))))</f>
        <v/>
      </c>
      <c r="L383" s="33" t="str">
        <f aca="false">IF(OR(M383=0,D383=""),"",IF(ISNUMBER(D383),MOD(D383,1),IFERROR(INDEX(القوائم!$B$1:$B$288,MATCH(TRIM(D383),القوائم!$A$1:$A$288,0)),IFERROR(MOD(TIMEVALUE(D383),1),""))))</f>
        <v/>
      </c>
      <c r="M383" s="25" t="n">
        <f aca="false">M379</f>
        <v>0</v>
      </c>
      <c r="Q383" s="25" t="n">
        <f aca="false">IF(N(G390)&gt;0,1,0)</f>
        <v>0</v>
      </c>
      <c r="S383" s="0" t="n">
        <v>32</v>
      </c>
    </row>
    <row r="384" customFormat="false" ht="15" hidden="false" customHeight="false" outlineLevel="0" collapsed="false">
      <c r="A384" s="28" t="n">
        <f aca="false">IF(32&lt;=NW,SAT1+220,"")</f>
        <v>46238</v>
      </c>
      <c r="B384" s="29" t="str">
        <f aca="false">IF(A384="","",CHOOSE(WEEKDAY(A384,1),"الأحد","الاثنين","الثلاثاء","الأربعاء","الخميس","الجمعة","السبت"))</f>
        <v>الثلاثاء</v>
      </c>
      <c r="C384" s="30"/>
      <c r="D384" s="30"/>
      <c r="E384" s="31" t="str">
        <f aca="false">IF(OR(M384=0,K384="",L384=""),"",MOD(L384-K384,1))</f>
        <v/>
      </c>
      <c r="F384" s="31" t="str">
        <f aca="false">IF(OR(E384="",M384=0),"",IF(WEEKDAY(A384,1)=6,E384,MIN(E384,MAX(0,MIN(IF(L384&lt;K384,L384+1,L384),OMR_OT_AT)-K384))))</f>
        <v/>
      </c>
      <c r="G384" s="31" t="str">
        <f aca="false">IF(OR(E384="",M384=0),"",MAX(0,E384-F384))</f>
        <v/>
      </c>
      <c r="H384" s="32" t="str">
        <f aca="false">IF(OR(E384="",M384=0),"",ROUND((F384*$N$379+G384*$O$379)*24,3))</f>
        <v/>
      </c>
      <c r="I384" s="30"/>
      <c r="K384" s="33" t="str">
        <f aca="false">IF(OR(M384=0,C384=""),"",IF(ISNUMBER(C384),MOD(C384,1),IFERROR(INDEX(القوائم!$B$1:$B$288,MATCH(TRIM(C384),القوائم!$A$1:$A$288,0)),IFERROR(MOD(TIMEVALUE(C384),1),""))))</f>
        <v/>
      </c>
      <c r="L384" s="33" t="str">
        <f aca="false">IF(OR(M384=0,D384=""),"",IF(ISNUMBER(D384),MOD(D384,1),IFERROR(INDEX(القوائم!$B$1:$B$288,MATCH(TRIM(D384),القوائم!$A$1:$A$288,0)),IFERROR(MOD(TIMEVALUE(D384),1),""))))</f>
        <v/>
      </c>
      <c r="M384" s="25" t="n">
        <f aca="false">M379</f>
        <v>0</v>
      </c>
      <c r="Q384" s="25" t="n">
        <f aca="false">IF(N(G390)&gt;0,1,0)</f>
        <v>0</v>
      </c>
      <c r="S384" s="0" t="n">
        <v>32</v>
      </c>
    </row>
    <row r="385" customFormat="false" ht="15" hidden="false" customHeight="false" outlineLevel="0" collapsed="false">
      <c r="A385" s="28" t="n">
        <f aca="false">IF(32&lt;=NW,SAT1+221,"")</f>
        <v>46239</v>
      </c>
      <c r="B385" s="29" t="str">
        <f aca="false">IF(A385="","",CHOOSE(WEEKDAY(A385,1),"الأحد","الاثنين","الثلاثاء","الأربعاء","الخميس","الجمعة","السبت"))</f>
        <v>الأربعاء</v>
      </c>
      <c r="C385" s="30"/>
      <c r="D385" s="30"/>
      <c r="E385" s="31" t="str">
        <f aca="false">IF(OR(M385=0,K385="",L385=""),"",MOD(L385-K385,1))</f>
        <v/>
      </c>
      <c r="F385" s="31" t="str">
        <f aca="false">IF(OR(E385="",M385=0),"",IF(WEEKDAY(A385,1)=6,E385,MIN(E385,MAX(0,MIN(IF(L385&lt;K385,L385+1,L385),OMR_OT_AT)-K385))))</f>
        <v/>
      </c>
      <c r="G385" s="31" t="str">
        <f aca="false">IF(OR(E385="",M385=0),"",MAX(0,E385-F385))</f>
        <v/>
      </c>
      <c r="H385" s="32" t="str">
        <f aca="false">IF(OR(E385="",M385=0),"",ROUND((F385*$N$379+G385*$O$379)*24,3))</f>
        <v/>
      </c>
      <c r="I385" s="30"/>
      <c r="K385" s="33" t="str">
        <f aca="false">IF(OR(M385=0,C385=""),"",IF(ISNUMBER(C385),MOD(C385,1),IFERROR(INDEX(القوائم!$B$1:$B$288,MATCH(TRIM(C385),القوائم!$A$1:$A$288,0)),IFERROR(MOD(TIMEVALUE(C385),1),""))))</f>
        <v/>
      </c>
      <c r="L385" s="33" t="str">
        <f aca="false">IF(OR(M385=0,D385=""),"",IF(ISNUMBER(D385),MOD(D385,1),IFERROR(INDEX(القوائم!$B$1:$B$288,MATCH(TRIM(D385),القوائم!$A$1:$A$288,0)),IFERROR(MOD(TIMEVALUE(D385),1),""))))</f>
        <v/>
      </c>
      <c r="M385" s="25" t="n">
        <f aca="false">M379</f>
        <v>0</v>
      </c>
      <c r="Q385" s="25" t="n">
        <f aca="false">IF(N(G390)&gt;0,1,0)</f>
        <v>0</v>
      </c>
      <c r="S385" s="0" t="n">
        <v>32</v>
      </c>
    </row>
    <row r="386" customFormat="false" ht="15" hidden="false" customHeight="false" outlineLevel="0" collapsed="false">
      <c r="A386" s="28" t="n">
        <f aca="false">IF(32&lt;=NW,SAT1+222,"")</f>
        <v>46240</v>
      </c>
      <c r="B386" s="29" t="str">
        <f aca="false">IF(A386="","",CHOOSE(WEEKDAY(A386,1),"الأحد","الاثنين","الثلاثاء","الأربعاء","الخميس","الجمعة","السبت"))</f>
        <v>الخميس</v>
      </c>
      <c r="C386" s="30"/>
      <c r="D386" s="30"/>
      <c r="E386" s="31" t="str">
        <f aca="false">IF(OR(M386=0,K386="",L386=""),"",MOD(L386-K386,1))</f>
        <v/>
      </c>
      <c r="F386" s="31" t="str">
        <f aca="false">IF(OR(E386="",M386=0),"",IF(WEEKDAY(A386,1)=6,E386,MIN(E386,MAX(0,MIN(IF(L386&lt;K386,L386+1,L386),OMR_OT_AT)-K386))))</f>
        <v/>
      </c>
      <c r="G386" s="31" t="str">
        <f aca="false">IF(OR(E386="",M386=0),"",MAX(0,E386-F386))</f>
        <v/>
      </c>
      <c r="H386" s="32" t="str">
        <f aca="false">IF(OR(E386="",M386=0),"",ROUND((F386*$N$379+G386*$O$379)*24,3))</f>
        <v/>
      </c>
      <c r="I386" s="30"/>
      <c r="K386" s="33" t="str">
        <f aca="false">IF(OR(M386=0,C386=""),"",IF(ISNUMBER(C386),MOD(C386,1),IFERROR(INDEX(القوائم!$B$1:$B$288,MATCH(TRIM(C386),القوائم!$A$1:$A$288,0)),IFERROR(MOD(TIMEVALUE(C386),1),""))))</f>
        <v/>
      </c>
      <c r="L386" s="33" t="str">
        <f aca="false">IF(OR(M386=0,D386=""),"",IF(ISNUMBER(D386),MOD(D386,1),IFERROR(INDEX(القوائم!$B$1:$B$288,MATCH(TRIM(D386),القوائم!$A$1:$A$288,0)),IFERROR(MOD(TIMEVALUE(D386),1),""))))</f>
        <v/>
      </c>
      <c r="M386" s="25" t="n">
        <f aca="false">M379</f>
        <v>0</v>
      </c>
      <c r="Q386" s="25" t="n">
        <f aca="false">IF(N(G390)&gt;0,1,0)</f>
        <v>0</v>
      </c>
      <c r="S386" s="0" t="n">
        <v>32</v>
      </c>
    </row>
    <row r="387" customFormat="false" ht="15" hidden="false" customHeight="false" outlineLevel="0" collapsed="false">
      <c r="A387" s="34" t="n">
        <f aca="false">IF(32&lt;=NW,SAT1+223,"")</f>
        <v>46241</v>
      </c>
      <c r="B387" s="35" t="str">
        <f aca="false">IF(A387="","",CHOOSE(WEEKDAY(A387,1),"الأحد","الاثنين","الثلاثاء","الأربعاء","الخميس","الجمعة","السبت"))</f>
        <v>الجمعة</v>
      </c>
      <c r="C387" s="30"/>
      <c r="D387" s="30"/>
      <c r="E387" s="31" t="str">
        <f aca="false">IF(OR(M387=0,K387="",L387=""),"",MOD(L387-K387,1))</f>
        <v/>
      </c>
      <c r="F387" s="31" t="str">
        <f aca="false">IF(OR(E387="",M387=0),"",IF(WEEKDAY(A387,1)=6,E387,MIN(E387,MAX(0,MIN(IF(L387&lt;K387,L387+1,L387),OMR_OT_AT)-K387))))</f>
        <v/>
      </c>
      <c r="G387" s="31" t="str">
        <f aca="false">IF(OR(E387="",M387=0),"",MAX(0,E387-F387))</f>
        <v/>
      </c>
      <c r="H387" s="32" t="str">
        <f aca="false">IF(OR(E387="",M387=0),"",ROUND((F387*$N$379+G387*$O$379)*24,3))</f>
        <v/>
      </c>
      <c r="I387" s="30"/>
      <c r="K387" s="33" t="str">
        <f aca="false">IF(OR(M387=0,C387=""),"",IF(ISNUMBER(C387),MOD(C387,1),IFERROR(INDEX(القوائم!$B$1:$B$288,MATCH(TRIM(C387),القوائم!$A$1:$A$288,0)),IFERROR(MOD(TIMEVALUE(C387),1),""))))</f>
        <v/>
      </c>
      <c r="L387" s="33" t="str">
        <f aca="false">IF(OR(M387=0,D387=""),"",IF(ISNUMBER(D387),MOD(D387,1),IFERROR(INDEX(القوائم!$B$1:$B$288,MATCH(TRIM(D387),القوائم!$A$1:$A$288,0)),IFERROR(MOD(TIMEVALUE(D387),1),""))))</f>
        <v/>
      </c>
      <c r="M387" s="25" t="n">
        <f aca="false">M379</f>
        <v>0</v>
      </c>
      <c r="Q387" s="25" t="n">
        <f aca="false">IF(N(G390)&gt;0,1,0)</f>
        <v>0</v>
      </c>
      <c r="S387" s="0" t="n">
        <v>32</v>
      </c>
    </row>
    <row r="388" customFormat="false" ht="15" hidden="false" customHeight="false" outlineLevel="0" collapsed="false">
      <c r="A388" s="36" t="str">
        <f aca="false">IF(M379=1,"مجموع أيام الأسبوع 32","")</f>
        <v/>
      </c>
      <c r="B388" s="36"/>
      <c r="C388" s="36"/>
      <c r="D388" s="36"/>
      <c r="E388" s="37" t="str">
        <f aca="false">IF(M379=1,SUM(E381:E387),"")</f>
        <v/>
      </c>
      <c r="F388" s="37" t="str">
        <f aca="false">IF(M379=1,SUM(F381:F387),"")</f>
        <v/>
      </c>
      <c r="G388" s="37" t="str">
        <f aca="false">IF(M379=1,SUM(G381:G387),"")</f>
        <v/>
      </c>
      <c r="H388" s="38" t="str">
        <f aca="false">IF(M379=1,SUM(H381:H387),"")</f>
        <v/>
      </c>
      <c r="I388" s="36"/>
      <c r="S388" s="0" t="n">
        <v>32</v>
      </c>
    </row>
    <row r="389" customFormat="false" ht="31.5" hidden="false" customHeight="true" outlineLevel="0" collapsed="false">
      <c r="A389" s="39" t="str">
        <f aca="false">IF(M379=1,"ساعات تحميل الجبسمبورد بهالأسبوع (رقم: 2 أو 1.5) ←","")</f>
        <v/>
      </c>
      <c r="B389" s="39"/>
      <c r="C389" s="39"/>
      <c r="D389" s="39"/>
      <c r="E389" s="40"/>
      <c r="F389" s="41" t="str">
        <f aca="false">IF(M379=1,"المستحق النهائي للأسبوع مع الإكرامية (دينار) ←","")</f>
        <v/>
      </c>
      <c r="G389" s="41"/>
      <c r="H389" s="42" t="str">
        <f aca="false">IF(M379=1,IF(ROUND_MODE="للأعلى",CEILING(ROUND((N(H388)+N(E389)*($P$379-$N$379)),3),0.25),ROUND((N(H388)+N(E389)*($P$379-$N$379))*4,0)/4)+N(D390),"")</f>
        <v/>
      </c>
      <c r="I389" s="43" t="str">
        <f aca="false">IF(M379=1,"قبل الجبر: "&amp;TEXT(N(H388)+N(E389)*($P$379-$N$379),"0.000")&amp;IF(N(D390)&gt;0," + إكرامية "&amp;TEXT(D390,"0.000"),""),"")</f>
        <v/>
      </c>
      <c r="S389" s="0" t="n">
        <v>32</v>
      </c>
    </row>
    <row r="390" customFormat="false" ht="25.5" hidden="false" customHeight="true" outlineLevel="0" collapsed="false">
      <c r="A390" s="39" t="str">
        <f aca="false">IF(M379=1,"إكرامية الأسبوع (دينار) ←","")</f>
        <v/>
      </c>
      <c r="B390" s="39"/>
      <c r="C390" s="39"/>
      <c r="D390" s="44"/>
      <c r="E390" s="39" t="str">
        <f aca="false">IF(M379=1,"المدفوع (دينار) ←","")</f>
        <v/>
      </c>
      <c r="F390" s="39"/>
      <c r="G390" s="44"/>
      <c r="H390" s="45" t="str">
        <f aca="false">IF(M379=1,IF(N(G390)&gt;0,"✔ انقبض — الأسبوع مقفول","⏳ لسا ما انقبض"),"")</f>
        <v/>
      </c>
      <c r="I390" s="45"/>
      <c r="S390" s="0" t="n">
        <v>32</v>
      </c>
    </row>
    <row r="391" customFormat="false" ht="27.75" hidden="false" customHeight="true" outlineLevel="0" collapsed="false">
      <c r="A391" s="23" t="str">
        <f aca="false">IF(33&lt;=NW,"من السبت "&amp;TEXT(DAY(SAT1+224),"00")&amp;"/"&amp;TEXT(MONTH(SAT1+224),"00")&amp;"/"&amp;YEAR(SAT1+224)&amp;" إلى الجمعة "&amp;TEXT(DAY(SAT1+230),"00")&amp;"/"&amp;TEXT(MONTH(SAT1+230),"00")&amp;"/"&amp;YEAR(SAT1+230)&amp;" · الأسبوع 33"&amp;"  (يوم القبض: الجمعة)"&amp;IF(33&lt;START_O,"   — قبل أسبوع البداية (ما بينحسب)",""),"ما في أسبوع 33 هالسنة")</f>
        <v>من السبت 08/08/2026 إلى الجمعة 14/08/2026 · الأسبوع 33  (يوم القبض: الجمعة)   — قبل أسبوع البداية (ما بينحسب)</v>
      </c>
      <c r="B391" s="23"/>
      <c r="C391" s="23"/>
      <c r="D391" s="23"/>
      <c r="E391" s="23"/>
      <c r="F391" s="23"/>
      <c r="G391" s="23"/>
      <c r="H391" s="23"/>
      <c r="I391" s="23"/>
      <c r="L391" s="24" t="n">
        <f aca="false">IF(33&lt;=NW,SAT1+230,"")</f>
        <v>46248</v>
      </c>
      <c r="M391" s="25" t="n">
        <f aca="false">IF(AND(33&lt;=NW,33&gt;=START_O),1,0)</f>
        <v>0</v>
      </c>
      <c r="N391" s="26" t="n">
        <f aca="false">IFERROR(INDEX(RT_OMR,MATCH(L391,RT_K,1)),INDEX(RT_OMR,1))</f>
        <v>1.25</v>
      </c>
      <c r="O391" s="26" t="n">
        <f aca="false">IFERROR(INDEX(RT_OT,MATCH(L391,RT_K,1)),INDEX(RT_OT,1))</f>
        <v>1.5</v>
      </c>
      <c r="P391" s="26" t="n">
        <f aca="false">IFERROR(INDEX(RT_GYP,MATCH(L391,RT_K,1)),INDEX(RT_GYP,1))</f>
        <v>2.5</v>
      </c>
      <c r="R391" s="0" t="n">
        <v>33</v>
      </c>
      <c r="S391" s="0" t="n">
        <v>33</v>
      </c>
    </row>
    <row r="392" customFormat="false" ht="25.5" hidden="false" customHeight="true" outlineLevel="0" collapsed="false">
      <c r="A392" s="27" t="s">
        <v>22</v>
      </c>
      <c r="B392" s="27" t="s">
        <v>23</v>
      </c>
      <c r="C392" s="27" t="s">
        <v>24</v>
      </c>
      <c r="D392" s="27" t="s">
        <v>25</v>
      </c>
      <c r="E392" s="27" t="s">
        <v>26</v>
      </c>
      <c r="F392" s="27" t="s">
        <v>27</v>
      </c>
      <c r="G392" s="27" t="s">
        <v>28</v>
      </c>
      <c r="H392" s="27" t="s">
        <v>29</v>
      </c>
      <c r="I392" s="27" t="s">
        <v>30</v>
      </c>
      <c r="S392" s="0" t="n">
        <v>33</v>
      </c>
    </row>
    <row r="393" customFormat="false" ht="15" hidden="false" customHeight="false" outlineLevel="0" collapsed="false">
      <c r="A393" s="28" t="n">
        <f aca="false">IF(33&lt;=NW,SAT1+224,"")</f>
        <v>46242</v>
      </c>
      <c r="B393" s="29" t="str">
        <f aca="false">IF(A393="","",CHOOSE(WEEKDAY(A393,1),"الأحد","الاثنين","الثلاثاء","الأربعاء","الخميس","الجمعة","السبت"))</f>
        <v>السبت</v>
      </c>
      <c r="C393" s="30"/>
      <c r="D393" s="30"/>
      <c r="E393" s="31" t="str">
        <f aca="false">IF(OR(M393=0,K393="",L393=""),"",MOD(L393-K393,1))</f>
        <v/>
      </c>
      <c r="F393" s="31" t="str">
        <f aca="false">IF(OR(E393="",M393=0),"",IF(WEEKDAY(A393,1)=6,E393,MIN(E393,MAX(0,MIN(IF(L393&lt;K393,L393+1,L393),OMR_OT_AT)-K393))))</f>
        <v/>
      </c>
      <c r="G393" s="31" t="str">
        <f aca="false">IF(OR(E393="",M393=0),"",MAX(0,E393-F393))</f>
        <v/>
      </c>
      <c r="H393" s="32" t="str">
        <f aca="false">IF(OR(E393="",M393=0),"",ROUND((F393*$N$391+G393*$O$391)*24,3))</f>
        <v/>
      </c>
      <c r="I393" s="30"/>
      <c r="K393" s="33" t="str">
        <f aca="false">IF(OR(M393=0,C393=""),"",IF(ISNUMBER(C393),MOD(C393,1),IFERROR(INDEX(القوائم!$B$1:$B$288,MATCH(TRIM(C393),القوائم!$A$1:$A$288,0)),IFERROR(MOD(TIMEVALUE(C393),1),""))))</f>
        <v/>
      </c>
      <c r="L393" s="33" t="str">
        <f aca="false">IF(OR(M393=0,D393=""),"",IF(ISNUMBER(D393),MOD(D393,1),IFERROR(INDEX(القوائم!$B$1:$B$288,MATCH(TRIM(D393),القوائم!$A$1:$A$288,0)),IFERROR(MOD(TIMEVALUE(D393),1),""))))</f>
        <v/>
      </c>
      <c r="M393" s="25" t="n">
        <f aca="false">M391</f>
        <v>0</v>
      </c>
      <c r="Q393" s="25" t="n">
        <f aca="false">IF(N(G402)&gt;0,1,0)</f>
        <v>0</v>
      </c>
      <c r="S393" s="0" t="n">
        <v>33</v>
      </c>
    </row>
    <row r="394" customFormat="false" ht="15" hidden="false" customHeight="false" outlineLevel="0" collapsed="false">
      <c r="A394" s="28" t="n">
        <f aca="false">IF(33&lt;=NW,SAT1+225,"")</f>
        <v>46243</v>
      </c>
      <c r="B394" s="29" t="str">
        <f aca="false">IF(A394="","",CHOOSE(WEEKDAY(A394,1),"الأحد","الاثنين","الثلاثاء","الأربعاء","الخميس","الجمعة","السبت"))</f>
        <v>الأحد</v>
      </c>
      <c r="C394" s="30"/>
      <c r="D394" s="30"/>
      <c r="E394" s="31" t="str">
        <f aca="false">IF(OR(M394=0,K394="",L394=""),"",MOD(L394-K394,1))</f>
        <v/>
      </c>
      <c r="F394" s="31" t="str">
        <f aca="false">IF(OR(E394="",M394=0),"",IF(WEEKDAY(A394,1)=6,E394,MIN(E394,MAX(0,MIN(IF(L394&lt;K394,L394+1,L394),OMR_OT_AT)-K394))))</f>
        <v/>
      </c>
      <c r="G394" s="31" t="str">
        <f aca="false">IF(OR(E394="",M394=0),"",MAX(0,E394-F394))</f>
        <v/>
      </c>
      <c r="H394" s="32" t="str">
        <f aca="false">IF(OR(E394="",M394=0),"",ROUND((F394*$N$391+G394*$O$391)*24,3))</f>
        <v/>
      </c>
      <c r="I394" s="30"/>
      <c r="K394" s="33" t="str">
        <f aca="false">IF(OR(M394=0,C394=""),"",IF(ISNUMBER(C394),MOD(C394,1),IFERROR(INDEX(القوائم!$B$1:$B$288,MATCH(TRIM(C394),القوائم!$A$1:$A$288,0)),IFERROR(MOD(TIMEVALUE(C394),1),""))))</f>
        <v/>
      </c>
      <c r="L394" s="33" t="str">
        <f aca="false">IF(OR(M394=0,D394=""),"",IF(ISNUMBER(D394),MOD(D394,1),IFERROR(INDEX(القوائم!$B$1:$B$288,MATCH(TRIM(D394),القوائم!$A$1:$A$288,0)),IFERROR(MOD(TIMEVALUE(D394),1),""))))</f>
        <v/>
      </c>
      <c r="M394" s="25" t="n">
        <f aca="false">M391</f>
        <v>0</v>
      </c>
      <c r="Q394" s="25" t="n">
        <f aca="false">IF(N(G402)&gt;0,1,0)</f>
        <v>0</v>
      </c>
      <c r="S394" s="0" t="n">
        <v>33</v>
      </c>
    </row>
    <row r="395" customFormat="false" ht="15" hidden="false" customHeight="false" outlineLevel="0" collapsed="false">
      <c r="A395" s="28" t="n">
        <f aca="false">IF(33&lt;=NW,SAT1+226,"")</f>
        <v>46244</v>
      </c>
      <c r="B395" s="29" t="str">
        <f aca="false">IF(A395="","",CHOOSE(WEEKDAY(A395,1),"الأحد","الاثنين","الثلاثاء","الأربعاء","الخميس","الجمعة","السبت"))</f>
        <v>الاثنين</v>
      </c>
      <c r="C395" s="30"/>
      <c r="D395" s="30"/>
      <c r="E395" s="31" t="str">
        <f aca="false">IF(OR(M395=0,K395="",L395=""),"",MOD(L395-K395,1))</f>
        <v/>
      </c>
      <c r="F395" s="31" t="str">
        <f aca="false">IF(OR(E395="",M395=0),"",IF(WEEKDAY(A395,1)=6,E395,MIN(E395,MAX(0,MIN(IF(L395&lt;K395,L395+1,L395),OMR_OT_AT)-K395))))</f>
        <v/>
      </c>
      <c r="G395" s="31" t="str">
        <f aca="false">IF(OR(E395="",M395=0),"",MAX(0,E395-F395))</f>
        <v/>
      </c>
      <c r="H395" s="32" t="str">
        <f aca="false">IF(OR(E395="",M395=0),"",ROUND((F395*$N$391+G395*$O$391)*24,3))</f>
        <v/>
      </c>
      <c r="I395" s="30"/>
      <c r="K395" s="33" t="str">
        <f aca="false">IF(OR(M395=0,C395=""),"",IF(ISNUMBER(C395),MOD(C395,1),IFERROR(INDEX(القوائم!$B$1:$B$288,MATCH(TRIM(C395),القوائم!$A$1:$A$288,0)),IFERROR(MOD(TIMEVALUE(C395),1),""))))</f>
        <v/>
      </c>
      <c r="L395" s="33" t="str">
        <f aca="false">IF(OR(M395=0,D395=""),"",IF(ISNUMBER(D395),MOD(D395,1),IFERROR(INDEX(القوائم!$B$1:$B$288,MATCH(TRIM(D395),القوائم!$A$1:$A$288,0)),IFERROR(MOD(TIMEVALUE(D395),1),""))))</f>
        <v/>
      </c>
      <c r="M395" s="25" t="n">
        <f aca="false">M391</f>
        <v>0</v>
      </c>
      <c r="Q395" s="25" t="n">
        <f aca="false">IF(N(G402)&gt;0,1,0)</f>
        <v>0</v>
      </c>
      <c r="S395" s="0" t="n">
        <v>33</v>
      </c>
    </row>
    <row r="396" customFormat="false" ht="15" hidden="false" customHeight="false" outlineLevel="0" collapsed="false">
      <c r="A396" s="28" t="n">
        <f aca="false">IF(33&lt;=NW,SAT1+227,"")</f>
        <v>46245</v>
      </c>
      <c r="B396" s="29" t="str">
        <f aca="false">IF(A396="","",CHOOSE(WEEKDAY(A396,1),"الأحد","الاثنين","الثلاثاء","الأربعاء","الخميس","الجمعة","السبت"))</f>
        <v>الثلاثاء</v>
      </c>
      <c r="C396" s="30"/>
      <c r="D396" s="30"/>
      <c r="E396" s="31" t="str">
        <f aca="false">IF(OR(M396=0,K396="",L396=""),"",MOD(L396-K396,1))</f>
        <v/>
      </c>
      <c r="F396" s="31" t="str">
        <f aca="false">IF(OR(E396="",M396=0),"",IF(WEEKDAY(A396,1)=6,E396,MIN(E396,MAX(0,MIN(IF(L396&lt;K396,L396+1,L396),OMR_OT_AT)-K396))))</f>
        <v/>
      </c>
      <c r="G396" s="31" t="str">
        <f aca="false">IF(OR(E396="",M396=0),"",MAX(0,E396-F396))</f>
        <v/>
      </c>
      <c r="H396" s="32" t="str">
        <f aca="false">IF(OR(E396="",M396=0),"",ROUND((F396*$N$391+G396*$O$391)*24,3))</f>
        <v/>
      </c>
      <c r="I396" s="30"/>
      <c r="K396" s="33" t="str">
        <f aca="false">IF(OR(M396=0,C396=""),"",IF(ISNUMBER(C396),MOD(C396,1),IFERROR(INDEX(القوائم!$B$1:$B$288,MATCH(TRIM(C396),القوائم!$A$1:$A$288,0)),IFERROR(MOD(TIMEVALUE(C396),1),""))))</f>
        <v/>
      </c>
      <c r="L396" s="33" t="str">
        <f aca="false">IF(OR(M396=0,D396=""),"",IF(ISNUMBER(D396),MOD(D396,1),IFERROR(INDEX(القوائم!$B$1:$B$288,MATCH(TRIM(D396),القوائم!$A$1:$A$288,0)),IFERROR(MOD(TIMEVALUE(D396),1),""))))</f>
        <v/>
      </c>
      <c r="M396" s="25" t="n">
        <f aca="false">M391</f>
        <v>0</v>
      </c>
      <c r="Q396" s="25" t="n">
        <f aca="false">IF(N(G402)&gt;0,1,0)</f>
        <v>0</v>
      </c>
      <c r="S396" s="0" t="n">
        <v>33</v>
      </c>
    </row>
    <row r="397" customFormat="false" ht="15" hidden="false" customHeight="false" outlineLevel="0" collapsed="false">
      <c r="A397" s="28" t="n">
        <f aca="false">IF(33&lt;=NW,SAT1+228,"")</f>
        <v>46246</v>
      </c>
      <c r="B397" s="29" t="str">
        <f aca="false">IF(A397="","",CHOOSE(WEEKDAY(A397,1),"الأحد","الاثنين","الثلاثاء","الأربعاء","الخميس","الجمعة","السبت"))</f>
        <v>الأربعاء</v>
      </c>
      <c r="C397" s="30"/>
      <c r="D397" s="30"/>
      <c r="E397" s="31" t="str">
        <f aca="false">IF(OR(M397=0,K397="",L397=""),"",MOD(L397-K397,1))</f>
        <v/>
      </c>
      <c r="F397" s="31" t="str">
        <f aca="false">IF(OR(E397="",M397=0),"",IF(WEEKDAY(A397,1)=6,E397,MIN(E397,MAX(0,MIN(IF(L397&lt;K397,L397+1,L397),OMR_OT_AT)-K397))))</f>
        <v/>
      </c>
      <c r="G397" s="31" t="str">
        <f aca="false">IF(OR(E397="",M397=0),"",MAX(0,E397-F397))</f>
        <v/>
      </c>
      <c r="H397" s="32" t="str">
        <f aca="false">IF(OR(E397="",M397=0),"",ROUND((F397*$N$391+G397*$O$391)*24,3))</f>
        <v/>
      </c>
      <c r="I397" s="30"/>
      <c r="K397" s="33" t="str">
        <f aca="false">IF(OR(M397=0,C397=""),"",IF(ISNUMBER(C397),MOD(C397,1),IFERROR(INDEX(القوائم!$B$1:$B$288,MATCH(TRIM(C397),القوائم!$A$1:$A$288,0)),IFERROR(MOD(TIMEVALUE(C397),1),""))))</f>
        <v/>
      </c>
      <c r="L397" s="33" t="str">
        <f aca="false">IF(OR(M397=0,D397=""),"",IF(ISNUMBER(D397),MOD(D397,1),IFERROR(INDEX(القوائم!$B$1:$B$288,MATCH(TRIM(D397),القوائم!$A$1:$A$288,0)),IFERROR(MOD(TIMEVALUE(D397),1),""))))</f>
        <v/>
      </c>
      <c r="M397" s="25" t="n">
        <f aca="false">M391</f>
        <v>0</v>
      </c>
      <c r="Q397" s="25" t="n">
        <f aca="false">IF(N(G402)&gt;0,1,0)</f>
        <v>0</v>
      </c>
      <c r="S397" s="0" t="n">
        <v>33</v>
      </c>
    </row>
    <row r="398" customFormat="false" ht="15" hidden="false" customHeight="false" outlineLevel="0" collapsed="false">
      <c r="A398" s="28" t="n">
        <f aca="false">IF(33&lt;=NW,SAT1+229,"")</f>
        <v>46247</v>
      </c>
      <c r="B398" s="29" t="str">
        <f aca="false">IF(A398="","",CHOOSE(WEEKDAY(A398,1),"الأحد","الاثنين","الثلاثاء","الأربعاء","الخميس","الجمعة","السبت"))</f>
        <v>الخميس</v>
      </c>
      <c r="C398" s="30"/>
      <c r="D398" s="30"/>
      <c r="E398" s="31" t="str">
        <f aca="false">IF(OR(M398=0,K398="",L398=""),"",MOD(L398-K398,1))</f>
        <v/>
      </c>
      <c r="F398" s="31" t="str">
        <f aca="false">IF(OR(E398="",M398=0),"",IF(WEEKDAY(A398,1)=6,E398,MIN(E398,MAX(0,MIN(IF(L398&lt;K398,L398+1,L398),OMR_OT_AT)-K398))))</f>
        <v/>
      </c>
      <c r="G398" s="31" t="str">
        <f aca="false">IF(OR(E398="",M398=0),"",MAX(0,E398-F398))</f>
        <v/>
      </c>
      <c r="H398" s="32" t="str">
        <f aca="false">IF(OR(E398="",M398=0),"",ROUND((F398*$N$391+G398*$O$391)*24,3))</f>
        <v/>
      </c>
      <c r="I398" s="30"/>
      <c r="K398" s="33" t="str">
        <f aca="false">IF(OR(M398=0,C398=""),"",IF(ISNUMBER(C398),MOD(C398,1),IFERROR(INDEX(القوائم!$B$1:$B$288,MATCH(TRIM(C398),القوائم!$A$1:$A$288,0)),IFERROR(MOD(TIMEVALUE(C398),1),""))))</f>
        <v/>
      </c>
      <c r="L398" s="33" t="str">
        <f aca="false">IF(OR(M398=0,D398=""),"",IF(ISNUMBER(D398),MOD(D398,1),IFERROR(INDEX(القوائم!$B$1:$B$288,MATCH(TRIM(D398),القوائم!$A$1:$A$288,0)),IFERROR(MOD(TIMEVALUE(D398),1),""))))</f>
        <v/>
      </c>
      <c r="M398" s="25" t="n">
        <f aca="false">M391</f>
        <v>0</v>
      </c>
      <c r="Q398" s="25" t="n">
        <f aca="false">IF(N(G402)&gt;0,1,0)</f>
        <v>0</v>
      </c>
      <c r="S398" s="0" t="n">
        <v>33</v>
      </c>
    </row>
    <row r="399" customFormat="false" ht="15" hidden="false" customHeight="false" outlineLevel="0" collapsed="false">
      <c r="A399" s="34" t="n">
        <f aca="false">IF(33&lt;=NW,SAT1+230,"")</f>
        <v>46248</v>
      </c>
      <c r="B399" s="35" t="str">
        <f aca="false">IF(A399="","",CHOOSE(WEEKDAY(A399,1),"الأحد","الاثنين","الثلاثاء","الأربعاء","الخميس","الجمعة","السبت"))</f>
        <v>الجمعة</v>
      </c>
      <c r="C399" s="30"/>
      <c r="D399" s="30"/>
      <c r="E399" s="31" t="str">
        <f aca="false">IF(OR(M399=0,K399="",L399=""),"",MOD(L399-K399,1))</f>
        <v/>
      </c>
      <c r="F399" s="31" t="str">
        <f aca="false">IF(OR(E399="",M399=0),"",IF(WEEKDAY(A399,1)=6,E399,MIN(E399,MAX(0,MIN(IF(L399&lt;K399,L399+1,L399),OMR_OT_AT)-K399))))</f>
        <v/>
      </c>
      <c r="G399" s="31" t="str">
        <f aca="false">IF(OR(E399="",M399=0),"",MAX(0,E399-F399))</f>
        <v/>
      </c>
      <c r="H399" s="32" t="str">
        <f aca="false">IF(OR(E399="",M399=0),"",ROUND((F399*$N$391+G399*$O$391)*24,3))</f>
        <v/>
      </c>
      <c r="I399" s="30"/>
      <c r="K399" s="33" t="str">
        <f aca="false">IF(OR(M399=0,C399=""),"",IF(ISNUMBER(C399),MOD(C399,1),IFERROR(INDEX(القوائم!$B$1:$B$288,MATCH(TRIM(C399),القوائم!$A$1:$A$288,0)),IFERROR(MOD(TIMEVALUE(C399),1),""))))</f>
        <v/>
      </c>
      <c r="L399" s="33" t="str">
        <f aca="false">IF(OR(M399=0,D399=""),"",IF(ISNUMBER(D399),MOD(D399,1),IFERROR(INDEX(القوائم!$B$1:$B$288,MATCH(TRIM(D399),القوائم!$A$1:$A$288,0)),IFERROR(MOD(TIMEVALUE(D399),1),""))))</f>
        <v/>
      </c>
      <c r="M399" s="25" t="n">
        <f aca="false">M391</f>
        <v>0</v>
      </c>
      <c r="Q399" s="25" t="n">
        <f aca="false">IF(N(G402)&gt;0,1,0)</f>
        <v>0</v>
      </c>
      <c r="S399" s="0" t="n">
        <v>33</v>
      </c>
    </row>
    <row r="400" customFormat="false" ht="15" hidden="false" customHeight="false" outlineLevel="0" collapsed="false">
      <c r="A400" s="36" t="str">
        <f aca="false">IF(M391=1,"مجموع أيام الأسبوع 33","")</f>
        <v/>
      </c>
      <c r="B400" s="36"/>
      <c r="C400" s="36"/>
      <c r="D400" s="36"/>
      <c r="E400" s="37" t="str">
        <f aca="false">IF(M391=1,SUM(E393:E399),"")</f>
        <v/>
      </c>
      <c r="F400" s="37" t="str">
        <f aca="false">IF(M391=1,SUM(F393:F399),"")</f>
        <v/>
      </c>
      <c r="G400" s="37" t="str">
        <f aca="false">IF(M391=1,SUM(G393:G399),"")</f>
        <v/>
      </c>
      <c r="H400" s="38" t="str">
        <f aca="false">IF(M391=1,SUM(H393:H399),"")</f>
        <v/>
      </c>
      <c r="I400" s="36"/>
      <c r="S400" s="0" t="n">
        <v>33</v>
      </c>
    </row>
    <row r="401" customFormat="false" ht="31.5" hidden="false" customHeight="true" outlineLevel="0" collapsed="false">
      <c r="A401" s="39" t="str">
        <f aca="false">IF(M391=1,"ساعات تحميل الجبسمبورد بهالأسبوع (رقم: 2 أو 1.5) ←","")</f>
        <v/>
      </c>
      <c r="B401" s="39"/>
      <c r="C401" s="39"/>
      <c r="D401" s="39"/>
      <c r="E401" s="40"/>
      <c r="F401" s="41" t="str">
        <f aca="false">IF(M391=1,"المستحق النهائي للأسبوع مع الإكرامية (دينار) ←","")</f>
        <v/>
      </c>
      <c r="G401" s="41"/>
      <c r="H401" s="42" t="str">
        <f aca="false">IF(M391=1,IF(ROUND_MODE="للأعلى",CEILING(ROUND((N(H400)+N(E401)*($P$391-$N$391)),3),0.25),ROUND((N(H400)+N(E401)*($P$391-$N$391))*4,0)/4)+N(D402),"")</f>
        <v/>
      </c>
      <c r="I401" s="43" t="str">
        <f aca="false">IF(M391=1,"قبل الجبر: "&amp;TEXT(N(H400)+N(E401)*($P$391-$N$391),"0.000")&amp;IF(N(D402)&gt;0," + إكرامية "&amp;TEXT(D402,"0.000"),""),"")</f>
        <v/>
      </c>
      <c r="S401" s="0" t="n">
        <v>33</v>
      </c>
    </row>
    <row r="402" customFormat="false" ht="25.5" hidden="false" customHeight="true" outlineLevel="0" collapsed="false">
      <c r="A402" s="39" t="str">
        <f aca="false">IF(M391=1,"إكرامية الأسبوع (دينار) ←","")</f>
        <v/>
      </c>
      <c r="B402" s="39"/>
      <c r="C402" s="39"/>
      <c r="D402" s="44"/>
      <c r="E402" s="39" t="str">
        <f aca="false">IF(M391=1,"المدفوع (دينار) ←","")</f>
        <v/>
      </c>
      <c r="F402" s="39"/>
      <c r="G402" s="44"/>
      <c r="H402" s="45" t="str">
        <f aca="false">IF(M391=1,IF(N(G402)&gt;0,"✔ انقبض — الأسبوع مقفول","⏳ لسا ما انقبض"),"")</f>
        <v/>
      </c>
      <c r="I402" s="45"/>
      <c r="S402" s="0" t="n">
        <v>33</v>
      </c>
    </row>
    <row r="403" customFormat="false" ht="27.75" hidden="false" customHeight="true" outlineLevel="0" collapsed="false">
      <c r="A403" s="23" t="str">
        <f aca="false">IF(34&lt;=NW,"من السبت "&amp;TEXT(DAY(SAT1+231),"00")&amp;"/"&amp;TEXT(MONTH(SAT1+231),"00")&amp;"/"&amp;YEAR(SAT1+231)&amp;" إلى الجمعة "&amp;TEXT(DAY(SAT1+237),"00")&amp;"/"&amp;TEXT(MONTH(SAT1+237),"00")&amp;"/"&amp;YEAR(SAT1+237)&amp;" · الأسبوع 34"&amp;"  (يوم القبض: الجمعة)"&amp;IF(34&lt;START_O,"   — قبل أسبوع البداية (ما بينحسب)",""),"ما في أسبوع 34 هالسنة")</f>
        <v>من السبت 15/08/2026 إلى الجمعة 21/08/2026 · الأسبوع 34  (يوم القبض: الجمعة)   — قبل أسبوع البداية (ما بينحسب)</v>
      </c>
      <c r="B403" s="23"/>
      <c r="C403" s="23"/>
      <c r="D403" s="23"/>
      <c r="E403" s="23"/>
      <c r="F403" s="23"/>
      <c r="G403" s="23"/>
      <c r="H403" s="23"/>
      <c r="I403" s="23"/>
      <c r="L403" s="24" t="n">
        <f aca="false">IF(34&lt;=NW,SAT1+237,"")</f>
        <v>46255</v>
      </c>
      <c r="M403" s="25" t="n">
        <f aca="false">IF(AND(34&lt;=NW,34&gt;=START_O),1,0)</f>
        <v>0</v>
      </c>
      <c r="N403" s="26" t="n">
        <f aca="false">IFERROR(INDEX(RT_OMR,MATCH(L403,RT_K,1)),INDEX(RT_OMR,1))</f>
        <v>1.25</v>
      </c>
      <c r="O403" s="26" t="n">
        <f aca="false">IFERROR(INDEX(RT_OT,MATCH(L403,RT_K,1)),INDEX(RT_OT,1))</f>
        <v>1.5</v>
      </c>
      <c r="P403" s="26" t="n">
        <f aca="false">IFERROR(INDEX(RT_GYP,MATCH(L403,RT_K,1)),INDEX(RT_GYP,1))</f>
        <v>2.5</v>
      </c>
      <c r="R403" s="0" t="n">
        <v>34</v>
      </c>
      <c r="S403" s="0" t="n">
        <v>34</v>
      </c>
    </row>
    <row r="404" customFormat="false" ht="25.5" hidden="false" customHeight="true" outlineLevel="0" collapsed="false">
      <c r="A404" s="27" t="s">
        <v>22</v>
      </c>
      <c r="B404" s="27" t="s">
        <v>23</v>
      </c>
      <c r="C404" s="27" t="s">
        <v>24</v>
      </c>
      <c r="D404" s="27" t="s">
        <v>25</v>
      </c>
      <c r="E404" s="27" t="s">
        <v>26</v>
      </c>
      <c r="F404" s="27" t="s">
        <v>27</v>
      </c>
      <c r="G404" s="27" t="s">
        <v>28</v>
      </c>
      <c r="H404" s="27" t="s">
        <v>29</v>
      </c>
      <c r="I404" s="27" t="s">
        <v>30</v>
      </c>
      <c r="S404" s="0" t="n">
        <v>34</v>
      </c>
    </row>
    <row r="405" customFormat="false" ht="15" hidden="false" customHeight="false" outlineLevel="0" collapsed="false">
      <c r="A405" s="28" t="n">
        <f aca="false">IF(34&lt;=NW,SAT1+231,"")</f>
        <v>46249</v>
      </c>
      <c r="B405" s="29" t="str">
        <f aca="false">IF(A405="","",CHOOSE(WEEKDAY(A405,1),"الأحد","الاثنين","الثلاثاء","الأربعاء","الخميس","الجمعة","السبت"))</f>
        <v>السبت</v>
      </c>
      <c r="C405" s="30"/>
      <c r="D405" s="30"/>
      <c r="E405" s="31" t="str">
        <f aca="false">IF(OR(M405=0,K405="",L405=""),"",MOD(L405-K405,1))</f>
        <v/>
      </c>
      <c r="F405" s="31" t="str">
        <f aca="false">IF(OR(E405="",M405=0),"",IF(WEEKDAY(A405,1)=6,E405,MIN(E405,MAX(0,MIN(IF(L405&lt;K405,L405+1,L405),OMR_OT_AT)-K405))))</f>
        <v/>
      </c>
      <c r="G405" s="31" t="str">
        <f aca="false">IF(OR(E405="",M405=0),"",MAX(0,E405-F405))</f>
        <v/>
      </c>
      <c r="H405" s="32" t="str">
        <f aca="false">IF(OR(E405="",M405=0),"",ROUND((F405*$N$403+G405*$O$403)*24,3))</f>
        <v/>
      </c>
      <c r="I405" s="30"/>
      <c r="K405" s="33" t="str">
        <f aca="false">IF(OR(M405=0,C405=""),"",IF(ISNUMBER(C405),MOD(C405,1),IFERROR(INDEX(القوائم!$B$1:$B$288,MATCH(TRIM(C405),القوائم!$A$1:$A$288,0)),IFERROR(MOD(TIMEVALUE(C405),1),""))))</f>
        <v/>
      </c>
      <c r="L405" s="33" t="str">
        <f aca="false">IF(OR(M405=0,D405=""),"",IF(ISNUMBER(D405),MOD(D405,1),IFERROR(INDEX(القوائم!$B$1:$B$288,MATCH(TRIM(D405),القوائم!$A$1:$A$288,0)),IFERROR(MOD(TIMEVALUE(D405),1),""))))</f>
        <v/>
      </c>
      <c r="M405" s="25" t="n">
        <f aca="false">M403</f>
        <v>0</v>
      </c>
      <c r="Q405" s="25" t="n">
        <f aca="false">IF(N(G414)&gt;0,1,0)</f>
        <v>0</v>
      </c>
      <c r="S405" s="0" t="n">
        <v>34</v>
      </c>
    </row>
    <row r="406" customFormat="false" ht="15" hidden="false" customHeight="false" outlineLevel="0" collapsed="false">
      <c r="A406" s="28" t="n">
        <f aca="false">IF(34&lt;=NW,SAT1+232,"")</f>
        <v>46250</v>
      </c>
      <c r="B406" s="29" t="str">
        <f aca="false">IF(A406="","",CHOOSE(WEEKDAY(A406,1),"الأحد","الاثنين","الثلاثاء","الأربعاء","الخميس","الجمعة","السبت"))</f>
        <v>الأحد</v>
      </c>
      <c r="C406" s="30"/>
      <c r="D406" s="30"/>
      <c r="E406" s="31" t="str">
        <f aca="false">IF(OR(M406=0,K406="",L406=""),"",MOD(L406-K406,1))</f>
        <v/>
      </c>
      <c r="F406" s="31" t="str">
        <f aca="false">IF(OR(E406="",M406=0),"",IF(WEEKDAY(A406,1)=6,E406,MIN(E406,MAX(0,MIN(IF(L406&lt;K406,L406+1,L406),OMR_OT_AT)-K406))))</f>
        <v/>
      </c>
      <c r="G406" s="31" t="str">
        <f aca="false">IF(OR(E406="",M406=0),"",MAX(0,E406-F406))</f>
        <v/>
      </c>
      <c r="H406" s="32" t="str">
        <f aca="false">IF(OR(E406="",M406=0),"",ROUND((F406*$N$403+G406*$O$403)*24,3))</f>
        <v/>
      </c>
      <c r="I406" s="30"/>
      <c r="K406" s="33" t="str">
        <f aca="false">IF(OR(M406=0,C406=""),"",IF(ISNUMBER(C406),MOD(C406,1),IFERROR(INDEX(القوائم!$B$1:$B$288,MATCH(TRIM(C406),القوائم!$A$1:$A$288,0)),IFERROR(MOD(TIMEVALUE(C406),1),""))))</f>
        <v/>
      </c>
      <c r="L406" s="33" t="str">
        <f aca="false">IF(OR(M406=0,D406=""),"",IF(ISNUMBER(D406),MOD(D406,1),IFERROR(INDEX(القوائم!$B$1:$B$288,MATCH(TRIM(D406),القوائم!$A$1:$A$288,0)),IFERROR(MOD(TIMEVALUE(D406),1),""))))</f>
        <v/>
      </c>
      <c r="M406" s="25" t="n">
        <f aca="false">M403</f>
        <v>0</v>
      </c>
      <c r="Q406" s="25" t="n">
        <f aca="false">IF(N(G414)&gt;0,1,0)</f>
        <v>0</v>
      </c>
      <c r="S406" s="0" t="n">
        <v>34</v>
      </c>
    </row>
    <row r="407" customFormat="false" ht="15" hidden="false" customHeight="false" outlineLevel="0" collapsed="false">
      <c r="A407" s="28" t="n">
        <f aca="false">IF(34&lt;=NW,SAT1+233,"")</f>
        <v>46251</v>
      </c>
      <c r="B407" s="29" t="str">
        <f aca="false">IF(A407="","",CHOOSE(WEEKDAY(A407,1),"الأحد","الاثنين","الثلاثاء","الأربعاء","الخميس","الجمعة","السبت"))</f>
        <v>الاثنين</v>
      </c>
      <c r="C407" s="30"/>
      <c r="D407" s="30"/>
      <c r="E407" s="31" t="str">
        <f aca="false">IF(OR(M407=0,K407="",L407=""),"",MOD(L407-K407,1))</f>
        <v/>
      </c>
      <c r="F407" s="31" t="str">
        <f aca="false">IF(OR(E407="",M407=0),"",IF(WEEKDAY(A407,1)=6,E407,MIN(E407,MAX(0,MIN(IF(L407&lt;K407,L407+1,L407),OMR_OT_AT)-K407))))</f>
        <v/>
      </c>
      <c r="G407" s="31" t="str">
        <f aca="false">IF(OR(E407="",M407=0),"",MAX(0,E407-F407))</f>
        <v/>
      </c>
      <c r="H407" s="32" t="str">
        <f aca="false">IF(OR(E407="",M407=0),"",ROUND((F407*$N$403+G407*$O$403)*24,3))</f>
        <v/>
      </c>
      <c r="I407" s="30"/>
      <c r="K407" s="33" t="str">
        <f aca="false">IF(OR(M407=0,C407=""),"",IF(ISNUMBER(C407),MOD(C407,1),IFERROR(INDEX(القوائم!$B$1:$B$288,MATCH(TRIM(C407),القوائم!$A$1:$A$288,0)),IFERROR(MOD(TIMEVALUE(C407),1),""))))</f>
        <v/>
      </c>
      <c r="L407" s="33" t="str">
        <f aca="false">IF(OR(M407=0,D407=""),"",IF(ISNUMBER(D407),MOD(D407,1),IFERROR(INDEX(القوائم!$B$1:$B$288,MATCH(TRIM(D407),القوائم!$A$1:$A$288,0)),IFERROR(MOD(TIMEVALUE(D407),1),""))))</f>
        <v/>
      </c>
      <c r="M407" s="25" t="n">
        <f aca="false">M403</f>
        <v>0</v>
      </c>
      <c r="Q407" s="25" t="n">
        <f aca="false">IF(N(G414)&gt;0,1,0)</f>
        <v>0</v>
      </c>
      <c r="S407" s="0" t="n">
        <v>34</v>
      </c>
    </row>
    <row r="408" customFormat="false" ht="15" hidden="false" customHeight="false" outlineLevel="0" collapsed="false">
      <c r="A408" s="28" t="n">
        <f aca="false">IF(34&lt;=NW,SAT1+234,"")</f>
        <v>46252</v>
      </c>
      <c r="B408" s="29" t="str">
        <f aca="false">IF(A408="","",CHOOSE(WEEKDAY(A408,1),"الأحد","الاثنين","الثلاثاء","الأربعاء","الخميس","الجمعة","السبت"))</f>
        <v>الثلاثاء</v>
      </c>
      <c r="C408" s="30"/>
      <c r="D408" s="30"/>
      <c r="E408" s="31" t="str">
        <f aca="false">IF(OR(M408=0,K408="",L408=""),"",MOD(L408-K408,1))</f>
        <v/>
      </c>
      <c r="F408" s="31" t="str">
        <f aca="false">IF(OR(E408="",M408=0),"",IF(WEEKDAY(A408,1)=6,E408,MIN(E408,MAX(0,MIN(IF(L408&lt;K408,L408+1,L408),OMR_OT_AT)-K408))))</f>
        <v/>
      </c>
      <c r="G408" s="31" t="str">
        <f aca="false">IF(OR(E408="",M408=0),"",MAX(0,E408-F408))</f>
        <v/>
      </c>
      <c r="H408" s="32" t="str">
        <f aca="false">IF(OR(E408="",M408=0),"",ROUND((F408*$N$403+G408*$O$403)*24,3))</f>
        <v/>
      </c>
      <c r="I408" s="30"/>
      <c r="K408" s="33" t="str">
        <f aca="false">IF(OR(M408=0,C408=""),"",IF(ISNUMBER(C408),MOD(C408,1),IFERROR(INDEX(القوائم!$B$1:$B$288,MATCH(TRIM(C408),القوائم!$A$1:$A$288,0)),IFERROR(MOD(TIMEVALUE(C408),1),""))))</f>
        <v/>
      </c>
      <c r="L408" s="33" t="str">
        <f aca="false">IF(OR(M408=0,D408=""),"",IF(ISNUMBER(D408),MOD(D408,1),IFERROR(INDEX(القوائم!$B$1:$B$288,MATCH(TRIM(D408),القوائم!$A$1:$A$288,0)),IFERROR(MOD(TIMEVALUE(D408),1),""))))</f>
        <v/>
      </c>
      <c r="M408" s="25" t="n">
        <f aca="false">M403</f>
        <v>0</v>
      </c>
      <c r="Q408" s="25" t="n">
        <f aca="false">IF(N(G414)&gt;0,1,0)</f>
        <v>0</v>
      </c>
      <c r="S408" s="0" t="n">
        <v>34</v>
      </c>
    </row>
    <row r="409" customFormat="false" ht="15" hidden="false" customHeight="false" outlineLevel="0" collapsed="false">
      <c r="A409" s="28" t="n">
        <f aca="false">IF(34&lt;=NW,SAT1+235,"")</f>
        <v>46253</v>
      </c>
      <c r="B409" s="29" t="str">
        <f aca="false">IF(A409="","",CHOOSE(WEEKDAY(A409,1),"الأحد","الاثنين","الثلاثاء","الأربعاء","الخميس","الجمعة","السبت"))</f>
        <v>الأربعاء</v>
      </c>
      <c r="C409" s="30"/>
      <c r="D409" s="30"/>
      <c r="E409" s="31" t="str">
        <f aca="false">IF(OR(M409=0,K409="",L409=""),"",MOD(L409-K409,1))</f>
        <v/>
      </c>
      <c r="F409" s="31" t="str">
        <f aca="false">IF(OR(E409="",M409=0),"",IF(WEEKDAY(A409,1)=6,E409,MIN(E409,MAX(0,MIN(IF(L409&lt;K409,L409+1,L409),OMR_OT_AT)-K409))))</f>
        <v/>
      </c>
      <c r="G409" s="31" t="str">
        <f aca="false">IF(OR(E409="",M409=0),"",MAX(0,E409-F409))</f>
        <v/>
      </c>
      <c r="H409" s="32" t="str">
        <f aca="false">IF(OR(E409="",M409=0),"",ROUND((F409*$N$403+G409*$O$403)*24,3))</f>
        <v/>
      </c>
      <c r="I409" s="30"/>
      <c r="K409" s="33" t="str">
        <f aca="false">IF(OR(M409=0,C409=""),"",IF(ISNUMBER(C409),MOD(C409,1),IFERROR(INDEX(القوائم!$B$1:$B$288,MATCH(TRIM(C409),القوائم!$A$1:$A$288,0)),IFERROR(MOD(TIMEVALUE(C409),1),""))))</f>
        <v/>
      </c>
      <c r="L409" s="33" t="str">
        <f aca="false">IF(OR(M409=0,D409=""),"",IF(ISNUMBER(D409),MOD(D409,1),IFERROR(INDEX(القوائم!$B$1:$B$288,MATCH(TRIM(D409),القوائم!$A$1:$A$288,0)),IFERROR(MOD(TIMEVALUE(D409),1),""))))</f>
        <v/>
      </c>
      <c r="M409" s="25" t="n">
        <f aca="false">M403</f>
        <v>0</v>
      </c>
      <c r="Q409" s="25" t="n">
        <f aca="false">IF(N(G414)&gt;0,1,0)</f>
        <v>0</v>
      </c>
      <c r="S409" s="0" t="n">
        <v>34</v>
      </c>
    </row>
    <row r="410" customFormat="false" ht="15" hidden="false" customHeight="false" outlineLevel="0" collapsed="false">
      <c r="A410" s="28" t="n">
        <f aca="false">IF(34&lt;=NW,SAT1+236,"")</f>
        <v>46254</v>
      </c>
      <c r="B410" s="29" t="str">
        <f aca="false">IF(A410="","",CHOOSE(WEEKDAY(A410,1),"الأحد","الاثنين","الثلاثاء","الأربعاء","الخميس","الجمعة","السبت"))</f>
        <v>الخميس</v>
      </c>
      <c r="C410" s="30"/>
      <c r="D410" s="30"/>
      <c r="E410" s="31" t="str">
        <f aca="false">IF(OR(M410=0,K410="",L410=""),"",MOD(L410-K410,1))</f>
        <v/>
      </c>
      <c r="F410" s="31" t="str">
        <f aca="false">IF(OR(E410="",M410=0),"",IF(WEEKDAY(A410,1)=6,E410,MIN(E410,MAX(0,MIN(IF(L410&lt;K410,L410+1,L410),OMR_OT_AT)-K410))))</f>
        <v/>
      </c>
      <c r="G410" s="31" t="str">
        <f aca="false">IF(OR(E410="",M410=0),"",MAX(0,E410-F410))</f>
        <v/>
      </c>
      <c r="H410" s="32" t="str">
        <f aca="false">IF(OR(E410="",M410=0),"",ROUND((F410*$N$403+G410*$O$403)*24,3))</f>
        <v/>
      </c>
      <c r="I410" s="30"/>
      <c r="K410" s="33" t="str">
        <f aca="false">IF(OR(M410=0,C410=""),"",IF(ISNUMBER(C410),MOD(C410,1),IFERROR(INDEX(القوائم!$B$1:$B$288,MATCH(TRIM(C410),القوائم!$A$1:$A$288,0)),IFERROR(MOD(TIMEVALUE(C410),1),""))))</f>
        <v/>
      </c>
      <c r="L410" s="33" t="str">
        <f aca="false">IF(OR(M410=0,D410=""),"",IF(ISNUMBER(D410),MOD(D410,1),IFERROR(INDEX(القوائم!$B$1:$B$288,MATCH(TRIM(D410),القوائم!$A$1:$A$288,0)),IFERROR(MOD(TIMEVALUE(D410),1),""))))</f>
        <v/>
      </c>
      <c r="M410" s="25" t="n">
        <f aca="false">M403</f>
        <v>0</v>
      </c>
      <c r="Q410" s="25" t="n">
        <f aca="false">IF(N(G414)&gt;0,1,0)</f>
        <v>0</v>
      </c>
      <c r="S410" s="0" t="n">
        <v>34</v>
      </c>
    </row>
    <row r="411" customFormat="false" ht="15" hidden="false" customHeight="false" outlineLevel="0" collapsed="false">
      <c r="A411" s="34" t="n">
        <f aca="false">IF(34&lt;=NW,SAT1+237,"")</f>
        <v>46255</v>
      </c>
      <c r="B411" s="35" t="str">
        <f aca="false">IF(A411="","",CHOOSE(WEEKDAY(A411,1),"الأحد","الاثنين","الثلاثاء","الأربعاء","الخميس","الجمعة","السبت"))</f>
        <v>الجمعة</v>
      </c>
      <c r="C411" s="30"/>
      <c r="D411" s="30"/>
      <c r="E411" s="31" t="str">
        <f aca="false">IF(OR(M411=0,K411="",L411=""),"",MOD(L411-K411,1))</f>
        <v/>
      </c>
      <c r="F411" s="31" t="str">
        <f aca="false">IF(OR(E411="",M411=0),"",IF(WEEKDAY(A411,1)=6,E411,MIN(E411,MAX(0,MIN(IF(L411&lt;K411,L411+1,L411),OMR_OT_AT)-K411))))</f>
        <v/>
      </c>
      <c r="G411" s="31" t="str">
        <f aca="false">IF(OR(E411="",M411=0),"",MAX(0,E411-F411))</f>
        <v/>
      </c>
      <c r="H411" s="32" t="str">
        <f aca="false">IF(OR(E411="",M411=0),"",ROUND((F411*$N$403+G411*$O$403)*24,3))</f>
        <v/>
      </c>
      <c r="I411" s="30"/>
      <c r="K411" s="33" t="str">
        <f aca="false">IF(OR(M411=0,C411=""),"",IF(ISNUMBER(C411),MOD(C411,1),IFERROR(INDEX(القوائم!$B$1:$B$288,MATCH(TRIM(C411),القوائم!$A$1:$A$288,0)),IFERROR(MOD(TIMEVALUE(C411),1),""))))</f>
        <v/>
      </c>
      <c r="L411" s="33" t="str">
        <f aca="false">IF(OR(M411=0,D411=""),"",IF(ISNUMBER(D411),MOD(D411,1),IFERROR(INDEX(القوائم!$B$1:$B$288,MATCH(TRIM(D411),القوائم!$A$1:$A$288,0)),IFERROR(MOD(TIMEVALUE(D411),1),""))))</f>
        <v/>
      </c>
      <c r="M411" s="25" t="n">
        <f aca="false">M403</f>
        <v>0</v>
      </c>
      <c r="Q411" s="25" t="n">
        <f aca="false">IF(N(G414)&gt;0,1,0)</f>
        <v>0</v>
      </c>
      <c r="S411" s="0" t="n">
        <v>34</v>
      </c>
    </row>
    <row r="412" customFormat="false" ht="15" hidden="false" customHeight="false" outlineLevel="0" collapsed="false">
      <c r="A412" s="36" t="str">
        <f aca="false">IF(M403=1,"مجموع أيام الأسبوع 34","")</f>
        <v/>
      </c>
      <c r="B412" s="36"/>
      <c r="C412" s="36"/>
      <c r="D412" s="36"/>
      <c r="E412" s="37" t="str">
        <f aca="false">IF(M403=1,SUM(E405:E411),"")</f>
        <v/>
      </c>
      <c r="F412" s="37" t="str">
        <f aca="false">IF(M403=1,SUM(F405:F411),"")</f>
        <v/>
      </c>
      <c r="G412" s="37" t="str">
        <f aca="false">IF(M403=1,SUM(G405:G411),"")</f>
        <v/>
      </c>
      <c r="H412" s="38" t="str">
        <f aca="false">IF(M403=1,SUM(H405:H411),"")</f>
        <v/>
      </c>
      <c r="I412" s="36"/>
      <c r="S412" s="0" t="n">
        <v>34</v>
      </c>
    </row>
    <row r="413" customFormat="false" ht="31.5" hidden="false" customHeight="true" outlineLevel="0" collapsed="false">
      <c r="A413" s="39" t="str">
        <f aca="false">IF(M403=1,"ساعات تحميل الجبسمبورد بهالأسبوع (رقم: 2 أو 1.5) ←","")</f>
        <v/>
      </c>
      <c r="B413" s="39"/>
      <c r="C413" s="39"/>
      <c r="D413" s="39"/>
      <c r="E413" s="40"/>
      <c r="F413" s="41" t="str">
        <f aca="false">IF(M403=1,"المستحق النهائي للأسبوع مع الإكرامية (دينار) ←","")</f>
        <v/>
      </c>
      <c r="G413" s="41"/>
      <c r="H413" s="42" t="str">
        <f aca="false">IF(M403=1,IF(ROUND_MODE="للأعلى",CEILING(ROUND((N(H412)+N(E413)*($P$403-$N$403)),3),0.25),ROUND((N(H412)+N(E413)*($P$403-$N$403))*4,0)/4)+N(D414),"")</f>
        <v/>
      </c>
      <c r="I413" s="43" t="str">
        <f aca="false">IF(M403=1,"قبل الجبر: "&amp;TEXT(N(H412)+N(E413)*($P$403-$N$403),"0.000")&amp;IF(N(D414)&gt;0," + إكرامية "&amp;TEXT(D414,"0.000"),""),"")</f>
        <v/>
      </c>
      <c r="S413" s="0" t="n">
        <v>34</v>
      </c>
    </row>
    <row r="414" customFormat="false" ht="25.5" hidden="false" customHeight="true" outlineLevel="0" collapsed="false">
      <c r="A414" s="39" t="str">
        <f aca="false">IF(M403=1,"إكرامية الأسبوع (دينار) ←","")</f>
        <v/>
      </c>
      <c r="B414" s="39"/>
      <c r="C414" s="39"/>
      <c r="D414" s="44"/>
      <c r="E414" s="39" t="str">
        <f aca="false">IF(M403=1,"المدفوع (دينار) ←","")</f>
        <v/>
      </c>
      <c r="F414" s="39"/>
      <c r="G414" s="44"/>
      <c r="H414" s="45" t="str">
        <f aca="false">IF(M403=1,IF(N(G414)&gt;0,"✔ انقبض — الأسبوع مقفول","⏳ لسا ما انقبض"),"")</f>
        <v/>
      </c>
      <c r="I414" s="45"/>
      <c r="S414" s="0" t="n">
        <v>34</v>
      </c>
    </row>
    <row r="415" customFormat="false" ht="27.75" hidden="false" customHeight="true" outlineLevel="0" collapsed="false">
      <c r="A415" s="23" t="str">
        <f aca="false">IF(35&lt;=NW,"من السبت "&amp;TEXT(DAY(SAT1+238),"00")&amp;"/"&amp;TEXT(MONTH(SAT1+238),"00")&amp;"/"&amp;YEAR(SAT1+238)&amp;" إلى الجمعة "&amp;TEXT(DAY(SAT1+244),"00")&amp;"/"&amp;TEXT(MONTH(SAT1+244),"00")&amp;"/"&amp;YEAR(SAT1+244)&amp;" · الأسبوع 35"&amp;"  (يوم القبض: الجمعة)"&amp;IF(35&lt;START_O,"   — قبل أسبوع البداية (ما بينحسب)",""),"ما في أسبوع 35 هالسنة")</f>
        <v>من السبت 22/08/2026 إلى الجمعة 28/08/2026 · الأسبوع 35  (يوم القبض: الجمعة)   — قبل أسبوع البداية (ما بينحسب)</v>
      </c>
      <c r="B415" s="23"/>
      <c r="C415" s="23"/>
      <c r="D415" s="23"/>
      <c r="E415" s="23"/>
      <c r="F415" s="23"/>
      <c r="G415" s="23"/>
      <c r="H415" s="23"/>
      <c r="I415" s="23"/>
      <c r="L415" s="24" t="n">
        <f aca="false">IF(35&lt;=NW,SAT1+244,"")</f>
        <v>46262</v>
      </c>
      <c r="M415" s="25" t="n">
        <f aca="false">IF(AND(35&lt;=NW,35&gt;=START_O),1,0)</f>
        <v>0</v>
      </c>
      <c r="N415" s="26" t="n">
        <f aca="false">IFERROR(INDEX(RT_OMR,MATCH(L415,RT_K,1)),INDEX(RT_OMR,1))</f>
        <v>1.25</v>
      </c>
      <c r="O415" s="26" t="n">
        <f aca="false">IFERROR(INDEX(RT_OT,MATCH(L415,RT_K,1)),INDEX(RT_OT,1))</f>
        <v>1.5</v>
      </c>
      <c r="P415" s="26" t="n">
        <f aca="false">IFERROR(INDEX(RT_GYP,MATCH(L415,RT_K,1)),INDEX(RT_GYP,1))</f>
        <v>2.5</v>
      </c>
      <c r="R415" s="0" t="n">
        <v>35</v>
      </c>
      <c r="S415" s="0" t="n">
        <v>35</v>
      </c>
    </row>
    <row r="416" customFormat="false" ht="25.5" hidden="false" customHeight="true" outlineLevel="0" collapsed="false">
      <c r="A416" s="27" t="s">
        <v>22</v>
      </c>
      <c r="B416" s="27" t="s">
        <v>23</v>
      </c>
      <c r="C416" s="27" t="s">
        <v>24</v>
      </c>
      <c r="D416" s="27" t="s">
        <v>25</v>
      </c>
      <c r="E416" s="27" t="s">
        <v>26</v>
      </c>
      <c r="F416" s="27" t="s">
        <v>27</v>
      </c>
      <c r="G416" s="27" t="s">
        <v>28</v>
      </c>
      <c r="H416" s="27" t="s">
        <v>29</v>
      </c>
      <c r="I416" s="27" t="s">
        <v>30</v>
      </c>
      <c r="S416" s="0" t="n">
        <v>35</v>
      </c>
    </row>
    <row r="417" customFormat="false" ht="15" hidden="false" customHeight="false" outlineLevel="0" collapsed="false">
      <c r="A417" s="28" t="n">
        <f aca="false">IF(35&lt;=NW,SAT1+238,"")</f>
        <v>46256</v>
      </c>
      <c r="B417" s="29" t="str">
        <f aca="false">IF(A417="","",CHOOSE(WEEKDAY(A417,1),"الأحد","الاثنين","الثلاثاء","الأربعاء","الخميس","الجمعة","السبت"))</f>
        <v>السبت</v>
      </c>
      <c r="C417" s="30"/>
      <c r="D417" s="30"/>
      <c r="E417" s="31" t="str">
        <f aca="false">IF(OR(M417=0,K417="",L417=""),"",MOD(L417-K417,1))</f>
        <v/>
      </c>
      <c r="F417" s="31" t="str">
        <f aca="false">IF(OR(E417="",M417=0),"",IF(WEEKDAY(A417,1)=6,E417,MIN(E417,MAX(0,MIN(IF(L417&lt;K417,L417+1,L417),OMR_OT_AT)-K417))))</f>
        <v/>
      </c>
      <c r="G417" s="31" t="str">
        <f aca="false">IF(OR(E417="",M417=0),"",MAX(0,E417-F417))</f>
        <v/>
      </c>
      <c r="H417" s="32" t="str">
        <f aca="false">IF(OR(E417="",M417=0),"",ROUND((F417*$N$415+G417*$O$415)*24,3))</f>
        <v/>
      </c>
      <c r="I417" s="30"/>
      <c r="K417" s="33" t="str">
        <f aca="false">IF(OR(M417=0,C417=""),"",IF(ISNUMBER(C417),MOD(C417,1),IFERROR(INDEX(القوائم!$B$1:$B$288,MATCH(TRIM(C417),القوائم!$A$1:$A$288,0)),IFERROR(MOD(TIMEVALUE(C417),1),""))))</f>
        <v/>
      </c>
      <c r="L417" s="33" t="str">
        <f aca="false">IF(OR(M417=0,D417=""),"",IF(ISNUMBER(D417),MOD(D417,1),IFERROR(INDEX(القوائم!$B$1:$B$288,MATCH(TRIM(D417),القوائم!$A$1:$A$288,0)),IFERROR(MOD(TIMEVALUE(D417),1),""))))</f>
        <v/>
      </c>
      <c r="M417" s="25" t="n">
        <f aca="false">M415</f>
        <v>0</v>
      </c>
      <c r="Q417" s="25" t="n">
        <f aca="false">IF(N(G426)&gt;0,1,0)</f>
        <v>0</v>
      </c>
      <c r="S417" s="0" t="n">
        <v>35</v>
      </c>
    </row>
    <row r="418" customFormat="false" ht="15" hidden="false" customHeight="false" outlineLevel="0" collapsed="false">
      <c r="A418" s="28" t="n">
        <f aca="false">IF(35&lt;=NW,SAT1+239,"")</f>
        <v>46257</v>
      </c>
      <c r="B418" s="29" t="str">
        <f aca="false">IF(A418="","",CHOOSE(WEEKDAY(A418,1),"الأحد","الاثنين","الثلاثاء","الأربعاء","الخميس","الجمعة","السبت"))</f>
        <v>الأحد</v>
      </c>
      <c r="C418" s="30"/>
      <c r="D418" s="30"/>
      <c r="E418" s="31" t="str">
        <f aca="false">IF(OR(M418=0,K418="",L418=""),"",MOD(L418-K418,1))</f>
        <v/>
      </c>
      <c r="F418" s="31" t="str">
        <f aca="false">IF(OR(E418="",M418=0),"",IF(WEEKDAY(A418,1)=6,E418,MIN(E418,MAX(0,MIN(IF(L418&lt;K418,L418+1,L418),OMR_OT_AT)-K418))))</f>
        <v/>
      </c>
      <c r="G418" s="31" t="str">
        <f aca="false">IF(OR(E418="",M418=0),"",MAX(0,E418-F418))</f>
        <v/>
      </c>
      <c r="H418" s="32" t="str">
        <f aca="false">IF(OR(E418="",M418=0),"",ROUND((F418*$N$415+G418*$O$415)*24,3))</f>
        <v/>
      </c>
      <c r="I418" s="30"/>
      <c r="K418" s="33" t="str">
        <f aca="false">IF(OR(M418=0,C418=""),"",IF(ISNUMBER(C418),MOD(C418,1),IFERROR(INDEX(القوائم!$B$1:$B$288,MATCH(TRIM(C418),القوائم!$A$1:$A$288,0)),IFERROR(MOD(TIMEVALUE(C418),1),""))))</f>
        <v/>
      </c>
      <c r="L418" s="33" t="str">
        <f aca="false">IF(OR(M418=0,D418=""),"",IF(ISNUMBER(D418),MOD(D418,1),IFERROR(INDEX(القوائم!$B$1:$B$288,MATCH(TRIM(D418),القوائم!$A$1:$A$288,0)),IFERROR(MOD(TIMEVALUE(D418),1),""))))</f>
        <v/>
      </c>
      <c r="M418" s="25" t="n">
        <f aca="false">M415</f>
        <v>0</v>
      </c>
      <c r="Q418" s="25" t="n">
        <f aca="false">IF(N(G426)&gt;0,1,0)</f>
        <v>0</v>
      </c>
      <c r="S418" s="0" t="n">
        <v>35</v>
      </c>
    </row>
    <row r="419" customFormat="false" ht="15" hidden="false" customHeight="false" outlineLevel="0" collapsed="false">
      <c r="A419" s="28" t="n">
        <f aca="false">IF(35&lt;=NW,SAT1+240,"")</f>
        <v>46258</v>
      </c>
      <c r="B419" s="29" t="str">
        <f aca="false">IF(A419="","",CHOOSE(WEEKDAY(A419,1),"الأحد","الاثنين","الثلاثاء","الأربعاء","الخميس","الجمعة","السبت"))</f>
        <v>الاثنين</v>
      </c>
      <c r="C419" s="30"/>
      <c r="D419" s="30"/>
      <c r="E419" s="31" t="str">
        <f aca="false">IF(OR(M419=0,K419="",L419=""),"",MOD(L419-K419,1))</f>
        <v/>
      </c>
      <c r="F419" s="31" t="str">
        <f aca="false">IF(OR(E419="",M419=0),"",IF(WEEKDAY(A419,1)=6,E419,MIN(E419,MAX(0,MIN(IF(L419&lt;K419,L419+1,L419),OMR_OT_AT)-K419))))</f>
        <v/>
      </c>
      <c r="G419" s="31" t="str">
        <f aca="false">IF(OR(E419="",M419=0),"",MAX(0,E419-F419))</f>
        <v/>
      </c>
      <c r="H419" s="32" t="str">
        <f aca="false">IF(OR(E419="",M419=0),"",ROUND((F419*$N$415+G419*$O$415)*24,3))</f>
        <v/>
      </c>
      <c r="I419" s="30"/>
      <c r="K419" s="33" t="str">
        <f aca="false">IF(OR(M419=0,C419=""),"",IF(ISNUMBER(C419),MOD(C419,1),IFERROR(INDEX(القوائم!$B$1:$B$288,MATCH(TRIM(C419),القوائم!$A$1:$A$288,0)),IFERROR(MOD(TIMEVALUE(C419),1),""))))</f>
        <v/>
      </c>
      <c r="L419" s="33" t="str">
        <f aca="false">IF(OR(M419=0,D419=""),"",IF(ISNUMBER(D419),MOD(D419,1),IFERROR(INDEX(القوائم!$B$1:$B$288,MATCH(TRIM(D419),القوائم!$A$1:$A$288,0)),IFERROR(MOD(TIMEVALUE(D419),1),""))))</f>
        <v/>
      </c>
      <c r="M419" s="25" t="n">
        <f aca="false">M415</f>
        <v>0</v>
      </c>
      <c r="Q419" s="25" t="n">
        <f aca="false">IF(N(G426)&gt;0,1,0)</f>
        <v>0</v>
      </c>
      <c r="S419" s="0" t="n">
        <v>35</v>
      </c>
    </row>
    <row r="420" customFormat="false" ht="15" hidden="false" customHeight="false" outlineLevel="0" collapsed="false">
      <c r="A420" s="28" t="n">
        <f aca="false">IF(35&lt;=NW,SAT1+241,"")</f>
        <v>46259</v>
      </c>
      <c r="B420" s="29" t="str">
        <f aca="false">IF(A420="","",CHOOSE(WEEKDAY(A420,1),"الأحد","الاثنين","الثلاثاء","الأربعاء","الخميس","الجمعة","السبت"))</f>
        <v>الثلاثاء</v>
      </c>
      <c r="C420" s="30"/>
      <c r="D420" s="30"/>
      <c r="E420" s="31" t="str">
        <f aca="false">IF(OR(M420=0,K420="",L420=""),"",MOD(L420-K420,1))</f>
        <v/>
      </c>
      <c r="F420" s="31" t="str">
        <f aca="false">IF(OR(E420="",M420=0),"",IF(WEEKDAY(A420,1)=6,E420,MIN(E420,MAX(0,MIN(IF(L420&lt;K420,L420+1,L420),OMR_OT_AT)-K420))))</f>
        <v/>
      </c>
      <c r="G420" s="31" t="str">
        <f aca="false">IF(OR(E420="",M420=0),"",MAX(0,E420-F420))</f>
        <v/>
      </c>
      <c r="H420" s="32" t="str">
        <f aca="false">IF(OR(E420="",M420=0),"",ROUND((F420*$N$415+G420*$O$415)*24,3))</f>
        <v/>
      </c>
      <c r="I420" s="30"/>
      <c r="K420" s="33" t="str">
        <f aca="false">IF(OR(M420=0,C420=""),"",IF(ISNUMBER(C420),MOD(C420,1),IFERROR(INDEX(القوائم!$B$1:$B$288,MATCH(TRIM(C420),القوائم!$A$1:$A$288,0)),IFERROR(MOD(TIMEVALUE(C420),1),""))))</f>
        <v/>
      </c>
      <c r="L420" s="33" t="str">
        <f aca="false">IF(OR(M420=0,D420=""),"",IF(ISNUMBER(D420),MOD(D420,1),IFERROR(INDEX(القوائم!$B$1:$B$288,MATCH(TRIM(D420),القوائم!$A$1:$A$288,0)),IFERROR(MOD(TIMEVALUE(D420),1),""))))</f>
        <v/>
      </c>
      <c r="M420" s="25" t="n">
        <f aca="false">M415</f>
        <v>0</v>
      </c>
      <c r="Q420" s="25" t="n">
        <f aca="false">IF(N(G426)&gt;0,1,0)</f>
        <v>0</v>
      </c>
      <c r="S420" s="0" t="n">
        <v>35</v>
      </c>
    </row>
    <row r="421" customFormat="false" ht="15" hidden="false" customHeight="false" outlineLevel="0" collapsed="false">
      <c r="A421" s="28" t="n">
        <f aca="false">IF(35&lt;=NW,SAT1+242,"")</f>
        <v>46260</v>
      </c>
      <c r="B421" s="29" t="str">
        <f aca="false">IF(A421="","",CHOOSE(WEEKDAY(A421,1),"الأحد","الاثنين","الثلاثاء","الأربعاء","الخميس","الجمعة","السبت"))</f>
        <v>الأربعاء</v>
      </c>
      <c r="C421" s="30"/>
      <c r="D421" s="30"/>
      <c r="E421" s="31" t="str">
        <f aca="false">IF(OR(M421=0,K421="",L421=""),"",MOD(L421-K421,1))</f>
        <v/>
      </c>
      <c r="F421" s="31" t="str">
        <f aca="false">IF(OR(E421="",M421=0),"",IF(WEEKDAY(A421,1)=6,E421,MIN(E421,MAX(0,MIN(IF(L421&lt;K421,L421+1,L421),OMR_OT_AT)-K421))))</f>
        <v/>
      </c>
      <c r="G421" s="31" t="str">
        <f aca="false">IF(OR(E421="",M421=0),"",MAX(0,E421-F421))</f>
        <v/>
      </c>
      <c r="H421" s="32" t="str">
        <f aca="false">IF(OR(E421="",M421=0),"",ROUND((F421*$N$415+G421*$O$415)*24,3))</f>
        <v/>
      </c>
      <c r="I421" s="30"/>
      <c r="K421" s="33" t="str">
        <f aca="false">IF(OR(M421=0,C421=""),"",IF(ISNUMBER(C421),MOD(C421,1),IFERROR(INDEX(القوائم!$B$1:$B$288,MATCH(TRIM(C421),القوائم!$A$1:$A$288,0)),IFERROR(MOD(TIMEVALUE(C421),1),""))))</f>
        <v/>
      </c>
      <c r="L421" s="33" t="str">
        <f aca="false">IF(OR(M421=0,D421=""),"",IF(ISNUMBER(D421),MOD(D421,1),IFERROR(INDEX(القوائم!$B$1:$B$288,MATCH(TRIM(D421),القوائم!$A$1:$A$288,0)),IFERROR(MOD(TIMEVALUE(D421),1),""))))</f>
        <v/>
      </c>
      <c r="M421" s="25" t="n">
        <f aca="false">M415</f>
        <v>0</v>
      </c>
      <c r="Q421" s="25" t="n">
        <f aca="false">IF(N(G426)&gt;0,1,0)</f>
        <v>0</v>
      </c>
      <c r="S421" s="0" t="n">
        <v>35</v>
      </c>
    </row>
    <row r="422" customFormat="false" ht="15" hidden="false" customHeight="false" outlineLevel="0" collapsed="false">
      <c r="A422" s="28" t="n">
        <f aca="false">IF(35&lt;=NW,SAT1+243,"")</f>
        <v>46261</v>
      </c>
      <c r="B422" s="29" t="str">
        <f aca="false">IF(A422="","",CHOOSE(WEEKDAY(A422,1),"الأحد","الاثنين","الثلاثاء","الأربعاء","الخميس","الجمعة","السبت"))</f>
        <v>الخميس</v>
      </c>
      <c r="C422" s="30"/>
      <c r="D422" s="30"/>
      <c r="E422" s="31" t="str">
        <f aca="false">IF(OR(M422=0,K422="",L422=""),"",MOD(L422-K422,1))</f>
        <v/>
      </c>
      <c r="F422" s="31" t="str">
        <f aca="false">IF(OR(E422="",M422=0),"",IF(WEEKDAY(A422,1)=6,E422,MIN(E422,MAX(0,MIN(IF(L422&lt;K422,L422+1,L422),OMR_OT_AT)-K422))))</f>
        <v/>
      </c>
      <c r="G422" s="31" t="str">
        <f aca="false">IF(OR(E422="",M422=0),"",MAX(0,E422-F422))</f>
        <v/>
      </c>
      <c r="H422" s="32" t="str">
        <f aca="false">IF(OR(E422="",M422=0),"",ROUND((F422*$N$415+G422*$O$415)*24,3))</f>
        <v/>
      </c>
      <c r="I422" s="30"/>
      <c r="K422" s="33" t="str">
        <f aca="false">IF(OR(M422=0,C422=""),"",IF(ISNUMBER(C422),MOD(C422,1),IFERROR(INDEX(القوائم!$B$1:$B$288,MATCH(TRIM(C422),القوائم!$A$1:$A$288,0)),IFERROR(MOD(TIMEVALUE(C422),1),""))))</f>
        <v/>
      </c>
      <c r="L422" s="33" t="str">
        <f aca="false">IF(OR(M422=0,D422=""),"",IF(ISNUMBER(D422),MOD(D422,1),IFERROR(INDEX(القوائم!$B$1:$B$288,MATCH(TRIM(D422),القوائم!$A$1:$A$288,0)),IFERROR(MOD(TIMEVALUE(D422),1),""))))</f>
        <v/>
      </c>
      <c r="M422" s="25" t="n">
        <f aca="false">M415</f>
        <v>0</v>
      </c>
      <c r="Q422" s="25" t="n">
        <f aca="false">IF(N(G426)&gt;0,1,0)</f>
        <v>0</v>
      </c>
      <c r="S422" s="0" t="n">
        <v>35</v>
      </c>
    </row>
    <row r="423" customFormat="false" ht="15" hidden="false" customHeight="false" outlineLevel="0" collapsed="false">
      <c r="A423" s="34" t="n">
        <f aca="false">IF(35&lt;=NW,SAT1+244,"")</f>
        <v>46262</v>
      </c>
      <c r="B423" s="35" t="str">
        <f aca="false">IF(A423="","",CHOOSE(WEEKDAY(A423,1),"الأحد","الاثنين","الثلاثاء","الأربعاء","الخميس","الجمعة","السبت"))</f>
        <v>الجمعة</v>
      </c>
      <c r="C423" s="30"/>
      <c r="D423" s="30"/>
      <c r="E423" s="31" t="str">
        <f aca="false">IF(OR(M423=0,K423="",L423=""),"",MOD(L423-K423,1))</f>
        <v/>
      </c>
      <c r="F423" s="31" t="str">
        <f aca="false">IF(OR(E423="",M423=0),"",IF(WEEKDAY(A423,1)=6,E423,MIN(E423,MAX(0,MIN(IF(L423&lt;K423,L423+1,L423),OMR_OT_AT)-K423))))</f>
        <v/>
      </c>
      <c r="G423" s="31" t="str">
        <f aca="false">IF(OR(E423="",M423=0),"",MAX(0,E423-F423))</f>
        <v/>
      </c>
      <c r="H423" s="32" t="str">
        <f aca="false">IF(OR(E423="",M423=0),"",ROUND((F423*$N$415+G423*$O$415)*24,3))</f>
        <v/>
      </c>
      <c r="I423" s="30"/>
      <c r="K423" s="33" t="str">
        <f aca="false">IF(OR(M423=0,C423=""),"",IF(ISNUMBER(C423),MOD(C423,1),IFERROR(INDEX(القوائم!$B$1:$B$288,MATCH(TRIM(C423),القوائم!$A$1:$A$288,0)),IFERROR(MOD(TIMEVALUE(C423),1),""))))</f>
        <v/>
      </c>
      <c r="L423" s="33" t="str">
        <f aca="false">IF(OR(M423=0,D423=""),"",IF(ISNUMBER(D423),MOD(D423,1),IFERROR(INDEX(القوائم!$B$1:$B$288,MATCH(TRIM(D423),القوائم!$A$1:$A$288,0)),IFERROR(MOD(TIMEVALUE(D423),1),""))))</f>
        <v/>
      </c>
      <c r="M423" s="25" t="n">
        <f aca="false">M415</f>
        <v>0</v>
      </c>
      <c r="Q423" s="25" t="n">
        <f aca="false">IF(N(G426)&gt;0,1,0)</f>
        <v>0</v>
      </c>
      <c r="S423" s="0" t="n">
        <v>35</v>
      </c>
    </row>
    <row r="424" customFormat="false" ht="15" hidden="false" customHeight="false" outlineLevel="0" collapsed="false">
      <c r="A424" s="36" t="str">
        <f aca="false">IF(M415=1,"مجموع أيام الأسبوع 35","")</f>
        <v/>
      </c>
      <c r="B424" s="36"/>
      <c r="C424" s="36"/>
      <c r="D424" s="36"/>
      <c r="E424" s="37" t="str">
        <f aca="false">IF(M415=1,SUM(E417:E423),"")</f>
        <v/>
      </c>
      <c r="F424" s="37" t="str">
        <f aca="false">IF(M415=1,SUM(F417:F423),"")</f>
        <v/>
      </c>
      <c r="G424" s="37" t="str">
        <f aca="false">IF(M415=1,SUM(G417:G423),"")</f>
        <v/>
      </c>
      <c r="H424" s="38" t="str">
        <f aca="false">IF(M415=1,SUM(H417:H423),"")</f>
        <v/>
      </c>
      <c r="I424" s="36"/>
      <c r="S424" s="0" t="n">
        <v>35</v>
      </c>
    </row>
    <row r="425" customFormat="false" ht="31.5" hidden="false" customHeight="true" outlineLevel="0" collapsed="false">
      <c r="A425" s="39" t="str">
        <f aca="false">IF(M415=1,"ساعات تحميل الجبسمبورد بهالأسبوع (رقم: 2 أو 1.5) ←","")</f>
        <v/>
      </c>
      <c r="B425" s="39"/>
      <c r="C425" s="39"/>
      <c r="D425" s="39"/>
      <c r="E425" s="40"/>
      <c r="F425" s="41" t="str">
        <f aca="false">IF(M415=1,"المستحق النهائي للأسبوع مع الإكرامية (دينار) ←","")</f>
        <v/>
      </c>
      <c r="G425" s="41"/>
      <c r="H425" s="42" t="str">
        <f aca="false">IF(M415=1,IF(ROUND_MODE="للأعلى",CEILING(ROUND((N(H424)+N(E425)*($P$415-$N$415)),3),0.25),ROUND((N(H424)+N(E425)*($P$415-$N$415))*4,0)/4)+N(D426),"")</f>
        <v/>
      </c>
      <c r="I425" s="43" t="str">
        <f aca="false">IF(M415=1,"قبل الجبر: "&amp;TEXT(N(H424)+N(E425)*($P$415-$N$415),"0.000")&amp;IF(N(D426)&gt;0," + إكرامية "&amp;TEXT(D426,"0.000"),""),"")</f>
        <v/>
      </c>
      <c r="S425" s="0" t="n">
        <v>35</v>
      </c>
    </row>
    <row r="426" customFormat="false" ht="25.5" hidden="false" customHeight="true" outlineLevel="0" collapsed="false">
      <c r="A426" s="39" t="str">
        <f aca="false">IF(M415=1,"إكرامية الأسبوع (دينار) ←","")</f>
        <v/>
      </c>
      <c r="B426" s="39"/>
      <c r="C426" s="39"/>
      <c r="D426" s="44"/>
      <c r="E426" s="39" t="str">
        <f aca="false">IF(M415=1,"المدفوع (دينار) ←","")</f>
        <v/>
      </c>
      <c r="F426" s="39"/>
      <c r="G426" s="44"/>
      <c r="H426" s="45" t="str">
        <f aca="false">IF(M415=1,IF(N(G426)&gt;0,"✔ انقبض — الأسبوع مقفول","⏳ لسا ما انقبض"),"")</f>
        <v/>
      </c>
      <c r="I426" s="45"/>
      <c r="S426" s="0" t="n">
        <v>35</v>
      </c>
    </row>
    <row r="427" customFormat="false" ht="27.75" hidden="false" customHeight="true" outlineLevel="0" collapsed="false">
      <c r="A427" s="23" t="str">
        <f aca="false">IF(36&lt;=NW,"من السبت "&amp;TEXT(DAY(SAT1+245),"00")&amp;"/"&amp;TEXT(MONTH(SAT1+245),"00")&amp;"/"&amp;YEAR(SAT1+245)&amp;" إلى الجمعة "&amp;TEXT(DAY(SAT1+251),"00")&amp;"/"&amp;TEXT(MONTH(SAT1+251),"00")&amp;"/"&amp;YEAR(SAT1+251)&amp;" · الأسبوع 36"&amp;"  (يوم القبض: الجمعة)"&amp;IF(36&lt;START_O,"   — قبل أسبوع البداية (ما بينحسب)",""),"ما في أسبوع 36 هالسنة")</f>
        <v>من السبت 29/08/2026 إلى الجمعة 04/09/2026 · الأسبوع 36  (يوم القبض: الجمعة)   — قبل أسبوع البداية (ما بينحسب)</v>
      </c>
      <c r="B427" s="23"/>
      <c r="C427" s="23"/>
      <c r="D427" s="23"/>
      <c r="E427" s="23"/>
      <c r="F427" s="23"/>
      <c r="G427" s="23"/>
      <c r="H427" s="23"/>
      <c r="I427" s="23"/>
      <c r="L427" s="24" t="n">
        <f aca="false">IF(36&lt;=NW,SAT1+251,"")</f>
        <v>46269</v>
      </c>
      <c r="M427" s="25" t="n">
        <f aca="false">IF(AND(36&lt;=NW,36&gt;=START_O),1,0)</f>
        <v>0</v>
      </c>
      <c r="N427" s="26" t="n">
        <f aca="false">IFERROR(INDEX(RT_OMR,MATCH(L427,RT_K,1)),INDEX(RT_OMR,1))</f>
        <v>1.25</v>
      </c>
      <c r="O427" s="26" t="n">
        <f aca="false">IFERROR(INDEX(RT_OT,MATCH(L427,RT_K,1)),INDEX(RT_OT,1))</f>
        <v>1.5</v>
      </c>
      <c r="P427" s="26" t="n">
        <f aca="false">IFERROR(INDEX(RT_GYP,MATCH(L427,RT_K,1)),INDEX(RT_GYP,1))</f>
        <v>2.5</v>
      </c>
      <c r="R427" s="0" t="n">
        <v>36</v>
      </c>
      <c r="S427" s="0" t="n">
        <v>36</v>
      </c>
    </row>
    <row r="428" customFormat="false" ht="25.5" hidden="false" customHeight="true" outlineLevel="0" collapsed="false">
      <c r="A428" s="27" t="s">
        <v>22</v>
      </c>
      <c r="B428" s="27" t="s">
        <v>23</v>
      </c>
      <c r="C428" s="27" t="s">
        <v>24</v>
      </c>
      <c r="D428" s="27" t="s">
        <v>25</v>
      </c>
      <c r="E428" s="27" t="s">
        <v>26</v>
      </c>
      <c r="F428" s="27" t="s">
        <v>27</v>
      </c>
      <c r="G428" s="27" t="s">
        <v>28</v>
      </c>
      <c r="H428" s="27" t="s">
        <v>29</v>
      </c>
      <c r="I428" s="27" t="s">
        <v>30</v>
      </c>
      <c r="S428" s="0" t="n">
        <v>36</v>
      </c>
    </row>
    <row r="429" customFormat="false" ht="15" hidden="false" customHeight="false" outlineLevel="0" collapsed="false">
      <c r="A429" s="28" t="n">
        <f aca="false">IF(36&lt;=NW,SAT1+245,"")</f>
        <v>46263</v>
      </c>
      <c r="B429" s="29" t="str">
        <f aca="false">IF(A429="","",CHOOSE(WEEKDAY(A429,1),"الأحد","الاثنين","الثلاثاء","الأربعاء","الخميس","الجمعة","السبت"))</f>
        <v>السبت</v>
      </c>
      <c r="C429" s="30"/>
      <c r="D429" s="30"/>
      <c r="E429" s="31" t="str">
        <f aca="false">IF(OR(M429=0,K429="",L429=""),"",MOD(L429-K429,1))</f>
        <v/>
      </c>
      <c r="F429" s="31" t="str">
        <f aca="false">IF(OR(E429="",M429=0),"",IF(WEEKDAY(A429,1)=6,E429,MIN(E429,MAX(0,MIN(IF(L429&lt;K429,L429+1,L429),OMR_OT_AT)-K429))))</f>
        <v/>
      </c>
      <c r="G429" s="31" t="str">
        <f aca="false">IF(OR(E429="",M429=0),"",MAX(0,E429-F429))</f>
        <v/>
      </c>
      <c r="H429" s="32" t="str">
        <f aca="false">IF(OR(E429="",M429=0),"",ROUND((F429*$N$427+G429*$O$427)*24,3))</f>
        <v/>
      </c>
      <c r="I429" s="30"/>
      <c r="K429" s="33" t="str">
        <f aca="false">IF(OR(M429=0,C429=""),"",IF(ISNUMBER(C429),MOD(C429,1),IFERROR(INDEX(القوائم!$B$1:$B$288,MATCH(TRIM(C429),القوائم!$A$1:$A$288,0)),IFERROR(MOD(TIMEVALUE(C429),1),""))))</f>
        <v/>
      </c>
      <c r="L429" s="33" t="str">
        <f aca="false">IF(OR(M429=0,D429=""),"",IF(ISNUMBER(D429),MOD(D429,1),IFERROR(INDEX(القوائم!$B$1:$B$288,MATCH(TRIM(D429),القوائم!$A$1:$A$288,0)),IFERROR(MOD(TIMEVALUE(D429),1),""))))</f>
        <v/>
      </c>
      <c r="M429" s="25" t="n">
        <f aca="false">M427</f>
        <v>0</v>
      </c>
      <c r="Q429" s="25" t="n">
        <f aca="false">IF(N(G438)&gt;0,1,0)</f>
        <v>0</v>
      </c>
      <c r="S429" s="0" t="n">
        <v>36</v>
      </c>
    </row>
    <row r="430" customFormat="false" ht="15" hidden="false" customHeight="false" outlineLevel="0" collapsed="false">
      <c r="A430" s="28" t="n">
        <f aca="false">IF(36&lt;=NW,SAT1+246,"")</f>
        <v>46264</v>
      </c>
      <c r="B430" s="29" t="str">
        <f aca="false">IF(A430="","",CHOOSE(WEEKDAY(A430,1),"الأحد","الاثنين","الثلاثاء","الأربعاء","الخميس","الجمعة","السبت"))</f>
        <v>الأحد</v>
      </c>
      <c r="C430" s="30"/>
      <c r="D430" s="30"/>
      <c r="E430" s="31" t="str">
        <f aca="false">IF(OR(M430=0,K430="",L430=""),"",MOD(L430-K430,1))</f>
        <v/>
      </c>
      <c r="F430" s="31" t="str">
        <f aca="false">IF(OR(E430="",M430=0),"",IF(WEEKDAY(A430,1)=6,E430,MIN(E430,MAX(0,MIN(IF(L430&lt;K430,L430+1,L430),OMR_OT_AT)-K430))))</f>
        <v/>
      </c>
      <c r="G430" s="31" t="str">
        <f aca="false">IF(OR(E430="",M430=0),"",MAX(0,E430-F430))</f>
        <v/>
      </c>
      <c r="H430" s="32" t="str">
        <f aca="false">IF(OR(E430="",M430=0),"",ROUND((F430*$N$427+G430*$O$427)*24,3))</f>
        <v/>
      </c>
      <c r="I430" s="30"/>
      <c r="K430" s="33" t="str">
        <f aca="false">IF(OR(M430=0,C430=""),"",IF(ISNUMBER(C430),MOD(C430,1),IFERROR(INDEX(القوائم!$B$1:$B$288,MATCH(TRIM(C430),القوائم!$A$1:$A$288,0)),IFERROR(MOD(TIMEVALUE(C430),1),""))))</f>
        <v/>
      </c>
      <c r="L430" s="33" t="str">
        <f aca="false">IF(OR(M430=0,D430=""),"",IF(ISNUMBER(D430),MOD(D430,1),IFERROR(INDEX(القوائم!$B$1:$B$288,MATCH(TRIM(D430),القوائم!$A$1:$A$288,0)),IFERROR(MOD(TIMEVALUE(D430),1),""))))</f>
        <v/>
      </c>
      <c r="M430" s="25" t="n">
        <f aca="false">M427</f>
        <v>0</v>
      </c>
      <c r="Q430" s="25" t="n">
        <f aca="false">IF(N(G438)&gt;0,1,0)</f>
        <v>0</v>
      </c>
      <c r="S430" s="0" t="n">
        <v>36</v>
      </c>
    </row>
    <row r="431" customFormat="false" ht="15" hidden="false" customHeight="false" outlineLevel="0" collapsed="false">
      <c r="A431" s="28" t="n">
        <f aca="false">IF(36&lt;=NW,SAT1+247,"")</f>
        <v>46265</v>
      </c>
      <c r="B431" s="29" t="str">
        <f aca="false">IF(A431="","",CHOOSE(WEEKDAY(A431,1),"الأحد","الاثنين","الثلاثاء","الأربعاء","الخميس","الجمعة","السبت"))</f>
        <v>الاثنين</v>
      </c>
      <c r="C431" s="30"/>
      <c r="D431" s="30"/>
      <c r="E431" s="31" t="str">
        <f aca="false">IF(OR(M431=0,K431="",L431=""),"",MOD(L431-K431,1))</f>
        <v/>
      </c>
      <c r="F431" s="31" t="str">
        <f aca="false">IF(OR(E431="",M431=0),"",IF(WEEKDAY(A431,1)=6,E431,MIN(E431,MAX(0,MIN(IF(L431&lt;K431,L431+1,L431),OMR_OT_AT)-K431))))</f>
        <v/>
      </c>
      <c r="G431" s="31" t="str">
        <f aca="false">IF(OR(E431="",M431=0),"",MAX(0,E431-F431))</f>
        <v/>
      </c>
      <c r="H431" s="32" t="str">
        <f aca="false">IF(OR(E431="",M431=0),"",ROUND((F431*$N$427+G431*$O$427)*24,3))</f>
        <v/>
      </c>
      <c r="I431" s="30"/>
      <c r="K431" s="33" t="str">
        <f aca="false">IF(OR(M431=0,C431=""),"",IF(ISNUMBER(C431),MOD(C431,1),IFERROR(INDEX(القوائم!$B$1:$B$288,MATCH(TRIM(C431),القوائم!$A$1:$A$288,0)),IFERROR(MOD(TIMEVALUE(C431),1),""))))</f>
        <v/>
      </c>
      <c r="L431" s="33" t="str">
        <f aca="false">IF(OR(M431=0,D431=""),"",IF(ISNUMBER(D431),MOD(D431,1),IFERROR(INDEX(القوائم!$B$1:$B$288,MATCH(TRIM(D431),القوائم!$A$1:$A$288,0)),IFERROR(MOD(TIMEVALUE(D431),1),""))))</f>
        <v/>
      </c>
      <c r="M431" s="25" t="n">
        <f aca="false">M427</f>
        <v>0</v>
      </c>
      <c r="Q431" s="25" t="n">
        <f aca="false">IF(N(G438)&gt;0,1,0)</f>
        <v>0</v>
      </c>
      <c r="S431" s="0" t="n">
        <v>36</v>
      </c>
    </row>
    <row r="432" customFormat="false" ht="15" hidden="false" customHeight="false" outlineLevel="0" collapsed="false">
      <c r="A432" s="28" t="n">
        <f aca="false">IF(36&lt;=NW,SAT1+248,"")</f>
        <v>46266</v>
      </c>
      <c r="B432" s="29" t="str">
        <f aca="false">IF(A432="","",CHOOSE(WEEKDAY(A432,1),"الأحد","الاثنين","الثلاثاء","الأربعاء","الخميس","الجمعة","السبت"))</f>
        <v>الثلاثاء</v>
      </c>
      <c r="C432" s="30"/>
      <c r="D432" s="30"/>
      <c r="E432" s="31" t="str">
        <f aca="false">IF(OR(M432=0,K432="",L432=""),"",MOD(L432-K432,1))</f>
        <v/>
      </c>
      <c r="F432" s="31" t="str">
        <f aca="false">IF(OR(E432="",M432=0),"",IF(WEEKDAY(A432,1)=6,E432,MIN(E432,MAX(0,MIN(IF(L432&lt;K432,L432+1,L432),OMR_OT_AT)-K432))))</f>
        <v/>
      </c>
      <c r="G432" s="31" t="str">
        <f aca="false">IF(OR(E432="",M432=0),"",MAX(0,E432-F432))</f>
        <v/>
      </c>
      <c r="H432" s="32" t="str">
        <f aca="false">IF(OR(E432="",M432=0),"",ROUND((F432*$N$427+G432*$O$427)*24,3))</f>
        <v/>
      </c>
      <c r="I432" s="30"/>
      <c r="K432" s="33" t="str">
        <f aca="false">IF(OR(M432=0,C432=""),"",IF(ISNUMBER(C432),MOD(C432,1),IFERROR(INDEX(القوائم!$B$1:$B$288,MATCH(TRIM(C432),القوائم!$A$1:$A$288,0)),IFERROR(MOD(TIMEVALUE(C432),1),""))))</f>
        <v/>
      </c>
      <c r="L432" s="33" t="str">
        <f aca="false">IF(OR(M432=0,D432=""),"",IF(ISNUMBER(D432),MOD(D432,1),IFERROR(INDEX(القوائم!$B$1:$B$288,MATCH(TRIM(D432),القوائم!$A$1:$A$288,0)),IFERROR(MOD(TIMEVALUE(D432),1),""))))</f>
        <v/>
      </c>
      <c r="M432" s="25" t="n">
        <f aca="false">M427</f>
        <v>0</v>
      </c>
      <c r="Q432" s="25" t="n">
        <f aca="false">IF(N(G438)&gt;0,1,0)</f>
        <v>0</v>
      </c>
      <c r="S432" s="0" t="n">
        <v>36</v>
      </c>
    </row>
    <row r="433" customFormat="false" ht="15" hidden="false" customHeight="false" outlineLevel="0" collapsed="false">
      <c r="A433" s="28" t="n">
        <f aca="false">IF(36&lt;=NW,SAT1+249,"")</f>
        <v>46267</v>
      </c>
      <c r="B433" s="29" t="str">
        <f aca="false">IF(A433="","",CHOOSE(WEEKDAY(A433,1),"الأحد","الاثنين","الثلاثاء","الأربعاء","الخميس","الجمعة","السبت"))</f>
        <v>الأربعاء</v>
      </c>
      <c r="C433" s="30"/>
      <c r="D433" s="30"/>
      <c r="E433" s="31" t="str">
        <f aca="false">IF(OR(M433=0,K433="",L433=""),"",MOD(L433-K433,1))</f>
        <v/>
      </c>
      <c r="F433" s="31" t="str">
        <f aca="false">IF(OR(E433="",M433=0),"",IF(WEEKDAY(A433,1)=6,E433,MIN(E433,MAX(0,MIN(IF(L433&lt;K433,L433+1,L433),OMR_OT_AT)-K433))))</f>
        <v/>
      </c>
      <c r="G433" s="31" t="str">
        <f aca="false">IF(OR(E433="",M433=0),"",MAX(0,E433-F433))</f>
        <v/>
      </c>
      <c r="H433" s="32" t="str">
        <f aca="false">IF(OR(E433="",M433=0),"",ROUND((F433*$N$427+G433*$O$427)*24,3))</f>
        <v/>
      </c>
      <c r="I433" s="30"/>
      <c r="K433" s="33" t="str">
        <f aca="false">IF(OR(M433=0,C433=""),"",IF(ISNUMBER(C433),MOD(C433,1),IFERROR(INDEX(القوائم!$B$1:$B$288,MATCH(TRIM(C433),القوائم!$A$1:$A$288,0)),IFERROR(MOD(TIMEVALUE(C433),1),""))))</f>
        <v/>
      </c>
      <c r="L433" s="33" t="str">
        <f aca="false">IF(OR(M433=0,D433=""),"",IF(ISNUMBER(D433),MOD(D433,1),IFERROR(INDEX(القوائم!$B$1:$B$288,MATCH(TRIM(D433),القوائم!$A$1:$A$288,0)),IFERROR(MOD(TIMEVALUE(D433),1),""))))</f>
        <v/>
      </c>
      <c r="M433" s="25" t="n">
        <f aca="false">M427</f>
        <v>0</v>
      </c>
      <c r="Q433" s="25" t="n">
        <f aca="false">IF(N(G438)&gt;0,1,0)</f>
        <v>0</v>
      </c>
      <c r="S433" s="0" t="n">
        <v>36</v>
      </c>
    </row>
    <row r="434" customFormat="false" ht="15" hidden="false" customHeight="false" outlineLevel="0" collapsed="false">
      <c r="A434" s="28" t="n">
        <f aca="false">IF(36&lt;=NW,SAT1+250,"")</f>
        <v>46268</v>
      </c>
      <c r="B434" s="29" t="str">
        <f aca="false">IF(A434="","",CHOOSE(WEEKDAY(A434,1),"الأحد","الاثنين","الثلاثاء","الأربعاء","الخميس","الجمعة","السبت"))</f>
        <v>الخميس</v>
      </c>
      <c r="C434" s="30"/>
      <c r="D434" s="30"/>
      <c r="E434" s="31" t="str">
        <f aca="false">IF(OR(M434=0,K434="",L434=""),"",MOD(L434-K434,1))</f>
        <v/>
      </c>
      <c r="F434" s="31" t="str">
        <f aca="false">IF(OR(E434="",M434=0),"",IF(WEEKDAY(A434,1)=6,E434,MIN(E434,MAX(0,MIN(IF(L434&lt;K434,L434+1,L434),OMR_OT_AT)-K434))))</f>
        <v/>
      </c>
      <c r="G434" s="31" t="str">
        <f aca="false">IF(OR(E434="",M434=0),"",MAX(0,E434-F434))</f>
        <v/>
      </c>
      <c r="H434" s="32" t="str">
        <f aca="false">IF(OR(E434="",M434=0),"",ROUND((F434*$N$427+G434*$O$427)*24,3))</f>
        <v/>
      </c>
      <c r="I434" s="30"/>
      <c r="K434" s="33" t="str">
        <f aca="false">IF(OR(M434=0,C434=""),"",IF(ISNUMBER(C434),MOD(C434,1),IFERROR(INDEX(القوائم!$B$1:$B$288,MATCH(TRIM(C434),القوائم!$A$1:$A$288,0)),IFERROR(MOD(TIMEVALUE(C434),1),""))))</f>
        <v/>
      </c>
      <c r="L434" s="33" t="str">
        <f aca="false">IF(OR(M434=0,D434=""),"",IF(ISNUMBER(D434),MOD(D434,1),IFERROR(INDEX(القوائم!$B$1:$B$288,MATCH(TRIM(D434),القوائم!$A$1:$A$288,0)),IFERROR(MOD(TIMEVALUE(D434),1),""))))</f>
        <v/>
      </c>
      <c r="M434" s="25" t="n">
        <f aca="false">M427</f>
        <v>0</v>
      </c>
      <c r="Q434" s="25" t="n">
        <f aca="false">IF(N(G438)&gt;0,1,0)</f>
        <v>0</v>
      </c>
      <c r="S434" s="0" t="n">
        <v>36</v>
      </c>
    </row>
    <row r="435" customFormat="false" ht="15" hidden="false" customHeight="false" outlineLevel="0" collapsed="false">
      <c r="A435" s="34" t="n">
        <f aca="false">IF(36&lt;=NW,SAT1+251,"")</f>
        <v>46269</v>
      </c>
      <c r="B435" s="35" t="str">
        <f aca="false">IF(A435="","",CHOOSE(WEEKDAY(A435,1),"الأحد","الاثنين","الثلاثاء","الأربعاء","الخميس","الجمعة","السبت"))</f>
        <v>الجمعة</v>
      </c>
      <c r="C435" s="30"/>
      <c r="D435" s="30"/>
      <c r="E435" s="31" t="str">
        <f aca="false">IF(OR(M435=0,K435="",L435=""),"",MOD(L435-K435,1))</f>
        <v/>
      </c>
      <c r="F435" s="31" t="str">
        <f aca="false">IF(OR(E435="",M435=0),"",IF(WEEKDAY(A435,1)=6,E435,MIN(E435,MAX(0,MIN(IF(L435&lt;K435,L435+1,L435),OMR_OT_AT)-K435))))</f>
        <v/>
      </c>
      <c r="G435" s="31" t="str">
        <f aca="false">IF(OR(E435="",M435=0),"",MAX(0,E435-F435))</f>
        <v/>
      </c>
      <c r="H435" s="32" t="str">
        <f aca="false">IF(OR(E435="",M435=0),"",ROUND((F435*$N$427+G435*$O$427)*24,3))</f>
        <v/>
      </c>
      <c r="I435" s="30"/>
      <c r="K435" s="33" t="str">
        <f aca="false">IF(OR(M435=0,C435=""),"",IF(ISNUMBER(C435),MOD(C435,1),IFERROR(INDEX(القوائم!$B$1:$B$288,MATCH(TRIM(C435),القوائم!$A$1:$A$288,0)),IFERROR(MOD(TIMEVALUE(C435),1),""))))</f>
        <v/>
      </c>
      <c r="L435" s="33" t="str">
        <f aca="false">IF(OR(M435=0,D435=""),"",IF(ISNUMBER(D435),MOD(D435,1),IFERROR(INDEX(القوائم!$B$1:$B$288,MATCH(TRIM(D435),القوائم!$A$1:$A$288,0)),IFERROR(MOD(TIMEVALUE(D435),1),""))))</f>
        <v/>
      </c>
      <c r="M435" s="25" t="n">
        <f aca="false">M427</f>
        <v>0</v>
      </c>
      <c r="Q435" s="25" t="n">
        <f aca="false">IF(N(G438)&gt;0,1,0)</f>
        <v>0</v>
      </c>
      <c r="S435" s="0" t="n">
        <v>36</v>
      </c>
    </row>
    <row r="436" customFormat="false" ht="15" hidden="false" customHeight="false" outlineLevel="0" collapsed="false">
      <c r="A436" s="36" t="str">
        <f aca="false">IF(M427=1,"مجموع أيام الأسبوع 36","")</f>
        <v/>
      </c>
      <c r="B436" s="36"/>
      <c r="C436" s="36"/>
      <c r="D436" s="36"/>
      <c r="E436" s="37" t="str">
        <f aca="false">IF(M427=1,SUM(E429:E435),"")</f>
        <v/>
      </c>
      <c r="F436" s="37" t="str">
        <f aca="false">IF(M427=1,SUM(F429:F435),"")</f>
        <v/>
      </c>
      <c r="G436" s="37" t="str">
        <f aca="false">IF(M427=1,SUM(G429:G435),"")</f>
        <v/>
      </c>
      <c r="H436" s="38" t="str">
        <f aca="false">IF(M427=1,SUM(H429:H435),"")</f>
        <v/>
      </c>
      <c r="I436" s="36"/>
      <c r="S436" s="0" t="n">
        <v>36</v>
      </c>
    </row>
    <row r="437" customFormat="false" ht="31.5" hidden="false" customHeight="true" outlineLevel="0" collapsed="false">
      <c r="A437" s="39" t="str">
        <f aca="false">IF(M427=1,"ساعات تحميل الجبسمبورد بهالأسبوع (رقم: 2 أو 1.5) ←","")</f>
        <v/>
      </c>
      <c r="B437" s="39"/>
      <c r="C437" s="39"/>
      <c r="D437" s="39"/>
      <c r="E437" s="40"/>
      <c r="F437" s="41" t="str">
        <f aca="false">IF(M427=1,"المستحق النهائي للأسبوع مع الإكرامية (دينار) ←","")</f>
        <v/>
      </c>
      <c r="G437" s="41"/>
      <c r="H437" s="42" t="str">
        <f aca="false">IF(M427=1,IF(ROUND_MODE="للأعلى",CEILING(ROUND((N(H436)+N(E437)*($P$427-$N$427)),3),0.25),ROUND((N(H436)+N(E437)*($P$427-$N$427))*4,0)/4)+N(D438),"")</f>
        <v/>
      </c>
      <c r="I437" s="43" t="str">
        <f aca="false">IF(M427=1,"قبل الجبر: "&amp;TEXT(N(H436)+N(E437)*($P$427-$N$427),"0.000")&amp;IF(N(D438)&gt;0," + إكرامية "&amp;TEXT(D438,"0.000"),""),"")</f>
        <v/>
      </c>
      <c r="S437" s="0" t="n">
        <v>36</v>
      </c>
    </row>
    <row r="438" customFormat="false" ht="25.5" hidden="false" customHeight="true" outlineLevel="0" collapsed="false">
      <c r="A438" s="39" t="str">
        <f aca="false">IF(M427=1,"إكرامية الأسبوع (دينار) ←","")</f>
        <v/>
      </c>
      <c r="B438" s="39"/>
      <c r="C438" s="39"/>
      <c r="D438" s="44"/>
      <c r="E438" s="39" t="str">
        <f aca="false">IF(M427=1,"المدفوع (دينار) ←","")</f>
        <v/>
      </c>
      <c r="F438" s="39"/>
      <c r="G438" s="44"/>
      <c r="H438" s="45" t="str">
        <f aca="false">IF(M427=1,IF(N(G438)&gt;0,"✔ انقبض — الأسبوع مقفول","⏳ لسا ما انقبض"),"")</f>
        <v/>
      </c>
      <c r="I438" s="45"/>
      <c r="S438" s="0" t="n">
        <v>36</v>
      </c>
    </row>
    <row r="439" customFormat="false" ht="27.75" hidden="false" customHeight="true" outlineLevel="0" collapsed="false">
      <c r="A439" s="23" t="str">
        <f aca="false">IF(37&lt;=NW,"من السبت "&amp;TEXT(DAY(SAT1+252),"00")&amp;"/"&amp;TEXT(MONTH(SAT1+252),"00")&amp;"/"&amp;YEAR(SAT1+252)&amp;" إلى الجمعة "&amp;TEXT(DAY(SAT1+258),"00")&amp;"/"&amp;TEXT(MONTH(SAT1+258),"00")&amp;"/"&amp;YEAR(SAT1+258)&amp;" · الأسبوع 37"&amp;"  (يوم القبض: الجمعة)"&amp;IF(37&lt;START_O,"   — قبل أسبوع البداية (ما بينحسب)",""),"ما في أسبوع 37 هالسنة")</f>
        <v>من السبت 05/09/2026 إلى الجمعة 11/09/2026 · الأسبوع 37  (يوم القبض: الجمعة)   — قبل أسبوع البداية (ما بينحسب)</v>
      </c>
      <c r="B439" s="23"/>
      <c r="C439" s="23"/>
      <c r="D439" s="23"/>
      <c r="E439" s="23"/>
      <c r="F439" s="23"/>
      <c r="G439" s="23"/>
      <c r="H439" s="23"/>
      <c r="I439" s="23"/>
      <c r="L439" s="24" t="n">
        <f aca="false">IF(37&lt;=NW,SAT1+258,"")</f>
        <v>46276</v>
      </c>
      <c r="M439" s="25" t="n">
        <f aca="false">IF(AND(37&lt;=NW,37&gt;=START_O),1,0)</f>
        <v>0</v>
      </c>
      <c r="N439" s="26" t="n">
        <f aca="false">IFERROR(INDEX(RT_OMR,MATCH(L439,RT_K,1)),INDEX(RT_OMR,1))</f>
        <v>1.25</v>
      </c>
      <c r="O439" s="26" t="n">
        <f aca="false">IFERROR(INDEX(RT_OT,MATCH(L439,RT_K,1)),INDEX(RT_OT,1))</f>
        <v>1.5</v>
      </c>
      <c r="P439" s="26" t="n">
        <f aca="false">IFERROR(INDEX(RT_GYP,MATCH(L439,RT_K,1)),INDEX(RT_GYP,1))</f>
        <v>2.5</v>
      </c>
      <c r="R439" s="0" t="n">
        <v>37</v>
      </c>
      <c r="S439" s="0" t="n">
        <v>37</v>
      </c>
    </row>
    <row r="440" customFormat="false" ht="25.5" hidden="false" customHeight="true" outlineLevel="0" collapsed="false">
      <c r="A440" s="27" t="s">
        <v>22</v>
      </c>
      <c r="B440" s="27" t="s">
        <v>23</v>
      </c>
      <c r="C440" s="27" t="s">
        <v>24</v>
      </c>
      <c r="D440" s="27" t="s">
        <v>25</v>
      </c>
      <c r="E440" s="27" t="s">
        <v>26</v>
      </c>
      <c r="F440" s="27" t="s">
        <v>27</v>
      </c>
      <c r="G440" s="27" t="s">
        <v>28</v>
      </c>
      <c r="H440" s="27" t="s">
        <v>29</v>
      </c>
      <c r="I440" s="27" t="s">
        <v>30</v>
      </c>
      <c r="S440" s="0" t="n">
        <v>37</v>
      </c>
    </row>
    <row r="441" customFormat="false" ht="15" hidden="false" customHeight="false" outlineLevel="0" collapsed="false">
      <c r="A441" s="28" t="n">
        <f aca="false">IF(37&lt;=NW,SAT1+252,"")</f>
        <v>46270</v>
      </c>
      <c r="B441" s="29" t="str">
        <f aca="false">IF(A441="","",CHOOSE(WEEKDAY(A441,1),"الأحد","الاثنين","الثلاثاء","الأربعاء","الخميس","الجمعة","السبت"))</f>
        <v>السبت</v>
      </c>
      <c r="C441" s="30"/>
      <c r="D441" s="30"/>
      <c r="E441" s="31" t="str">
        <f aca="false">IF(OR(M441=0,K441="",L441=""),"",MOD(L441-K441,1))</f>
        <v/>
      </c>
      <c r="F441" s="31" t="str">
        <f aca="false">IF(OR(E441="",M441=0),"",IF(WEEKDAY(A441,1)=6,E441,MIN(E441,MAX(0,MIN(IF(L441&lt;K441,L441+1,L441),OMR_OT_AT)-K441))))</f>
        <v/>
      </c>
      <c r="G441" s="31" t="str">
        <f aca="false">IF(OR(E441="",M441=0),"",MAX(0,E441-F441))</f>
        <v/>
      </c>
      <c r="H441" s="32" t="str">
        <f aca="false">IF(OR(E441="",M441=0),"",ROUND((F441*$N$439+G441*$O$439)*24,3))</f>
        <v/>
      </c>
      <c r="I441" s="30"/>
      <c r="K441" s="33" t="str">
        <f aca="false">IF(OR(M441=0,C441=""),"",IF(ISNUMBER(C441),MOD(C441,1),IFERROR(INDEX(القوائم!$B$1:$B$288,MATCH(TRIM(C441),القوائم!$A$1:$A$288,0)),IFERROR(MOD(TIMEVALUE(C441),1),""))))</f>
        <v/>
      </c>
      <c r="L441" s="33" t="str">
        <f aca="false">IF(OR(M441=0,D441=""),"",IF(ISNUMBER(D441),MOD(D441,1),IFERROR(INDEX(القوائم!$B$1:$B$288,MATCH(TRIM(D441),القوائم!$A$1:$A$288,0)),IFERROR(MOD(TIMEVALUE(D441),1),""))))</f>
        <v/>
      </c>
      <c r="M441" s="25" t="n">
        <f aca="false">M439</f>
        <v>0</v>
      </c>
      <c r="Q441" s="25" t="n">
        <f aca="false">IF(N(G450)&gt;0,1,0)</f>
        <v>0</v>
      </c>
      <c r="S441" s="0" t="n">
        <v>37</v>
      </c>
    </row>
    <row r="442" customFormat="false" ht="15" hidden="false" customHeight="false" outlineLevel="0" collapsed="false">
      <c r="A442" s="28" t="n">
        <f aca="false">IF(37&lt;=NW,SAT1+253,"")</f>
        <v>46271</v>
      </c>
      <c r="B442" s="29" t="str">
        <f aca="false">IF(A442="","",CHOOSE(WEEKDAY(A442,1),"الأحد","الاثنين","الثلاثاء","الأربعاء","الخميس","الجمعة","السبت"))</f>
        <v>الأحد</v>
      </c>
      <c r="C442" s="30"/>
      <c r="D442" s="30"/>
      <c r="E442" s="31" t="str">
        <f aca="false">IF(OR(M442=0,K442="",L442=""),"",MOD(L442-K442,1))</f>
        <v/>
      </c>
      <c r="F442" s="31" t="str">
        <f aca="false">IF(OR(E442="",M442=0),"",IF(WEEKDAY(A442,1)=6,E442,MIN(E442,MAX(0,MIN(IF(L442&lt;K442,L442+1,L442),OMR_OT_AT)-K442))))</f>
        <v/>
      </c>
      <c r="G442" s="31" t="str">
        <f aca="false">IF(OR(E442="",M442=0),"",MAX(0,E442-F442))</f>
        <v/>
      </c>
      <c r="H442" s="32" t="str">
        <f aca="false">IF(OR(E442="",M442=0),"",ROUND((F442*$N$439+G442*$O$439)*24,3))</f>
        <v/>
      </c>
      <c r="I442" s="30"/>
      <c r="K442" s="33" t="str">
        <f aca="false">IF(OR(M442=0,C442=""),"",IF(ISNUMBER(C442),MOD(C442,1),IFERROR(INDEX(القوائم!$B$1:$B$288,MATCH(TRIM(C442),القوائم!$A$1:$A$288,0)),IFERROR(MOD(TIMEVALUE(C442),1),""))))</f>
        <v/>
      </c>
      <c r="L442" s="33" t="str">
        <f aca="false">IF(OR(M442=0,D442=""),"",IF(ISNUMBER(D442),MOD(D442,1),IFERROR(INDEX(القوائم!$B$1:$B$288,MATCH(TRIM(D442),القوائم!$A$1:$A$288,0)),IFERROR(MOD(TIMEVALUE(D442),1),""))))</f>
        <v/>
      </c>
      <c r="M442" s="25" t="n">
        <f aca="false">M439</f>
        <v>0</v>
      </c>
      <c r="Q442" s="25" t="n">
        <f aca="false">IF(N(G450)&gt;0,1,0)</f>
        <v>0</v>
      </c>
      <c r="S442" s="0" t="n">
        <v>37</v>
      </c>
    </row>
    <row r="443" customFormat="false" ht="15" hidden="false" customHeight="false" outlineLevel="0" collapsed="false">
      <c r="A443" s="28" t="n">
        <f aca="false">IF(37&lt;=NW,SAT1+254,"")</f>
        <v>46272</v>
      </c>
      <c r="B443" s="29" t="str">
        <f aca="false">IF(A443="","",CHOOSE(WEEKDAY(A443,1),"الأحد","الاثنين","الثلاثاء","الأربعاء","الخميس","الجمعة","السبت"))</f>
        <v>الاثنين</v>
      </c>
      <c r="C443" s="30"/>
      <c r="D443" s="30"/>
      <c r="E443" s="31" t="str">
        <f aca="false">IF(OR(M443=0,K443="",L443=""),"",MOD(L443-K443,1))</f>
        <v/>
      </c>
      <c r="F443" s="31" t="str">
        <f aca="false">IF(OR(E443="",M443=0),"",IF(WEEKDAY(A443,1)=6,E443,MIN(E443,MAX(0,MIN(IF(L443&lt;K443,L443+1,L443),OMR_OT_AT)-K443))))</f>
        <v/>
      </c>
      <c r="G443" s="31" t="str">
        <f aca="false">IF(OR(E443="",M443=0),"",MAX(0,E443-F443))</f>
        <v/>
      </c>
      <c r="H443" s="32" t="str">
        <f aca="false">IF(OR(E443="",M443=0),"",ROUND((F443*$N$439+G443*$O$439)*24,3))</f>
        <v/>
      </c>
      <c r="I443" s="30"/>
      <c r="K443" s="33" t="str">
        <f aca="false">IF(OR(M443=0,C443=""),"",IF(ISNUMBER(C443),MOD(C443,1),IFERROR(INDEX(القوائم!$B$1:$B$288,MATCH(TRIM(C443),القوائم!$A$1:$A$288,0)),IFERROR(MOD(TIMEVALUE(C443),1),""))))</f>
        <v/>
      </c>
      <c r="L443" s="33" t="str">
        <f aca="false">IF(OR(M443=0,D443=""),"",IF(ISNUMBER(D443),MOD(D443,1),IFERROR(INDEX(القوائم!$B$1:$B$288,MATCH(TRIM(D443),القوائم!$A$1:$A$288,0)),IFERROR(MOD(TIMEVALUE(D443),1),""))))</f>
        <v/>
      </c>
      <c r="M443" s="25" t="n">
        <f aca="false">M439</f>
        <v>0</v>
      </c>
      <c r="Q443" s="25" t="n">
        <f aca="false">IF(N(G450)&gt;0,1,0)</f>
        <v>0</v>
      </c>
      <c r="S443" s="0" t="n">
        <v>37</v>
      </c>
    </row>
    <row r="444" customFormat="false" ht="15" hidden="false" customHeight="false" outlineLevel="0" collapsed="false">
      <c r="A444" s="28" t="n">
        <f aca="false">IF(37&lt;=NW,SAT1+255,"")</f>
        <v>46273</v>
      </c>
      <c r="B444" s="29" t="str">
        <f aca="false">IF(A444="","",CHOOSE(WEEKDAY(A444,1),"الأحد","الاثنين","الثلاثاء","الأربعاء","الخميس","الجمعة","السبت"))</f>
        <v>الثلاثاء</v>
      </c>
      <c r="C444" s="30"/>
      <c r="D444" s="30"/>
      <c r="E444" s="31" t="str">
        <f aca="false">IF(OR(M444=0,K444="",L444=""),"",MOD(L444-K444,1))</f>
        <v/>
      </c>
      <c r="F444" s="31" t="str">
        <f aca="false">IF(OR(E444="",M444=0),"",IF(WEEKDAY(A444,1)=6,E444,MIN(E444,MAX(0,MIN(IF(L444&lt;K444,L444+1,L444),OMR_OT_AT)-K444))))</f>
        <v/>
      </c>
      <c r="G444" s="31" t="str">
        <f aca="false">IF(OR(E444="",M444=0),"",MAX(0,E444-F444))</f>
        <v/>
      </c>
      <c r="H444" s="32" t="str">
        <f aca="false">IF(OR(E444="",M444=0),"",ROUND((F444*$N$439+G444*$O$439)*24,3))</f>
        <v/>
      </c>
      <c r="I444" s="30"/>
      <c r="K444" s="33" t="str">
        <f aca="false">IF(OR(M444=0,C444=""),"",IF(ISNUMBER(C444),MOD(C444,1),IFERROR(INDEX(القوائم!$B$1:$B$288,MATCH(TRIM(C444),القوائم!$A$1:$A$288,0)),IFERROR(MOD(TIMEVALUE(C444),1),""))))</f>
        <v/>
      </c>
      <c r="L444" s="33" t="str">
        <f aca="false">IF(OR(M444=0,D444=""),"",IF(ISNUMBER(D444),MOD(D444,1),IFERROR(INDEX(القوائم!$B$1:$B$288,MATCH(TRIM(D444),القوائم!$A$1:$A$288,0)),IFERROR(MOD(TIMEVALUE(D444),1),""))))</f>
        <v/>
      </c>
      <c r="M444" s="25" t="n">
        <f aca="false">M439</f>
        <v>0</v>
      </c>
      <c r="Q444" s="25" t="n">
        <f aca="false">IF(N(G450)&gt;0,1,0)</f>
        <v>0</v>
      </c>
      <c r="S444" s="0" t="n">
        <v>37</v>
      </c>
    </row>
    <row r="445" customFormat="false" ht="15" hidden="false" customHeight="false" outlineLevel="0" collapsed="false">
      <c r="A445" s="28" t="n">
        <f aca="false">IF(37&lt;=NW,SAT1+256,"")</f>
        <v>46274</v>
      </c>
      <c r="B445" s="29" t="str">
        <f aca="false">IF(A445="","",CHOOSE(WEEKDAY(A445,1),"الأحد","الاثنين","الثلاثاء","الأربعاء","الخميس","الجمعة","السبت"))</f>
        <v>الأربعاء</v>
      </c>
      <c r="C445" s="30"/>
      <c r="D445" s="30"/>
      <c r="E445" s="31" t="str">
        <f aca="false">IF(OR(M445=0,K445="",L445=""),"",MOD(L445-K445,1))</f>
        <v/>
      </c>
      <c r="F445" s="31" t="str">
        <f aca="false">IF(OR(E445="",M445=0),"",IF(WEEKDAY(A445,1)=6,E445,MIN(E445,MAX(0,MIN(IF(L445&lt;K445,L445+1,L445),OMR_OT_AT)-K445))))</f>
        <v/>
      </c>
      <c r="G445" s="31" t="str">
        <f aca="false">IF(OR(E445="",M445=0),"",MAX(0,E445-F445))</f>
        <v/>
      </c>
      <c r="H445" s="32" t="str">
        <f aca="false">IF(OR(E445="",M445=0),"",ROUND((F445*$N$439+G445*$O$439)*24,3))</f>
        <v/>
      </c>
      <c r="I445" s="30"/>
      <c r="K445" s="33" t="str">
        <f aca="false">IF(OR(M445=0,C445=""),"",IF(ISNUMBER(C445),MOD(C445,1),IFERROR(INDEX(القوائم!$B$1:$B$288,MATCH(TRIM(C445),القوائم!$A$1:$A$288,0)),IFERROR(MOD(TIMEVALUE(C445),1),""))))</f>
        <v/>
      </c>
      <c r="L445" s="33" t="str">
        <f aca="false">IF(OR(M445=0,D445=""),"",IF(ISNUMBER(D445),MOD(D445,1),IFERROR(INDEX(القوائم!$B$1:$B$288,MATCH(TRIM(D445),القوائم!$A$1:$A$288,0)),IFERROR(MOD(TIMEVALUE(D445),1),""))))</f>
        <v/>
      </c>
      <c r="M445" s="25" t="n">
        <f aca="false">M439</f>
        <v>0</v>
      </c>
      <c r="Q445" s="25" t="n">
        <f aca="false">IF(N(G450)&gt;0,1,0)</f>
        <v>0</v>
      </c>
      <c r="S445" s="0" t="n">
        <v>37</v>
      </c>
    </row>
    <row r="446" customFormat="false" ht="15" hidden="false" customHeight="false" outlineLevel="0" collapsed="false">
      <c r="A446" s="28" t="n">
        <f aca="false">IF(37&lt;=NW,SAT1+257,"")</f>
        <v>46275</v>
      </c>
      <c r="B446" s="29" t="str">
        <f aca="false">IF(A446="","",CHOOSE(WEEKDAY(A446,1),"الأحد","الاثنين","الثلاثاء","الأربعاء","الخميس","الجمعة","السبت"))</f>
        <v>الخميس</v>
      </c>
      <c r="C446" s="30"/>
      <c r="D446" s="30"/>
      <c r="E446" s="31" t="str">
        <f aca="false">IF(OR(M446=0,K446="",L446=""),"",MOD(L446-K446,1))</f>
        <v/>
      </c>
      <c r="F446" s="31" t="str">
        <f aca="false">IF(OR(E446="",M446=0),"",IF(WEEKDAY(A446,1)=6,E446,MIN(E446,MAX(0,MIN(IF(L446&lt;K446,L446+1,L446),OMR_OT_AT)-K446))))</f>
        <v/>
      </c>
      <c r="G446" s="31" t="str">
        <f aca="false">IF(OR(E446="",M446=0),"",MAX(0,E446-F446))</f>
        <v/>
      </c>
      <c r="H446" s="32" t="str">
        <f aca="false">IF(OR(E446="",M446=0),"",ROUND((F446*$N$439+G446*$O$439)*24,3))</f>
        <v/>
      </c>
      <c r="I446" s="30"/>
      <c r="K446" s="33" t="str">
        <f aca="false">IF(OR(M446=0,C446=""),"",IF(ISNUMBER(C446),MOD(C446,1),IFERROR(INDEX(القوائم!$B$1:$B$288,MATCH(TRIM(C446),القوائم!$A$1:$A$288,0)),IFERROR(MOD(TIMEVALUE(C446),1),""))))</f>
        <v/>
      </c>
      <c r="L446" s="33" t="str">
        <f aca="false">IF(OR(M446=0,D446=""),"",IF(ISNUMBER(D446),MOD(D446,1),IFERROR(INDEX(القوائم!$B$1:$B$288,MATCH(TRIM(D446),القوائم!$A$1:$A$288,0)),IFERROR(MOD(TIMEVALUE(D446),1),""))))</f>
        <v/>
      </c>
      <c r="M446" s="25" t="n">
        <f aca="false">M439</f>
        <v>0</v>
      </c>
      <c r="Q446" s="25" t="n">
        <f aca="false">IF(N(G450)&gt;0,1,0)</f>
        <v>0</v>
      </c>
      <c r="S446" s="0" t="n">
        <v>37</v>
      </c>
    </row>
    <row r="447" customFormat="false" ht="15" hidden="false" customHeight="false" outlineLevel="0" collapsed="false">
      <c r="A447" s="34" t="n">
        <f aca="false">IF(37&lt;=NW,SAT1+258,"")</f>
        <v>46276</v>
      </c>
      <c r="B447" s="35" t="str">
        <f aca="false">IF(A447="","",CHOOSE(WEEKDAY(A447,1),"الأحد","الاثنين","الثلاثاء","الأربعاء","الخميس","الجمعة","السبت"))</f>
        <v>الجمعة</v>
      </c>
      <c r="C447" s="30"/>
      <c r="D447" s="30"/>
      <c r="E447" s="31" t="str">
        <f aca="false">IF(OR(M447=0,K447="",L447=""),"",MOD(L447-K447,1))</f>
        <v/>
      </c>
      <c r="F447" s="31" t="str">
        <f aca="false">IF(OR(E447="",M447=0),"",IF(WEEKDAY(A447,1)=6,E447,MIN(E447,MAX(0,MIN(IF(L447&lt;K447,L447+1,L447),OMR_OT_AT)-K447))))</f>
        <v/>
      </c>
      <c r="G447" s="31" t="str">
        <f aca="false">IF(OR(E447="",M447=0),"",MAX(0,E447-F447))</f>
        <v/>
      </c>
      <c r="H447" s="32" t="str">
        <f aca="false">IF(OR(E447="",M447=0),"",ROUND((F447*$N$439+G447*$O$439)*24,3))</f>
        <v/>
      </c>
      <c r="I447" s="30"/>
      <c r="K447" s="33" t="str">
        <f aca="false">IF(OR(M447=0,C447=""),"",IF(ISNUMBER(C447),MOD(C447,1),IFERROR(INDEX(القوائم!$B$1:$B$288,MATCH(TRIM(C447),القوائم!$A$1:$A$288,0)),IFERROR(MOD(TIMEVALUE(C447),1),""))))</f>
        <v/>
      </c>
      <c r="L447" s="33" t="str">
        <f aca="false">IF(OR(M447=0,D447=""),"",IF(ISNUMBER(D447),MOD(D447,1),IFERROR(INDEX(القوائم!$B$1:$B$288,MATCH(TRIM(D447),القوائم!$A$1:$A$288,0)),IFERROR(MOD(TIMEVALUE(D447),1),""))))</f>
        <v/>
      </c>
      <c r="M447" s="25" t="n">
        <f aca="false">M439</f>
        <v>0</v>
      </c>
      <c r="Q447" s="25" t="n">
        <f aca="false">IF(N(G450)&gt;0,1,0)</f>
        <v>0</v>
      </c>
      <c r="S447" s="0" t="n">
        <v>37</v>
      </c>
    </row>
    <row r="448" customFormat="false" ht="15" hidden="false" customHeight="false" outlineLevel="0" collapsed="false">
      <c r="A448" s="36" t="str">
        <f aca="false">IF(M439=1,"مجموع أيام الأسبوع 37","")</f>
        <v/>
      </c>
      <c r="B448" s="36"/>
      <c r="C448" s="36"/>
      <c r="D448" s="36"/>
      <c r="E448" s="37" t="str">
        <f aca="false">IF(M439=1,SUM(E441:E447),"")</f>
        <v/>
      </c>
      <c r="F448" s="37" t="str">
        <f aca="false">IF(M439=1,SUM(F441:F447),"")</f>
        <v/>
      </c>
      <c r="G448" s="37" t="str">
        <f aca="false">IF(M439=1,SUM(G441:G447),"")</f>
        <v/>
      </c>
      <c r="H448" s="38" t="str">
        <f aca="false">IF(M439=1,SUM(H441:H447),"")</f>
        <v/>
      </c>
      <c r="I448" s="36"/>
      <c r="S448" s="0" t="n">
        <v>37</v>
      </c>
    </row>
    <row r="449" customFormat="false" ht="31.5" hidden="false" customHeight="true" outlineLevel="0" collapsed="false">
      <c r="A449" s="39" t="str">
        <f aca="false">IF(M439=1,"ساعات تحميل الجبسمبورد بهالأسبوع (رقم: 2 أو 1.5) ←","")</f>
        <v/>
      </c>
      <c r="B449" s="39"/>
      <c r="C449" s="39"/>
      <c r="D449" s="39"/>
      <c r="E449" s="40"/>
      <c r="F449" s="41" t="str">
        <f aca="false">IF(M439=1,"المستحق النهائي للأسبوع مع الإكرامية (دينار) ←","")</f>
        <v/>
      </c>
      <c r="G449" s="41"/>
      <c r="H449" s="42" t="str">
        <f aca="false">IF(M439=1,IF(ROUND_MODE="للأعلى",CEILING(ROUND((N(H448)+N(E449)*($P$439-$N$439)),3),0.25),ROUND((N(H448)+N(E449)*($P$439-$N$439))*4,0)/4)+N(D450),"")</f>
        <v/>
      </c>
      <c r="I449" s="43" t="str">
        <f aca="false">IF(M439=1,"قبل الجبر: "&amp;TEXT(N(H448)+N(E449)*($P$439-$N$439),"0.000")&amp;IF(N(D450)&gt;0," + إكرامية "&amp;TEXT(D450,"0.000"),""),"")</f>
        <v/>
      </c>
      <c r="S449" s="0" t="n">
        <v>37</v>
      </c>
    </row>
    <row r="450" customFormat="false" ht="25.5" hidden="false" customHeight="true" outlineLevel="0" collapsed="false">
      <c r="A450" s="39" t="str">
        <f aca="false">IF(M439=1,"إكرامية الأسبوع (دينار) ←","")</f>
        <v/>
      </c>
      <c r="B450" s="39"/>
      <c r="C450" s="39"/>
      <c r="D450" s="44"/>
      <c r="E450" s="39" t="str">
        <f aca="false">IF(M439=1,"المدفوع (دينار) ←","")</f>
        <v/>
      </c>
      <c r="F450" s="39"/>
      <c r="G450" s="44"/>
      <c r="H450" s="45" t="str">
        <f aca="false">IF(M439=1,IF(N(G450)&gt;0,"✔ انقبض — الأسبوع مقفول","⏳ لسا ما انقبض"),"")</f>
        <v/>
      </c>
      <c r="I450" s="45"/>
      <c r="S450" s="0" t="n">
        <v>37</v>
      </c>
    </row>
    <row r="451" customFormat="false" ht="27.75" hidden="false" customHeight="true" outlineLevel="0" collapsed="false">
      <c r="A451" s="23" t="str">
        <f aca="false">IF(38&lt;=NW,"من السبت "&amp;TEXT(DAY(SAT1+259),"00")&amp;"/"&amp;TEXT(MONTH(SAT1+259),"00")&amp;"/"&amp;YEAR(SAT1+259)&amp;" إلى الجمعة "&amp;TEXT(DAY(SAT1+265),"00")&amp;"/"&amp;TEXT(MONTH(SAT1+265),"00")&amp;"/"&amp;YEAR(SAT1+265)&amp;" · الأسبوع 38"&amp;"  (يوم القبض: الجمعة)"&amp;IF(38&lt;START_O,"   — قبل أسبوع البداية (ما بينحسب)",""),"ما في أسبوع 38 هالسنة")</f>
        <v>من السبت 12/09/2026 إلى الجمعة 18/09/2026 · الأسبوع 38  (يوم القبض: الجمعة)   — قبل أسبوع البداية (ما بينحسب)</v>
      </c>
      <c r="B451" s="23"/>
      <c r="C451" s="23"/>
      <c r="D451" s="23"/>
      <c r="E451" s="23"/>
      <c r="F451" s="23"/>
      <c r="G451" s="23"/>
      <c r="H451" s="23"/>
      <c r="I451" s="23"/>
      <c r="L451" s="24" t="n">
        <f aca="false">IF(38&lt;=NW,SAT1+265,"")</f>
        <v>46283</v>
      </c>
      <c r="M451" s="25" t="n">
        <f aca="false">IF(AND(38&lt;=NW,38&gt;=START_O),1,0)</f>
        <v>0</v>
      </c>
      <c r="N451" s="26" t="n">
        <f aca="false">IFERROR(INDEX(RT_OMR,MATCH(L451,RT_K,1)),INDEX(RT_OMR,1))</f>
        <v>1.25</v>
      </c>
      <c r="O451" s="26" t="n">
        <f aca="false">IFERROR(INDEX(RT_OT,MATCH(L451,RT_K,1)),INDEX(RT_OT,1))</f>
        <v>1.5</v>
      </c>
      <c r="P451" s="26" t="n">
        <f aca="false">IFERROR(INDEX(RT_GYP,MATCH(L451,RT_K,1)),INDEX(RT_GYP,1))</f>
        <v>2.5</v>
      </c>
      <c r="R451" s="0" t="n">
        <v>38</v>
      </c>
      <c r="S451" s="0" t="n">
        <v>38</v>
      </c>
    </row>
    <row r="452" customFormat="false" ht="25.5" hidden="false" customHeight="true" outlineLevel="0" collapsed="false">
      <c r="A452" s="27" t="s">
        <v>22</v>
      </c>
      <c r="B452" s="27" t="s">
        <v>23</v>
      </c>
      <c r="C452" s="27" t="s">
        <v>24</v>
      </c>
      <c r="D452" s="27" t="s">
        <v>25</v>
      </c>
      <c r="E452" s="27" t="s">
        <v>26</v>
      </c>
      <c r="F452" s="27" t="s">
        <v>27</v>
      </c>
      <c r="G452" s="27" t="s">
        <v>28</v>
      </c>
      <c r="H452" s="27" t="s">
        <v>29</v>
      </c>
      <c r="I452" s="27" t="s">
        <v>30</v>
      </c>
      <c r="S452" s="0" t="n">
        <v>38</v>
      </c>
    </row>
    <row r="453" customFormat="false" ht="15" hidden="false" customHeight="false" outlineLevel="0" collapsed="false">
      <c r="A453" s="28" t="n">
        <f aca="false">IF(38&lt;=NW,SAT1+259,"")</f>
        <v>46277</v>
      </c>
      <c r="B453" s="29" t="str">
        <f aca="false">IF(A453="","",CHOOSE(WEEKDAY(A453,1),"الأحد","الاثنين","الثلاثاء","الأربعاء","الخميس","الجمعة","السبت"))</f>
        <v>السبت</v>
      </c>
      <c r="C453" s="30"/>
      <c r="D453" s="30"/>
      <c r="E453" s="31" t="str">
        <f aca="false">IF(OR(M453=0,K453="",L453=""),"",MOD(L453-K453,1))</f>
        <v/>
      </c>
      <c r="F453" s="31" t="str">
        <f aca="false">IF(OR(E453="",M453=0),"",IF(WEEKDAY(A453,1)=6,E453,MIN(E453,MAX(0,MIN(IF(L453&lt;K453,L453+1,L453),OMR_OT_AT)-K453))))</f>
        <v/>
      </c>
      <c r="G453" s="31" t="str">
        <f aca="false">IF(OR(E453="",M453=0),"",MAX(0,E453-F453))</f>
        <v/>
      </c>
      <c r="H453" s="32" t="str">
        <f aca="false">IF(OR(E453="",M453=0),"",ROUND((F453*$N$451+G453*$O$451)*24,3))</f>
        <v/>
      </c>
      <c r="I453" s="30"/>
      <c r="K453" s="33" t="str">
        <f aca="false">IF(OR(M453=0,C453=""),"",IF(ISNUMBER(C453),MOD(C453,1),IFERROR(INDEX(القوائم!$B$1:$B$288,MATCH(TRIM(C453),القوائم!$A$1:$A$288,0)),IFERROR(MOD(TIMEVALUE(C453),1),""))))</f>
        <v/>
      </c>
      <c r="L453" s="33" t="str">
        <f aca="false">IF(OR(M453=0,D453=""),"",IF(ISNUMBER(D453),MOD(D453,1),IFERROR(INDEX(القوائم!$B$1:$B$288,MATCH(TRIM(D453),القوائم!$A$1:$A$288,0)),IFERROR(MOD(TIMEVALUE(D453),1),""))))</f>
        <v/>
      </c>
      <c r="M453" s="25" t="n">
        <f aca="false">M451</f>
        <v>0</v>
      </c>
      <c r="Q453" s="25" t="n">
        <f aca="false">IF(N(G462)&gt;0,1,0)</f>
        <v>0</v>
      </c>
      <c r="S453" s="0" t="n">
        <v>38</v>
      </c>
    </row>
    <row r="454" customFormat="false" ht="15" hidden="false" customHeight="false" outlineLevel="0" collapsed="false">
      <c r="A454" s="28" t="n">
        <f aca="false">IF(38&lt;=NW,SAT1+260,"")</f>
        <v>46278</v>
      </c>
      <c r="B454" s="29" t="str">
        <f aca="false">IF(A454="","",CHOOSE(WEEKDAY(A454,1),"الأحد","الاثنين","الثلاثاء","الأربعاء","الخميس","الجمعة","السبت"))</f>
        <v>الأحد</v>
      </c>
      <c r="C454" s="30"/>
      <c r="D454" s="30"/>
      <c r="E454" s="31" t="str">
        <f aca="false">IF(OR(M454=0,K454="",L454=""),"",MOD(L454-K454,1))</f>
        <v/>
      </c>
      <c r="F454" s="31" t="str">
        <f aca="false">IF(OR(E454="",M454=0),"",IF(WEEKDAY(A454,1)=6,E454,MIN(E454,MAX(0,MIN(IF(L454&lt;K454,L454+1,L454),OMR_OT_AT)-K454))))</f>
        <v/>
      </c>
      <c r="G454" s="31" t="str">
        <f aca="false">IF(OR(E454="",M454=0),"",MAX(0,E454-F454))</f>
        <v/>
      </c>
      <c r="H454" s="32" t="str">
        <f aca="false">IF(OR(E454="",M454=0),"",ROUND((F454*$N$451+G454*$O$451)*24,3))</f>
        <v/>
      </c>
      <c r="I454" s="30"/>
      <c r="K454" s="33" t="str">
        <f aca="false">IF(OR(M454=0,C454=""),"",IF(ISNUMBER(C454),MOD(C454,1),IFERROR(INDEX(القوائم!$B$1:$B$288,MATCH(TRIM(C454),القوائم!$A$1:$A$288,0)),IFERROR(MOD(TIMEVALUE(C454),1),""))))</f>
        <v/>
      </c>
      <c r="L454" s="33" t="str">
        <f aca="false">IF(OR(M454=0,D454=""),"",IF(ISNUMBER(D454),MOD(D454,1),IFERROR(INDEX(القوائم!$B$1:$B$288,MATCH(TRIM(D454),القوائم!$A$1:$A$288,0)),IFERROR(MOD(TIMEVALUE(D454),1),""))))</f>
        <v/>
      </c>
      <c r="M454" s="25" t="n">
        <f aca="false">M451</f>
        <v>0</v>
      </c>
      <c r="Q454" s="25" t="n">
        <f aca="false">IF(N(G462)&gt;0,1,0)</f>
        <v>0</v>
      </c>
      <c r="S454" s="0" t="n">
        <v>38</v>
      </c>
    </row>
    <row r="455" customFormat="false" ht="15" hidden="false" customHeight="false" outlineLevel="0" collapsed="false">
      <c r="A455" s="28" t="n">
        <f aca="false">IF(38&lt;=NW,SAT1+261,"")</f>
        <v>46279</v>
      </c>
      <c r="B455" s="29" t="str">
        <f aca="false">IF(A455="","",CHOOSE(WEEKDAY(A455,1),"الأحد","الاثنين","الثلاثاء","الأربعاء","الخميس","الجمعة","السبت"))</f>
        <v>الاثنين</v>
      </c>
      <c r="C455" s="30"/>
      <c r="D455" s="30"/>
      <c r="E455" s="31" t="str">
        <f aca="false">IF(OR(M455=0,K455="",L455=""),"",MOD(L455-K455,1))</f>
        <v/>
      </c>
      <c r="F455" s="31" t="str">
        <f aca="false">IF(OR(E455="",M455=0),"",IF(WEEKDAY(A455,1)=6,E455,MIN(E455,MAX(0,MIN(IF(L455&lt;K455,L455+1,L455),OMR_OT_AT)-K455))))</f>
        <v/>
      </c>
      <c r="G455" s="31" t="str">
        <f aca="false">IF(OR(E455="",M455=0),"",MAX(0,E455-F455))</f>
        <v/>
      </c>
      <c r="H455" s="32" t="str">
        <f aca="false">IF(OR(E455="",M455=0),"",ROUND((F455*$N$451+G455*$O$451)*24,3))</f>
        <v/>
      </c>
      <c r="I455" s="30"/>
      <c r="K455" s="33" t="str">
        <f aca="false">IF(OR(M455=0,C455=""),"",IF(ISNUMBER(C455),MOD(C455,1),IFERROR(INDEX(القوائم!$B$1:$B$288,MATCH(TRIM(C455),القوائم!$A$1:$A$288,0)),IFERROR(MOD(TIMEVALUE(C455),1),""))))</f>
        <v/>
      </c>
      <c r="L455" s="33" t="str">
        <f aca="false">IF(OR(M455=0,D455=""),"",IF(ISNUMBER(D455),MOD(D455,1),IFERROR(INDEX(القوائم!$B$1:$B$288,MATCH(TRIM(D455),القوائم!$A$1:$A$288,0)),IFERROR(MOD(TIMEVALUE(D455),1),""))))</f>
        <v/>
      </c>
      <c r="M455" s="25" t="n">
        <f aca="false">M451</f>
        <v>0</v>
      </c>
      <c r="Q455" s="25" t="n">
        <f aca="false">IF(N(G462)&gt;0,1,0)</f>
        <v>0</v>
      </c>
      <c r="S455" s="0" t="n">
        <v>38</v>
      </c>
    </row>
    <row r="456" customFormat="false" ht="15" hidden="false" customHeight="false" outlineLevel="0" collapsed="false">
      <c r="A456" s="28" t="n">
        <f aca="false">IF(38&lt;=NW,SAT1+262,"")</f>
        <v>46280</v>
      </c>
      <c r="B456" s="29" t="str">
        <f aca="false">IF(A456="","",CHOOSE(WEEKDAY(A456,1),"الأحد","الاثنين","الثلاثاء","الأربعاء","الخميس","الجمعة","السبت"))</f>
        <v>الثلاثاء</v>
      </c>
      <c r="C456" s="30"/>
      <c r="D456" s="30"/>
      <c r="E456" s="31" t="str">
        <f aca="false">IF(OR(M456=0,K456="",L456=""),"",MOD(L456-K456,1))</f>
        <v/>
      </c>
      <c r="F456" s="31" t="str">
        <f aca="false">IF(OR(E456="",M456=0),"",IF(WEEKDAY(A456,1)=6,E456,MIN(E456,MAX(0,MIN(IF(L456&lt;K456,L456+1,L456),OMR_OT_AT)-K456))))</f>
        <v/>
      </c>
      <c r="G456" s="31" t="str">
        <f aca="false">IF(OR(E456="",M456=0),"",MAX(0,E456-F456))</f>
        <v/>
      </c>
      <c r="H456" s="32" t="str">
        <f aca="false">IF(OR(E456="",M456=0),"",ROUND((F456*$N$451+G456*$O$451)*24,3))</f>
        <v/>
      </c>
      <c r="I456" s="30"/>
      <c r="K456" s="33" t="str">
        <f aca="false">IF(OR(M456=0,C456=""),"",IF(ISNUMBER(C456),MOD(C456,1),IFERROR(INDEX(القوائم!$B$1:$B$288,MATCH(TRIM(C456),القوائم!$A$1:$A$288,0)),IFERROR(MOD(TIMEVALUE(C456),1),""))))</f>
        <v/>
      </c>
      <c r="L456" s="33" t="str">
        <f aca="false">IF(OR(M456=0,D456=""),"",IF(ISNUMBER(D456),MOD(D456,1),IFERROR(INDEX(القوائم!$B$1:$B$288,MATCH(TRIM(D456),القوائم!$A$1:$A$288,0)),IFERROR(MOD(TIMEVALUE(D456),1),""))))</f>
        <v/>
      </c>
      <c r="M456" s="25" t="n">
        <f aca="false">M451</f>
        <v>0</v>
      </c>
      <c r="Q456" s="25" t="n">
        <f aca="false">IF(N(G462)&gt;0,1,0)</f>
        <v>0</v>
      </c>
      <c r="S456" s="0" t="n">
        <v>38</v>
      </c>
    </row>
    <row r="457" customFormat="false" ht="15" hidden="false" customHeight="false" outlineLevel="0" collapsed="false">
      <c r="A457" s="28" t="n">
        <f aca="false">IF(38&lt;=NW,SAT1+263,"")</f>
        <v>46281</v>
      </c>
      <c r="B457" s="29" t="str">
        <f aca="false">IF(A457="","",CHOOSE(WEEKDAY(A457,1),"الأحد","الاثنين","الثلاثاء","الأربعاء","الخميس","الجمعة","السبت"))</f>
        <v>الأربعاء</v>
      </c>
      <c r="C457" s="30"/>
      <c r="D457" s="30"/>
      <c r="E457" s="31" t="str">
        <f aca="false">IF(OR(M457=0,K457="",L457=""),"",MOD(L457-K457,1))</f>
        <v/>
      </c>
      <c r="F457" s="31" t="str">
        <f aca="false">IF(OR(E457="",M457=0),"",IF(WEEKDAY(A457,1)=6,E457,MIN(E457,MAX(0,MIN(IF(L457&lt;K457,L457+1,L457),OMR_OT_AT)-K457))))</f>
        <v/>
      </c>
      <c r="G457" s="31" t="str">
        <f aca="false">IF(OR(E457="",M457=0),"",MAX(0,E457-F457))</f>
        <v/>
      </c>
      <c r="H457" s="32" t="str">
        <f aca="false">IF(OR(E457="",M457=0),"",ROUND((F457*$N$451+G457*$O$451)*24,3))</f>
        <v/>
      </c>
      <c r="I457" s="30"/>
      <c r="K457" s="33" t="str">
        <f aca="false">IF(OR(M457=0,C457=""),"",IF(ISNUMBER(C457),MOD(C457,1),IFERROR(INDEX(القوائم!$B$1:$B$288,MATCH(TRIM(C457),القوائم!$A$1:$A$288,0)),IFERROR(MOD(TIMEVALUE(C457),1),""))))</f>
        <v/>
      </c>
      <c r="L457" s="33" t="str">
        <f aca="false">IF(OR(M457=0,D457=""),"",IF(ISNUMBER(D457),MOD(D457,1),IFERROR(INDEX(القوائم!$B$1:$B$288,MATCH(TRIM(D457),القوائم!$A$1:$A$288,0)),IFERROR(MOD(TIMEVALUE(D457),1),""))))</f>
        <v/>
      </c>
      <c r="M457" s="25" t="n">
        <f aca="false">M451</f>
        <v>0</v>
      </c>
      <c r="Q457" s="25" t="n">
        <f aca="false">IF(N(G462)&gt;0,1,0)</f>
        <v>0</v>
      </c>
      <c r="S457" s="0" t="n">
        <v>38</v>
      </c>
    </row>
    <row r="458" customFormat="false" ht="15" hidden="false" customHeight="false" outlineLevel="0" collapsed="false">
      <c r="A458" s="28" t="n">
        <f aca="false">IF(38&lt;=NW,SAT1+264,"")</f>
        <v>46282</v>
      </c>
      <c r="B458" s="29" t="str">
        <f aca="false">IF(A458="","",CHOOSE(WEEKDAY(A458,1),"الأحد","الاثنين","الثلاثاء","الأربعاء","الخميس","الجمعة","السبت"))</f>
        <v>الخميس</v>
      </c>
      <c r="C458" s="30"/>
      <c r="D458" s="30"/>
      <c r="E458" s="31" t="str">
        <f aca="false">IF(OR(M458=0,K458="",L458=""),"",MOD(L458-K458,1))</f>
        <v/>
      </c>
      <c r="F458" s="31" t="str">
        <f aca="false">IF(OR(E458="",M458=0),"",IF(WEEKDAY(A458,1)=6,E458,MIN(E458,MAX(0,MIN(IF(L458&lt;K458,L458+1,L458),OMR_OT_AT)-K458))))</f>
        <v/>
      </c>
      <c r="G458" s="31" t="str">
        <f aca="false">IF(OR(E458="",M458=0),"",MAX(0,E458-F458))</f>
        <v/>
      </c>
      <c r="H458" s="32" t="str">
        <f aca="false">IF(OR(E458="",M458=0),"",ROUND((F458*$N$451+G458*$O$451)*24,3))</f>
        <v/>
      </c>
      <c r="I458" s="30"/>
      <c r="K458" s="33" t="str">
        <f aca="false">IF(OR(M458=0,C458=""),"",IF(ISNUMBER(C458),MOD(C458,1),IFERROR(INDEX(القوائم!$B$1:$B$288,MATCH(TRIM(C458),القوائم!$A$1:$A$288,0)),IFERROR(MOD(TIMEVALUE(C458),1),""))))</f>
        <v/>
      </c>
      <c r="L458" s="33" t="str">
        <f aca="false">IF(OR(M458=0,D458=""),"",IF(ISNUMBER(D458),MOD(D458,1),IFERROR(INDEX(القوائم!$B$1:$B$288,MATCH(TRIM(D458),القوائم!$A$1:$A$288,0)),IFERROR(MOD(TIMEVALUE(D458),1),""))))</f>
        <v/>
      </c>
      <c r="M458" s="25" t="n">
        <f aca="false">M451</f>
        <v>0</v>
      </c>
      <c r="Q458" s="25" t="n">
        <f aca="false">IF(N(G462)&gt;0,1,0)</f>
        <v>0</v>
      </c>
      <c r="S458" s="0" t="n">
        <v>38</v>
      </c>
    </row>
    <row r="459" customFormat="false" ht="15" hidden="false" customHeight="false" outlineLevel="0" collapsed="false">
      <c r="A459" s="34" t="n">
        <f aca="false">IF(38&lt;=NW,SAT1+265,"")</f>
        <v>46283</v>
      </c>
      <c r="B459" s="35" t="str">
        <f aca="false">IF(A459="","",CHOOSE(WEEKDAY(A459,1),"الأحد","الاثنين","الثلاثاء","الأربعاء","الخميس","الجمعة","السبت"))</f>
        <v>الجمعة</v>
      </c>
      <c r="C459" s="30"/>
      <c r="D459" s="30"/>
      <c r="E459" s="31" t="str">
        <f aca="false">IF(OR(M459=0,K459="",L459=""),"",MOD(L459-K459,1))</f>
        <v/>
      </c>
      <c r="F459" s="31" t="str">
        <f aca="false">IF(OR(E459="",M459=0),"",IF(WEEKDAY(A459,1)=6,E459,MIN(E459,MAX(0,MIN(IF(L459&lt;K459,L459+1,L459),OMR_OT_AT)-K459))))</f>
        <v/>
      </c>
      <c r="G459" s="31" t="str">
        <f aca="false">IF(OR(E459="",M459=0),"",MAX(0,E459-F459))</f>
        <v/>
      </c>
      <c r="H459" s="32" t="str">
        <f aca="false">IF(OR(E459="",M459=0),"",ROUND((F459*$N$451+G459*$O$451)*24,3))</f>
        <v/>
      </c>
      <c r="I459" s="30"/>
      <c r="K459" s="33" t="str">
        <f aca="false">IF(OR(M459=0,C459=""),"",IF(ISNUMBER(C459),MOD(C459,1),IFERROR(INDEX(القوائم!$B$1:$B$288,MATCH(TRIM(C459),القوائم!$A$1:$A$288,0)),IFERROR(MOD(TIMEVALUE(C459),1),""))))</f>
        <v/>
      </c>
      <c r="L459" s="33" t="str">
        <f aca="false">IF(OR(M459=0,D459=""),"",IF(ISNUMBER(D459),MOD(D459,1),IFERROR(INDEX(القوائم!$B$1:$B$288,MATCH(TRIM(D459),القوائم!$A$1:$A$288,0)),IFERROR(MOD(TIMEVALUE(D459),1),""))))</f>
        <v/>
      </c>
      <c r="M459" s="25" t="n">
        <f aca="false">M451</f>
        <v>0</v>
      </c>
      <c r="Q459" s="25" t="n">
        <f aca="false">IF(N(G462)&gt;0,1,0)</f>
        <v>0</v>
      </c>
      <c r="S459" s="0" t="n">
        <v>38</v>
      </c>
    </row>
    <row r="460" customFormat="false" ht="15" hidden="false" customHeight="false" outlineLevel="0" collapsed="false">
      <c r="A460" s="36" t="str">
        <f aca="false">IF(M451=1,"مجموع أيام الأسبوع 38","")</f>
        <v/>
      </c>
      <c r="B460" s="36"/>
      <c r="C460" s="36"/>
      <c r="D460" s="36"/>
      <c r="E460" s="37" t="str">
        <f aca="false">IF(M451=1,SUM(E453:E459),"")</f>
        <v/>
      </c>
      <c r="F460" s="37" t="str">
        <f aca="false">IF(M451=1,SUM(F453:F459),"")</f>
        <v/>
      </c>
      <c r="G460" s="37" t="str">
        <f aca="false">IF(M451=1,SUM(G453:G459),"")</f>
        <v/>
      </c>
      <c r="H460" s="38" t="str">
        <f aca="false">IF(M451=1,SUM(H453:H459),"")</f>
        <v/>
      </c>
      <c r="I460" s="36"/>
      <c r="S460" s="0" t="n">
        <v>38</v>
      </c>
    </row>
    <row r="461" customFormat="false" ht="31.5" hidden="false" customHeight="true" outlineLevel="0" collapsed="false">
      <c r="A461" s="39" t="str">
        <f aca="false">IF(M451=1,"ساعات تحميل الجبسمبورد بهالأسبوع (رقم: 2 أو 1.5) ←","")</f>
        <v/>
      </c>
      <c r="B461" s="39"/>
      <c r="C461" s="39"/>
      <c r="D461" s="39"/>
      <c r="E461" s="40"/>
      <c r="F461" s="41" t="str">
        <f aca="false">IF(M451=1,"المستحق النهائي للأسبوع مع الإكرامية (دينار) ←","")</f>
        <v/>
      </c>
      <c r="G461" s="41"/>
      <c r="H461" s="42" t="str">
        <f aca="false">IF(M451=1,IF(ROUND_MODE="للأعلى",CEILING(ROUND((N(H460)+N(E461)*($P$451-$N$451)),3),0.25),ROUND((N(H460)+N(E461)*($P$451-$N$451))*4,0)/4)+N(D462),"")</f>
        <v/>
      </c>
      <c r="I461" s="43" t="str">
        <f aca="false">IF(M451=1,"قبل الجبر: "&amp;TEXT(N(H460)+N(E461)*($P$451-$N$451),"0.000")&amp;IF(N(D462)&gt;0," + إكرامية "&amp;TEXT(D462,"0.000"),""),"")</f>
        <v/>
      </c>
      <c r="S461" s="0" t="n">
        <v>38</v>
      </c>
    </row>
    <row r="462" customFormat="false" ht="25.5" hidden="false" customHeight="true" outlineLevel="0" collapsed="false">
      <c r="A462" s="39" t="str">
        <f aca="false">IF(M451=1,"إكرامية الأسبوع (دينار) ←","")</f>
        <v/>
      </c>
      <c r="B462" s="39"/>
      <c r="C462" s="39"/>
      <c r="D462" s="44"/>
      <c r="E462" s="39" t="str">
        <f aca="false">IF(M451=1,"المدفوع (دينار) ←","")</f>
        <v/>
      </c>
      <c r="F462" s="39"/>
      <c r="G462" s="44"/>
      <c r="H462" s="45" t="str">
        <f aca="false">IF(M451=1,IF(N(G462)&gt;0,"✔ انقبض — الأسبوع مقفول","⏳ لسا ما انقبض"),"")</f>
        <v/>
      </c>
      <c r="I462" s="45"/>
      <c r="S462" s="0" t="n">
        <v>38</v>
      </c>
    </row>
    <row r="463" customFormat="false" ht="27.75" hidden="false" customHeight="true" outlineLevel="0" collapsed="false">
      <c r="A463" s="23" t="str">
        <f aca="false">IF(39&lt;=NW,"من السبت "&amp;TEXT(DAY(SAT1+266),"00")&amp;"/"&amp;TEXT(MONTH(SAT1+266),"00")&amp;"/"&amp;YEAR(SAT1+266)&amp;" إلى الجمعة "&amp;TEXT(DAY(SAT1+272),"00")&amp;"/"&amp;TEXT(MONTH(SAT1+272),"00")&amp;"/"&amp;YEAR(SAT1+272)&amp;" · الأسبوع 39"&amp;"  (يوم القبض: الجمعة)"&amp;IF(39&lt;START_O,"   — قبل أسبوع البداية (ما بينحسب)",""),"ما في أسبوع 39 هالسنة")</f>
        <v>من السبت 19/09/2026 إلى الجمعة 25/09/2026 · الأسبوع 39  (يوم القبض: الجمعة)   — قبل أسبوع البداية (ما بينحسب)</v>
      </c>
      <c r="B463" s="23"/>
      <c r="C463" s="23"/>
      <c r="D463" s="23"/>
      <c r="E463" s="23"/>
      <c r="F463" s="23"/>
      <c r="G463" s="23"/>
      <c r="H463" s="23"/>
      <c r="I463" s="23"/>
      <c r="L463" s="24" t="n">
        <f aca="false">IF(39&lt;=NW,SAT1+272,"")</f>
        <v>46290</v>
      </c>
      <c r="M463" s="25" t="n">
        <f aca="false">IF(AND(39&lt;=NW,39&gt;=START_O),1,0)</f>
        <v>0</v>
      </c>
      <c r="N463" s="26" t="n">
        <f aca="false">IFERROR(INDEX(RT_OMR,MATCH(L463,RT_K,1)),INDEX(RT_OMR,1))</f>
        <v>1.25</v>
      </c>
      <c r="O463" s="26" t="n">
        <f aca="false">IFERROR(INDEX(RT_OT,MATCH(L463,RT_K,1)),INDEX(RT_OT,1))</f>
        <v>1.5</v>
      </c>
      <c r="P463" s="26" t="n">
        <f aca="false">IFERROR(INDEX(RT_GYP,MATCH(L463,RT_K,1)),INDEX(RT_GYP,1))</f>
        <v>2.5</v>
      </c>
      <c r="R463" s="0" t="n">
        <v>39</v>
      </c>
      <c r="S463" s="0" t="n">
        <v>39</v>
      </c>
    </row>
    <row r="464" customFormat="false" ht="25.5" hidden="false" customHeight="true" outlineLevel="0" collapsed="false">
      <c r="A464" s="27" t="s">
        <v>22</v>
      </c>
      <c r="B464" s="27" t="s">
        <v>23</v>
      </c>
      <c r="C464" s="27" t="s">
        <v>24</v>
      </c>
      <c r="D464" s="27" t="s">
        <v>25</v>
      </c>
      <c r="E464" s="27" t="s">
        <v>26</v>
      </c>
      <c r="F464" s="27" t="s">
        <v>27</v>
      </c>
      <c r="G464" s="27" t="s">
        <v>28</v>
      </c>
      <c r="H464" s="27" t="s">
        <v>29</v>
      </c>
      <c r="I464" s="27" t="s">
        <v>30</v>
      </c>
      <c r="S464" s="0" t="n">
        <v>39</v>
      </c>
    </row>
    <row r="465" customFormat="false" ht="15" hidden="false" customHeight="false" outlineLevel="0" collapsed="false">
      <c r="A465" s="28" t="n">
        <f aca="false">IF(39&lt;=NW,SAT1+266,"")</f>
        <v>46284</v>
      </c>
      <c r="B465" s="29" t="str">
        <f aca="false">IF(A465="","",CHOOSE(WEEKDAY(A465,1),"الأحد","الاثنين","الثلاثاء","الأربعاء","الخميس","الجمعة","السبت"))</f>
        <v>السبت</v>
      </c>
      <c r="C465" s="30"/>
      <c r="D465" s="30"/>
      <c r="E465" s="31" t="str">
        <f aca="false">IF(OR(M465=0,K465="",L465=""),"",MOD(L465-K465,1))</f>
        <v/>
      </c>
      <c r="F465" s="31" t="str">
        <f aca="false">IF(OR(E465="",M465=0),"",IF(WEEKDAY(A465,1)=6,E465,MIN(E465,MAX(0,MIN(IF(L465&lt;K465,L465+1,L465),OMR_OT_AT)-K465))))</f>
        <v/>
      </c>
      <c r="G465" s="31" t="str">
        <f aca="false">IF(OR(E465="",M465=0),"",MAX(0,E465-F465))</f>
        <v/>
      </c>
      <c r="H465" s="32" t="str">
        <f aca="false">IF(OR(E465="",M465=0),"",ROUND((F465*$N$463+G465*$O$463)*24,3))</f>
        <v/>
      </c>
      <c r="I465" s="30"/>
      <c r="K465" s="33" t="str">
        <f aca="false">IF(OR(M465=0,C465=""),"",IF(ISNUMBER(C465),MOD(C465,1),IFERROR(INDEX(القوائم!$B$1:$B$288,MATCH(TRIM(C465),القوائم!$A$1:$A$288,0)),IFERROR(MOD(TIMEVALUE(C465),1),""))))</f>
        <v/>
      </c>
      <c r="L465" s="33" t="str">
        <f aca="false">IF(OR(M465=0,D465=""),"",IF(ISNUMBER(D465),MOD(D465,1),IFERROR(INDEX(القوائم!$B$1:$B$288,MATCH(TRIM(D465),القوائم!$A$1:$A$288,0)),IFERROR(MOD(TIMEVALUE(D465),1),""))))</f>
        <v/>
      </c>
      <c r="M465" s="25" t="n">
        <f aca="false">M463</f>
        <v>0</v>
      </c>
      <c r="Q465" s="25" t="n">
        <f aca="false">IF(N(G474)&gt;0,1,0)</f>
        <v>0</v>
      </c>
      <c r="S465" s="0" t="n">
        <v>39</v>
      </c>
    </row>
    <row r="466" customFormat="false" ht="15" hidden="false" customHeight="false" outlineLevel="0" collapsed="false">
      <c r="A466" s="28" t="n">
        <f aca="false">IF(39&lt;=NW,SAT1+267,"")</f>
        <v>46285</v>
      </c>
      <c r="B466" s="29" t="str">
        <f aca="false">IF(A466="","",CHOOSE(WEEKDAY(A466,1),"الأحد","الاثنين","الثلاثاء","الأربعاء","الخميس","الجمعة","السبت"))</f>
        <v>الأحد</v>
      </c>
      <c r="C466" s="30"/>
      <c r="D466" s="30"/>
      <c r="E466" s="31" t="str">
        <f aca="false">IF(OR(M466=0,K466="",L466=""),"",MOD(L466-K466,1))</f>
        <v/>
      </c>
      <c r="F466" s="31" t="str">
        <f aca="false">IF(OR(E466="",M466=0),"",IF(WEEKDAY(A466,1)=6,E466,MIN(E466,MAX(0,MIN(IF(L466&lt;K466,L466+1,L466),OMR_OT_AT)-K466))))</f>
        <v/>
      </c>
      <c r="G466" s="31" t="str">
        <f aca="false">IF(OR(E466="",M466=0),"",MAX(0,E466-F466))</f>
        <v/>
      </c>
      <c r="H466" s="32" t="str">
        <f aca="false">IF(OR(E466="",M466=0),"",ROUND((F466*$N$463+G466*$O$463)*24,3))</f>
        <v/>
      </c>
      <c r="I466" s="30"/>
      <c r="K466" s="33" t="str">
        <f aca="false">IF(OR(M466=0,C466=""),"",IF(ISNUMBER(C466),MOD(C466,1),IFERROR(INDEX(القوائم!$B$1:$B$288,MATCH(TRIM(C466),القوائم!$A$1:$A$288,0)),IFERROR(MOD(TIMEVALUE(C466),1),""))))</f>
        <v/>
      </c>
      <c r="L466" s="33" t="str">
        <f aca="false">IF(OR(M466=0,D466=""),"",IF(ISNUMBER(D466),MOD(D466,1),IFERROR(INDEX(القوائم!$B$1:$B$288,MATCH(TRIM(D466),القوائم!$A$1:$A$288,0)),IFERROR(MOD(TIMEVALUE(D466),1),""))))</f>
        <v/>
      </c>
      <c r="M466" s="25" t="n">
        <f aca="false">M463</f>
        <v>0</v>
      </c>
      <c r="Q466" s="25" t="n">
        <f aca="false">IF(N(G474)&gt;0,1,0)</f>
        <v>0</v>
      </c>
      <c r="S466" s="0" t="n">
        <v>39</v>
      </c>
    </row>
    <row r="467" customFormat="false" ht="15" hidden="false" customHeight="false" outlineLevel="0" collapsed="false">
      <c r="A467" s="28" t="n">
        <f aca="false">IF(39&lt;=NW,SAT1+268,"")</f>
        <v>46286</v>
      </c>
      <c r="B467" s="29" t="str">
        <f aca="false">IF(A467="","",CHOOSE(WEEKDAY(A467,1),"الأحد","الاثنين","الثلاثاء","الأربعاء","الخميس","الجمعة","السبت"))</f>
        <v>الاثنين</v>
      </c>
      <c r="C467" s="30"/>
      <c r="D467" s="30"/>
      <c r="E467" s="31" t="str">
        <f aca="false">IF(OR(M467=0,K467="",L467=""),"",MOD(L467-K467,1))</f>
        <v/>
      </c>
      <c r="F467" s="31" t="str">
        <f aca="false">IF(OR(E467="",M467=0),"",IF(WEEKDAY(A467,1)=6,E467,MIN(E467,MAX(0,MIN(IF(L467&lt;K467,L467+1,L467),OMR_OT_AT)-K467))))</f>
        <v/>
      </c>
      <c r="G467" s="31" t="str">
        <f aca="false">IF(OR(E467="",M467=0),"",MAX(0,E467-F467))</f>
        <v/>
      </c>
      <c r="H467" s="32" t="str">
        <f aca="false">IF(OR(E467="",M467=0),"",ROUND((F467*$N$463+G467*$O$463)*24,3))</f>
        <v/>
      </c>
      <c r="I467" s="30"/>
      <c r="K467" s="33" t="str">
        <f aca="false">IF(OR(M467=0,C467=""),"",IF(ISNUMBER(C467),MOD(C467,1),IFERROR(INDEX(القوائم!$B$1:$B$288,MATCH(TRIM(C467),القوائم!$A$1:$A$288,0)),IFERROR(MOD(TIMEVALUE(C467),1),""))))</f>
        <v/>
      </c>
      <c r="L467" s="33" t="str">
        <f aca="false">IF(OR(M467=0,D467=""),"",IF(ISNUMBER(D467),MOD(D467,1),IFERROR(INDEX(القوائم!$B$1:$B$288,MATCH(TRIM(D467),القوائم!$A$1:$A$288,0)),IFERROR(MOD(TIMEVALUE(D467),1),""))))</f>
        <v/>
      </c>
      <c r="M467" s="25" t="n">
        <f aca="false">M463</f>
        <v>0</v>
      </c>
      <c r="Q467" s="25" t="n">
        <f aca="false">IF(N(G474)&gt;0,1,0)</f>
        <v>0</v>
      </c>
      <c r="S467" s="0" t="n">
        <v>39</v>
      </c>
    </row>
    <row r="468" customFormat="false" ht="15" hidden="false" customHeight="false" outlineLevel="0" collapsed="false">
      <c r="A468" s="28" t="n">
        <f aca="false">IF(39&lt;=NW,SAT1+269,"")</f>
        <v>46287</v>
      </c>
      <c r="B468" s="29" t="str">
        <f aca="false">IF(A468="","",CHOOSE(WEEKDAY(A468,1),"الأحد","الاثنين","الثلاثاء","الأربعاء","الخميس","الجمعة","السبت"))</f>
        <v>الثلاثاء</v>
      </c>
      <c r="C468" s="30"/>
      <c r="D468" s="30"/>
      <c r="E468" s="31" t="str">
        <f aca="false">IF(OR(M468=0,K468="",L468=""),"",MOD(L468-K468,1))</f>
        <v/>
      </c>
      <c r="F468" s="31" t="str">
        <f aca="false">IF(OR(E468="",M468=0),"",IF(WEEKDAY(A468,1)=6,E468,MIN(E468,MAX(0,MIN(IF(L468&lt;K468,L468+1,L468),OMR_OT_AT)-K468))))</f>
        <v/>
      </c>
      <c r="G468" s="31" t="str">
        <f aca="false">IF(OR(E468="",M468=0),"",MAX(0,E468-F468))</f>
        <v/>
      </c>
      <c r="H468" s="32" t="str">
        <f aca="false">IF(OR(E468="",M468=0),"",ROUND((F468*$N$463+G468*$O$463)*24,3))</f>
        <v/>
      </c>
      <c r="I468" s="30"/>
      <c r="K468" s="33" t="str">
        <f aca="false">IF(OR(M468=0,C468=""),"",IF(ISNUMBER(C468),MOD(C468,1),IFERROR(INDEX(القوائم!$B$1:$B$288,MATCH(TRIM(C468),القوائم!$A$1:$A$288,0)),IFERROR(MOD(TIMEVALUE(C468),1),""))))</f>
        <v/>
      </c>
      <c r="L468" s="33" t="str">
        <f aca="false">IF(OR(M468=0,D468=""),"",IF(ISNUMBER(D468),MOD(D468,1),IFERROR(INDEX(القوائم!$B$1:$B$288,MATCH(TRIM(D468),القوائم!$A$1:$A$288,0)),IFERROR(MOD(TIMEVALUE(D468),1),""))))</f>
        <v/>
      </c>
      <c r="M468" s="25" t="n">
        <f aca="false">M463</f>
        <v>0</v>
      </c>
      <c r="Q468" s="25" t="n">
        <f aca="false">IF(N(G474)&gt;0,1,0)</f>
        <v>0</v>
      </c>
      <c r="S468" s="0" t="n">
        <v>39</v>
      </c>
    </row>
    <row r="469" customFormat="false" ht="15" hidden="false" customHeight="false" outlineLevel="0" collapsed="false">
      <c r="A469" s="28" t="n">
        <f aca="false">IF(39&lt;=NW,SAT1+270,"")</f>
        <v>46288</v>
      </c>
      <c r="B469" s="29" t="str">
        <f aca="false">IF(A469="","",CHOOSE(WEEKDAY(A469,1),"الأحد","الاثنين","الثلاثاء","الأربعاء","الخميس","الجمعة","السبت"))</f>
        <v>الأربعاء</v>
      </c>
      <c r="C469" s="30"/>
      <c r="D469" s="30"/>
      <c r="E469" s="31" t="str">
        <f aca="false">IF(OR(M469=0,K469="",L469=""),"",MOD(L469-K469,1))</f>
        <v/>
      </c>
      <c r="F469" s="31" t="str">
        <f aca="false">IF(OR(E469="",M469=0),"",IF(WEEKDAY(A469,1)=6,E469,MIN(E469,MAX(0,MIN(IF(L469&lt;K469,L469+1,L469),OMR_OT_AT)-K469))))</f>
        <v/>
      </c>
      <c r="G469" s="31" t="str">
        <f aca="false">IF(OR(E469="",M469=0),"",MAX(0,E469-F469))</f>
        <v/>
      </c>
      <c r="H469" s="32" t="str">
        <f aca="false">IF(OR(E469="",M469=0),"",ROUND((F469*$N$463+G469*$O$463)*24,3))</f>
        <v/>
      </c>
      <c r="I469" s="30"/>
      <c r="K469" s="33" t="str">
        <f aca="false">IF(OR(M469=0,C469=""),"",IF(ISNUMBER(C469),MOD(C469,1),IFERROR(INDEX(القوائم!$B$1:$B$288,MATCH(TRIM(C469),القوائم!$A$1:$A$288,0)),IFERROR(MOD(TIMEVALUE(C469),1),""))))</f>
        <v/>
      </c>
      <c r="L469" s="33" t="str">
        <f aca="false">IF(OR(M469=0,D469=""),"",IF(ISNUMBER(D469),MOD(D469,1),IFERROR(INDEX(القوائم!$B$1:$B$288,MATCH(TRIM(D469),القوائم!$A$1:$A$288,0)),IFERROR(MOD(TIMEVALUE(D469),1),""))))</f>
        <v/>
      </c>
      <c r="M469" s="25" t="n">
        <f aca="false">M463</f>
        <v>0</v>
      </c>
      <c r="Q469" s="25" t="n">
        <f aca="false">IF(N(G474)&gt;0,1,0)</f>
        <v>0</v>
      </c>
      <c r="S469" s="0" t="n">
        <v>39</v>
      </c>
    </row>
    <row r="470" customFormat="false" ht="15" hidden="false" customHeight="false" outlineLevel="0" collapsed="false">
      <c r="A470" s="28" t="n">
        <f aca="false">IF(39&lt;=NW,SAT1+271,"")</f>
        <v>46289</v>
      </c>
      <c r="B470" s="29" t="str">
        <f aca="false">IF(A470="","",CHOOSE(WEEKDAY(A470,1),"الأحد","الاثنين","الثلاثاء","الأربعاء","الخميس","الجمعة","السبت"))</f>
        <v>الخميس</v>
      </c>
      <c r="C470" s="30"/>
      <c r="D470" s="30"/>
      <c r="E470" s="31" t="str">
        <f aca="false">IF(OR(M470=0,K470="",L470=""),"",MOD(L470-K470,1))</f>
        <v/>
      </c>
      <c r="F470" s="31" t="str">
        <f aca="false">IF(OR(E470="",M470=0),"",IF(WEEKDAY(A470,1)=6,E470,MIN(E470,MAX(0,MIN(IF(L470&lt;K470,L470+1,L470),OMR_OT_AT)-K470))))</f>
        <v/>
      </c>
      <c r="G470" s="31" t="str">
        <f aca="false">IF(OR(E470="",M470=0),"",MAX(0,E470-F470))</f>
        <v/>
      </c>
      <c r="H470" s="32" t="str">
        <f aca="false">IF(OR(E470="",M470=0),"",ROUND((F470*$N$463+G470*$O$463)*24,3))</f>
        <v/>
      </c>
      <c r="I470" s="30"/>
      <c r="K470" s="33" t="str">
        <f aca="false">IF(OR(M470=0,C470=""),"",IF(ISNUMBER(C470),MOD(C470,1),IFERROR(INDEX(القوائم!$B$1:$B$288,MATCH(TRIM(C470),القوائم!$A$1:$A$288,0)),IFERROR(MOD(TIMEVALUE(C470),1),""))))</f>
        <v/>
      </c>
      <c r="L470" s="33" t="str">
        <f aca="false">IF(OR(M470=0,D470=""),"",IF(ISNUMBER(D470),MOD(D470,1),IFERROR(INDEX(القوائم!$B$1:$B$288,MATCH(TRIM(D470),القوائم!$A$1:$A$288,0)),IFERROR(MOD(TIMEVALUE(D470),1),""))))</f>
        <v/>
      </c>
      <c r="M470" s="25" t="n">
        <f aca="false">M463</f>
        <v>0</v>
      </c>
      <c r="Q470" s="25" t="n">
        <f aca="false">IF(N(G474)&gt;0,1,0)</f>
        <v>0</v>
      </c>
      <c r="S470" s="0" t="n">
        <v>39</v>
      </c>
    </row>
    <row r="471" customFormat="false" ht="15" hidden="false" customHeight="false" outlineLevel="0" collapsed="false">
      <c r="A471" s="34" t="n">
        <f aca="false">IF(39&lt;=NW,SAT1+272,"")</f>
        <v>46290</v>
      </c>
      <c r="B471" s="35" t="str">
        <f aca="false">IF(A471="","",CHOOSE(WEEKDAY(A471,1),"الأحد","الاثنين","الثلاثاء","الأربعاء","الخميس","الجمعة","السبت"))</f>
        <v>الجمعة</v>
      </c>
      <c r="C471" s="30"/>
      <c r="D471" s="30"/>
      <c r="E471" s="31" t="str">
        <f aca="false">IF(OR(M471=0,K471="",L471=""),"",MOD(L471-K471,1))</f>
        <v/>
      </c>
      <c r="F471" s="31" t="str">
        <f aca="false">IF(OR(E471="",M471=0),"",IF(WEEKDAY(A471,1)=6,E471,MIN(E471,MAX(0,MIN(IF(L471&lt;K471,L471+1,L471),OMR_OT_AT)-K471))))</f>
        <v/>
      </c>
      <c r="G471" s="31" t="str">
        <f aca="false">IF(OR(E471="",M471=0),"",MAX(0,E471-F471))</f>
        <v/>
      </c>
      <c r="H471" s="32" t="str">
        <f aca="false">IF(OR(E471="",M471=0),"",ROUND((F471*$N$463+G471*$O$463)*24,3))</f>
        <v/>
      </c>
      <c r="I471" s="30"/>
      <c r="K471" s="33" t="str">
        <f aca="false">IF(OR(M471=0,C471=""),"",IF(ISNUMBER(C471),MOD(C471,1),IFERROR(INDEX(القوائم!$B$1:$B$288,MATCH(TRIM(C471),القوائم!$A$1:$A$288,0)),IFERROR(MOD(TIMEVALUE(C471),1),""))))</f>
        <v/>
      </c>
      <c r="L471" s="33" t="str">
        <f aca="false">IF(OR(M471=0,D471=""),"",IF(ISNUMBER(D471),MOD(D471,1),IFERROR(INDEX(القوائم!$B$1:$B$288,MATCH(TRIM(D471),القوائم!$A$1:$A$288,0)),IFERROR(MOD(TIMEVALUE(D471),1),""))))</f>
        <v/>
      </c>
      <c r="M471" s="25" t="n">
        <f aca="false">M463</f>
        <v>0</v>
      </c>
      <c r="Q471" s="25" t="n">
        <f aca="false">IF(N(G474)&gt;0,1,0)</f>
        <v>0</v>
      </c>
      <c r="S471" s="0" t="n">
        <v>39</v>
      </c>
    </row>
    <row r="472" customFormat="false" ht="15" hidden="false" customHeight="false" outlineLevel="0" collapsed="false">
      <c r="A472" s="36" t="str">
        <f aca="false">IF(M463=1,"مجموع أيام الأسبوع 39","")</f>
        <v/>
      </c>
      <c r="B472" s="36"/>
      <c r="C472" s="36"/>
      <c r="D472" s="36"/>
      <c r="E472" s="37" t="str">
        <f aca="false">IF(M463=1,SUM(E465:E471),"")</f>
        <v/>
      </c>
      <c r="F472" s="37" t="str">
        <f aca="false">IF(M463=1,SUM(F465:F471),"")</f>
        <v/>
      </c>
      <c r="G472" s="37" t="str">
        <f aca="false">IF(M463=1,SUM(G465:G471),"")</f>
        <v/>
      </c>
      <c r="H472" s="38" t="str">
        <f aca="false">IF(M463=1,SUM(H465:H471),"")</f>
        <v/>
      </c>
      <c r="I472" s="36"/>
      <c r="S472" s="0" t="n">
        <v>39</v>
      </c>
    </row>
    <row r="473" customFormat="false" ht="31.5" hidden="false" customHeight="true" outlineLevel="0" collapsed="false">
      <c r="A473" s="39" t="str">
        <f aca="false">IF(M463=1,"ساعات تحميل الجبسمبورد بهالأسبوع (رقم: 2 أو 1.5) ←","")</f>
        <v/>
      </c>
      <c r="B473" s="39"/>
      <c r="C473" s="39"/>
      <c r="D473" s="39"/>
      <c r="E473" s="40"/>
      <c r="F473" s="41" t="str">
        <f aca="false">IF(M463=1,"المستحق النهائي للأسبوع مع الإكرامية (دينار) ←","")</f>
        <v/>
      </c>
      <c r="G473" s="41"/>
      <c r="H473" s="42" t="str">
        <f aca="false">IF(M463=1,IF(ROUND_MODE="للأعلى",CEILING(ROUND((N(H472)+N(E473)*($P$463-$N$463)),3),0.25),ROUND((N(H472)+N(E473)*($P$463-$N$463))*4,0)/4)+N(D474),"")</f>
        <v/>
      </c>
      <c r="I473" s="43" t="str">
        <f aca="false">IF(M463=1,"قبل الجبر: "&amp;TEXT(N(H472)+N(E473)*($P$463-$N$463),"0.000")&amp;IF(N(D474)&gt;0," + إكرامية "&amp;TEXT(D474,"0.000"),""),"")</f>
        <v/>
      </c>
      <c r="S473" s="0" t="n">
        <v>39</v>
      </c>
    </row>
    <row r="474" customFormat="false" ht="25.5" hidden="false" customHeight="true" outlineLevel="0" collapsed="false">
      <c r="A474" s="39" t="str">
        <f aca="false">IF(M463=1,"إكرامية الأسبوع (دينار) ←","")</f>
        <v/>
      </c>
      <c r="B474" s="39"/>
      <c r="C474" s="39"/>
      <c r="D474" s="44"/>
      <c r="E474" s="39" t="str">
        <f aca="false">IF(M463=1,"المدفوع (دينار) ←","")</f>
        <v/>
      </c>
      <c r="F474" s="39"/>
      <c r="G474" s="44"/>
      <c r="H474" s="45" t="str">
        <f aca="false">IF(M463=1,IF(N(G474)&gt;0,"✔ انقبض — الأسبوع مقفول","⏳ لسا ما انقبض"),"")</f>
        <v/>
      </c>
      <c r="I474" s="45"/>
      <c r="S474" s="0" t="n">
        <v>39</v>
      </c>
    </row>
    <row r="475" customFormat="false" ht="27.75" hidden="false" customHeight="true" outlineLevel="0" collapsed="false">
      <c r="A475" s="23" t="str">
        <f aca="false">IF(40&lt;=NW,"من السبت "&amp;TEXT(DAY(SAT1+273),"00")&amp;"/"&amp;TEXT(MONTH(SAT1+273),"00")&amp;"/"&amp;YEAR(SAT1+273)&amp;" إلى الجمعة "&amp;TEXT(DAY(SAT1+279),"00")&amp;"/"&amp;TEXT(MONTH(SAT1+279),"00")&amp;"/"&amp;YEAR(SAT1+279)&amp;" · الأسبوع 40"&amp;"  (يوم القبض: الجمعة)"&amp;IF(40&lt;START_O,"   — قبل أسبوع البداية (ما بينحسب)",""),"ما في أسبوع 40 هالسنة")</f>
        <v>من السبت 26/09/2026 إلى الجمعة 02/10/2026 · الأسبوع 40  (يوم القبض: الجمعة)</v>
      </c>
      <c r="B475" s="23"/>
      <c r="C475" s="23"/>
      <c r="D475" s="23"/>
      <c r="E475" s="23"/>
      <c r="F475" s="23"/>
      <c r="G475" s="23"/>
      <c r="H475" s="23"/>
      <c r="I475" s="23"/>
      <c r="L475" s="24" t="n">
        <f aca="false">IF(40&lt;=NW,SAT1+279,"")</f>
        <v>46297</v>
      </c>
      <c r="M475" s="25" t="n">
        <f aca="false">IF(AND(40&lt;=NW,40&gt;=START_O),1,0)</f>
        <v>1</v>
      </c>
      <c r="N475" s="26" t="n">
        <f aca="false">IFERROR(INDEX(RT_OMR,MATCH(L475,RT_K,1)),INDEX(RT_OMR,1))</f>
        <v>1.25</v>
      </c>
      <c r="O475" s="26" t="n">
        <f aca="false">IFERROR(INDEX(RT_OT,MATCH(L475,RT_K,1)),INDEX(RT_OT,1))</f>
        <v>1.5</v>
      </c>
      <c r="P475" s="26" t="n">
        <f aca="false">IFERROR(INDEX(RT_GYP,MATCH(L475,RT_K,1)),INDEX(RT_GYP,1))</f>
        <v>2.5</v>
      </c>
      <c r="R475" s="0" t="n">
        <v>40</v>
      </c>
      <c r="S475" s="0" t="n">
        <v>40</v>
      </c>
    </row>
    <row r="476" customFormat="false" ht="25.5" hidden="false" customHeight="true" outlineLevel="0" collapsed="false">
      <c r="A476" s="27" t="s">
        <v>22</v>
      </c>
      <c r="B476" s="27" t="s">
        <v>23</v>
      </c>
      <c r="C476" s="27" t="s">
        <v>24</v>
      </c>
      <c r="D476" s="27" t="s">
        <v>25</v>
      </c>
      <c r="E476" s="27" t="s">
        <v>26</v>
      </c>
      <c r="F476" s="27" t="s">
        <v>27</v>
      </c>
      <c r="G476" s="27" t="s">
        <v>28</v>
      </c>
      <c r="H476" s="27" t="s">
        <v>29</v>
      </c>
      <c r="I476" s="27" t="s">
        <v>30</v>
      </c>
      <c r="S476" s="0" t="n">
        <v>40</v>
      </c>
    </row>
    <row r="477" customFormat="false" ht="15" hidden="false" customHeight="false" outlineLevel="0" collapsed="false">
      <c r="A477" s="28" t="n">
        <f aca="false">IF(40&lt;=NW,SAT1+273,"")</f>
        <v>46291</v>
      </c>
      <c r="B477" s="29" t="str">
        <f aca="false">IF(A477="","",CHOOSE(WEEKDAY(A477,1),"الأحد","الاثنين","الثلاثاء","الأربعاء","الخميس","الجمعة","السبت"))</f>
        <v>السبت</v>
      </c>
      <c r="C477" s="30"/>
      <c r="D477" s="30"/>
      <c r="E477" s="31" t="str">
        <f aca="false">IF(OR(M477=0,K477="",L477=""),"",MOD(L477-K477,1))</f>
        <v/>
      </c>
      <c r="F477" s="31" t="str">
        <f aca="false">IF(OR(E477="",M477=0),"",IF(WEEKDAY(A477,1)=6,E477,MIN(E477,MAX(0,MIN(IF(L477&lt;K477,L477+1,L477),OMR_OT_AT)-K477))))</f>
        <v/>
      </c>
      <c r="G477" s="31" t="str">
        <f aca="false">IF(OR(E477="",M477=0),"",MAX(0,E477-F477))</f>
        <v/>
      </c>
      <c r="H477" s="32" t="str">
        <f aca="false">IF(OR(E477="",M477=0),"",ROUND((F477*$N$475+G477*$O$475)*24,3))</f>
        <v/>
      </c>
      <c r="I477" s="30"/>
      <c r="K477" s="33" t="str">
        <f aca="false">IF(OR(M477=0,C477=""),"",IF(ISNUMBER(C477),MOD(C477,1),IFERROR(INDEX(القوائم!$B$1:$B$288,MATCH(TRIM(C477),القوائم!$A$1:$A$288,0)),IFERROR(MOD(TIMEVALUE(C477),1),""))))</f>
        <v/>
      </c>
      <c r="L477" s="33" t="str">
        <f aca="false">IF(OR(M477=0,D477=""),"",IF(ISNUMBER(D477),MOD(D477,1),IFERROR(INDEX(القوائم!$B$1:$B$288,MATCH(TRIM(D477),القوائم!$A$1:$A$288,0)),IFERROR(MOD(TIMEVALUE(D477),1),""))))</f>
        <v/>
      </c>
      <c r="M477" s="25" t="n">
        <f aca="false">M475</f>
        <v>1</v>
      </c>
      <c r="Q477" s="25" t="n">
        <f aca="false">IF(N(G486)&gt;0,1,0)</f>
        <v>0</v>
      </c>
      <c r="S477" s="0" t="n">
        <v>40</v>
      </c>
    </row>
    <row r="478" customFormat="false" ht="15" hidden="false" customHeight="false" outlineLevel="0" collapsed="false">
      <c r="A478" s="28" t="n">
        <f aca="false">IF(40&lt;=NW,SAT1+274,"")</f>
        <v>46292</v>
      </c>
      <c r="B478" s="29" t="str">
        <f aca="false">IF(A478="","",CHOOSE(WEEKDAY(A478,1),"الأحد","الاثنين","الثلاثاء","الأربعاء","الخميس","الجمعة","السبت"))</f>
        <v>الأحد</v>
      </c>
      <c r="C478" s="30"/>
      <c r="D478" s="30"/>
      <c r="E478" s="31" t="str">
        <f aca="false">IF(OR(M478=0,K478="",L478=""),"",MOD(L478-K478,1))</f>
        <v/>
      </c>
      <c r="F478" s="31" t="str">
        <f aca="false">IF(OR(E478="",M478=0),"",IF(WEEKDAY(A478,1)=6,E478,MIN(E478,MAX(0,MIN(IF(L478&lt;K478,L478+1,L478),OMR_OT_AT)-K478))))</f>
        <v/>
      </c>
      <c r="G478" s="31" t="str">
        <f aca="false">IF(OR(E478="",M478=0),"",MAX(0,E478-F478))</f>
        <v/>
      </c>
      <c r="H478" s="32" t="str">
        <f aca="false">IF(OR(E478="",M478=0),"",ROUND((F478*$N$475+G478*$O$475)*24,3))</f>
        <v/>
      </c>
      <c r="I478" s="30"/>
      <c r="K478" s="33" t="str">
        <f aca="false">IF(OR(M478=0,C478=""),"",IF(ISNUMBER(C478),MOD(C478,1),IFERROR(INDEX(القوائم!$B$1:$B$288,MATCH(TRIM(C478),القوائم!$A$1:$A$288,0)),IFERROR(MOD(TIMEVALUE(C478),1),""))))</f>
        <v/>
      </c>
      <c r="L478" s="33" t="str">
        <f aca="false">IF(OR(M478=0,D478=""),"",IF(ISNUMBER(D478),MOD(D478,1),IFERROR(INDEX(القوائم!$B$1:$B$288,MATCH(TRIM(D478),القوائم!$A$1:$A$288,0)),IFERROR(MOD(TIMEVALUE(D478),1),""))))</f>
        <v/>
      </c>
      <c r="M478" s="25" t="n">
        <f aca="false">M475</f>
        <v>1</v>
      </c>
      <c r="Q478" s="25" t="n">
        <f aca="false">IF(N(G486)&gt;0,1,0)</f>
        <v>0</v>
      </c>
      <c r="S478" s="0" t="n">
        <v>40</v>
      </c>
    </row>
    <row r="479" customFormat="false" ht="15" hidden="false" customHeight="false" outlineLevel="0" collapsed="false">
      <c r="A479" s="28" t="n">
        <f aca="false">IF(40&lt;=NW,SAT1+275,"")</f>
        <v>46293</v>
      </c>
      <c r="B479" s="29" t="str">
        <f aca="false">IF(A479="","",CHOOSE(WEEKDAY(A479,1),"الأحد","الاثنين","الثلاثاء","الأربعاء","الخميس","الجمعة","السبت"))</f>
        <v>الاثنين</v>
      </c>
      <c r="C479" s="30"/>
      <c r="D479" s="30"/>
      <c r="E479" s="31" t="str">
        <f aca="false">IF(OR(M479=0,K479="",L479=""),"",MOD(L479-K479,1))</f>
        <v/>
      </c>
      <c r="F479" s="31" t="str">
        <f aca="false">IF(OR(E479="",M479=0),"",IF(WEEKDAY(A479,1)=6,E479,MIN(E479,MAX(0,MIN(IF(L479&lt;K479,L479+1,L479),OMR_OT_AT)-K479))))</f>
        <v/>
      </c>
      <c r="G479" s="31" t="str">
        <f aca="false">IF(OR(E479="",M479=0),"",MAX(0,E479-F479))</f>
        <v/>
      </c>
      <c r="H479" s="32" t="str">
        <f aca="false">IF(OR(E479="",M479=0),"",ROUND((F479*$N$475+G479*$O$475)*24,3))</f>
        <v/>
      </c>
      <c r="I479" s="30"/>
      <c r="K479" s="33" t="str">
        <f aca="false">IF(OR(M479=0,C479=""),"",IF(ISNUMBER(C479),MOD(C479,1),IFERROR(INDEX(القوائم!$B$1:$B$288,MATCH(TRIM(C479),القوائم!$A$1:$A$288,0)),IFERROR(MOD(TIMEVALUE(C479),1),""))))</f>
        <v/>
      </c>
      <c r="L479" s="33" t="str">
        <f aca="false">IF(OR(M479=0,D479=""),"",IF(ISNUMBER(D479),MOD(D479,1),IFERROR(INDEX(القوائم!$B$1:$B$288,MATCH(TRIM(D479),القوائم!$A$1:$A$288,0)),IFERROR(MOD(TIMEVALUE(D479),1),""))))</f>
        <v/>
      </c>
      <c r="M479" s="25" t="n">
        <f aca="false">M475</f>
        <v>1</v>
      </c>
      <c r="Q479" s="25" t="n">
        <f aca="false">IF(N(G486)&gt;0,1,0)</f>
        <v>0</v>
      </c>
      <c r="S479" s="0" t="n">
        <v>40</v>
      </c>
    </row>
    <row r="480" customFormat="false" ht="15" hidden="false" customHeight="false" outlineLevel="0" collapsed="false">
      <c r="A480" s="28" t="n">
        <f aca="false">IF(40&lt;=NW,SAT1+276,"")</f>
        <v>46294</v>
      </c>
      <c r="B480" s="29" t="str">
        <f aca="false">IF(A480="","",CHOOSE(WEEKDAY(A480,1),"الأحد","الاثنين","الثلاثاء","الأربعاء","الخميس","الجمعة","السبت"))</f>
        <v>الثلاثاء</v>
      </c>
      <c r="C480" s="30"/>
      <c r="D480" s="30"/>
      <c r="E480" s="31" t="str">
        <f aca="false">IF(OR(M480=0,K480="",L480=""),"",MOD(L480-K480,1))</f>
        <v/>
      </c>
      <c r="F480" s="31" t="str">
        <f aca="false">IF(OR(E480="",M480=0),"",IF(WEEKDAY(A480,1)=6,E480,MIN(E480,MAX(0,MIN(IF(L480&lt;K480,L480+1,L480),OMR_OT_AT)-K480))))</f>
        <v/>
      </c>
      <c r="G480" s="31" t="str">
        <f aca="false">IF(OR(E480="",M480=0),"",MAX(0,E480-F480))</f>
        <v/>
      </c>
      <c r="H480" s="32" t="str">
        <f aca="false">IF(OR(E480="",M480=0),"",ROUND((F480*$N$475+G480*$O$475)*24,3))</f>
        <v/>
      </c>
      <c r="I480" s="30"/>
      <c r="K480" s="33" t="str">
        <f aca="false">IF(OR(M480=0,C480=""),"",IF(ISNUMBER(C480),MOD(C480,1),IFERROR(INDEX(القوائم!$B$1:$B$288,MATCH(TRIM(C480),القوائم!$A$1:$A$288,0)),IFERROR(MOD(TIMEVALUE(C480),1),""))))</f>
        <v/>
      </c>
      <c r="L480" s="33" t="str">
        <f aca="false">IF(OR(M480=0,D480=""),"",IF(ISNUMBER(D480),MOD(D480,1),IFERROR(INDEX(القوائم!$B$1:$B$288,MATCH(TRIM(D480),القوائم!$A$1:$A$288,0)),IFERROR(MOD(TIMEVALUE(D480),1),""))))</f>
        <v/>
      </c>
      <c r="M480" s="25" t="n">
        <f aca="false">M475</f>
        <v>1</v>
      </c>
      <c r="Q480" s="25" t="n">
        <f aca="false">IF(N(G486)&gt;0,1,0)</f>
        <v>0</v>
      </c>
      <c r="S480" s="0" t="n">
        <v>40</v>
      </c>
    </row>
    <row r="481" customFormat="false" ht="15" hidden="false" customHeight="false" outlineLevel="0" collapsed="false">
      <c r="A481" s="28" t="n">
        <f aca="false">IF(40&lt;=NW,SAT1+277,"")</f>
        <v>46295</v>
      </c>
      <c r="B481" s="29" t="str">
        <f aca="false">IF(A481="","",CHOOSE(WEEKDAY(A481,1),"الأحد","الاثنين","الثلاثاء","الأربعاء","الخميس","الجمعة","السبت"))</f>
        <v>الأربعاء</v>
      </c>
      <c r="C481" s="30"/>
      <c r="D481" s="30"/>
      <c r="E481" s="31" t="str">
        <f aca="false">IF(OR(M481=0,K481="",L481=""),"",MOD(L481-K481,1))</f>
        <v/>
      </c>
      <c r="F481" s="31" t="str">
        <f aca="false">IF(OR(E481="",M481=0),"",IF(WEEKDAY(A481,1)=6,E481,MIN(E481,MAX(0,MIN(IF(L481&lt;K481,L481+1,L481),OMR_OT_AT)-K481))))</f>
        <v/>
      </c>
      <c r="G481" s="31" t="str">
        <f aca="false">IF(OR(E481="",M481=0),"",MAX(0,E481-F481))</f>
        <v/>
      </c>
      <c r="H481" s="32" t="str">
        <f aca="false">IF(OR(E481="",M481=0),"",ROUND((F481*$N$475+G481*$O$475)*24,3))</f>
        <v/>
      </c>
      <c r="I481" s="30"/>
      <c r="K481" s="33" t="str">
        <f aca="false">IF(OR(M481=0,C481=""),"",IF(ISNUMBER(C481),MOD(C481,1),IFERROR(INDEX(القوائم!$B$1:$B$288,MATCH(TRIM(C481),القوائم!$A$1:$A$288,0)),IFERROR(MOD(TIMEVALUE(C481),1),""))))</f>
        <v/>
      </c>
      <c r="L481" s="33" t="str">
        <f aca="false">IF(OR(M481=0,D481=""),"",IF(ISNUMBER(D481),MOD(D481,1),IFERROR(INDEX(القوائم!$B$1:$B$288,MATCH(TRIM(D481),القوائم!$A$1:$A$288,0)),IFERROR(MOD(TIMEVALUE(D481),1),""))))</f>
        <v/>
      </c>
      <c r="M481" s="25" t="n">
        <f aca="false">M475</f>
        <v>1</v>
      </c>
      <c r="Q481" s="25" t="n">
        <f aca="false">IF(N(G486)&gt;0,1,0)</f>
        <v>0</v>
      </c>
      <c r="S481" s="0" t="n">
        <v>40</v>
      </c>
    </row>
    <row r="482" customFormat="false" ht="15" hidden="false" customHeight="false" outlineLevel="0" collapsed="false">
      <c r="A482" s="28" t="n">
        <f aca="false">IF(40&lt;=NW,SAT1+278,"")</f>
        <v>46296</v>
      </c>
      <c r="B482" s="29" t="str">
        <f aca="false">IF(A482="","",CHOOSE(WEEKDAY(A482,1),"الأحد","الاثنين","الثلاثاء","الأربعاء","الخميس","الجمعة","السبت"))</f>
        <v>الخميس</v>
      </c>
      <c r="C482" s="30"/>
      <c r="D482" s="30"/>
      <c r="E482" s="31" t="str">
        <f aca="false">IF(OR(M482=0,K482="",L482=""),"",MOD(L482-K482,1))</f>
        <v/>
      </c>
      <c r="F482" s="31" t="str">
        <f aca="false">IF(OR(E482="",M482=0),"",IF(WEEKDAY(A482,1)=6,E482,MIN(E482,MAX(0,MIN(IF(L482&lt;K482,L482+1,L482),OMR_OT_AT)-K482))))</f>
        <v/>
      </c>
      <c r="G482" s="31" t="str">
        <f aca="false">IF(OR(E482="",M482=0),"",MAX(0,E482-F482))</f>
        <v/>
      </c>
      <c r="H482" s="32" t="str">
        <f aca="false">IF(OR(E482="",M482=0),"",ROUND((F482*$N$475+G482*$O$475)*24,3))</f>
        <v/>
      </c>
      <c r="I482" s="30"/>
      <c r="K482" s="33" t="str">
        <f aca="false">IF(OR(M482=0,C482=""),"",IF(ISNUMBER(C482),MOD(C482,1),IFERROR(INDEX(القوائم!$B$1:$B$288,MATCH(TRIM(C482),القوائم!$A$1:$A$288,0)),IFERROR(MOD(TIMEVALUE(C482),1),""))))</f>
        <v/>
      </c>
      <c r="L482" s="33" t="str">
        <f aca="false">IF(OR(M482=0,D482=""),"",IF(ISNUMBER(D482),MOD(D482,1),IFERROR(INDEX(القوائم!$B$1:$B$288,MATCH(TRIM(D482),القوائم!$A$1:$A$288,0)),IFERROR(MOD(TIMEVALUE(D482),1),""))))</f>
        <v/>
      </c>
      <c r="M482" s="25" t="n">
        <f aca="false">M475</f>
        <v>1</v>
      </c>
      <c r="Q482" s="25" t="n">
        <f aca="false">IF(N(G486)&gt;0,1,0)</f>
        <v>0</v>
      </c>
      <c r="S482" s="0" t="n">
        <v>40</v>
      </c>
    </row>
    <row r="483" customFormat="false" ht="15" hidden="false" customHeight="false" outlineLevel="0" collapsed="false">
      <c r="A483" s="34" t="n">
        <f aca="false">IF(40&lt;=NW,SAT1+279,"")</f>
        <v>46297</v>
      </c>
      <c r="B483" s="35" t="str">
        <f aca="false">IF(A483="","",CHOOSE(WEEKDAY(A483,1),"الأحد","الاثنين","الثلاثاء","الأربعاء","الخميس","الجمعة","السبت"))</f>
        <v>الجمعة</v>
      </c>
      <c r="C483" s="30"/>
      <c r="D483" s="30"/>
      <c r="E483" s="31" t="str">
        <f aca="false">IF(OR(M483=0,K483="",L483=""),"",MOD(L483-K483,1))</f>
        <v/>
      </c>
      <c r="F483" s="31" t="str">
        <f aca="false">IF(OR(E483="",M483=0),"",IF(WEEKDAY(A483,1)=6,E483,MIN(E483,MAX(0,MIN(IF(L483&lt;K483,L483+1,L483),OMR_OT_AT)-K483))))</f>
        <v/>
      </c>
      <c r="G483" s="31" t="str">
        <f aca="false">IF(OR(E483="",M483=0),"",MAX(0,E483-F483))</f>
        <v/>
      </c>
      <c r="H483" s="32" t="str">
        <f aca="false">IF(OR(E483="",M483=0),"",ROUND((F483*$N$475+G483*$O$475)*24,3))</f>
        <v/>
      </c>
      <c r="I483" s="30"/>
      <c r="K483" s="33" t="str">
        <f aca="false">IF(OR(M483=0,C483=""),"",IF(ISNUMBER(C483),MOD(C483,1),IFERROR(INDEX(القوائم!$B$1:$B$288,MATCH(TRIM(C483),القوائم!$A$1:$A$288,0)),IFERROR(MOD(TIMEVALUE(C483),1),""))))</f>
        <v/>
      </c>
      <c r="L483" s="33" t="str">
        <f aca="false">IF(OR(M483=0,D483=""),"",IF(ISNUMBER(D483),MOD(D483,1),IFERROR(INDEX(القوائم!$B$1:$B$288,MATCH(TRIM(D483),القوائم!$A$1:$A$288,0)),IFERROR(MOD(TIMEVALUE(D483),1),""))))</f>
        <v/>
      </c>
      <c r="M483" s="25" t="n">
        <f aca="false">M475</f>
        <v>1</v>
      </c>
      <c r="Q483" s="25" t="n">
        <f aca="false">IF(N(G486)&gt;0,1,0)</f>
        <v>0</v>
      </c>
      <c r="S483" s="0" t="n">
        <v>40</v>
      </c>
    </row>
    <row r="484" customFormat="false" ht="15" hidden="false" customHeight="false" outlineLevel="0" collapsed="false">
      <c r="A484" s="36" t="str">
        <f aca="false">IF(M475=1,"مجموع أيام الأسبوع 40","")</f>
        <v>مجموع أيام الأسبوع 40</v>
      </c>
      <c r="B484" s="36"/>
      <c r="C484" s="36"/>
      <c r="D484" s="36"/>
      <c r="E484" s="37" t="n">
        <f aca="false">IF(M475=1,SUM(E477:E483),"")</f>
        <v>0</v>
      </c>
      <c r="F484" s="37" t="n">
        <f aca="false">IF(M475=1,SUM(F477:F483),"")</f>
        <v>0</v>
      </c>
      <c r="G484" s="37" t="n">
        <f aca="false">IF(M475=1,SUM(G477:G483),"")</f>
        <v>0</v>
      </c>
      <c r="H484" s="38" t="n">
        <f aca="false">IF(M475=1,SUM(H477:H483),"")</f>
        <v>0</v>
      </c>
      <c r="I484" s="36"/>
      <c r="S484" s="0" t="n">
        <v>40</v>
      </c>
    </row>
    <row r="485" customFormat="false" ht="31.5" hidden="false" customHeight="true" outlineLevel="0" collapsed="false">
      <c r="A485" s="39" t="str">
        <f aca="false">IF(M475=1,"ساعات تحميل الجبسمبورد بهالأسبوع (رقم: 2 أو 1.5) ←","")</f>
        <v>ساعات تحميل الجبسمبورد بهالأسبوع (رقم: 2 أو 1.5) ←</v>
      </c>
      <c r="B485" s="39"/>
      <c r="C485" s="39"/>
      <c r="D485" s="39"/>
      <c r="E485" s="40"/>
      <c r="F485" s="41" t="str">
        <f aca="false">IF(M475=1,"المستحق النهائي للأسبوع مع الإكرامية (دينار) ←","")</f>
        <v>المستحق النهائي للأسبوع مع الإكرامية (دينار) ←</v>
      </c>
      <c r="G485" s="41"/>
      <c r="H485" s="42" t="n">
        <f aca="false">IF(M475=1,IF(ROUND_MODE="للأعلى",CEILING(ROUND((N(H484)+N(E485)*($P$475-$N$475)),3),0.25),ROUND((N(H484)+N(E485)*($P$475-$N$475))*4,0)/4)+N(D486),"")</f>
        <v>0</v>
      </c>
      <c r="I485" s="43" t="str">
        <f aca="false">IF(M475=1,"قبل الجبر: "&amp;TEXT(N(H484)+N(E485)*($P$475-$N$475),"0.000")&amp;IF(N(D486)&gt;0," + إكرامية "&amp;TEXT(D486,"0.000"),""),"")</f>
        <v>قبل الجبر: 0.000</v>
      </c>
      <c r="S485" s="0" t="n">
        <v>40</v>
      </c>
    </row>
    <row r="486" customFormat="false" ht="25.5" hidden="false" customHeight="true" outlineLevel="0" collapsed="false">
      <c r="A486" s="39" t="str">
        <f aca="false">IF(M475=1,"إكرامية الأسبوع (دينار) ←","")</f>
        <v>إكرامية الأسبوع (دينار) ←</v>
      </c>
      <c r="B486" s="39"/>
      <c r="C486" s="39"/>
      <c r="D486" s="44"/>
      <c r="E486" s="39" t="str">
        <f aca="false">IF(M475=1,"المدفوع (دينار) ←","")</f>
        <v>المدفوع (دينار) ←</v>
      </c>
      <c r="F486" s="39"/>
      <c r="G486" s="44"/>
      <c r="H486" s="45" t="str">
        <f aca="false">IF(M475=1,IF(N(G486)&gt;0,"✔ انقبض — الأسبوع مقفول","⏳ لسا ما انقبض"),"")</f>
        <v>⏳ لسا ما انقبض</v>
      </c>
      <c r="I486" s="45"/>
      <c r="S486" s="0" t="n">
        <v>40</v>
      </c>
    </row>
    <row r="487" customFormat="false" ht="27.75" hidden="false" customHeight="true" outlineLevel="0" collapsed="false">
      <c r="A487" s="23" t="str">
        <f aca="false">IF(41&lt;=NW,"من السبت "&amp;TEXT(DAY(SAT1+280),"00")&amp;"/"&amp;TEXT(MONTH(SAT1+280),"00")&amp;"/"&amp;YEAR(SAT1+280)&amp;" إلى الجمعة "&amp;TEXT(DAY(SAT1+286),"00")&amp;"/"&amp;TEXT(MONTH(SAT1+286),"00")&amp;"/"&amp;YEAR(SAT1+286)&amp;" · الأسبوع 41"&amp;"  (يوم القبض: الجمعة)"&amp;IF(41&lt;START_O,"   — قبل أسبوع البداية (ما بينحسب)",""),"ما في أسبوع 41 هالسنة")</f>
        <v>من السبت 03/10/2026 إلى الجمعة 09/10/2026 · الأسبوع 41  (يوم القبض: الجمعة)</v>
      </c>
      <c r="B487" s="23"/>
      <c r="C487" s="23"/>
      <c r="D487" s="23"/>
      <c r="E487" s="23"/>
      <c r="F487" s="23"/>
      <c r="G487" s="23"/>
      <c r="H487" s="23"/>
      <c r="I487" s="23"/>
      <c r="L487" s="24" t="n">
        <f aca="false">IF(41&lt;=NW,SAT1+286,"")</f>
        <v>46304</v>
      </c>
      <c r="M487" s="25" t="n">
        <f aca="false">IF(AND(41&lt;=NW,41&gt;=START_O),1,0)</f>
        <v>1</v>
      </c>
      <c r="N487" s="26" t="n">
        <f aca="false">IFERROR(INDEX(RT_OMR,MATCH(L487,RT_K,1)),INDEX(RT_OMR,1))</f>
        <v>1.25</v>
      </c>
      <c r="O487" s="26" t="n">
        <f aca="false">IFERROR(INDEX(RT_OT,MATCH(L487,RT_K,1)),INDEX(RT_OT,1))</f>
        <v>1.5</v>
      </c>
      <c r="P487" s="26" t="n">
        <f aca="false">IFERROR(INDEX(RT_GYP,MATCH(L487,RT_K,1)),INDEX(RT_GYP,1))</f>
        <v>2.5</v>
      </c>
      <c r="R487" s="0" t="n">
        <v>41</v>
      </c>
      <c r="S487" s="0" t="n">
        <v>41</v>
      </c>
    </row>
    <row r="488" customFormat="false" ht="25.5" hidden="false" customHeight="true" outlineLevel="0" collapsed="false">
      <c r="A488" s="27" t="s">
        <v>22</v>
      </c>
      <c r="B488" s="27" t="s">
        <v>23</v>
      </c>
      <c r="C488" s="27" t="s">
        <v>24</v>
      </c>
      <c r="D488" s="27" t="s">
        <v>25</v>
      </c>
      <c r="E488" s="27" t="s">
        <v>26</v>
      </c>
      <c r="F488" s="27" t="s">
        <v>27</v>
      </c>
      <c r="G488" s="27" t="s">
        <v>28</v>
      </c>
      <c r="H488" s="27" t="s">
        <v>29</v>
      </c>
      <c r="I488" s="27" t="s">
        <v>30</v>
      </c>
      <c r="S488" s="0" t="n">
        <v>41</v>
      </c>
    </row>
    <row r="489" customFormat="false" ht="15" hidden="false" customHeight="false" outlineLevel="0" collapsed="false">
      <c r="A489" s="28" t="n">
        <f aca="false">IF(41&lt;=NW,SAT1+280,"")</f>
        <v>46298</v>
      </c>
      <c r="B489" s="29" t="str">
        <f aca="false">IF(A489="","",CHOOSE(WEEKDAY(A489,1),"الأحد","الاثنين","الثلاثاء","الأربعاء","الخميس","الجمعة","السبت"))</f>
        <v>السبت</v>
      </c>
      <c r="C489" s="30"/>
      <c r="D489" s="30"/>
      <c r="E489" s="31" t="str">
        <f aca="false">IF(OR(M489=0,K489="",L489=""),"",MOD(L489-K489,1))</f>
        <v/>
      </c>
      <c r="F489" s="31" t="str">
        <f aca="false">IF(OR(E489="",M489=0),"",IF(WEEKDAY(A489,1)=6,E489,MIN(E489,MAX(0,MIN(IF(L489&lt;K489,L489+1,L489),OMR_OT_AT)-K489))))</f>
        <v/>
      </c>
      <c r="G489" s="31" t="str">
        <f aca="false">IF(OR(E489="",M489=0),"",MAX(0,E489-F489))</f>
        <v/>
      </c>
      <c r="H489" s="32" t="str">
        <f aca="false">IF(OR(E489="",M489=0),"",ROUND((F489*$N$487+G489*$O$487)*24,3))</f>
        <v/>
      </c>
      <c r="I489" s="30"/>
      <c r="K489" s="33" t="str">
        <f aca="false">IF(OR(M489=0,C489=""),"",IF(ISNUMBER(C489),MOD(C489,1),IFERROR(INDEX(القوائم!$B$1:$B$288,MATCH(TRIM(C489),القوائم!$A$1:$A$288,0)),IFERROR(MOD(TIMEVALUE(C489),1),""))))</f>
        <v/>
      </c>
      <c r="L489" s="33" t="str">
        <f aca="false">IF(OR(M489=0,D489=""),"",IF(ISNUMBER(D489),MOD(D489,1),IFERROR(INDEX(القوائم!$B$1:$B$288,MATCH(TRIM(D489),القوائم!$A$1:$A$288,0)),IFERROR(MOD(TIMEVALUE(D489),1),""))))</f>
        <v/>
      </c>
      <c r="M489" s="25" t="n">
        <f aca="false">M487</f>
        <v>1</v>
      </c>
      <c r="Q489" s="25" t="n">
        <f aca="false">IF(N(G498)&gt;0,1,0)</f>
        <v>0</v>
      </c>
      <c r="S489" s="0" t="n">
        <v>41</v>
      </c>
    </row>
    <row r="490" customFormat="false" ht="15" hidden="false" customHeight="false" outlineLevel="0" collapsed="false">
      <c r="A490" s="28" t="n">
        <f aca="false">IF(41&lt;=NW,SAT1+281,"")</f>
        <v>46299</v>
      </c>
      <c r="B490" s="29" t="str">
        <f aca="false">IF(A490="","",CHOOSE(WEEKDAY(A490,1),"الأحد","الاثنين","الثلاثاء","الأربعاء","الخميس","الجمعة","السبت"))</f>
        <v>الأحد</v>
      </c>
      <c r="C490" s="30"/>
      <c r="D490" s="30"/>
      <c r="E490" s="31" t="str">
        <f aca="false">IF(OR(M490=0,K490="",L490=""),"",MOD(L490-K490,1))</f>
        <v/>
      </c>
      <c r="F490" s="31" t="str">
        <f aca="false">IF(OR(E490="",M490=0),"",IF(WEEKDAY(A490,1)=6,E490,MIN(E490,MAX(0,MIN(IF(L490&lt;K490,L490+1,L490),OMR_OT_AT)-K490))))</f>
        <v/>
      </c>
      <c r="G490" s="31" t="str">
        <f aca="false">IF(OR(E490="",M490=0),"",MAX(0,E490-F490))</f>
        <v/>
      </c>
      <c r="H490" s="32" t="str">
        <f aca="false">IF(OR(E490="",M490=0),"",ROUND((F490*$N$487+G490*$O$487)*24,3))</f>
        <v/>
      </c>
      <c r="I490" s="30"/>
      <c r="K490" s="33" t="str">
        <f aca="false">IF(OR(M490=0,C490=""),"",IF(ISNUMBER(C490),MOD(C490,1),IFERROR(INDEX(القوائم!$B$1:$B$288,MATCH(TRIM(C490),القوائم!$A$1:$A$288,0)),IFERROR(MOD(TIMEVALUE(C490),1),""))))</f>
        <v/>
      </c>
      <c r="L490" s="33" t="str">
        <f aca="false">IF(OR(M490=0,D490=""),"",IF(ISNUMBER(D490),MOD(D490,1),IFERROR(INDEX(القوائم!$B$1:$B$288,MATCH(TRIM(D490),القوائم!$A$1:$A$288,0)),IFERROR(MOD(TIMEVALUE(D490),1),""))))</f>
        <v/>
      </c>
      <c r="M490" s="25" t="n">
        <f aca="false">M487</f>
        <v>1</v>
      </c>
      <c r="Q490" s="25" t="n">
        <f aca="false">IF(N(G498)&gt;0,1,0)</f>
        <v>0</v>
      </c>
      <c r="S490" s="0" t="n">
        <v>41</v>
      </c>
    </row>
    <row r="491" customFormat="false" ht="15" hidden="false" customHeight="false" outlineLevel="0" collapsed="false">
      <c r="A491" s="28" t="n">
        <f aca="false">IF(41&lt;=NW,SAT1+282,"")</f>
        <v>46300</v>
      </c>
      <c r="B491" s="29" t="str">
        <f aca="false">IF(A491="","",CHOOSE(WEEKDAY(A491,1),"الأحد","الاثنين","الثلاثاء","الأربعاء","الخميس","الجمعة","السبت"))</f>
        <v>الاثنين</v>
      </c>
      <c r="C491" s="30"/>
      <c r="D491" s="30"/>
      <c r="E491" s="31" t="str">
        <f aca="false">IF(OR(M491=0,K491="",L491=""),"",MOD(L491-K491,1))</f>
        <v/>
      </c>
      <c r="F491" s="31" t="str">
        <f aca="false">IF(OR(E491="",M491=0),"",IF(WEEKDAY(A491,1)=6,E491,MIN(E491,MAX(0,MIN(IF(L491&lt;K491,L491+1,L491),OMR_OT_AT)-K491))))</f>
        <v/>
      </c>
      <c r="G491" s="31" t="str">
        <f aca="false">IF(OR(E491="",M491=0),"",MAX(0,E491-F491))</f>
        <v/>
      </c>
      <c r="H491" s="32" t="str">
        <f aca="false">IF(OR(E491="",M491=0),"",ROUND((F491*$N$487+G491*$O$487)*24,3))</f>
        <v/>
      </c>
      <c r="I491" s="30"/>
      <c r="K491" s="33" t="str">
        <f aca="false">IF(OR(M491=0,C491=""),"",IF(ISNUMBER(C491),MOD(C491,1),IFERROR(INDEX(القوائم!$B$1:$B$288,MATCH(TRIM(C491),القوائم!$A$1:$A$288,0)),IFERROR(MOD(TIMEVALUE(C491),1),""))))</f>
        <v/>
      </c>
      <c r="L491" s="33" t="str">
        <f aca="false">IF(OR(M491=0,D491=""),"",IF(ISNUMBER(D491),MOD(D491,1),IFERROR(INDEX(القوائم!$B$1:$B$288,MATCH(TRIM(D491),القوائم!$A$1:$A$288,0)),IFERROR(MOD(TIMEVALUE(D491),1),""))))</f>
        <v/>
      </c>
      <c r="M491" s="25" t="n">
        <f aca="false">M487</f>
        <v>1</v>
      </c>
      <c r="Q491" s="25" t="n">
        <f aca="false">IF(N(G498)&gt;0,1,0)</f>
        <v>0</v>
      </c>
      <c r="S491" s="0" t="n">
        <v>41</v>
      </c>
    </row>
    <row r="492" customFormat="false" ht="15" hidden="false" customHeight="false" outlineLevel="0" collapsed="false">
      <c r="A492" s="28" t="n">
        <f aca="false">IF(41&lt;=NW,SAT1+283,"")</f>
        <v>46301</v>
      </c>
      <c r="B492" s="29" t="str">
        <f aca="false">IF(A492="","",CHOOSE(WEEKDAY(A492,1),"الأحد","الاثنين","الثلاثاء","الأربعاء","الخميس","الجمعة","السبت"))</f>
        <v>الثلاثاء</v>
      </c>
      <c r="C492" s="30"/>
      <c r="D492" s="30"/>
      <c r="E492" s="31" t="str">
        <f aca="false">IF(OR(M492=0,K492="",L492=""),"",MOD(L492-K492,1))</f>
        <v/>
      </c>
      <c r="F492" s="31" t="str">
        <f aca="false">IF(OR(E492="",M492=0),"",IF(WEEKDAY(A492,1)=6,E492,MIN(E492,MAX(0,MIN(IF(L492&lt;K492,L492+1,L492),OMR_OT_AT)-K492))))</f>
        <v/>
      </c>
      <c r="G492" s="31" t="str">
        <f aca="false">IF(OR(E492="",M492=0),"",MAX(0,E492-F492))</f>
        <v/>
      </c>
      <c r="H492" s="32" t="str">
        <f aca="false">IF(OR(E492="",M492=0),"",ROUND((F492*$N$487+G492*$O$487)*24,3))</f>
        <v/>
      </c>
      <c r="I492" s="30"/>
      <c r="K492" s="33" t="str">
        <f aca="false">IF(OR(M492=0,C492=""),"",IF(ISNUMBER(C492),MOD(C492,1),IFERROR(INDEX(القوائم!$B$1:$B$288,MATCH(TRIM(C492),القوائم!$A$1:$A$288,0)),IFERROR(MOD(TIMEVALUE(C492),1),""))))</f>
        <v/>
      </c>
      <c r="L492" s="33" t="str">
        <f aca="false">IF(OR(M492=0,D492=""),"",IF(ISNUMBER(D492),MOD(D492,1),IFERROR(INDEX(القوائم!$B$1:$B$288,MATCH(TRIM(D492),القوائم!$A$1:$A$288,0)),IFERROR(MOD(TIMEVALUE(D492),1),""))))</f>
        <v/>
      </c>
      <c r="M492" s="25" t="n">
        <f aca="false">M487</f>
        <v>1</v>
      </c>
      <c r="Q492" s="25" t="n">
        <f aca="false">IF(N(G498)&gt;0,1,0)</f>
        <v>0</v>
      </c>
      <c r="S492" s="0" t="n">
        <v>41</v>
      </c>
    </row>
    <row r="493" customFormat="false" ht="15" hidden="false" customHeight="false" outlineLevel="0" collapsed="false">
      <c r="A493" s="28" t="n">
        <f aca="false">IF(41&lt;=NW,SAT1+284,"")</f>
        <v>46302</v>
      </c>
      <c r="B493" s="29" t="str">
        <f aca="false">IF(A493="","",CHOOSE(WEEKDAY(A493,1),"الأحد","الاثنين","الثلاثاء","الأربعاء","الخميس","الجمعة","السبت"))</f>
        <v>الأربعاء</v>
      </c>
      <c r="C493" s="30"/>
      <c r="D493" s="30"/>
      <c r="E493" s="31" t="str">
        <f aca="false">IF(OR(M493=0,K493="",L493=""),"",MOD(L493-K493,1))</f>
        <v/>
      </c>
      <c r="F493" s="31" t="str">
        <f aca="false">IF(OR(E493="",M493=0),"",IF(WEEKDAY(A493,1)=6,E493,MIN(E493,MAX(0,MIN(IF(L493&lt;K493,L493+1,L493),OMR_OT_AT)-K493))))</f>
        <v/>
      </c>
      <c r="G493" s="31" t="str">
        <f aca="false">IF(OR(E493="",M493=0),"",MAX(0,E493-F493))</f>
        <v/>
      </c>
      <c r="H493" s="32" t="str">
        <f aca="false">IF(OR(E493="",M493=0),"",ROUND((F493*$N$487+G493*$O$487)*24,3))</f>
        <v/>
      </c>
      <c r="I493" s="30"/>
      <c r="K493" s="33" t="str">
        <f aca="false">IF(OR(M493=0,C493=""),"",IF(ISNUMBER(C493),MOD(C493,1),IFERROR(INDEX(القوائم!$B$1:$B$288,MATCH(TRIM(C493),القوائم!$A$1:$A$288,0)),IFERROR(MOD(TIMEVALUE(C493),1),""))))</f>
        <v/>
      </c>
      <c r="L493" s="33" t="str">
        <f aca="false">IF(OR(M493=0,D493=""),"",IF(ISNUMBER(D493),MOD(D493,1),IFERROR(INDEX(القوائم!$B$1:$B$288,MATCH(TRIM(D493),القوائم!$A$1:$A$288,0)),IFERROR(MOD(TIMEVALUE(D493),1),""))))</f>
        <v/>
      </c>
      <c r="M493" s="25" t="n">
        <f aca="false">M487</f>
        <v>1</v>
      </c>
      <c r="Q493" s="25" t="n">
        <f aca="false">IF(N(G498)&gt;0,1,0)</f>
        <v>0</v>
      </c>
      <c r="S493" s="0" t="n">
        <v>41</v>
      </c>
    </row>
    <row r="494" customFormat="false" ht="15" hidden="false" customHeight="false" outlineLevel="0" collapsed="false">
      <c r="A494" s="28" t="n">
        <f aca="false">IF(41&lt;=NW,SAT1+285,"")</f>
        <v>46303</v>
      </c>
      <c r="B494" s="29" t="str">
        <f aca="false">IF(A494="","",CHOOSE(WEEKDAY(A494,1),"الأحد","الاثنين","الثلاثاء","الأربعاء","الخميس","الجمعة","السبت"))</f>
        <v>الخميس</v>
      </c>
      <c r="C494" s="30"/>
      <c r="D494" s="30"/>
      <c r="E494" s="31" t="str">
        <f aca="false">IF(OR(M494=0,K494="",L494=""),"",MOD(L494-K494,1))</f>
        <v/>
      </c>
      <c r="F494" s="31" t="str">
        <f aca="false">IF(OR(E494="",M494=0),"",IF(WEEKDAY(A494,1)=6,E494,MIN(E494,MAX(0,MIN(IF(L494&lt;K494,L494+1,L494),OMR_OT_AT)-K494))))</f>
        <v/>
      </c>
      <c r="G494" s="31" t="str">
        <f aca="false">IF(OR(E494="",M494=0),"",MAX(0,E494-F494))</f>
        <v/>
      </c>
      <c r="H494" s="32" t="str">
        <f aca="false">IF(OR(E494="",M494=0),"",ROUND((F494*$N$487+G494*$O$487)*24,3))</f>
        <v/>
      </c>
      <c r="I494" s="30"/>
      <c r="K494" s="33" t="str">
        <f aca="false">IF(OR(M494=0,C494=""),"",IF(ISNUMBER(C494),MOD(C494,1),IFERROR(INDEX(القوائم!$B$1:$B$288,MATCH(TRIM(C494),القوائم!$A$1:$A$288,0)),IFERROR(MOD(TIMEVALUE(C494),1),""))))</f>
        <v/>
      </c>
      <c r="L494" s="33" t="str">
        <f aca="false">IF(OR(M494=0,D494=""),"",IF(ISNUMBER(D494),MOD(D494,1),IFERROR(INDEX(القوائم!$B$1:$B$288,MATCH(TRIM(D494),القوائم!$A$1:$A$288,0)),IFERROR(MOD(TIMEVALUE(D494),1),""))))</f>
        <v/>
      </c>
      <c r="M494" s="25" t="n">
        <f aca="false">M487</f>
        <v>1</v>
      </c>
      <c r="Q494" s="25" t="n">
        <f aca="false">IF(N(G498)&gt;0,1,0)</f>
        <v>0</v>
      </c>
      <c r="S494" s="0" t="n">
        <v>41</v>
      </c>
    </row>
    <row r="495" customFormat="false" ht="15" hidden="false" customHeight="false" outlineLevel="0" collapsed="false">
      <c r="A495" s="34" t="n">
        <f aca="false">IF(41&lt;=NW,SAT1+286,"")</f>
        <v>46304</v>
      </c>
      <c r="B495" s="35" t="str">
        <f aca="false">IF(A495="","",CHOOSE(WEEKDAY(A495,1),"الأحد","الاثنين","الثلاثاء","الأربعاء","الخميس","الجمعة","السبت"))</f>
        <v>الجمعة</v>
      </c>
      <c r="C495" s="30"/>
      <c r="D495" s="30"/>
      <c r="E495" s="31" t="str">
        <f aca="false">IF(OR(M495=0,K495="",L495=""),"",MOD(L495-K495,1))</f>
        <v/>
      </c>
      <c r="F495" s="31" t="str">
        <f aca="false">IF(OR(E495="",M495=0),"",IF(WEEKDAY(A495,1)=6,E495,MIN(E495,MAX(0,MIN(IF(L495&lt;K495,L495+1,L495),OMR_OT_AT)-K495))))</f>
        <v/>
      </c>
      <c r="G495" s="31" t="str">
        <f aca="false">IF(OR(E495="",M495=0),"",MAX(0,E495-F495))</f>
        <v/>
      </c>
      <c r="H495" s="32" t="str">
        <f aca="false">IF(OR(E495="",M495=0),"",ROUND((F495*$N$487+G495*$O$487)*24,3))</f>
        <v/>
      </c>
      <c r="I495" s="30"/>
      <c r="K495" s="33" t="str">
        <f aca="false">IF(OR(M495=0,C495=""),"",IF(ISNUMBER(C495),MOD(C495,1),IFERROR(INDEX(القوائم!$B$1:$B$288,MATCH(TRIM(C495),القوائم!$A$1:$A$288,0)),IFERROR(MOD(TIMEVALUE(C495),1),""))))</f>
        <v/>
      </c>
      <c r="L495" s="33" t="str">
        <f aca="false">IF(OR(M495=0,D495=""),"",IF(ISNUMBER(D495),MOD(D495,1),IFERROR(INDEX(القوائم!$B$1:$B$288,MATCH(TRIM(D495),القوائم!$A$1:$A$288,0)),IFERROR(MOD(TIMEVALUE(D495),1),""))))</f>
        <v/>
      </c>
      <c r="M495" s="25" t="n">
        <f aca="false">M487</f>
        <v>1</v>
      </c>
      <c r="Q495" s="25" t="n">
        <f aca="false">IF(N(G498)&gt;0,1,0)</f>
        <v>0</v>
      </c>
      <c r="S495" s="0" t="n">
        <v>41</v>
      </c>
    </row>
    <row r="496" customFormat="false" ht="15" hidden="false" customHeight="false" outlineLevel="0" collapsed="false">
      <c r="A496" s="36" t="str">
        <f aca="false">IF(M487=1,"مجموع أيام الأسبوع 41","")</f>
        <v>مجموع أيام الأسبوع 41</v>
      </c>
      <c r="B496" s="36"/>
      <c r="C496" s="36"/>
      <c r="D496" s="36"/>
      <c r="E496" s="37" t="n">
        <f aca="false">IF(M487=1,SUM(E489:E495),"")</f>
        <v>0</v>
      </c>
      <c r="F496" s="37" t="n">
        <f aca="false">IF(M487=1,SUM(F489:F495),"")</f>
        <v>0</v>
      </c>
      <c r="G496" s="37" t="n">
        <f aca="false">IF(M487=1,SUM(G489:G495),"")</f>
        <v>0</v>
      </c>
      <c r="H496" s="38" t="n">
        <f aca="false">IF(M487=1,SUM(H489:H495),"")</f>
        <v>0</v>
      </c>
      <c r="I496" s="36"/>
      <c r="S496" s="0" t="n">
        <v>41</v>
      </c>
    </row>
    <row r="497" customFormat="false" ht="31.5" hidden="false" customHeight="true" outlineLevel="0" collapsed="false">
      <c r="A497" s="39" t="str">
        <f aca="false">IF(M487=1,"ساعات تحميل الجبسمبورد بهالأسبوع (رقم: 2 أو 1.5) ←","")</f>
        <v>ساعات تحميل الجبسمبورد بهالأسبوع (رقم: 2 أو 1.5) ←</v>
      </c>
      <c r="B497" s="39"/>
      <c r="C497" s="39"/>
      <c r="D497" s="39"/>
      <c r="E497" s="40"/>
      <c r="F497" s="41" t="str">
        <f aca="false">IF(M487=1,"المستحق النهائي للأسبوع مع الإكرامية (دينار) ←","")</f>
        <v>المستحق النهائي للأسبوع مع الإكرامية (دينار) ←</v>
      </c>
      <c r="G497" s="41"/>
      <c r="H497" s="42" t="n">
        <f aca="false">IF(M487=1,IF(ROUND_MODE="للأعلى",CEILING(ROUND((N(H496)+N(E497)*($P$487-$N$487)),3),0.25),ROUND((N(H496)+N(E497)*($P$487-$N$487))*4,0)/4)+N(D498),"")</f>
        <v>0</v>
      </c>
      <c r="I497" s="43" t="str">
        <f aca="false">IF(M487=1,"قبل الجبر: "&amp;TEXT(N(H496)+N(E497)*($P$487-$N$487),"0.000")&amp;IF(N(D498)&gt;0," + إكرامية "&amp;TEXT(D498,"0.000"),""),"")</f>
        <v>قبل الجبر: 0.000</v>
      </c>
      <c r="S497" s="0" t="n">
        <v>41</v>
      </c>
    </row>
    <row r="498" customFormat="false" ht="25.5" hidden="false" customHeight="true" outlineLevel="0" collapsed="false">
      <c r="A498" s="39" t="str">
        <f aca="false">IF(M487=1,"إكرامية الأسبوع (دينار) ←","")</f>
        <v>إكرامية الأسبوع (دينار) ←</v>
      </c>
      <c r="B498" s="39"/>
      <c r="C498" s="39"/>
      <c r="D498" s="44"/>
      <c r="E498" s="39" t="str">
        <f aca="false">IF(M487=1,"المدفوع (دينار) ←","")</f>
        <v>المدفوع (دينار) ←</v>
      </c>
      <c r="F498" s="39"/>
      <c r="G498" s="44"/>
      <c r="H498" s="45" t="str">
        <f aca="false">IF(M487=1,IF(N(G498)&gt;0,"✔ انقبض — الأسبوع مقفول","⏳ لسا ما انقبض"),"")</f>
        <v>⏳ لسا ما انقبض</v>
      </c>
      <c r="I498" s="45"/>
      <c r="S498" s="0" t="n">
        <v>41</v>
      </c>
    </row>
    <row r="499" customFormat="false" ht="27.75" hidden="false" customHeight="true" outlineLevel="0" collapsed="false">
      <c r="A499" s="23" t="str">
        <f aca="false">IF(42&lt;=NW,"من السبت "&amp;TEXT(DAY(SAT1+287),"00")&amp;"/"&amp;TEXT(MONTH(SAT1+287),"00")&amp;"/"&amp;YEAR(SAT1+287)&amp;" إلى الجمعة "&amp;TEXT(DAY(SAT1+293),"00")&amp;"/"&amp;TEXT(MONTH(SAT1+293),"00")&amp;"/"&amp;YEAR(SAT1+293)&amp;" · الأسبوع 42"&amp;"  (يوم القبض: الجمعة)"&amp;IF(42&lt;START_O,"   — قبل أسبوع البداية (ما بينحسب)",""),"ما في أسبوع 42 هالسنة")</f>
        <v>من السبت 10/10/2026 إلى الجمعة 16/10/2026 · الأسبوع 42  (يوم القبض: الجمعة)</v>
      </c>
      <c r="B499" s="23"/>
      <c r="C499" s="23"/>
      <c r="D499" s="23"/>
      <c r="E499" s="23"/>
      <c r="F499" s="23"/>
      <c r="G499" s="23"/>
      <c r="H499" s="23"/>
      <c r="I499" s="23"/>
      <c r="L499" s="24" t="n">
        <f aca="false">IF(42&lt;=NW,SAT1+293,"")</f>
        <v>46311</v>
      </c>
      <c r="M499" s="25" t="n">
        <f aca="false">IF(AND(42&lt;=NW,42&gt;=START_O),1,0)</f>
        <v>1</v>
      </c>
      <c r="N499" s="26" t="n">
        <f aca="false">IFERROR(INDEX(RT_OMR,MATCH(L499,RT_K,1)),INDEX(RT_OMR,1))</f>
        <v>1.25</v>
      </c>
      <c r="O499" s="26" t="n">
        <f aca="false">IFERROR(INDEX(RT_OT,MATCH(L499,RT_K,1)),INDEX(RT_OT,1))</f>
        <v>1.5</v>
      </c>
      <c r="P499" s="26" t="n">
        <f aca="false">IFERROR(INDEX(RT_GYP,MATCH(L499,RT_K,1)),INDEX(RT_GYP,1))</f>
        <v>2.5</v>
      </c>
      <c r="R499" s="0" t="n">
        <v>42</v>
      </c>
      <c r="S499" s="0" t="n">
        <v>42</v>
      </c>
    </row>
    <row r="500" customFormat="false" ht="25.5" hidden="false" customHeight="true" outlineLevel="0" collapsed="false">
      <c r="A500" s="27" t="s">
        <v>22</v>
      </c>
      <c r="B500" s="27" t="s">
        <v>23</v>
      </c>
      <c r="C500" s="27" t="s">
        <v>24</v>
      </c>
      <c r="D500" s="27" t="s">
        <v>25</v>
      </c>
      <c r="E500" s="27" t="s">
        <v>26</v>
      </c>
      <c r="F500" s="27" t="s">
        <v>27</v>
      </c>
      <c r="G500" s="27" t="s">
        <v>28</v>
      </c>
      <c r="H500" s="27" t="s">
        <v>29</v>
      </c>
      <c r="I500" s="27" t="s">
        <v>30</v>
      </c>
      <c r="S500" s="0" t="n">
        <v>42</v>
      </c>
    </row>
    <row r="501" customFormat="false" ht="15" hidden="false" customHeight="false" outlineLevel="0" collapsed="false">
      <c r="A501" s="28" t="n">
        <f aca="false">IF(42&lt;=NW,SAT1+287,"")</f>
        <v>46305</v>
      </c>
      <c r="B501" s="29" t="str">
        <f aca="false">IF(A501="","",CHOOSE(WEEKDAY(A501,1),"الأحد","الاثنين","الثلاثاء","الأربعاء","الخميس","الجمعة","السبت"))</f>
        <v>السبت</v>
      </c>
      <c r="C501" s="30"/>
      <c r="D501" s="30"/>
      <c r="E501" s="31" t="str">
        <f aca="false">IF(OR(M501=0,K501="",L501=""),"",MOD(L501-K501,1))</f>
        <v/>
      </c>
      <c r="F501" s="31" t="str">
        <f aca="false">IF(OR(E501="",M501=0),"",IF(WEEKDAY(A501,1)=6,E501,MIN(E501,MAX(0,MIN(IF(L501&lt;K501,L501+1,L501),OMR_OT_AT)-K501))))</f>
        <v/>
      </c>
      <c r="G501" s="31" t="str">
        <f aca="false">IF(OR(E501="",M501=0),"",MAX(0,E501-F501))</f>
        <v/>
      </c>
      <c r="H501" s="32" t="str">
        <f aca="false">IF(OR(E501="",M501=0),"",ROUND((F501*$N$499+G501*$O$499)*24,3))</f>
        <v/>
      </c>
      <c r="I501" s="30"/>
      <c r="K501" s="33" t="str">
        <f aca="false">IF(OR(M501=0,C501=""),"",IF(ISNUMBER(C501),MOD(C501,1),IFERROR(INDEX(القوائم!$B$1:$B$288,MATCH(TRIM(C501),القوائم!$A$1:$A$288,0)),IFERROR(MOD(TIMEVALUE(C501),1),""))))</f>
        <v/>
      </c>
      <c r="L501" s="33" t="str">
        <f aca="false">IF(OR(M501=0,D501=""),"",IF(ISNUMBER(D501),MOD(D501,1),IFERROR(INDEX(القوائم!$B$1:$B$288,MATCH(TRIM(D501),القوائم!$A$1:$A$288,0)),IFERROR(MOD(TIMEVALUE(D501),1),""))))</f>
        <v/>
      </c>
      <c r="M501" s="25" t="n">
        <f aca="false">M499</f>
        <v>1</v>
      </c>
      <c r="Q501" s="25" t="n">
        <f aca="false">IF(N(G510)&gt;0,1,0)</f>
        <v>0</v>
      </c>
      <c r="S501" s="0" t="n">
        <v>42</v>
      </c>
    </row>
    <row r="502" customFormat="false" ht="15" hidden="false" customHeight="false" outlineLevel="0" collapsed="false">
      <c r="A502" s="28" t="n">
        <f aca="false">IF(42&lt;=NW,SAT1+288,"")</f>
        <v>46306</v>
      </c>
      <c r="B502" s="29" t="str">
        <f aca="false">IF(A502="","",CHOOSE(WEEKDAY(A502,1),"الأحد","الاثنين","الثلاثاء","الأربعاء","الخميس","الجمعة","السبت"))</f>
        <v>الأحد</v>
      </c>
      <c r="C502" s="30"/>
      <c r="D502" s="30"/>
      <c r="E502" s="31" t="str">
        <f aca="false">IF(OR(M502=0,K502="",L502=""),"",MOD(L502-K502,1))</f>
        <v/>
      </c>
      <c r="F502" s="31" t="str">
        <f aca="false">IF(OR(E502="",M502=0),"",IF(WEEKDAY(A502,1)=6,E502,MIN(E502,MAX(0,MIN(IF(L502&lt;K502,L502+1,L502),OMR_OT_AT)-K502))))</f>
        <v/>
      </c>
      <c r="G502" s="31" t="str">
        <f aca="false">IF(OR(E502="",M502=0),"",MAX(0,E502-F502))</f>
        <v/>
      </c>
      <c r="H502" s="32" t="str">
        <f aca="false">IF(OR(E502="",M502=0),"",ROUND((F502*$N$499+G502*$O$499)*24,3))</f>
        <v/>
      </c>
      <c r="I502" s="30"/>
      <c r="K502" s="33" t="str">
        <f aca="false">IF(OR(M502=0,C502=""),"",IF(ISNUMBER(C502),MOD(C502,1),IFERROR(INDEX(القوائم!$B$1:$B$288,MATCH(TRIM(C502),القوائم!$A$1:$A$288,0)),IFERROR(MOD(TIMEVALUE(C502),1),""))))</f>
        <v/>
      </c>
      <c r="L502" s="33" t="str">
        <f aca="false">IF(OR(M502=0,D502=""),"",IF(ISNUMBER(D502),MOD(D502,1),IFERROR(INDEX(القوائم!$B$1:$B$288,MATCH(TRIM(D502),القوائم!$A$1:$A$288,0)),IFERROR(MOD(TIMEVALUE(D502),1),""))))</f>
        <v/>
      </c>
      <c r="M502" s="25" t="n">
        <f aca="false">M499</f>
        <v>1</v>
      </c>
      <c r="Q502" s="25" t="n">
        <f aca="false">IF(N(G510)&gt;0,1,0)</f>
        <v>0</v>
      </c>
      <c r="S502" s="0" t="n">
        <v>42</v>
      </c>
    </row>
    <row r="503" customFormat="false" ht="15" hidden="false" customHeight="false" outlineLevel="0" collapsed="false">
      <c r="A503" s="28" t="n">
        <f aca="false">IF(42&lt;=NW,SAT1+289,"")</f>
        <v>46307</v>
      </c>
      <c r="B503" s="29" t="str">
        <f aca="false">IF(A503="","",CHOOSE(WEEKDAY(A503,1),"الأحد","الاثنين","الثلاثاء","الأربعاء","الخميس","الجمعة","السبت"))</f>
        <v>الاثنين</v>
      </c>
      <c r="C503" s="30"/>
      <c r="D503" s="30"/>
      <c r="E503" s="31" t="str">
        <f aca="false">IF(OR(M503=0,K503="",L503=""),"",MOD(L503-K503,1))</f>
        <v/>
      </c>
      <c r="F503" s="31" t="str">
        <f aca="false">IF(OR(E503="",M503=0),"",IF(WEEKDAY(A503,1)=6,E503,MIN(E503,MAX(0,MIN(IF(L503&lt;K503,L503+1,L503),OMR_OT_AT)-K503))))</f>
        <v/>
      </c>
      <c r="G503" s="31" t="str">
        <f aca="false">IF(OR(E503="",M503=0),"",MAX(0,E503-F503))</f>
        <v/>
      </c>
      <c r="H503" s="32" t="str">
        <f aca="false">IF(OR(E503="",M503=0),"",ROUND((F503*$N$499+G503*$O$499)*24,3))</f>
        <v/>
      </c>
      <c r="I503" s="30"/>
      <c r="K503" s="33" t="str">
        <f aca="false">IF(OR(M503=0,C503=""),"",IF(ISNUMBER(C503),MOD(C503,1),IFERROR(INDEX(القوائم!$B$1:$B$288,MATCH(TRIM(C503),القوائم!$A$1:$A$288,0)),IFERROR(MOD(TIMEVALUE(C503),1),""))))</f>
        <v/>
      </c>
      <c r="L503" s="33" t="str">
        <f aca="false">IF(OR(M503=0,D503=""),"",IF(ISNUMBER(D503),MOD(D503,1),IFERROR(INDEX(القوائم!$B$1:$B$288,MATCH(TRIM(D503),القوائم!$A$1:$A$288,0)),IFERROR(MOD(TIMEVALUE(D503),1),""))))</f>
        <v/>
      </c>
      <c r="M503" s="25" t="n">
        <f aca="false">M499</f>
        <v>1</v>
      </c>
      <c r="Q503" s="25" t="n">
        <f aca="false">IF(N(G510)&gt;0,1,0)</f>
        <v>0</v>
      </c>
      <c r="S503" s="0" t="n">
        <v>42</v>
      </c>
    </row>
    <row r="504" customFormat="false" ht="15" hidden="false" customHeight="false" outlineLevel="0" collapsed="false">
      <c r="A504" s="28" t="n">
        <f aca="false">IF(42&lt;=NW,SAT1+290,"")</f>
        <v>46308</v>
      </c>
      <c r="B504" s="29" t="str">
        <f aca="false">IF(A504="","",CHOOSE(WEEKDAY(A504,1),"الأحد","الاثنين","الثلاثاء","الأربعاء","الخميس","الجمعة","السبت"))</f>
        <v>الثلاثاء</v>
      </c>
      <c r="C504" s="30"/>
      <c r="D504" s="30"/>
      <c r="E504" s="31" t="str">
        <f aca="false">IF(OR(M504=0,K504="",L504=""),"",MOD(L504-K504,1))</f>
        <v/>
      </c>
      <c r="F504" s="31" t="str">
        <f aca="false">IF(OR(E504="",M504=0),"",IF(WEEKDAY(A504,1)=6,E504,MIN(E504,MAX(0,MIN(IF(L504&lt;K504,L504+1,L504),OMR_OT_AT)-K504))))</f>
        <v/>
      </c>
      <c r="G504" s="31" t="str">
        <f aca="false">IF(OR(E504="",M504=0),"",MAX(0,E504-F504))</f>
        <v/>
      </c>
      <c r="H504" s="32" t="str">
        <f aca="false">IF(OR(E504="",M504=0),"",ROUND((F504*$N$499+G504*$O$499)*24,3))</f>
        <v/>
      </c>
      <c r="I504" s="30"/>
      <c r="K504" s="33" t="str">
        <f aca="false">IF(OR(M504=0,C504=""),"",IF(ISNUMBER(C504),MOD(C504,1),IFERROR(INDEX(القوائم!$B$1:$B$288,MATCH(TRIM(C504),القوائم!$A$1:$A$288,0)),IFERROR(MOD(TIMEVALUE(C504),1),""))))</f>
        <v/>
      </c>
      <c r="L504" s="33" t="str">
        <f aca="false">IF(OR(M504=0,D504=""),"",IF(ISNUMBER(D504),MOD(D504,1),IFERROR(INDEX(القوائم!$B$1:$B$288,MATCH(TRIM(D504),القوائم!$A$1:$A$288,0)),IFERROR(MOD(TIMEVALUE(D504),1),""))))</f>
        <v/>
      </c>
      <c r="M504" s="25" t="n">
        <f aca="false">M499</f>
        <v>1</v>
      </c>
      <c r="Q504" s="25" t="n">
        <f aca="false">IF(N(G510)&gt;0,1,0)</f>
        <v>0</v>
      </c>
      <c r="S504" s="0" t="n">
        <v>42</v>
      </c>
    </row>
    <row r="505" customFormat="false" ht="15" hidden="false" customHeight="false" outlineLevel="0" collapsed="false">
      <c r="A505" s="28" t="n">
        <f aca="false">IF(42&lt;=NW,SAT1+291,"")</f>
        <v>46309</v>
      </c>
      <c r="B505" s="29" t="str">
        <f aca="false">IF(A505="","",CHOOSE(WEEKDAY(A505,1),"الأحد","الاثنين","الثلاثاء","الأربعاء","الخميس","الجمعة","السبت"))</f>
        <v>الأربعاء</v>
      </c>
      <c r="C505" s="30"/>
      <c r="D505" s="30"/>
      <c r="E505" s="31" t="str">
        <f aca="false">IF(OR(M505=0,K505="",L505=""),"",MOD(L505-K505,1))</f>
        <v/>
      </c>
      <c r="F505" s="31" t="str">
        <f aca="false">IF(OR(E505="",M505=0),"",IF(WEEKDAY(A505,1)=6,E505,MIN(E505,MAX(0,MIN(IF(L505&lt;K505,L505+1,L505),OMR_OT_AT)-K505))))</f>
        <v/>
      </c>
      <c r="G505" s="31" t="str">
        <f aca="false">IF(OR(E505="",M505=0),"",MAX(0,E505-F505))</f>
        <v/>
      </c>
      <c r="H505" s="32" t="str">
        <f aca="false">IF(OR(E505="",M505=0),"",ROUND((F505*$N$499+G505*$O$499)*24,3))</f>
        <v/>
      </c>
      <c r="I505" s="30"/>
      <c r="K505" s="33" t="str">
        <f aca="false">IF(OR(M505=0,C505=""),"",IF(ISNUMBER(C505),MOD(C505,1),IFERROR(INDEX(القوائم!$B$1:$B$288,MATCH(TRIM(C505),القوائم!$A$1:$A$288,0)),IFERROR(MOD(TIMEVALUE(C505),1),""))))</f>
        <v/>
      </c>
      <c r="L505" s="33" t="str">
        <f aca="false">IF(OR(M505=0,D505=""),"",IF(ISNUMBER(D505),MOD(D505,1),IFERROR(INDEX(القوائم!$B$1:$B$288,MATCH(TRIM(D505),القوائم!$A$1:$A$288,0)),IFERROR(MOD(TIMEVALUE(D505),1),""))))</f>
        <v/>
      </c>
      <c r="M505" s="25" t="n">
        <f aca="false">M499</f>
        <v>1</v>
      </c>
      <c r="Q505" s="25" t="n">
        <f aca="false">IF(N(G510)&gt;0,1,0)</f>
        <v>0</v>
      </c>
      <c r="S505" s="0" t="n">
        <v>42</v>
      </c>
    </row>
    <row r="506" customFormat="false" ht="15" hidden="false" customHeight="false" outlineLevel="0" collapsed="false">
      <c r="A506" s="28" t="n">
        <f aca="false">IF(42&lt;=NW,SAT1+292,"")</f>
        <v>46310</v>
      </c>
      <c r="B506" s="29" t="str">
        <f aca="false">IF(A506="","",CHOOSE(WEEKDAY(A506,1),"الأحد","الاثنين","الثلاثاء","الأربعاء","الخميس","الجمعة","السبت"))</f>
        <v>الخميس</v>
      </c>
      <c r="C506" s="30"/>
      <c r="D506" s="30"/>
      <c r="E506" s="31" t="str">
        <f aca="false">IF(OR(M506=0,K506="",L506=""),"",MOD(L506-K506,1))</f>
        <v/>
      </c>
      <c r="F506" s="31" t="str">
        <f aca="false">IF(OR(E506="",M506=0),"",IF(WEEKDAY(A506,1)=6,E506,MIN(E506,MAX(0,MIN(IF(L506&lt;K506,L506+1,L506),OMR_OT_AT)-K506))))</f>
        <v/>
      </c>
      <c r="G506" s="31" t="str">
        <f aca="false">IF(OR(E506="",M506=0),"",MAX(0,E506-F506))</f>
        <v/>
      </c>
      <c r="H506" s="32" t="str">
        <f aca="false">IF(OR(E506="",M506=0),"",ROUND((F506*$N$499+G506*$O$499)*24,3))</f>
        <v/>
      </c>
      <c r="I506" s="30"/>
      <c r="K506" s="33" t="str">
        <f aca="false">IF(OR(M506=0,C506=""),"",IF(ISNUMBER(C506),MOD(C506,1),IFERROR(INDEX(القوائم!$B$1:$B$288,MATCH(TRIM(C506),القوائم!$A$1:$A$288,0)),IFERROR(MOD(TIMEVALUE(C506),1),""))))</f>
        <v/>
      </c>
      <c r="L506" s="33" t="str">
        <f aca="false">IF(OR(M506=0,D506=""),"",IF(ISNUMBER(D506),MOD(D506,1),IFERROR(INDEX(القوائم!$B$1:$B$288,MATCH(TRIM(D506),القوائم!$A$1:$A$288,0)),IFERROR(MOD(TIMEVALUE(D506),1),""))))</f>
        <v/>
      </c>
      <c r="M506" s="25" t="n">
        <f aca="false">M499</f>
        <v>1</v>
      </c>
      <c r="Q506" s="25" t="n">
        <f aca="false">IF(N(G510)&gt;0,1,0)</f>
        <v>0</v>
      </c>
      <c r="S506" s="0" t="n">
        <v>42</v>
      </c>
    </row>
    <row r="507" customFormat="false" ht="15" hidden="false" customHeight="false" outlineLevel="0" collapsed="false">
      <c r="A507" s="34" t="n">
        <f aca="false">IF(42&lt;=NW,SAT1+293,"")</f>
        <v>46311</v>
      </c>
      <c r="B507" s="35" t="str">
        <f aca="false">IF(A507="","",CHOOSE(WEEKDAY(A507,1),"الأحد","الاثنين","الثلاثاء","الأربعاء","الخميس","الجمعة","السبت"))</f>
        <v>الجمعة</v>
      </c>
      <c r="C507" s="30"/>
      <c r="D507" s="30"/>
      <c r="E507" s="31" t="str">
        <f aca="false">IF(OR(M507=0,K507="",L507=""),"",MOD(L507-K507,1))</f>
        <v/>
      </c>
      <c r="F507" s="31" t="str">
        <f aca="false">IF(OR(E507="",M507=0),"",IF(WEEKDAY(A507,1)=6,E507,MIN(E507,MAX(0,MIN(IF(L507&lt;K507,L507+1,L507),OMR_OT_AT)-K507))))</f>
        <v/>
      </c>
      <c r="G507" s="31" t="str">
        <f aca="false">IF(OR(E507="",M507=0),"",MAX(0,E507-F507))</f>
        <v/>
      </c>
      <c r="H507" s="32" t="str">
        <f aca="false">IF(OR(E507="",M507=0),"",ROUND((F507*$N$499+G507*$O$499)*24,3))</f>
        <v/>
      </c>
      <c r="I507" s="30"/>
      <c r="K507" s="33" t="str">
        <f aca="false">IF(OR(M507=0,C507=""),"",IF(ISNUMBER(C507),MOD(C507,1),IFERROR(INDEX(القوائم!$B$1:$B$288,MATCH(TRIM(C507),القوائم!$A$1:$A$288,0)),IFERROR(MOD(TIMEVALUE(C507),1),""))))</f>
        <v/>
      </c>
      <c r="L507" s="33" t="str">
        <f aca="false">IF(OR(M507=0,D507=""),"",IF(ISNUMBER(D507),MOD(D507,1),IFERROR(INDEX(القوائم!$B$1:$B$288,MATCH(TRIM(D507),القوائم!$A$1:$A$288,0)),IFERROR(MOD(TIMEVALUE(D507),1),""))))</f>
        <v/>
      </c>
      <c r="M507" s="25" t="n">
        <f aca="false">M499</f>
        <v>1</v>
      </c>
      <c r="Q507" s="25" t="n">
        <f aca="false">IF(N(G510)&gt;0,1,0)</f>
        <v>0</v>
      </c>
      <c r="S507" s="0" t="n">
        <v>42</v>
      </c>
    </row>
    <row r="508" customFormat="false" ht="15" hidden="false" customHeight="false" outlineLevel="0" collapsed="false">
      <c r="A508" s="36" t="str">
        <f aca="false">IF(M499=1,"مجموع أيام الأسبوع 42","")</f>
        <v>مجموع أيام الأسبوع 42</v>
      </c>
      <c r="B508" s="36"/>
      <c r="C508" s="36"/>
      <c r="D508" s="36"/>
      <c r="E508" s="37" t="n">
        <f aca="false">IF(M499=1,SUM(E501:E507),"")</f>
        <v>0</v>
      </c>
      <c r="F508" s="37" t="n">
        <f aca="false">IF(M499=1,SUM(F501:F507),"")</f>
        <v>0</v>
      </c>
      <c r="G508" s="37" t="n">
        <f aca="false">IF(M499=1,SUM(G501:G507),"")</f>
        <v>0</v>
      </c>
      <c r="H508" s="38" t="n">
        <f aca="false">IF(M499=1,SUM(H501:H507),"")</f>
        <v>0</v>
      </c>
      <c r="I508" s="36"/>
      <c r="S508" s="0" t="n">
        <v>42</v>
      </c>
    </row>
    <row r="509" customFormat="false" ht="31.5" hidden="false" customHeight="true" outlineLevel="0" collapsed="false">
      <c r="A509" s="39" t="str">
        <f aca="false">IF(M499=1,"ساعات تحميل الجبسمبورد بهالأسبوع (رقم: 2 أو 1.5) ←","")</f>
        <v>ساعات تحميل الجبسمبورد بهالأسبوع (رقم: 2 أو 1.5) ←</v>
      </c>
      <c r="B509" s="39"/>
      <c r="C509" s="39"/>
      <c r="D509" s="39"/>
      <c r="E509" s="40"/>
      <c r="F509" s="41" t="str">
        <f aca="false">IF(M499=1,"المستحق النهائي للأسبوع مع الإكرامية (دينار) ←","")</f>
        <v>المستحق النهائي للأسبوع مع الإكرامية (دينار) ←</v>
      </c>
      <c r="G509" s="41"/>
      <c r="H509" s="42" t="n">
        <f aca="false">IF(M499=1,IF(ROUND_MODE="للأعلى",CEILING(ROUND((N(H508)+N(E509)*($P$499-$N$499)),3),0.25),ROUND((N(H508)+N(E509)*($P$499-$N$499))*4,0)/4)+N(D510),"")</f>
        <v>0</v>
      </c>
      <c r="I509" s="43" t="str">
        <f aca="false">IF(M499=1,"قبل الجبر: "&amp;TEXT(N(H508)+N(E509)*($P$499-$N$499),"0.000")&amp;IF(N(D510)&gt;0," + إكرامية "&amp;TEXT(D510,"0.000"),""),"")</f>
        <v>قبل الجبر: 0.000</v>
      </c>
      <c r="S509" s="0" t="n">
        <v>42</v>
      </c>
    </row>
    <row r="510" customFormat="false" ht="25.5" hidden="false" customHeight="true" outlineLevel="0" collapsed="false">
      <c r="A510" s="39" t="str">
        <f aca="false">IF(M499=1,"إكرامية الأسبوع (دينار) ←","")</f>
        <v>إكرامية الأسبوع (دينار) ←</v>
      </c>
      <c r="B510" s="39"/>
      <c r="C510" s="39"/>
      <c r="D510" s="44"/>
      <c r="E510" s="39" t="str">
        <f aca="false">IF(M499=1,"المدفوع (دينار) ←","")</f>
        <v>المدفوع (دينار) ←</v>
      </c>
      <c r="F510" s="39"/>
      <c r="G510" s="44"/>
      <c r="H510" s="45" t="str">
        <f aca="false">IF(M499=1,IF(N(G510)&gt;0,"✔ انقبض — الأسبوع مقفول","⏳ لسا ما انقبض"),"")</f>
        <v>⏳ لسا ما انقبض</v>
      </c>
      <c r="I510" s="45"/>
      <c r="S510" s="0" t="n">
        <v>42</v>
      </c>
    </row>
    <row r="511" customFormat="false" ht="27.75" hidden="false" customHeight="true" outlineLevel="0" collapsed="false">
      <c r="A511" s="23" t="str">
        <f aca="false">IF(43&lt;=NW,"من السبت "&amp;TEXT(DAY(SAT1+294),"00")&amp;"/"&amp;TEXT(MONTH(SAT1+294),"00")&amp;"/"&amp;YEAR(SAT1+294)&amp;" إلى الجمعة "&amp;TEXT(DAY(SAT1+300),"00")&amp;"/"&amp;TEXT(MONTH(SAT1+300),"00")&amp;"/"&amp;YEAR(SAT1+300)&amp;" · الأسبوع 43"&amp;"  (يوم القبض: الجمعة)"&amp;IF(43&lt;START_O,"   — قبل أسبوع البداية (ما بينحسب)",""),"ما في أسبوع 43 هالسنة")</f>
        <v>من السبت 17/10/2026 إلى الجمعة 23/10/2026 · الأسبوع 43  (يوم القبض: الجمعة)</v>
      </c>
      <c r="B511" s="23"/>
      <c r="C511" s="23"/>
      <c r="D511" s="23"/>
      <c r="E511" s="23"/>
      <c r="F511" s="23"/>
      <c r="G511" s="23"/>
      <c r="H511" s="23"/>
      <c r="I511" s="23"/>
      <c r="L511" s="24" t="n">
        <f aca="false">IF(43&lt;=NW,SAT1+300,"")</f>
        <v>46318</v>
      </c>
      <c r="M511" s="25" t="n">
        <f aca="false">IF(AND(43&lt;=NW,43&gt;=START_O),1,0)</f>
        <v>1</v>
      </c>
      <c r="N511" s="26" t="n">
        <f aca="false">IFERROR(INDEX(RT_OMR,MATCH(L511,RT_K,1)),INDEX(RT_OMR,1))</f>
        <v>1.25</v>
      </c>
      <c r="O511" s="26" t="n">
        <f aca="false">IFERROR(INDEX(RT_OT,MATCH(L511,RT_K,1)),INDEX(RT_OT,1))</f>
        <v>1.5</v>
      </c>
      <c r="P511" s="26" t="n">
        <f aca="false">IFERROR(INDEX(RT_GYP,MATCH(L511,RT_K,1)),INDEX(RT_GYP,1))</f>
        <v>2.5</v>
      </c>
      <c r="R511" s="0" t="n">
        <v>43</v>
      </c>
      <c r="S511" s="0" t="n">
        <v>43</v>
      </c>
    </row>
    <row r="512" customFormat="false" ht="25.5" hidden="false" customHeight="true" outlineLevel="0" collapsed="false">
      <c r="A512" s="27" t="s">
        <v>22</v>
      </c>
      <c r="B512" s="27" t="s">
        <v>23</v>
      </c>
      <c r="C512" s="27" t="s">
        <v>24</v>
      </c>
      <c r="D512" s="27" t="s">
        <v>25</v>
      </c>
      <c r="E512" s="27" t="s">
        <v>26</v>
      </c>
      <c r="F512" s="27" t="s">
        <v>27</v>
      </c>
      <c r="G512" s="27" t="s">
        <v>28</v>
      </c>
      <c r="H512" s="27" t="s">
        <v>29</v>
      </c>
      <c r="I512" s="27" t="s">
        <v>30</v>
      </c>
      <c r="S512" s="0" t="n">
        <v>43</v>
      </c>
    </row>
    <row r="513" customFormat="false" ht="15" hidden="false" customHeight="false" outlineLevel="0" collapsed="false">
      <c r="A513" s="28" t="n">
        <f aca="false">IF(43&lt;=NW,SAT1+294,"")</f>
        <v>46312</v>
      </c>
      <c r="B513" s="29" t="str">
        <f aca="false">IF(A513="","",CHOOSE(WEEKDAY(A513,1),"الأحد","الاثنين","الثلاثاء","الأربعاء","الخميس","الجمعة","السبت"))</f>
        <v>السبت</v>
      </c>
      <c r="C513" s="30"/>
      <c r="D513" s="30"/>
      <c r="E513" s="31" t="str">
        <f aca="false">IF(OR(M513=0,K513="",L513=""),"",MOD(L513-K513,1))</f>
        <v/>
      </c>
      <c r="F513" s="31" t="str">
        <f aca="false">IF(OR(E513="",M513=0),"",IF(WEEKDAY(A513,1)=6,E513,MIN(E513,MAX(0,MIN(IF(L513&lt;K513,L513+1,L513),OMR_OT_AT)-K513))))</f>
        <v/>
      </c>
      <c r="G513" s="31" t="str">
        <f aca="false">IF(OR(E513="",M513=0),"",MAX(0,E513-F513))</f>
        <v/>
      </c>
      <c r="H513" s="32" t="str">
        <f aca="false">IF(OR(E513="",M513=0),"",ROUND((F513*$N$511+G513*$O$511)*24,3))</f>
        <v/>
      </c>
      <c r="I513" s="30"/>
      <c r="K513" s="33" t="str">
        <f aca="false">IF(OR(M513=0,C513=""),"",IF(ISNUMBER(C513),MOD(C513,1),IFERROR(INDEX(القوائم!$B$1:$B$288,MATCH(TRIM(C513),القوائم!$A$1:$A$288,0)),IFERROR(MOD(TIMEVALUE(C513),1),""))))</f>
        <v/>
      </c>
      <c r="L513" s="33" t="str">
        <f aca="false">IF(OR(M513=0,D513=""),"",IF(ISNUMBER(D513),MOD(D513,1),IFERROR(INDEX(القوائم!$B$1:$B$288,MATCH(TRIM(D513),القوائم!$A$1:$A$288,0)),IFERROR(MOD(TIMEVALUE(D513),1),""))))</f>
        <v/>
      </c>
      <c r="M513" s="25" t="n">
        <f aca="false">M511</f>
        <v>1</v>
      </c>
      <c r="Q513" s="25" t="n">
        <f aca="false">IF(N(G522)&gt;0,1,0)</f>
        <v>0</v>
      </c>
      <c r="S513" s="0" t="n">
        <v>43</v>
      </c>
    </row>
    <row r="514" customFormat="false" ht="15" hidden="false" customHeight="false" outlineLevel="0" collapsed="false">
      <c r="A514" s="28" t="n">
        <f aca="false">IF(43&lt;=NW,SAT1+295,"")</f>
        <v>46313</v>
      </c>
      <c r="B514" s="29" t="str">
        <f aca="false">IF(A514="","",CHOOSE(WEEKDAY(A514,1),"الأحد","الاثنين","الثلاثاء","الأربعاء","الخميس","الجمعة","السبت"))</f>
        <v>الأحد</v>
      </c>
      <c r="C514" s="30"/>
      <c r="D514" s="30"/>
      <c r="E514" s="31" t="str">
        <f aca="false">IF(OR(M514=0,K514="",L514=""),"",MOD(L514-K514,1))</f>
        <v/>
      </c>
      <c r="F514" s="31" t="str">
        <f aca="false">IF(OR(E514="",M514=0),"",IF(WEEKDAY(A514,1)=6,E514,MIN(E514,MAX(0,MIN(IF(L514&lt;K514,L514+1,L514),OMR_OT_AT)-K514))))</f>
        <v/>
      </c>
      <c r="G514" s="31" t="str">
        <f aca="false">IF(OR(E514="",M514=0),"",MAX(0,E514-F514))</f>
        <v/>
      </c>
      <c r="H514" s="32" t="str">
        <f aca="false">IF(OR(E514="",M514=0),"",ROUND((F514*$N$511+G514*$O$511)*24,3))</f>
        <v/>
      </c>
      <c r="I514" s="30"/>
      <c r="K514" s="33" t="str">
        <f aca="false">IF(OR(M514=0,C514=""),"",IF(ISNUMBER(C514),MOD(C514,1),IFERROR(INDEX(القوائم!$B$1:$B$288,MATCH(TRIM(C514),القوائم!$A$1:$A$288,0)),IFERROR(MOD(TIMEVALUE(C514),1),""))))</f>
        <v/>
      </c>
      <c r="L514" s="33" t="str">
        <f aca="false">IF(OR(M514=0,D514=""),"",IF(ISNUMBER(D514),MOD(D514,1),IFERROR(INDEX(القوائم!$B$1:$B$288,MATCH(TRIM(D514),القوائم!$A$1:$A$288,0)),IFERROR(MOD(TIMEVALUE(D514),1),""))))</f>
        <v/>
      </c>
      <c r="M514" s="25" t="n">
        <f aca="false">M511</f>
        <v>1</v>
      </c>
      <c r="Q514" s="25" t="n">
        <f aca="false">IF(N(G522)&gt;0,1,0)</f>
        <v>0</v>
      </c>
      <c r="S514" s="0" t="n">
        <v>43</v>
      </c>
    </row>
    <row r="515" customFormat="false" ht="15" hidden="false" customHeight="false" outlineLevel="0" collapsed="false">
      <c r="A515" s="28" t="n">
        <f aca="false">IF(43&lt;=NW,SAT1+296,"")</f>
        <v>46314</v>
      </c>
      <c r="B515" s="29" t="str">
        <f aca="false">IF(A515="","",CHOOSE(WEEKDAY(A515,1),"الأحد","الاثنين","الثلاثاء","الأربعاء","الخميس","الجمعة","السبت"))</f>
        <v>الاثنين</v>
      </c>
      <c r="C515" s="30"/>
      <c r="D515" s="30"/>
      <c r="E515" s="31" t="str">
        <f aca="false">IF(OR(M515=0,K515="",L515=""),"",MOD(L515-K515,1))</f>
        <v/>
      </c>
      <c r="F515" s="31" t="str">
        <f aca="false">IF(OR(E515="",M515=0),"",IF(WEEKDAY(A515,1)=6,E515,MIN(E515,MAX(0,MIN(IF(L515&lt;K515,L515+1,L515),OMR_OT_AT)-K515))))</f>
        <v/>
      </c>
      <c r="G515" s="31" t="str">
        <f aca="false">IF(OR(E515="",M515=0),"",MAX(0,E515-F515))</f>
        <v/>
      </c>
      <c r="H515" s="32" t="str">
        <f aca="false">IF(OR(E515="",M515=0),"",ROUND((F515*$N$511+G515*$O$511)*24,3))</f>
        <v/>
      </c>
      <c r="I515" s="30"/>
      <c r="K515" s="33" t="str">
        <f aca="false">IF(OR(M515=0,C515=""),"",IF(ISNUMBER(C515),MOD(C515,1),IFERROR(INDEX(القوائم!$B$1:$B$288,MATCH(TRIM(C515),القوائم!$A$1:$A$288,0)),IFERROR(MOD(TIMEVALUE(C515),1),""))))</f>
        <v/>
      </c>
      <c r="L515" s="33" t="str">
        <f aca="false">IF(OR(M515=0,D515=""),"",IF(ISNUMBER(D515),MOD(D515,1),IFERROR(INDEX(القوائم!$B$1:$B$288,MATCH(TRIM(D515),القوائم!$A$1:$A$288,0)),IFERROR(MOD(TIMEVALUE(D515),1),""))))</f>
        <v/>
      </c>
      <c r="M515" s="25" t="n">
        <f aca="false">M511</f>
        <v>1</v>
      </c>
      <c r="Q515" s="25" t="n">
        <f aca="false">IF(N(G522)&gt;0,1,0)</f>
        <v>0</v>
      </c>
      <c r="S515" s="0" t="n">
        <v>43</v>
      </c>
    </row>
    <row r="516" customFormat="false" ht="15" hidden="false" customHeight="false" outlineLevel="0" collapsed="false">
      <c r="A516" s="28" t="n">
        <f aca="false">IF(43&lt;=NW,SAT1+297,"")</f>
        <v>46315</v>
      </c>
      <c r="B516" s="29" t="str">
        <f aca="false">IF(A516="","",CHOOSE(WEEKDAY(A516,1),"الأحد","الاثنين","الثلاثاء","الأربعاء","الخميس","الجمعة","السبت"))</f>
        <v>الثلاثاء</v>
      </c>
      <c r="C516" s="30"/>
      <c r="D516" s="30"/>
      <c r="E516" s="31" t="str">
        <f aca="false">IF(OR(M516=0,K516="",L516=""),"",MOD(L516-K516,1))</f>
        <v/>
      </c>
      <c r="F516" s="31" t="str">
        <f aca="false">IF(OR(E516="",M516=0),"",IF(WEEKDAY(A516,1)=6,E516,MIN(E516,MAX(0,MIN(IF(L516&lt;K516,L516+1,L516),OMR_OT_AT)-K516))))</f>
        <v/>
      </c>
      <c r="G516" s="31" t="str">
        <f aca="false">IF(OR(E516="",M516=0),"",MAX(0,E516-F516))</f>
        <v/>
      </c>
      <c r="H516" s="32" t="str">
        <f aca="false">IF(OR(E516="",M516=0),"",ROUND((F516*$N$511+G516*$O$511)*24,3))</f>
        <v/>
      </c>
      <c r="I516" s="30"/>
      <c r="K516" s="33" t="str">
        <f aca="false">IF(OR(M516=0,C516=""),"",IF(ISNUMBER(C516),MOD(C516,1),IFERROR(INDEX(القوائم!$B$1:$B$288,MATCH(TRIM(C516),القوائم!$A$1:$A$288,0)),IFERROR(MOD(TIMEVALUE(C516),1),""))))</f>
        <v/>
      </c>
      <c r="L516" s="33" t="str">
        <f aca="false">IF(OR(M516=0,D516=""),"",IF(ISNUMBER(D516),MOD(D516,1),IFERROR(INDEX(القوائم!$B$1:$B$288,MATCH(TRIM(D516),القوائم!$A$1:$A$288,0)),IFERROR(MOD(TIMEVALUE(D516),1),""))))</f>
        <v/>
      </c>
      <c r="M516" s="25" t="n">
        <f aca="false">M511</f>
        <v>1</v>
      </c>
      <c r="Q516" s="25" t="n">
        <f aca="false">IF(N(G522)&gt;0,1,0)</f>
        <v>0</v>
      </c>
      <c r="S516" s="0" t="n">
        <v>43</v>
      </c>
    </row>
    <row r="517" customFormat="false" ht="15" hidden="false" customHeight="false" outlineLevel="0" collapsed="false">
      <c r="A517" s="28" t="n">
        <f aca="false">IF(43&lt;=NW,SAT1+298,"")</f>
        <v>46316</v>
      </c>
      <c r="B517" s="29" t="str">
        <f aca="false">IF(A517="","",CHOOSE(WEEKDAY(A517,1),"الأحد","الاثنين","الثلاثاء","الأربعاء","الخميس","الجمعة","السبت"))</f>
        <v>الأربعاء</v>
      </c>
      <c r="C517" s="30"/>
      <c r="D517" s="30"/>
      <c r="E517" s="31" t="str">
        <f aca="false">IF(OR(M517=0,K517="",L517=""),"",MOD(L517-K517,1))</f>
        <v/>
      </c>
      <c r="F517" s="31" t="str">
        <f aca="false">IF(OR(E517="",M517=0),"",IF(WEEKDAY(A517,1)=6,E517,MIN(E517,MAX(0,MIN(IF(L517&lt;K517,L517+1,L517),OMR_OT_AT)-K517))))</f>
        <v/>
      </c>
      <c r="G517" s="31" t="str">
        <f aca="false">IF(OR(E517="",M517=0),"",MAX(0,E517-F517))</f>
        <v/>
      </c>
      <c r="H517" s="32" t="str">
        <f aca="false">IF(OR(E517="",M517=0),"",ROUND((F517*$N$511+G517*$O$511)*24,3))</f>
        <v/>
      </c>
      <c r="I517" s="30"/>
      <c r="K517" s="33" t="str">
        <f aca="false">IF(OR(M517=0,C517=""),"",IF(ISNUMBER(C517),MOD(C517,1),IFERROR(INDEX(القوائم!$B$1:$B$288,MATCH(TRIM(C517),القوائم!$A$1:$A$288,0)),IFERROR(MOD(TIMEVALUE(C517),1),""))))</f>
        <v/>
      </c>
      <c r="L517" s="33" t="str">
        <f aca="false">IF(OR(M517=0,D517=""),"",IF(ISNUMBER(D517),MOD(D517,1),IFERROR(INDEX(القوائم!$B$1:$B$288,MATCH(TRIM(D517),القوائم!$A$1:$A$288,0)),IFERROR(MOD(TIMEVALUE(D517),1),""))))</f>
        <v/>
      </c>
      <c r="M517" s="25" t="n">
        <f aca="false">M511</f>
        <v>1</v>
      </c>
      <c r="Q517" s="25" t="n">
        <f aca="false">IF(N(G522)&gt;0,1,0)</f>
        <v>0</v>
      </c>
      <c r="S517" s="0" t="n">
        <v>43</v>
      </c>
    </row>
    <row r="518" customFormat="false" ht="15" hidden="false" customHeight="false" outlineLevel="0" collapsed="false">
      <c r="A518" s="28" t="n">
        <f aca="false">IF(43&lt;=NW,SAT1+299,"")</f>
        <v>46317</v>
      </c>
      <c r="B518" s="29" t="str">
        <f aca="false">IF(A518="","",CHOOSE(WEEKDAY(A518,1),"الأحد","الاثنين","الثلاثاء","الأربعاء","الخميس","الجمعة","السبت"))</f>
        <v>الخميس</v>
      </c>
      <c r="C518" s="30"/>
      <c r="D518" s="30"/>
      <c r="E518" s="31" t="str">
        <f aca="false">IF(OR(M518=0,K518="",L518=""),"",MOD(L518-K518,1))</f>
        <v/>
      </c>
      <c r="F518" s="31" t="str">
        <f aca="false">IF(OR(E518="",M518=0),"",IF(WEEKDAY(A518,1)=6,E518,MIN(E518,MAX(0,MIN(IF(L518&lt;K518,L518+1,L518),OMR_OT_AT)-K518))))</f>
        <v/>
      </c>
      <c r="G518" s="31" t="str">
        <f aca="false">IF(OR(E518="",M518=0),"",MAX(0,E518-F518))</f>
        <v/>
      </c>
      <c r="H518" s="32" t="str">
        <f aca="false">IF(OR(E518="",M518=0),"",ROUND((F518*$N$511+G518*$O$511)*24,3))</f>
        <v/>
      </c>
      <c r="I518" s="30"/>
      <c r="K518" s="33" t="str">
        <f aca="false">IF(OR(M518=0,C518=""),"",IF(ISNUMBER(C518),MOD(C518,1),IFERROR(INDEX(القوائم!$B$1:$B$288,MATCH(TRIM(C518),القوائم!$A$1:$A$288,0)),IFERROR(MOD(TIMEVALUE(C518),1),""))))</f>
        <v/>
      </c>
      <c r="L518" s="33" t="str">
        <f aca="false">IF(OR(M518=0,D518=""),"",IF(ISNUMBER(D518),MOD(D518,1),IFERROR(INDEX(القوائم!$B$1:$B$288,MATCH(TRIM(D518),القوائم!$A$1:$A$288,0)),IFERROR(MOD(TIMEVALUE(D518),1),""))))</f>
        <v/>
      </c>
      <c r="M518" s="25" t="n">
        <f aca="false">M511</f>
        <v>1</v>
      </c>
      <c r="Q518" s="25" t="n">
        <f aca="false">IF(N(G522)&gt;0,1,0)</f>
        <v>0</v>
      </c>
      <c r="S518" s="0" t="n">
        <v>43</v>
      </c>
    </row>
    <row r="519" customFormat="false" ht="15" hidden="false" customHeight="false" outlineLevel="0" collapsed="false">
      <c r="A519" s="34" t="n">
        <f aca="false">IF(43&lt;=NW,SAT1+300,"")</f>
        <v>46318</v>
      </c>
      <c r="B519" s="35" t="str">
        <f aca="false">IF(A519="","",CHOOSE(WEEKDAY(A519,1),"الأحد","الاثنين","الثلاثاء","الأربعاء","الخميس","الجمعة","السبت"))</f>
        <v>الجمعة</v>
      </c>
      <c r="C519" s="30"/>
      <c r="D519" s="30"/>
      <c r="E519" s="31" t="str">
        <f aca="false">IF(OR(M519=0,K519="",L519=""),"",MOD(L519-K519,1))</f>
        <v/>
      </c>
      <c r="F519" s="31" t="str">
        <f aca="false">IF(OR(E519="",M519=0),"",IF(WEEKDAY(A519,1)=6,E519,MIN(E519,MAX(0,MIN(IF(L519&lt;K519,L519+1,L519),OMR_OT_AT)-K519))))</f>
        <v/>
      </c>
      <c r="G519" s="31" t="str">
        <f aca="false">IF(OR(E519="",M519=0),"",MAX(0,E519-F519))</f>
        <v/>
      </c>
      <c r="H519" s="32" t="str">
        <f aca="false">IF(OR(E519="",M519=0),"",ROUND((F519*$N$511+G519*$O$511)*24,3))</f>
        <v/>
      </c>
      <c r="I519" s="30"/>
      <c r="K519" s="33" t="str">
        <f aca="false">IF(OR(M519=0,C519=""),"",IF(ISNUMBER(C519),MOD(C519,1),IFERROR(INDEX(القوائم!$B$1:$B$288,MATCH(TRIM(C519),القوائم!$A$1:$A$288,0)),IFERROR(MOD(TIMEVALUE(C519),1),""))))</f>
        <v/>
      </c>
      <c r="L519" s="33" t="str">
        <f aca="false">IF(OR(M519=0,D519=""),"",IF(ISNUMBER(D519),MOD(D519,1),IFERROR(INDEX(القوائم!$B$1:$B$288,MATCH(TRIM(D519),القوائم!$A$1:$A$288,0)),IFERROR(MOD(TIMEVALUE(D519),1),""))))</f>
        <v/>
      </c>
      <c r="M519" s="25" t="n">
        <f aca="false">M511</f>
        <v>1</v>
      </c>
      <c r="Q519" s="25" t="n">
        <f aca="false">IF(N(G522)&gt;0,1,0)</f>
        <v>0</v>
      </c>
      <c r="S519" s="0" t="n">
        <v>43</v>
      </c>
    </row>
    <row r="520" customFormat="false" ht="15" hidden="false" customHeight="false" outlineLevel="0" collapsed="false">
      <c r="A520" s="36" t="str">
        <f aca="false">IF(M511=1,"مجموع أيام الأسبوع 43","")</f>
        <v>مجموع أيام الأسبوع 43</v>
      </c>
      <c r="B520" s="36"/>
      <c r="C520" s="36"/>
      <c r="D520" s="36"/>
      <c r="E520" s="37" t="n">
        <f aca="false">IF(M511=1,SUM(E513:E519),"")</f>
        <v>0</v>
      </c>
      <c r="F520" s="37" t="n">
        <f aca="false">IF(M511=1,SUM(F513:F519),"")</f>
        <v>0</v>
      </c>
      <c r="G520" s="37" t="n">
        <f aca="false">IF(M511=1,SUM(G513:G519),"")</f>
        <v>0</v>
      </c>
      <c r="H520" s="38" t="n">
        <f aca="false">IF(M511=1,SUM(H513:H519),"")</f>
        <v>0</v>
      </c>
      <c r="I520" s="36"/>
      <c r="S520" s="0" t="n">
        <v>43</v>
      </c>
    </row>
    <row r="521" customFormat="false" ht="31.5" hidden="false" customHeight="true" outlineLevel="0" collapsed="false">
      <c r="A521" s="39" t="str">
        <f aca="false">IF(M511=1,"ساعات تحميل الجبسمبورد بهالأسبوع (رقم: 2 أو 1.5) ←","")</f>
        <v>ساعات تحميل الجبسمبورد بهالأسبوع (رقم: 2 أو 1.5) ←</v>
      </c>
      <c r="B521" s="39"/>
      <c r="C521" s="39"/>
      <c r="D521" s="39"/>
      <c r="E521" s="40"/>
      <c r="F521" s="41" t="str">
        <f aca="false">IF(M511=1,"المستحق النهائي للأسبوع مع الإكرامية (دينار) ←","")</f>
        <v>المستحق النهائي للأسبوع مع الإكرامية (دينار) ←</v>
      </c>
      <c r="G521" s="41"/>
      <c r="H521" s="42" t="n">
        <f aca="false">IF(M511=1,IF(ROUND_MODE="للأعلى",CEILING(ROUND((N(H520)+N(E521)*($P$511-$N$511)),3),0.25),ROUND((N(H520)+N(E521)*($P$511-$N$511))*4,0)/4)+N(D522),"")</f>
        <v>0</v>
      </c>
      <c r="I521" s="43" t="str">
        <f aca="false">IF(M511=1,"قبل الجبر: "&amp;TEXT(N(H520)+N(E521)*($P$511-$N$511),"0.000")&amp;IF(N(D522)&gt;0," + إكرامية "&amp;TEXT(D522,"0.000"),""),"")</f>
        <v>قبل الجبر: 0.000</v>
      </c>
      <c r="S521" s="0" t="n">
        <v>43</v>
      </c>
    </row>
    <row r="522" customFormat="false" ht="25.5" hidden="false" customHeight="true" outlineLevel="0" collapsed="false">
      <c r="A522" s="39" t="str">
        <f aca="false">IF(M511=1,"إكرامية الأسبوع (دينار) ←","")</f>
        <v>إكرامية الأسبوع (دينار) ←</v>
      </c>
      <c r="B522" s="39"/>
      <c r="C522" s="39"/>
      <c r="D522" s="44"/>
      <c r="E522" s="39" t="str">
        <f aca="false">IF(M511=1,"المدفوع (دينار) ←","")</f>
        <v>المدفوع (دينار) ←</v>
      </c>
      <c r="F522" s="39"/>
      <c r="G522" s="44"/>
      <c r="H522" s="45" t="str">
        <f aca="false">IF(M511=1,IF(N(G522)&gt;0,"✔ انقبض — الأسبوع مقفول","⏳ لسا ما انقبض"),"")</f>
        <v>⏳ لسا ما انقبض</v>
      </c>
      <c r="I522" s="45"/>
      <c r="S522" s="0" t="n">
        <v>43</v>
      </c>
    </row>
    <row r="523" customFormat="false" ht="27.75" hidden="false" customHeight="true" outlineLevel="0" collapsed="false">
      <c r="A523" s="23" t="str">
        <f aca="false">IF(44&lt;=NW,"من السبت "&amp;TEXT(DAY(SAT1+301),"00")&amp;"/"&amp;TEXT(MONTH(SAT1+301),"00")&amp;"/"&amp;YEAR(SAT1+301)&amp;" إلى الجمعة "&amp;TEXT(DAY(SAT1+307),"00")&amp;"/"&amp;TEXT(MONTH(SAT1+307),"00")&amp;"/"&amp;YEAR(SAT1+307)&amp;" · الأسبوع 44"&amp;"  (يوم القبض: الجمعة)"&amp;IF(44&lt;START_O,"   — قبل أسبوع البداية (ما بينحسب)",""),"ما في أسبوع 44 هالسنة")</f>
        <v>من السبت 24/10/2026 إلى الجمعة 30/10/2026 · الأسبوع 44  (يوم القبض: الجمعة)</v>
      </c>
      <c r="B523" s="23"/>
      <c r="C523" s="23"/>
      <c r="D523" s="23"/>
      <c r="E523" s="23"/>
      <c r="F523" s="23"/>
      <c r="G523" s="23"/>
      <c r="H523" s="23"/>
      <c r="I523" s="23"/>
      <c r="L523" s="24" t="n">
        <f aca="false">IF(44&lt;=NW,SAT1+307,"")</f>
        <v>46325</v>
      </c>
      <c r="M523" s="25" t="n">
        <f aca="false">IF(AND(44&lt;=NW,44&gt;=START_O),1,0)</f>
        <v>1</v>
      </c>
      <c r="N523" s="26" t="n">
        <f aca="false">IFERROR(INDEX(RT_OMR,MATCH(L523,RT_K,1)),INDEX(RT_OMR,1))</f>
        <v>1.25</v>
      </c>
      <c r="O523" s="26" t="n">
        <f aca="false">IFERROR(INDEX(RT_OT,MATCH(L523,RT_K,1)),INDEX(RT_OT,1))</f>
        <v>1.5</v>
      </c>
      <c r="P523" s="26" t="n">
        <f aca="false">IFERROR(INDEX(RT_GYP,MATCH(L523,RT_K,1)),INDEX(RT_GYP,1))</f>
        <v>2.5</v>
      </c>
      <c r="R523" s="0" t="n">
        <v>44</v>
      </c>
      <c r="S523" s="0" t="n">
        <v>44</v>
      </c>
    </row>
    <row r="524" customFormat="false" ht="25.5" hidden="false" customHeight="true" outlineLevel="0" collapsed="false">
      <c r="A524" s="27" t="s">
        <v>22</v>
      </c>
      <c r="B524" s="27" t="s">
        <v>23</v>
      </c>
      <c r="C524" s="27" t="s">
        <v>24</v>
      </c>
      <c r="D524" s="27" t="s">
        <v>25</v>
      </c>
      <c r="E524" s="27" t="s">
        <v>26</v>
      </c>
      <c r="F524" s="27" t="s">
        <v>27</v>
      </c>
      <c r="G524" s="27" t="s">
        <v>28</v>
      </c>
      <c r="H524" s="27" t="s">
        <v>29</v>
      </c>
      <c r="I524" s="27" t="s">
        <v>30</v>
      </c>
      <c r="S524" s="0" t="n">
        <v>44</v>
      </c>
    </row>
    <row r="525" customFormat="false" ht="15" hidden="false" customHeight="false" outlineLevel="0" collapsed="false">
      <c r="A525" s="28" t="n">
        <f aca="false">IF(44&lt;=NW,SAT1+301,"")</f>
        <v>46319</v>
      </c>
      <c r="B525" s="29" t="str">
        <f aca="false">IF(A525="","",CHOOSE(WEEKDAY(A525,1),"الأحد","الاثنين","الثلاثاء","الأربعاء","الخميس","الجمعة","السبت"))</f>
        <v>السبت</v>
      </c>
      <c r="C525" s="30"/>
      <c r="D525" s="30"/>
      <c r="E525" s="31" t="str">
        <f aca="false">IF(OR(M525=0,K525="",L525=""),"",MOD(L525-K525,1))</f>
        <v/>
      </c>
      <c r="F525" s="31" t="str">
        <f aca="false">IF(OR(E525="",M525=0),"",IF(WEEKDAY(A525,1)=6,E525,MIN(E525,MAX(0,MIN(IF(L525&lt;K525,L525+1,L525),OMR_OT_AT)-K525))))</f>
        <v/>
      </c>
      <c r="G525" s="31" t="str">
        <f aca="false">IF(OR(E525="",M525=0),"",MAX(0,E525-F525))</f>
        <v/>
      </c>
      <c r="H525" s="32" t="str">
        <f aca="false">IF(OR(E525="",M525=0),"",ROUND((F525*$N$523+G525*$O$523)*24,3))</f>
        <v/>
      </c>
      <c r="I525" s="30"/>
      <c r="K525" s="33" t="str">
        <f aca="false">IF(OR(M525=0,C525=""),"",IF(ISNUMBER(C525),MOD(C525,1),IFERROR(INDEX(القوائم!$B$1:$B$288,MATCH(TRIM(C525),القوائم!$A$1:$A$288,0)),IFERROR(MOD(TIMEVALUE(C525),1),""))))</f>
        <v/>
      </c>
      <c r="L525" s="33" t="str">
        <f aca="false">IF(OR(M525=0,D525=""),"",IF(ISNUMBER(D525),MOD(D525,1),IFERROR(INDEX(القوائم!$B$1:$B$288,MATCH(TRIM(D525),القوائم!$A$1:$A$288,0)),IFERROR(MOD(TIMEVALUE(D525),1),""))))</f>
        <v/>
      </c>
      <c r="M525" s="25" t="n">
        <f aca="false">M523</f>
        <v>1</v>
      </c>
      <c r="Q525" s="25" t="n">
        <f aca="false">IF(N(G534)&gt;0,1,0)</f>
        <v>0</v>
      </c>
      <c r="S525" s="0" t="n">
        <v>44</v>
      </c>
    </row>
    <row r="526" customFormat="false" ht="15" hidden="false" customHeight="false" outlineLevel="0" collapsed="false">
      <c r="A526" s="28" t="n">
        <f aca="false">IF(44&lt;=NW,SAT1+302,"")</f>
        <v>46320</v>
      </c>
      <c r="B526" s="29" t="str">
        <f aca="false">IF(A526="","",CHOOSE(WEEKDAY(A526,1),"الأحد","الاثنين","الثلاثاء","الأربعاء","الخميس","الجمعة","السبت"))</f>
        <v>الأحد</v>
      </c>
      <c r="C526" s="30"/>
      <c r="D526" s="30"/>
      <c r="E526" s="31" t="str">
        <f aca="false">IF(OR(M526=0,K526="",L526=""),"",MOD(L526-K526,1))</f>
        <v/>
      </c>
      <c r="F526" s="31" t="str">
        <f aca="false">IF(OR(E526="",M526=0),"",IF(WEEKDAY(A526,1)=6,E526,MIN(E526,MAX(0,MIN(IF(L526&lt;K526,L526+1,L526),OMR_OT_AT)-K526))))</f>
        <v/>
      </c>
      <c r="G526" s="31" t="str">
        <f aca="false">IF(OR(E526="",M526=0),"",MAX(0,E526-F526))</f>
        <v/>
      </c>
      <c r="H526" s="32" t="str">
        <f aca="false">IF(OR(E526="",M526=0),"",ROUND((F526*$N$523+G526*$O$523)*24,3))</f>
        <v/>
      </c>
      <c r="I526" s="30"/>
      <c r="K526" s="33" t="str">
        <f aca="false">IF(OR(M526=0,C526=""),"",IF(ISNUMBER(C526),MOD(C526,1),IFERROR(INDEX(القوائم!$B$1:$B$288,MATCH(TRIM(C526),القوائم!$A$1:$A$288,0)),IFERROR(MOD(TIMEVALUE(C526),1),""))))</f>
        <v/>
      </c>
      <c r="L526" s="33" t="str">
        <f aca="false">IF(OR(M526=0,D526=""),"",IF(ISNUMBER(D526),MOD(D526,1),IFERROR(INDEX(القوائم!$B$1:$B$288,MATCH(TRIM(D526),القوائم!$A$1:$A$288,0)),IFERROR(MOD(TIMEVALUE(D526),1),""))))</f>
        <v/>
      </c>
      <c r="M526" s="25" t="n">
        <f aca="false">M523</f>
        <v>1</v>
      </c>
      <c r="Q526" s="25" t="n">
        <f aca="false">IF(N(G534)&gt;0,1,0)</f>
        <v>0</v>
      </c>
      <c r="S526" s="0" t="n">
        <v>44</v>
      </c>
    </row>
    <row r="527" customFormat="false" ht="15" hidden="false" customHeight="false" outlineLevel="0" collapsed="false">
      <c r="A527" s="28" t="n">
        <f aca="false">IF(44&lt;=NW,SAT1+303,"")</f>
        <v>46321</v>
      </c>
      <c r="B527" s="29" t="str">
        <f aca="false">IF(A527="","",CHOOSE(WEEKDAY(A527,1),"الأحد","الاثنين","الثلاثاء","الأربعاء","الخميس","الجمعة","السبت"))</f>
        <v>الاثنين</v>
      </c>
      <c r="C527" s="30"/>
      <c r="D527" s="30"/>
      <c r="E527" s="31" t="str">
        <f aca="false">IF(OR(M527=0,K527="",L527=""),"",MOD(L527-K527,1))</f>
        <v/>
      </c>
      <c r="F527" s="31" t="str">
        <f aca="false">IF(OR(E527="",M527=0),"",IF(WEEKDAY(A527,1)=6,E527,MIN(E527,MAX(0,MIN(IF(L527&lt;K527,L527+1,L527),OMR_OT_AT)-K527))))</f>
        <v/>
      </c>
      <c r="G527" s="31" t="str">
        <f aca="false">IF(OR(E527="",M527=0),"",MAX(0,E527-F527))</f>
        <v/>
      </c>
      <c r="H527" s="32" t="str">
        <f aca="false">IF(OR(E527="",M527=0),"",ROUND((F527*$N$523+G527*$O$523)*24,3))</f>
        <v/>
      </c>
      <c r="I527" s="30"/>
      <c r="K527" s="33" t="str">
        <f aca="false">IF(OR(M527=0,C527=""),"",IF(ISNUMBER(C527),MOD(C527,1),IFERROR(INDEX(القوائم!$B$1:$B$288,MATCH(TRIM(C527),القوائم!$A$1:$A$288,0)),IFERROR(MOD(TIMEVALUE(C527),1),""))))</f>
        <v/>
      </c>
      <c r="L527" s="33" t="str">
        <f aca="false">IF(OR(M527=0,D527=""),"",IF(ISNUMBER(D527),MOD(D527,1),IFERROR(INDEX(القوائم!$B$1:$B$288,MATCH(TRIM(D527),القوائم!$A$1:$A$288,0)),IFERROR(MOD(TIMEVALUE(D527),1),""))))</f>
        <v/>
      </c>
      <c r="M527" s="25" t="n">
        <f aca="false">M523</f>
        <v>1</v>
      </c>
      <c r="Q527" s="25" t="n">
        <f aca="false">IF(N(G534)&gt;0,1,0)</f>
        <v>0</v>
      </c>
      <c r="S527" s="0" t="n">
        <v>44</v>
      </c>
    </row>
    <row r="528" customFormat="false" ht="15" hidden="false" customHeight="false" outlineLevel="0" collapsed="false">
      <c r="A528" s="28" t="n">
        <f aca="false">IF(44&lt;=NW,SAT1+304,"")</f>
        <v>46322</v>
      </c>
      <c r="B528" s="29" t="str">
        <f aca="false">IF(A528="","",CHOOSE(WEEKDAY(A528,1),"الأحد","الاثنين","الثلاثاء","الأربعاء","الخميس","الجمعة","السبت"))</f>
        <v>الثلاثاء</v>
      </c>
      <c r="C528" s="30"/>
      <c r="D528" s="30"/>
      <c r="E528" s="31" t="str">
        <f aca="false">IF(OR(M528=0,K528="",L528=""),"",MOD(L528-K528,1))</f>
        <v/>
      </c>
      <c r="F528" s="31" t="str">
        <f aca="false">IF(OR(E528="",M528=0),"",IF(WEEKDAY(A528,1)=6,E528,MIN(E528,MAX(0,MIN(IF(L528&lt;K528,L528+1,L528),OMR_OT_AT)-K528))))</f>
        <v/>
      </c>
      <c r="G528" s="31" t="str">
        <f aca="false">IF(OR(E528="",M528=0),"",MAX(0,E528-F528))</f>
        <v/>
      </c>
      <c r="H528" s="32" t="str">
        <f aca="false">IF(OR(E528="",M528=0),"",ROUND((F528*$N$523+G528*$O$523)*24,3))</f>
        <v/>
      </c>
      <c r="I528" s="30"/>
      <c r="K528" s="33" t="str">
        <f aca="false">IF(OR(M528=0,C528=""),"",IF(ISNUMBER(C528),MOD(C528,1),IFERROR(INDEX(القوائم!$B$1:$B$288,MATCH(TRIM(C528),القوائم!$A$1:$A$288,0)),IFERROR(MOD(TIMEVALUE(C528),1),""))))</f>
        <v/>
      </c>
      <c r="L528" s="33" t="str">
        <f aca="false">IF(OR(M528=0,D528=""),"",IF(ISNUMBER(D528),MOD(D528,1),IFERROR(INDEX(القوائم!$B$1:$B$288,MATCH(TRIM(D528),القوائم!$A$1:$A$288,0)),IFERROR(MOD(TIMEVALUE(D528),1),""))))</f>
        <v/>
      </c>
      <c r="M528" s="25" t="n">
        <f aca="false">M523</f>
        <v>1</v>
      </c>
      <c r="Q528" s="25" t="n">
        <f aca="false">IF(N(G534)&gt;0,1,0)</f>
        <v>0</v>
      </c>
      <c r="S528" s="0" t="n">
        <v>44</v>
      </c>
    </row>
    <row r="529" customFormat="false" ht="15" hidden="false" customHeight="false" outlineLevel="0" collapsed="false">
      <c r="A529" s="28" t="n">
        <f aca="false">IF(44&lt;=NW,SAT1+305,"")</f>
        <v>46323</v>
      </c>
      <c r="B529" s="29" t="str">
        <f aca="false">IF(A529="","",CHOOSE(WEEKDAY(A529,1),"الأحد","الاثنين","الثلاثاء","الأربعاء","الخميس","الجمعة","السبت"))</f>
        <v>الأربعاء</v>
      </c>
      <c r="C529" s="30"/>
      <c r="D529" s="30"/>
      <c r="E529" s="31" t="str">
        <f aca="false">IF(OR(M529=0,K529="",L529=""),"",MOD(L529-K529,1))</f>
        <v/>
      </c>
      <c r="F529" s="31" t="str">
        <f aca="false">IF(OR(E529="",M529=0),"",IF(WEEKDAY(A529,1)=6,E529,MIN(E529,MAX(0,MIN(IF(L529&lt;K529,L529+1,L529),OMR_OT_AT)-K529))))</f>
        <v/>
      </c>
      <c r="G529" s="31" t="str">
        <f aca="false">IF(OR(E529="",M529=0),"",MAX(0,E529-F529))</f>
        <v/>
      </c>
      <c r="H529" s="32" t="str">
        <f aca="false">IF(OR(E529="",M529=0),"",ROUND((F529*$N$523+G529*$O$523)*24,3))</f>
        <v/>
      </c>
      <c r="I529" s="30"/>
      <c r="K529" s="33" t="str">
        <f aca="false">IF(OR(M529=0,C529=""),"",IF(ISNUMBER(C529),MOD(C529,1),IFERROR(INDEX(القوائم!$B$1:$B$288,MATCH(TRIM(C529),القوائم!$A$1:$A$288,0)),IFERROR(MOD(TIMEVALUE(C529),1),""))))</f>
        <v/>
      </c>
      <c r="L529" s="33" t="str">
        <f aca="false">IF(OR(M529=0,D529=""),"",IF(ISNUMBER(D529),MOD(D529,1),IFERROR(INDEX(القوائم!$B$1:$B$288,MATCH(TRIM(D529),القوائم!$A$1:$A$288,0)),IFERROR(MOD(TIMEVALUE(D529),1),""))))</f>
        <v/>
      </c>
      <c r="M529" s="25" t="n">
        <f aca="false">M523</f>
        <v>1</v>
      </c>
      <c r="Q529" s="25" t="n">
        <f aca="false">IF(N(G534)&gt;0,1,0)</f>
        <v>0</v>
      </c>
      <c r="S529" s="0" t="n">
        <v>44</v>
      </c>
    </row>
    <row r="530" customFormat="false" ht="15" hidden="false" customHeight="false" outlineLevel="0" collapsed="false">
      <c r="A530" s="28" t="n">
        <f aca="false">IF(44&lt;=NW,SAT1+306,"")</f>
        <v>46324</v>
      </c>
      <c r="B530" s="29" t="str">
        <f aca="false">IF(A530="","",CHOOSE(WEEKDAY(A530,1),"الأحد","الاثنين","الثلاثاء","الأربعاء","الخميس","الجمعة","السبت"))</f>
        <v>الخميس</v>
      </c>
      <c r="C530" s="30"/>
      <c r="D530" s="30"/>
      <c r="E530" s="31" t="str">
        <f aca="false">IF(OR(M530=0,K530="",L530=""),"",MOD(L530-K530,1))</f>
        <v/>
      </c>
      <c r="F530" s="31" t="str">
        <f aca="false">IF(OR(E530="",M530=0),"",IF(WEEKDAY(A530,1)=6,E530,MIN(E530,MAX(0,MIN(IF(L530&lt;K530,L530+1,L530),OMR_OT_AT)-K530))))</f>
        <v/>
      </c>
      <c r="G530" s="31" t="str">
        <f aca="false">IF(OR(E530="",M530=0),"",MAX(0,E530-F530))</f>
        <v/>
      </c>
      <c r="H530" s="32" t="str">
        <f aca="false">IF(OR(E530="",M530=0),"",ROUND((F530*$N$523+G530*$O$523)*24,3))</f>
        <v/>
      </c>
      <c r="I530" s="30"/>
      <c r="K530" s="33" t="str">
        <f aca="false">IF(OR(M530=0,C530=""),"",IF(ISNUMBER(C530),MOD(C530,1),IFERROR(INDEX(القوائم!$B$1:$B$288,MATCH(TRIM(C530),القوائم!$A$1:$A$288,0)),IFERROR(MOD(TIMEVALUE(C530),1),""))))</f>
        <v/>
      </c>
      <c r="L530" s="33" t="str">
        <f aca="false">IF(OR(M530=0,D530=""),"",IF(ISNUMBER(D530),MOD(D530,1),IFERROR(INDEX(القوائم!$B$1:$B$288,MATCH(TRIM(D530),القوائم!$A$1:$A$288,0)),IFERROR(MOD(TIMEVALUE(D530),1),""))))</f>
        <v/>
      </c>
      <c r="M530" s="25" t="n">
        <f aca="false">M523</f>
        <v>1</v>
      </c>
      <c r="Q530" s="25" t="n">
        <f aca="false">IF(N(G534)&gt;0,1,0)</f>
        <v>0</v>
      </c>
      <c r="S530" s="0" t="n">
        <v>44</v>
      </c>
    </row>
    <row r="531" customFormat="false" ht="15" hidden="false" customHeight="false" outlineLevel="0" collapsed="false">
      <c r="A531" s="34" t="n">
        <f aca="false">IF(44&lt;=NW,SAT1+307,"")</f>
        <v>46325</v>
      </c>
      <c r="B531" s="35" t="str">
        <f aca="false">IF(A531="","",CHOOSE(WEEKDAY(A531,1),"الأحد","الاثنين","الثلاثاء","الأربعاء","الخميس","الجمعة","السبت"))</f>
        <v>الجمعة</v>
      </c>
      <c r="C531" s="30"/>
      <c r="D531" s="30"/>
      <c r="E531" s="31" t="str">
        <f aca="false">IF(OR(M531=0,K531="",L531=""),"",MOD(L531-K531,1))</f>
        <v/>
      </c>
      <c r="F531" s="31" t="str">
        <f aca="false">IF(OR(E531="",M531=0),"",IF(WEEKDAY(A531,1)=6,E531,MIN(E531,MAX(0,MIN(IF(L531&lt;K531,L531+1,L531),OMR_OT_AT)-K531))))</f>
        <v/>
      </c>
      <c r="G531" s="31" t="str">
        <f aca="false">IF(OR(E531="",M531=0),"",MAX(0,E531-F531))</f>
        <v/>
      </c>
      <c r="H531" s="32" t="str">
        <f aca="false">IF(OR(E531="",M531=0),"",ROUND((F531*$N$523+G531*$O$523)*24,3))</f>
        <v/>
      </c>
      <c r="I531" s="30"/>
      <c r="K531" s="33" t="str">
        <f aca="false">IF(OR(M531=0,C531=""),"",IF(ISNUMBER(C531),MOD(C531,1),IFERROR(INDEX(القوائم!$B$1:$B$288,MATCH(TRIM(C531),القوائم!$A$1:$A$288,0)),IFERROR(MOD(TIMEVALUE(C531),1),""))))</f>
        <v/>
      </c>
      <c r="L531" s="33" t="str">
        <f aca="false">IF(OR(M531=0,D531=""),"",IF(ISNUMBER(D531),MOD(D531,1),IFERROR(INDEX(القوائم!$B$1:$B$288,MATCH(TRIM(D531),القوائم!$A$1:$A$288,0)),IFERROR(MOD(TIMEVALUE(D531),1),""))))</f>
        <v/>
      </c>
      <c r="M531" s="25" t="n">
        <f aca="false">M523</f>
        <v>1</v>
      </c>
      <c r="Q531" s="25" t="n">
        <f aca="false">IF(N(G534)&gt;0,1,0)</f>
        <v>0</v>
      </c>
      <c r="S531" s="0" t="n">
        <v>44</v>
      </c>
    </row>
    <row r="532" customFormat="false" ht="15" hidden="false" customHeight="false" outlineLevel="0" collapsed="false">
      <c r="A532" s="36" t="str">
        <f aca="false">IF(M523=1,"مجموع أيام الأسبوع 44","")</f>
        <v>مجموع أيام الأسبوع 44</v>
      </c>
      <c r="B532" s="36"/>
      <c r="C532" s="36"/>
      <c r="D532" s="36"/>
      <c r="E532" s="37" t="n">
        <f aca="false">IF(M523=1,SUM(E525:E531),"")</f>
        <v>0</v>
      </c>
      <c r="F532" s="37" t="n">
        <f aca="false">IF(M523=1,SUM(F525:F531),"")</f>
        <v>0</v>
      </c>
      <c r="G532" s="37" t="n">
        <f aca="false">IF(M523=1,SUM(G525:G531),"")</f>
        <v>0</v>
      </c>
      <c r="H532" s="38" t="n">
        <f aca="false">IF(M523=1,SUM(H525:H531),"")</f>
        <v>0</v>
      </c>
      <c r="I532" s="36"/>
      <c r="S532" s="0" t="n">
        <v>44</v>
      </c>
    </row>
    <row r="533" customFormat="false" ht="31.5" hidden="false" customHeight="true" outlineLevel="0" collapsed="false">
      <c r="A533" s="39" t="str">
        <f aca="false">IF(M523=1,"ساعات تحميل الجبسمبورد بهالأسبوع (رقم: 2 أو 1.5) ←","")</f>
        <v>ساعات تحميل الجبسمبورد بهالأسبوع (رقم: 2 أو 1.5) ←</v>
      </c>
      <c r="B533" s="39"/>
      <c r="C533" s="39"/>
      <c r="D533" s="39"/>
      <c r="E533" s="40"/>
      <c r="F533" s="41" t="str">
        <f aca="false">IF(M523=1,"المستحق النهائي للأسبوع مع الإكرامية (دينار) ←","")</f>
        <v>المستحق النهائي للأسبوع مع الإكرامية (دينار) ←</v>
      </c>
      <c r="G533" s="41"/>
      <c r="H533" s="42" t="n">
        <f aca="false">IF(M523=1,IF(ROUND_MODE="للأعلى",CEILING(ROUND((N(H532)+N(E533)*($P$523-$N$523)),3),0.25),ROUND((N(H532)+N(E533)*($P$523-$N$523))*4,0)/4)+N(D534),"")</f>
        <v>0</v>
      </c>
      <c r="I533" s="43" t="str">
        <f aca="false">IF(M523=1,"قبل الجبر: "&amp;TEXT(N(H532)+N(E533)*($P$523-$N$523),"0.000")&amp;IF(N(D534)&gt;0," + إكرامية "&amp;TEXT(D534,"0.000"),""),"")</f>
        <v>قبل الجبر: 0.000</v>
      </c>
      <c r="S533" s="0" t="n">
        <v>44</v>
      </c>
    </row>
    <row r="534" customFormat="false" ht="25.5" hidden="false" customHeight="true" outlineLevel="0" collapsed="false">
      <c r="A534" s="39" t="str">
        <f aca="false">IF(M523=1,"إكرامية الأسبوع (دينار) ←","")</f>
        <v>إكرامية الأسبوع (دينار) ←</v>
      </c>
      <c r="B534" s="39"/>
      <c r="C534" s="39"/>
      <c r="D534" s="44"/>
      <c r="E534" s="39" t="str">
        <f aca="false">IF(M523=1,"المدفوع (دينار) ←","")</f>
        <v>المدفوع (دينار) ←</v>
      </c>
      <c r="F534" s="39"/>
      <c r="G534" s="44"/>
      <c r="H534" s="45" t="str">
        <f aca="false">IF(M523=1,IF(N(G534)&gt;0,"✔ انقبض — الأسبوع مقفول","⏳ لسا ما انقبض"),"")</f>
        <v>⏳ لسا ما انقبض</v>
      </c>
      <c r="I534" s="45"/>
      <c r="S534" s="0" t="n">
        <v>44</v>
      </c>
    </row>
    <row r="535" customFormat="false" ht="27.75" hidden="false" customHeight="true" outlineLevel="0" collapsed="false">
      <c r="A535" s="23" t="str">
        <f aca="false">IF(45&lt;=NW,"من السبت "&amp;TEXT(DAY(SAT1+308),"00")&amp;"/"&amp;TEXT(MONTH(SAT1+308),"00")&amp;"/"&amp;YEAR(SAT1+308)&amp;" إلى الجمعة "&amp;TEXT(DAY(SAT1+314),"00")&amp;"/"&amp;TEXT(MONTH(SAT1+314),"00")&amp;"/"&amp;YEAR(SAT1+314)&amp;" · الأسبوع 45"&amp;"  (يوم القبض: الجمعة)"&amp;IF(45&lt;START_O,"   — قبل أسبوع البداية (ما بينحسب)",""),"ما في أسبوع 45 هالسنة")</f>
        <v>من السبت 31/10/2026 إلى الجمعة 06/11/2026 · الأسبوع 45  (يوم القبض: الجمعة)</v>
      </c>
      <c r="B535" s="23"/>
      <c r="C535" s="23"/>
      <c r="D535" s="23"/>
      <c r="E535" s="23"/>
      <c r="F535" s="23"/>
      <c r="G535" s="23"/>
      <c r="H535" s="23"/>
      <c r="I535" s="23"/>
      <c r="L535" s="24" t="n">
        <f aca="false">IF(45&lt;=NW,SAT1+314,"")</f>
        <v>46332</v>
      </c>
      <c r="M535" s="25" t="n">
        <f aca="false">IF(AND(45&lt;=NW,45&gt;=START_O),1,0)</f>
        <v>1</v>
      </c>
      <c r="N535" s="26" t="n">
        <f aca="false">IFERROR(INDEX(RT_OMR,MATCH(L535,RT_K,1)),INDEX(RT_OMR,1))</f>
        <v>1.25</v>
      </c>
      <c r="O535" s="26" t="n">
        <f aca="false">IFERROR(INDEX(RT_OT,MATCH(L535,RT_K,1)),INDEX(RT_OT,1))</f>
        <v>1.5</v>
      </c>
      <c r="P535" s="26" t="n">
        <f aca="false">IFERROR(INDEX(RT_GYP,MATCH(L535,RT_K,1)),INDEX(RT_GYP,1))</f>
        <v>2.5</v>
      </c>
      <c r="R535" s="0" t="n">
        <v>45</v>
      </c>
      <c r="S535" s="0" t="n">
        <v>45</v>
      </c>
    </row>
    <row r="536" customFormat="false" ht="25.5" hidden="false" customHeight="true" outlineLevel="0" collapsed="false">
      <c r="A536" s="27" t="s">
        <v>22</v>
      </c>
      <c r="B536" s="27" t="s">
        <v>23</v>
      </c>
      <c r="C536" s="27" t="s">
        <v>24</v>
      </c>
      <c r="D536" s="27" t="s">
        <v>25</v>
      </c>
      <c r="E536" s="27" t="s">
        <v>26</v>
      </c>
      <c r="F536" s="27" t="s">
        <v>27</v>
      </c>
      <c r="G536" s="27" t="s">
        <v>28</v>
      </c>
      <c r="H536" s="27" t="s">
        <v>29</v>
      </c>
      <c r="I536" s="27" t="s">
        <v>30</v>
      </c>
      <c r="S536" s="0" t="n">
        <v>45</v>
      </c>
    </row>
    <row r="537" customFormat="false" ht="15" hidden="false" customHeight="false" outlineLevel="0" collapsed="false">
      <c r="A537" s="28" t="n">
        <f aca="false">IF(45&lt;=NW,SAT1+308,"")</f>
        <v>46326</v>
      </c>
      <c r="B537" s="29" t="str">
        <f aca="false">IF(A537="","",CHOOSE(WEEKDAY(A537,1),"الأحد","الاثنين","الثلاثاء","الأربعاء","الخميس","الجمعة","السبت"))</f>
        <v>السبت</v>
      </c>
      <c r="C537" s="30"/>
      <c r="D537" s="30"/>
      <c r="E537" s="31" t="str">
        <f aca="false">IF(OR(M537=0,K537="",L537=""),"",MOD(L537-K537,1))</f>
        <v/>
      </c>
      <c r="F537" s="31" t="str">
        <f aca="false">IF(OR(E537="",M537=0),"",IF(WEEKDAY(A537,1)=6,E537,MIN(E537,MAX(0,MIN(IF(L537&lt;K537,L537+1,L537),OMR_OT_AT)-K537))))</f>
        <v/>
      </c>
      <c r="G537" s="31" t="str">
        <f aca="false">IF(OR(E537="",M537=0),"",MAX(0,E537-F537))</f>
        <v/>
      </c>
      <c r="H537" s="32" t="str">
        <f aca="false">IF(OR(E537="",M537=0),"",ROUND((F537*$N$535+G537*$O$535)*24,3))</f>
        <v/>
      </c>
      <c r="I537" s="30"/>
      <c r="K537" s="33" t="str">
        <f aca="false">IF(OR(M537=0,C537=""),"",IF(ISNUMBER(C537),MOD(C537,1),IFERROR(INDEX(القوائم!$B$1:$B$288,MATCH(TRIM(C537),القوائم!$A$1:$A$288,0)),IFERROR(MOD(TIMEVALUE(C537),1),""))))</f>
        <v/>
      </c>
      <c r="L537" s="33" t="str">
        <f aca="false">IF(OR(M537=0,D537=""),"",IF(ISNUMBER(D537),MOD(D537,1),IFERROR(INDEX(القوائم!$B$1:$B$288,MATCH(TRIM(D537),القوائم!$A$1:$A$288,0)),IFERROR(MOD(TIMEVALUE(D537),1),""))))</f>
        <v/>
      </c>
      <c r="M537" s="25" t="n">
        <f aca="false">M535</f>
        <v>1</v>
      </c>
      <c r="Q537" s="25" t="n">
        <f aca="false">IF(N(G546)&gt;0,1,0)</f>
        <v>0</v>
      </c>
      <c r="S537" s="0" t="n">
        <v>45</v>
      </c>
    </row>
    <row r="538" customFormat="false" ht="15" hidden="false" customHeight="false" outlineLevel="0" collapsed="false">
      <c r="A538" s="28" t="n">
        <f aca="false">IF(45&lt;=NW,SAT1+309,"")</f>
        <v>46327</v>
      </c>
      <c r="B538" s="29" t="str">
        <f aca="false">IF(A538="","",CHOOSE(WEEKDAY(A538,1),"الأحد","الاثنين","الثلاثاء","الأربعاء","الخميس","الجمعة","السبت"))</f>
        <v>الأحد</v>
      </c>
      <c r="C538" s="30"/>
      <c r="D538" s="30"/>
      <c r="E538" s="31" t="str">
        <f aca="false">IF(OR(M538=0,K538="",L538=""),"",MOD(L538-K538,1))</f>
        <v/>
      </c>
      <c r="F538" s="31" t="str">
        <f aca="false">IF(OR(E538="",M538=0),"",IF(WEEKDAY(A538,1)=6,E538,MIN(E538,MAX(0,MIN(IF(L538&lt;K538,L538+1,L538),OMR_OT_AT)-K538))))</f>
        <v/>
      </c>
      <c r="G538" s="31" t="str">
        <f aca="false">IF(OR(E538="",M538=0),"",MAX(0,E538-F538))</f>
        <v/>
      </c>
      <c r="H538" s="32" t="str">
        <f aca="false">IF(OR(E538="",M538=0),"",ROUND((F538*$N$535+G538*$O$535)*24,3))</f>
        <v/>
      </c>
      <c r="I538" s="30"/>
      <c r="K538" s="33" t="str">
        <f aca="false">IF(OR(M538=0,C538=""),"",IF(ISNUMBER(C538),MOD(C538,1),IFERROR(INDEX(القوائم!$B$1:$B$288,MATCH(TRIM(C538),القوائم!$A$1:$A$288,0)),IFERROR(MOD(TIMEVALUE(C538),1),""))))</f>
        <v/>
      </c>
      <c r="L538" s="33" t="str">
        <f aca="false">IF(OR(M538=0,D538=""),"",IF(ISNUMBER(D538),MOD(D538,1),IFERROR(INDEX(القوائم!$B$1:$B$288,MATCH(TRIM(D538),القوائم!$A$1:$A$288,0)),IFERROR(MOD(TIMEVALUE(D538),1),""))))</f>
        <v/>
      </c>
      <c r="M538" s="25" t="n">
        <f aca="false">M535</f>
        <v>1</v>
      </c>
      <c r="Q538" s="25" t="n">
        <f aca="false">IF(N(G546)&gt;0,1,0)</f>
        <v>0</v>
      </c>
      <c r="S538" s="0" t="n">
        <v>45</v>
      </c>
    </row>
    <row r="539" customFormat="false" ht="15" hidden="false" customHeight="false" outlineLevel="0" collapsed="false">
      <c r="A539" s="28" t="n">
        <f aca="false">IF(45&lt;=NW,SAT1+310,"")</f>
        <v>46328</v>
      </c>
      <c r="B539" s="29" t="str">
        <f aca="false">IF(A539="","",CHOOSE(WEEKDAY(A539,1),"الأحد","الاثنين","الثلاثاء","الأربعاء","الخميس","الجمعة","السبت"))</f>
        <v>الاثنين</v>
      </c>
      <c r="C539" s="30"/>
      <c r="D539" s="30"/>
      <c r="E539" s="31" t="str">
        <f aca="false">IF(OR(M539=0,K539="",L539=""),"",MOD(L539-K539,1))</f>
        <v/>
      </c>
      <c r="F539" s="31" t="str">
        <f aca="false">IF(OR(E539="",M539=0),"",IF(WEEKDAY(A539,1)=6,E539,MIN(E539,MAX(0,MIN(IF(L539&lt;K539,L539+1,L539),OMR_OT_AT)-K539))))</f>
        <v/>
      </c>
      <c r="G539" s="31" t="str">
        <f aca="false">IF(OR(E539="",M539=0),"",MAX(0,E539-F539))</f>
        <v/>
      </c>
      <c r="H539" s="32" t="str">
        <f aca="false">IF(OR(E539="",M539=0),"",ROUND((F539*$N$535+G539*$O$535)*24,3))</f>
        <v/>
      </c>
      <c r="I539" s="30"/>
      <c r="K539" s="33" t="str">
        <f aca="false">IF(OR(M539=0,C539=""),"",IF(ISNUMBER(C539),MOD(C539,1),IFERROR(INDEX(القوائم!$B$1:$B$288,MATCH(TRIM(C539),القوائم!$A$1:$A$288,0)),IFERROR(MOD(TIMEVALUE(C539),1),""))))</f>
        <v/>
      </c>
      <c r="L539" s="33" t="str">
        <f aca="false">IF(OR(M539=0,D539=""),"",IF(ISNUMBER(D539),MOD(D539,1),IFERROR(INDEX(القوائم!$B$1:$B$288,MATCH(TRIM(D539),القوائم!$A$1:$A$288,0)),IFERROR(MOD(TIMEVALUE(D539),1),""))))</f>
        <v/>
      </c>
      <c r="M539" s="25" t="n">
        <f aca="false">M535</f>
        <v>1</v>
      </c>
      <c r="Q539" s="25" t="n">
        <f aca="false">IF(N(G546)&gt;0,1,0)</f>
        <v>0</v>
      </c>
      <c r="S539" s="0" t="n">
        <v>45</v>
      </c>
    </row>
    <row r="540" customFormat="false" ht="15" hidden="false" customHeight="false" outlineLevel="0" collapsed="false">
      <c r="A540" s="28" t="n">
        <f aca="false">IF(45&lt;=NW,SAT1+311,"")</f>
        <v>46329</v>
      </c>
      <c r="B540" s="29" t="str">
        <f aca="false">IF(A540="","",CHOOSE(WEEKDAY(A540,1),"الأحد","الاثنين","الثلاثاء","الأربعاء","الخميس","الجمعة","السبت"))</f>
        <v>الثلاثاء</v>
      </c>
      <c r="C540" s="30"/>
      <c r="D540" s="30"/>
      <c r="E540" s="31" t="str">
        <f aca="false">IF(OR(M540=0,K540="",L540=""),"",MOD(L540-K540,1))</f>
        <v/>
      </c>
      <c r="F540" s="31" t="str">
        <f aca="false">IF(OR(E540="",M540=0),"",IF(WEEKDAY(A540,1)=6,E540,MIN(E540,MAX(0,MIN(IF(L540&lt;K540,L540+1,L540),OMR_OT_AT)-K540))))</f>
        <v/>
      </c>
      <c r="G540" s="31" t="str">
        <f aca="false">IF(OR(E540="",M540=0),"",MAX(0,E540-F540))</f>
        <v/>
      </c>
      <c r="H540" s="32" t="str">
        <f aca="false">IF(OR(E540="",M540=0),"",ROUND((F540*$N$535+G540*$O$535)*24,3))</f>
        <v/>
      </c>
      <c r="I540" s="30"/>
      <c r="K540" s="33" t="str">
        <f aca="false">IF(OR(M540=0,C540=""),"",IF(ISNUMBER(C540),MOD(C540,1),IFERROR(INDEX(القوائم!$B$1:$B$288,MATCH(TRIM(C540),القوائم!$A$1:$A$288,0)),IFERROR(MOD(TIMEVALUE(C540),1),""))))</f>
        <v/>
      </c>
      <c r="L540" s="33" t="str">
        <f aca="false">IF(OR(M540=0,D540=""),"",IF(ISNUMBER(D540),MOD(D540,1),IFERROR(INDEX(القوائم!$B$1:$B$288,MATCH(TRIM(D540),القوائم!$A$1:$A$288,0)),IFERROR(MOD(TIMEVALUE(D540),1),""))))</f>
        <v/>
      </c>
      <c r="M540" s="25" t="n">
        <f aca="false">M535</f>
        <v>1</v>
      </c>
      <c r="Q540" s="25" t="n">
        <f aca="false">IF(N(G546)&gt;0,1,0)</f>
        <v>0</v>
      </c>
      <c r="S540" s="0" t="n">
        <v>45</v>
      </c>
    </row>
    <row r="541" customFormat="false" ht="15" hidden="false" customHeight="false" outlineLevel="0" collapsed="false">
      <c r="A541" s="28" t="n">
        <f aca="false">IF(45&lt;=NW,SAT1+312,"")</f>
        <v>46330</v>
      </c>
      <c r="B541" s="29" t="str">
        <f aca="false">IF(A541="","",CHOOSE(WEEKDAY(A541,1),"الأحد","الاثنين","الثلاثاء","الأربعاء","الخميس","الجمعة","السبت"))</f>
        <v>الأربعاء</v>
      </c>
      <c r="C541" s="30"/>
      <c r="D541" s="30"/>
      <c r="E541" s="31" t="str">
        <f aca="false">IF(OR(M541=0,K541="",L541=""),"",MOD(L541-K541,1))</f>
        <v/>
      </c>
      <c r="F541" s="31" t="str">
        <f aca="false">IF(OR(E541="",M541=0),"",IF(WEEKDAY(A541,1)=6,E541,MIN(E541,MAX(0,MIN(IF(L541&lt;K541,L541+1,L541),OMR_OT_AT)-K541))))</f>
        <v/>
      </c>
      <c r="G541" s="31" t="str">
        <f aca="false">IF(OR(E541="",M541=0),"",MAX(0,E541-F541))</f>
        <v/>
      </c>
      <c r="H541" s="32" t="str">
        <f aca="false">IF(OR(E541="",M541=0),"",ROUND((F541*$N$535+G541*$O$535)*24,3))</f>
        <v/>
      </c>
      <c r="I541" s="30"/>
      <c r="K541" s="33" t="str">
        <f aca="false">IF(OR(M541=0,C541=""),"",IF(ISNUMBER(C541),MOD(C541,1),IFERROR(INDEX(القوائم!$B$1:$B$288,MATCH(TRIM(C541),القوائم!$A$1:$A$288,0)),IFERROR(MOD(TIMEVALUE(C541),1),""))))</f>
        <v/>
      </c>
      <c r="L541" s="33" t="str">
        <f aca="false">IF(OR(M541=0,D541=""),"",IF(ISNUMBER(D541),MOD(D541,1),IFERROR(INDEX(القوائم!$B$1:$B$288,MATCH(TRIM(D541),القوائم!$A$1:$A$288,0)),IFERROR(MOD(TIMEVALUE(D541),1),""))))</f>
        <v/>
      </c>
      <c r="M541" s="25" t="n">
        <f aca="false">M535</f>
        <v>1</v>
      </c>
      <c r="Q541" s="25" t="n">
        <f aca="false">IF(N(G546)&gt;0,1,0)</f>
        <v>0</v>
      </c>
      <c r="S541" s="0" t="n">
        <v>45</v>
      </c>
    </row>
    <row r="542" customFormat="false" ht="15" hidden="false" customHeight="false" outlineLevel="0" collapsed="false">
      <c r="A542" s="28" t="n">
        <f aca="false">IF(45&lt;=NW,SAT1+313,"")</f>
        <v>46331</v>
      </c>
      <c r="B542" s="29" t="str">
        <f aca="false">IF(A542="","",CHOOSE(WEEKDAY(A542,1),"الأحد","الاثنين","الثلاثاء","الأربعاء","الخميس","الجمعة","السبت"))</f>
        <v>الخميس</v>
      </c>
      <c r="C542" s="30"/>
      <c r="D542" s="30"/>
      <c r="E542" s="31" t="str">
        <f aca="false">IF(OR(M542=0,K542="",L542=""),"",MOD(L542-K542,1))</f>
        <v/>
      </c>
      <c r="F542" s="31" t="str">
        <f aca="false">IF(OR(E542="",M542=0),"",IF(WEEKDAY(A542,1)=6,E542,MIN(E542,MAX(0,MIN(IF(L542&lt;K542,L542+1,L542),OMR_OT_AT)-K542))))</f>
        <v/>
      </c>
      <c r="G542" s="31" t="str">
        <f aca="false">IF(OR(E542="",M542=0),"",MAX(0,E542-F542))</f>
        <v/>
      </c>
      <c r="H542" s="32" t="str">
        <f aca="false">IF(OR(E542="",M542=0),"",ROUND((F542*$N$535+G542*$O$535)*24,3))</f>
        <v/>
      </c>
      <c r="I542" s="30"/>
      <c r="K542" s="33" t="str">
        <f aca="false">IF(OR(M542=0,C542=""),"",IF(ISNUMBER(C542),MOD(C542,1),IFERROR(INDEX(القوائم!$B$1:$B$288,MATCH(TRIM(C542),القوائم!$A$1:$A$288,0)),IFERROR(MOD(TIMEVALUE(C542),1),""))))</f>
        <v/>
      </c>
      <c r="L542" s="33" t="str">
        <f aca="false">IF(OR(M542=0,D542=""),"",IF(ISNUMBER(D542),MOD(D542,1),IFERROR(INDEX(القوائم!$B$1:$B$288,MATCH(TRIM(D542),القوائم!$A$1:$A$288,0)),IFERROR(MOD(TIMEVALUE(D542),1),""))))</f>
        <v/>
      </c>
      <c r="M542" s="25" t="n">
        <f aca="false">M535</f>
        <v>1</v>
      </c>
      <c r="Q542" s="25" t="n">
        <f aca="false">IF(N(G546)&gt;0,1,0)</f>
        <v>0</v>
      </c>
      <c r="S542" s="0" t="n">
        <v>45</v>
      </c>
    </row>
    <row r="543" customFormat="false" ht="15" hidden="false" customHeight="false" outlineLevel="0" collapsed="false">
      <c r="A543" s="34" t="n">
        <f aca="false">IF(45&lt;=NW,SAT1+314,"")</f>
        <v>46332</v>
      </c>
      <c r="B543" s="35" t="str">
        <f aca="false">IF(A543="","",CHOOSE(WEEKDAY(A543,1),"الأحد","الاثنين","الثلاثاء","الأربعاء","الخميس","الجمعة","السبت"))</f>
        <v>الجمعة</v>
      </c>
      <c r="C543" s="30"/>
      <c r="D543" s="30"/>
      <c r="E543" s="31" t="str">
        <f aca="false">IF(OR(M543=0,K543="",L543=""),"",MOD(L543-K543,1))</f>
        <v/>
      </c>
      <c r="F543" s="31" t="str">
        <f aca="false">IF(OR(E543="",M543=0),"",IF(WEEKDAY(A543,1)=6,E543,MIN(E543,MAX(0,MIN(IF(L543&lt;K543,L543+1,L543),OMR_OT_AT)-K543))))</f>
        <v/>
      </c>
      <c r="G543" s="31" t="str">
        <f aca="false">IF(OR(E543="",M543=0),"",MAX(0,E543-F543))</f>
        <v/>
      </c>
      <c r="H543" s="32" t="str">
        <f aca="false">IF(OR(E543="",M543=0),"",ROUND((F543*$N$535+G543*$O$535)*24,3))</f>
        <v/>
      </c>
      <c r="I543" s="30"/>
      <c r="K543" s="33" t="str">
        <f aca="false">IF(OR(M543=0,C543=""),"",IF(ISNUMBER(C543),MOD(C543,1),IFERROR(INDEX(القوائم!$B$1:$B$288,MATCH(TRIM(C543),القوائم!$A$1:$A$288,0)),IFERROR(MOD(TIMEVALUE(C543),1),""))))</f>
        <v/>
      </c>
      <c r="L543" s="33" t="str">
        <f aca="false">IF(OR(M543=0,D543=""),"",IF(ISNUMBER(D543),MOD(D543,1),IFERROR(INDEX(القوائم!$B$1:$B$288,MATCH(TRIM(D543),القوائم!$A$1:$A$288,0)),IFERROR(MOD(TIMEVALUE(D543),1),""))))</f>
        <v/>
      </c>
      <c r="M543" s="25" t="n">
        <f aca="false">M535</f>
        <v>1</v>
      </c>
      <c r="Q543" s="25" t="n">
        <f aca="false">IF(N(G546)&gt;0,1,0)</f>
        <v>0</v>
      </c>
      <c r="S543" s="0" t="n">
        <v>45</v>
      </c>
    </row>
    <row r="544" customFormat="false" ht="15" hidden="false" customHeight="false" outlineLevel="0" collapsed="false">
      <c r="A544" s="36" t="str">
        <f aca="false">IF(M535=1,"مجموع أيام الأسبوع 45","")</f>
        <v>مجموع أيام الأسبوع 45</v>
      </c>
      <c r="B544" s="36"/>
      <c r="C544" s="36"/>
      <c r="D544" s="36"/>
      <c r="E544" s="37" t="n">
        <f aca="false">IF(M535=1,SUM(E537:E543),"")</f>
        <v>0</v>
      </c>
      <c r="F544" s="37" t="n">
        <f aca="false">IF(M535=1,SUM(F537:F543),"")</f>
        <v>0</v>
      </c>
      <c r="G544" s="37" t="n">
        <f aca="false">IF(M535=1,SUM(G537:G543),"")</f>
        <v>0</v>
      </c>
      <c r="H544" s="38" t="n">
        <f aca="false">IF(M535=1,SUM(H537:H543),"")</f>
        <v>0</v>
      </c>
      <c r="I544" s="36"/>
      <c r="S544" s="0" t="n">
        <v>45</v>
      </c>
    </row>
    <row r="545" customFormat="false" ht="31.5" hidden="false" customHeight="true" outlineLevel="0" collapsed="false">
      <c r="A545" s="39" t="str">
        <f aca="false">IF(M535=1,"ساعات تحميل الجبسمبورد بهالأسبوع (رقم: 2 أو 1.5) ←","")</f>
        <v>ساعات تحميل الجبسمبورد بهالأسبوع (رقم: 2 أو 1.5) ←</v>
      </c>
      <c r="B545" s="39"/>
      <c r="C545" s="39"/>
      <c r="D545" s="39"/>
      <c r="E545" s="40"/>
      <c r="F545" s="41" t="str">
        <f aca="false">IF(M535=1,"المستحق النهائي للأسبوع مع الإكرامية (دينار) ←","")</f>
        <v>المستحق النهائي للأسبوع مع الإكرامية (دينار) ←</v>
      </c>
      <c r="G545" s="41"/>
      <c r="H545" s="42" t="n">
        <f aca="false">IF(M535=1,IF(ROUND_MODE="للأعلى",CEILING(ROUND((N(H544)+N(E545)*($P$535-$N$535)),3),0.25),ROUND((N(H544)+N(E545)*($P$535-$N$535))*4,0)/4)+N(D546),"")</f>
        <v>0</v>
      </c>
      <c r="I545" s="43" t="str">
        <f aca="false">IF(M535=1,"قبل الجبر: "&amp;TEXT(N(H544)+N(E545)*($P$535-$N$535),"0.000")&amp;IF(N(D546)&gt;0," + إكرامية "&amp;TEXT(D546,"0.000"),""),"")</f>
        <v>قبل الجبر: 0.000</v>
      </c>
      <c r="S545" s="0" t="n">
        <v>45</v>
      </c>
    </row>
    <row r="546" customFormat="false" ht="25.5" hidden="false" customHeight="true" outlineLevel="0" collapsed="false">
      <c r="A546" s="39" t="str">
        <f aca="false">IF(M535=1,"إكرامية الأسبوع (دينار) ←","")</f>
        <v>إكرامية الأسبوع (دينار) ←</v>
      </c>
      <c r="B546" s="39"/>
      <c r="C546" s="39"/>
      <c r="D546" s="44"/>
      <c r="E546" s="39" t="str">
        <f aca="false">IF(M535=1,"المدفوع (دينار) ←","")</f>
        <v>المدفوع (دينار) ←</v>
      </c>
      <c r="F546" s="39"/>
      <c r="G546" s="44"/>
      <c r="H546" s="45" t="str">
        <f aca="false">IF(M535=1,IF(N(G546)&gt;0,"✔ انقبض — الأسبوع مقفول","⏳ لسا ما انقبض"),"")</f>
        <v>⏳ لسا ما انقبض</v>
      </c>
      <c r="I546" s="45"/>
      <c r="S546" s="0" t="n">
        <v>45</v>
      </c>
    </row>
    <row r="547" customFormat="false" ht="27.75" hidden="false" customHeight="true" outlineLevel="0" collapsed="false">
      <c r="A547" s="23" t="str">
        <f aca="false">IF(46&lt;=NW,"من السبت "&amp;TEXT(DAY(SAT1+315),"00")&amp;"/"&amp;TEXT(MONTH(SAT1+315),"00")&amp;"/"&amp;YEAR(SAT1+315)&amp;" إلى الجمعة "&amp;TEXT(DAY(SAT1+321),"00")&amp;"/"&amp;TEXT(MONTH(SAT1+321),"00")&amp;"/"&amp;YEAR(SAT1+321)&amp;" · الأسبوع 46"&amp;"  (يوم القبض: الجمعة)"&amp;IF(46&lt;START_O,"   — قبل أسبوع البداية (ما بينحسب)",""),"ما في أسبوع 46 هالسنة")</f>
        <v>من السبت 07/11/2026 إلى الجمعة 13/11/2026 · الأسبوع 46  (يوم القبض: الجمعة)</v>
      </c>
      <c r="B547" s="23"/>
      <c r="C547" s="23"/>
      <c r="D547" s="23"/>
      <c r="E547" s="23"/>
      <c r="F547" s="23"/>
      <c r="G547" s="23"/>
      <c r="H547" s="23"/>
      <c r="I547" s="23"/>
      <c r="L547" s="24" t="n">
        <f aca="false">IF(46&lt;=NW,SAT1+321,"")</f>
        <v>46339</v>
      </c>
      <c r="M547" s="25" t="n">
        <f aca="false">IF(AND(46&lt;=NW,46&gt;=START_O),1,0)</f>
        <v>1</v>
      </c>
      <c r="N547" s="26" t="n">
        <f aca="false">IFERROR(INDEX(RT_OMR,MATCH(L547,RT_K,1)),INDEX(RT_OMR,1))</f>
        <v>1.25</v>
      </c>
      <c r="O547" s="26" t="n">
        <f aca="false">IFERROR(INDEX(RT_OT,MATCH(L547,RT_K,1)),INDEX(RT_OT,1))</f>
        <v>1.5</v>
      </c>
      <c r="P547" s="26" t="n">
        <f aca="false">IFERROR(INDEX(RT_GYP,MATCH(L547,RT_K,1)),INDEX(RT_GYP,1))</f>
        <v>2.5</v>
      </c>
      <c r="R547" s="0" t="n">
        <v>46</v>
      </c>
      <c r="S547" s="0" t="n">
        <v>46</v>
      </c>
    </row>
    <row r="548" customFormat="false" ht="25.5" hidden="false" customHeight="true" outlineLevel="0" collapsed="false">
      <c r="A548" s="27" t="s">
        <v>22</v>
      </c>
      <c r="B548" s="27" t="s">
        <v>23</v>
      </c>
      <c r="C548" s="27" t="s">
        <v>24</v>
      </c>
      <c r="D548" s="27" t="s">
        <v>25</v>
      </c>
      <c r="E548" s="27" t="s">
        <v>26</v>
      </c>
      <c r="F548" s="27" t="s">
        <v>27</v>
      </c>
      <c r="G548" s="27" t="s">
        <v>28</v>
      </c>
      <c r="H548" s="27" t="s">
        <v>29</v>
      </c>
      <c r="I548" s="27" t="s">
        <v>30</v>
      </c>
      <c r="S548" s="0" t="n">
        <v>46</v>
      </c>
    </row>
    <row r="549" customFormat="false" ht="15" hidden="false" customHeight="false" outlineLevel="0" collapsed="false">
      <c r="A549" s="28" t="n">
        <f aca="false">IF(46&lt;=NW,SAT1+315,"")</f>
        <v>46333</v>
      </c>
      <c r="B549" s="29" t="str">
        <f aca="false">IF(A549="","",CHOOSE(WEEKDAY(A549,1),"الأحد","الاثنين","الثلاثاء","الأربعاء","الخميس","الجمعة","السبت"))</f>
        <v>السبت</v>
      </c>
      <c r="C549" s="30"/>
      <c r="D549" s="30"/>
      <c r="E549" s="31" t="str">
        <f aca="false">IF(OR(M549=0,K549="",L549=""),"",MOD(L549-K549,1))</f>
        <v/>
      </c>
      <c r="F549" s="31" t="str">
        <f aca="false">IF(OR(E549="",M549=0),"",IF(WEEKDAY(A549,1)=6,E549,MIN(E549,MAX(0,MIN(IF(L549&lt;K549,L549+1,L549),OMR_OT_AT)-K549))))</f>
        <v/>
      </c>
      <c r="G549" s="31" t="str">
        <f aca="false">IF(OR(E549="",M549=0),"",MAX(0,E549-F549))</f>
        <v/>
      </c>
      <c r="H549" s="32" t="str">
        <f aca="false">IF(OR(E549="",M549=0),"",ROUND((F549*$N$547+G549*$O$547)*24,3))</f>
        <v/>
      </c>
      <c r="I549" s="30"/>
      <c r="K549" s="33" t="str">
        <f aca="false">IF(OR(M549=0,C549=""),"",IF(ISNUMBER(C549),MOD(C549,1),IFERROR(INDEX(القوائم!$B$1:$B$288,MATCH(TRIM(C549),القوائم!$A$1:$A$288,0)),IFERROR(MOD(TIMEVALUE(C549),1),""))))</f>
        <v/>
      </c>
      <c r="L549" s="33" t="str">
        <f aca="false">IF(OR(M549=0,D549=""),"",IF(ISNUMBER(D549),MOD(D549,1),IFERROR(INDEX(القوائم!$B$1:$B$288,MATCH(TRIM(D549),القوائم!$A$1:$A$288,0)),IFERROR(MOD(TIMEVALUE(D549),1),""))))</f>
        <v/>
      </c>
      <c r="M549" s="25" t="n">
        <f aca="false">M547</f>
        <v>1</v>
      </c>
      <c r="Q549" s="25" t="n">
        <f aca="false">IF(N(G558)&gt;0,1,0)</f>
        <v>0</v>
      </c>
      <c r="S549" s="0" t="n">
        <v>46</v>
      </c>
    </row>
    <row r="550" customFormat="false" ht="15" hidden="false" customHeight="false" outlineLevel="0" collapsed="false">
      <c r="A550" s="28" t="n">
        <f aca="false">IF(46&lt;=NW,SAT1+316,"")</f>
        <v>46334</v>
      </c>
      <c r="B550" s="29" t="str">
        <f aca="false">IF(A550="","",CHOOSE(WEEKDAY(A550,1),"الأحد","الاثنين","الثلاثاء","الأربعاء","الخميس","الجمعة","السبت"))</f>
        <v>الأحد</v>
      </c>
      <c r="C550" s="30"/>
      <c r="D550" s="30"/>
      <c r="E550" s="31" t="str">
        <f aca="false">IF(OR(M550=0,K550="",L550=""),"",MOD(L550-K550,1))</f>
        <v/>
      </c>
      <c r="F550" s="31" t="str">
        <f aca="false">IF(OR(E550="",M550=0),"",IF(WEEKDAY(A550,1)=6,E550,MIN(E550,MAX(0,MIN(IF(L550&lt;K550,L550+1,L550),OMR_OT_AT)-K550))))</f>
        <v/>
      </c>
      <c r="G550" s="31" t="str">
        <f aca="false">IF(OR(E550="",M550=0),"",MAX(0,E550-F550))</f>
        <v/>
      </c>
      <c r="H550" s="32" t="str">
        <f aca="false">IF(OR(E550="",M550=0),"",ROUND((F550*$N$547+G550*$O$547)*24,3))</f>
        <v/>
      </c>
      <c r="I550" s="30"/>
      <c r="K550" s="33" t="str">
        <f aca="false">IF(OR(M550=0,C550=""),"",IF(ISNUMBER(C550),MOD(C550,1),IFERROR(INDEX(القوائم!$B$1:$B$288,MATCH(TRIM(C550),القوائم!$A$1:$A$288,0)),IFERROR(MOD(TIMEVALUE(C550),1),""))))</f>
        <v/>
      </c>
      <c r="L550" s="33" t="str">
        <f aca="false">IF(OR(M550=0,D550=""),"",IF(ISNUMBER(D550),MOD(D550,1),IFERROR(INDEX(القوائم!$B$1:$B$288,MATCH(TRIM(D550),القوائم!$A$1:$A$288,0)),IFERROR(MOD(TIMEVALUE(D550),1),""))))</f>
        <v/>
      </c>
      <c r="M550" s="25" t="n">
        <f aca="false">M547</f>
        <v>1</v>
      </c>
      <c r="Q550" s="25" t="n">
        <f aca="false">IF(N(G558)&gt;0,1,0)</f>
        <v>0</v>
      </c>
      <c r="S550" s="0" t="n">
        <v>46</v>
      </c>
    </row>
    <row r="551" customFormat="false" ht="15" hidden="false" customHeight="false" outlineLevel="0" collapsed="false">
      <c r="A551" s="28" t="n">
        <f aca="false">IF(46&lt;=NW,SAT1+317,"")</f>
        <v>46335</v>
      </c>
      <c r="B551" s="29" t="str">
        <f aca="false">IF(A551="","",CHOOSE(WEEKDAY(A551,1),"الأحد","الاثنين","الثلاثاء","الأربعاء","الخميس","الجمعة","السبت"))</f>
        <v>الاثنين</v>
      </c>
      <c r="C551" s="30"/>
      <c r="D551" s="30"/>
      <c r="E551" s="31" t="str">
        <f aca="false">IF(OR(M551=0,K551="",L551=""),"",MOD(L551-K551,1))</f>
        <v/>
      </c>
      <c r="F551" s="31" t="str">
        <f aca="false">IF(OR(E551="",M551=0),"",IF(WEEKDAY(A551,1)=6,E551,MIN(E551,MAX(0,MIN(IF(L551&lt;K551,L551+1,L551),OMR_OT_AT)-K551))))</f>
        <v/>
      </c>
      <c r="G551" s="31" t="str">
        <f aca="false">IF(OR(E551="",M551=0),"",MAX(0,E551-F551))</f>
        <v/>
      </c>
      <c r="H551" s="32" t="str">
        <f aca="false">IF(OR(E551="",M551=0),"",ROUND((F551*$N$547+G551*$O$547)*24,3))</f>
        <v/>
      </c>
      <c r="I551" s="30"/>
      <c r="K551" s="33" t="str">
        <f aca="false">IF(OR(M551=0,C551=""),"",IF(ISNUMBER(C551),MOD(C551,1),IFERROR(INDEX(القوائم!$B$1:$B$288,MATCH(TRIM(C551),القوائم!$A$1:$A$288,0)),IFERROR(MOD(TIMEVALUE(C551),1),""))))</f>
        <v/>
      </c>
      <c r="L551" s="33" t="str">
        <f aca="false">IF(OR(M551=0,D551=""),"",IF(ISNUMBER(D551),MOD(D551,1),IFERROR(INDEX(القوائم!$B$1:$B$288,MATCH(TRIM(D551),القوائم!$A$1:$A$288,0)),IFERROR(MOD(TIMEVALUE(D551),1),""))))</f>
        <v/>
      </c>
      <c r="M551" s="25" t="n">
        <f aca="false">M547</f>
        <v>1</v>
      </c>
      <c r="Q551" s="25" t="n">
        <f aca="false">IF(N(G558)&gt;0,1,0)</f>
        <v>0</v>
      </c>
      <c r="S551" s="0" t="n">
        <v>46</v>
      </c>
    </row>
    <row r="552" customFormat="false" ht="15" hidden="false" customHeight="false" outlineLevel="0" collapsed="false">
      <c r="A552" s="28" t="n">
        <f aca="false">IF(46&lt;=NW,SAT1+318,"")</f>
        <v>46336</v>
      </c>
      <c r="B552" s="29" t="str">
        <f aca="false">IF(A552="","",CHOOSE(WEEKDAY(A552,1),"الأحد","الاثنين","الثلاثاء","الأربعاء","الخميس","الجمعة","السبت"))</f>
        <v>الثلاثاء</v>
      </c>
      <c r="C552" s="30"/>
      <c r="D552" s="30"/>
      <c r="E552" s="31" t="str">
        <f aca="false">IF(OR(M552=0,K552="",L552=""),"",MOD(L552-K552,1))</f>
        <v/>
      </c>
      <c r="F552" s="31" t="str">
        <f aca="false">IF(OR(E552="",M552=0),"",IF(WEEKDAY(A552,1)=6,E552,MIN(E552,MAX(0,MIN(IF(L552&lt;K552,L552+1,L552),OMR_OT_AT)-K552))))</f>
        <v/>
      </c>
      <c r="G552" s="31" t="str">
        <f aca="false">IF(OR(E552="",M552=0),"",MAX(0,E552-F552))</f>
        <v/>
      </c>
      <c r="H552" s="32" t="str">
        <f aca="false">IF(OR(E552="",M552=0),"",ROUND((F552*$N$547+G552*$O$547)*24,3))</f>
        <v/>
      </c>
      <c r="I552" s="30"/>
      <c r="K552" s="33" t="str">
        <f aca="false">IF(OR(M552=0,C552=""),"",IF(ISNUMBER(C552),MOD(C552,1),IFERROR(INDEX(القوائم!$B$1:$B$288,MATCH(TRIM(C552),القوائم!$A$1:$A$288,0)),IFERROR(MOD(TIMEVALUE(C552),1),""))))</f>
        <v/>
      </c>
      <c r="L552" s="33" t="str">
        <f aca="false">IF(OR(M552=0,D552=""),"",IF(ISNUMBER(D552),MOD(D552,1),IFERROR(INDEX(القوائم!$B$1:$B$288,MATCH(TRIM(D552),القوائم!$A$1:$A$288,0)),IFERROR(MOD(TIMEVALUE(D552),1),""))))</f>
        <v/>
      </c>
      <c r="M552" s="25" t="n">
        <f aca="false">M547</f>
        <v>1</v>
      </c>
      <c r="Q552" s="25" t="n">
        <f aca="false">IF(N(G558)&gt;0,1,0)</f>
        <v>0</v>
      </c>
      <c r="S552" s="0" t="n">
        <v>46</v>
      </c>
    </row>
    <row r="553" customFormat="false" ht="15" hidden="false" customHeight="false" outlineLevel="0" collapsed="false">
      <c r="A553" s="28" t="n">
        <f aca="false">IF(46&lt;=NW,SAT1+319,"")</f>
        <v>46337</v>
      </c>
      <c r="B553" s="29" t="str">
        <f aca="false">IF(A553="","",CHOOSE(WEEKDAY(A553,1),"الأحد","الاثنين","الثلاثاء","الأربعاء","الخميس","الجمعة","السبت"))</f>
        <v>الأربعاء</v>
      </c>
      <c r="C553" s="30"/>
      <c r="D553" s="30"/>
      <c r="E553" s="31" t="str">
        <f aca="false">IF(OR(M553=0,K553="",L553=""),"",MOD(L553-K553,1))</f>
        <v/>
      </c>
      <c r="F553" s="31" t="str">
        <f aca="false">IF(OR(E553="",M553=0),"",IF(WEEKDAY(A553,1)=6,E553,MIN(E553,MAX(0,MIN(IF(L553&lt;K553,L553+1,L553),OMR_OT_AT)-K553))))</f>
        <v/>
      </c>
      <c r="G553" s="31" t="str">
        <f aca="false">IF(OR(E553="",M553=0),"",MAX(0,E553-F553))</f>
        <v/>
      </c>
      <c r="H553" s="32" t="str">
        <f aca="false">IF(OR(E553="",M553=0),"",ROUND((F553*$N$547+G553*$O$547)*24,3))</f>
        <v/>
      </c>
      <c r="I553" s="30"/>
      <c r="K553" s="33" t="str">
        <f aca="false">IF(OR(M553=0,C553=""),"",IF(ISNUMBER(C553),MOD(C553,1),IFERROR(INDEX(القوائم!$B$1:$B$288,MATCH(TRIM(C553),القوائم!$A$1:$A$288,0)),IFERROR(MOD(TIMEVALUE(C553),1),""))))</f>
        <v/>
      </c>
      <c r="L553" s="33" t="str">
        <f aca="false">IF(OR(M553=0,D553=""),"",IF(ISNUMBER(D553),MOD(D553,1),IFERROR(INDEX(القوائم!$B$1:$B$288,MATCH(TRIM(D553),القوائم!$A$1:$A$288,0)),IFERROR(MOD(TIMEVALUE(D553),1),""))))</f>
        <v/>
      </c>
      <c r="M553" s="25" t="n">
        <f aca="false">M547</f>
        <v>1</v>
      </c>
      <c r="Q553" s="25" t="n">
        <f aca="false">IF(N(G558)&gt;0,1,0)</f>
        <v>0</v>
      </c>
      <c r="S553" s="0" t="n">
        <v>46</v>
      </c>
    </row>
    <row r="554" customFormat="false" ht="15" hidden="false" customHeight="false" outlineLevel="0" collapsed="false">
      <c r="A554" s="28" t="n">
        <f aca="false">IF(46&lt;=NW,SAT1+320,"")</f>
        <v>46338</v>
      </c>
      <c r="B554" s="29" t="str">
        <f aca="false">IF(A554="","",CHOOSE(WEEKDAY(A554,1),"الأحد","الاثنين","الثلاثاء","الأربعاء","الخميس","الجمعة","السبت"))</f>
        <v>الخميس</v>
      </c>
      <c r="C554" s="30"/>
      <c r="D554" s="30"/>
      <c r="E554" s="31" t="str">
        <f aca="false">IF(OR(M554=0,K554="",L554=""),"",MOD(L554-K554,1))</f>
        <v/>
      </c>
      <c r="F554" s="31" t="str">
        <f aca="false">IF(OR(E554="",M554=0),"",IF(WEEKDAY(A554,1)=6,E554,MIN(E554,MAX(0,MIN(IF(L554&lt;K554,L554+1,L554),OMR_OT_AT)-K554))))</f>
        <v/>
      </c>
      <c r="G554" s="31" t="str">
        <f aca="false">IF(OR(E554="",M554=0),"",MAX(0,E554-F554))</f>
        <v/>
      </c>
      <c r="H554" s="32" t="str">
        <f aca="false">IF(OR(E554="",M554=0),"",ROUND((F554*$N$547+G554*$O$547)*24,3))</f>
        <v/>
      </c>
      <c r="I554" s="30"/>
      <c r="K554" s="33" t="str">
        <f aca="false">IF(OR(M554=0,C554=""),"",IF(ISNUMBER(C554),MOD(C554,1),IFERROR(INDEX(القوائم!$B$1:$B$288,MATCH(TRIM(C554),القوائم!$A$1:$A$288,0)),IFERROR(MOD(TIMEVALUE(C554),1),""))))</f>
        <v/>
      </c>
      <c r="L554" s="33" t="str">
        <f aca="false">IF(OR(M554=0,D554=""),"",IF(ISNUMBER(D554),MOD(D554,1),IFERROR(INDEX(القوائم!$B$1:$B$288,MATCH(TRIM(D554),القوائم!$A$1:$A$288,0)),IFERROR(MOD(TIMEVALUE(D554),1),""))))</f>
        <v/>
      </c>
      <c r="M554" s="25" t="n">
        <f aca="false">M547</f>
        <v>1</v>
      </c>
      <c r="Q554" s="25" t="n">
        <f aca="false">IF(N(G558)&gt;0,1,0)</f>
        <v>0</v>
      </c>
      <c r="S554" s="0" t="n">
        <v>46</v>
      </c>
    </row>
    <row r="555" customFormat="false" ht="15" hidden="false" customHeight="false" outlineLevel="0" collapsed="false">
      <c r="A555" s="34" t="n">
        <f aca="false">IF(46&lt;=NW,SAT1+321,"")</f>
        <v>46339</v>
      </c>
      <c r="B555" s="35" t="str">
        <f aca="false">IF(A555="","",CHOOSE(WEEKDAY(A555,1),"الأحد","الاثنين","الثلاثاء","الأربعاء","الخميس","الجمعة","السبت"))</f>
        <v>الجمعة</v>
      </c>
      <c r="C555" s="30"/>
      <c r="D555" s="30"/>
      <c r="E555" s="31" t="str">
        <f aca="false">IF(OR(M555=0,K555="",L555=""),"",MOD(L555-K555,1))</f>
        <v/>
      </c>
      <c r="F555" s="31" t="str">
        <f aca="false">IF(OR(E555="",M555=0),"",IF(WEEKDAY(A555,1)=6,E555,MIN(E555,MAX(0,MIN(IF(L555&lt;K555,L555+1,L555),OMR_OT_AT)-K555))))</f>
        <v/>
      </c>
      <c r="G555" s="31" t="str">
        <f aca="false">IF(OR(E555="",M555=0),"",MAX(0,E555-F555))</f>
        <v/>
      </c>
      <c r="H555" s="32" t="str">
        <f aca="false">IF(OR(E555="",M555=0),"",ROUND((F555*$N$547+G555*$O$547)*24,3))</f>
        <v/>
      </c>
      <c r="I555" s="30"/>
      <c r="K555" s="33" t="str">
        <f aca="false">IF(OR(M555=0,C555=""),"",IF(ISNUMBER(C555),MOD(C555,1),IFERROR(INDEX(القوائم!$B$1:$B$288,MATCH(TRIM(C555),القوائم!$A$1:$A$288,0)),IFERROR(MOD(TIMEVALUE(C555),1),""))))</f>
        <v/>
      </c>
      <c r="L555" s="33" t="str">
        <f aca="false">IF(OR(M555=0,D555=""),"",IF(ISNUMBER(D555),MOD(D555,1),IFERROR(INDEX(القوائم!$B$1:$B$288,MATCH(TRIM(D555),القوائم!$A$1:$A$288,0)),IFERROR(MOD(TIMEVALUE(D555),1),""))))</f>
        <v/>
      </c>
      <c r="M555" s="25" t="n">
        <f aca="false">M547</f>
        <v>1</v>
      </c>
      <c r="Q555" s="25" t="n">
        <f aca="false">IF(N(G558)&gt;0,1,0)</f>
        <v>0</v>
      </c>
      <c r="S555" s="0" t="n">
        <v>46</v>
      </c>
    </row>
    <row r="556" customFormat="false" ht="15" hidden="false" customHeight="false" outlineLevel="0" collapsed="false">
      <c r="A556" s="36" t="str">
        <f aca="false">IF(M547=1,"مجموع أيام الأسبوع 46","")</f>
        <v>مجموع أيام الأسبوع 46</v>
      </c>
      <c r="B556" s="36"/>
      <c r="C556" s="36"/>
      <c r="D556" s="36"/>
      <c r="E556" s="37" t="n">
        <f aca="false">IF(M547=1,SUM(E549:E555),"")</f>
        <v>0</v>
      </c>
      <c r="F556" s="37" t="n">
        <f aca="false">IF(M547=1,SUM(F549:F555),"")</f>
        <v>0</v>
      </c>
      <c r="G556" s="37" t="n">
        <f aca="false">IF(M547=1,SUM(G549:G555),"")</f>
        <v>0</v>
      </c>
      <c r="H556" s="38" t="n">
        <f aca="false">IF(M547=1,SUM(H549:H555),"")</f>
        <v>0</v>
      </c>
      <c r="I556" s="36"/>
      <c r="S556" s="0" t="n">
        <v>46</v>
      </c>
    </row>
    <row r="557" customFormat="false" ht="31.5" hidden="false" customHeight="true" outlineLevel="0" collapsed="false">
      <c r="A557" s="39" t="str">
        <f aca="false">IF(M547=1,"ساعات تحميل الجبسمبورد بهالأسبوع (رقم: 2 أو 1.5) ←","")</f>
        <v>ساعات تحميل الجبسمبورد بهالأسبوع (رقم: 2 أو 1.5) ←</v>
      </c>
      <c r="B557" s="39"/>
      <c r="C557" s="39"/>
      <c r="D557" s="39"/>
      <c r="E557" s="40"/>
      <c r="F557" s="41" t="str">
        <f aca="false">IF(M547=1,"المستحق النهائي للأسبوع مع الإكرامية (دينار) ←","")</f>
        <v>المستحق النهائي للأسبوع مع الإكرامية (دينار) ←</v>
      </c>
      <c r="G557" s="41"/>
      <c r="H557" s="42" t="n">
        <f aca="false">IF(M547=1,IF(ROUND_MODE="للأعلى",CEILING(ROUND((N(H556)+N(E557)*($P$547-$N$547)),3),0.25),ROUND((N(H556)+N(E557)*($P$547-$N$547))*4,0)/4)+N(D558),"")</f>
        <v>0</v>
      </c>
      <c r="I557" s="43" t="str">
        <f aca="false">IF(M547=1,"قبل الجبر: "&amp;TEXT(N(H556)+N(E557)*($P$547-$N$547),"0.000")&amp;IF(N(D558)&gt;0," + إكرامية "&amp;TEXT(D558,"0.000"),""),"")</f>
        <v>قبل الجبر: 0.000</v>
      </c>
      <c r="S557" s="0" t="n">
        <v>46</v>
      </c>
    </row>
    <row r="558" customFormat="false" ht="25.5" hidden="false" customHeight="true" outlineLevel="0" collapsed="false">
      <c r="A558" s="39" t="str">
        <f aca="false">IF(M547=1,"إكرامية الأسبوع (دينار) ←","")</f>
        <v>إكرامية الأسبوع (دينار) ←</v>
      </c>
      <c r="B558" s="39"/>
      <c r="C558" s="39"/>
      <c r="D558" s="44"/>
      <c r="E558" s="39" t="str">
        <f aca="false">IF(M547=1,"المدفوع (دينار) ←","")</f>
        <v>المدفوع (دينار) ←</v>
      </c>
      <c r="F558" s="39"/>
      <c r="G558" s="44"/>
      <c r="H558" s="45" t="str">
        <f aca="false">IF(M547=1,IF(N(G558)&gt;0,"✔ انقبض — الأسبوع مقفول","⏳ لسا ما انقبض"),"")</f>
        <v>⏳ لسا ما انقبض</v>
      </c>
      <c r="I558" s="45"/>
      <c r="S558" s="0" t="n">
        <v>46</v>
      </c>
    </row>
    <row r="559" customFormat="false" ht="27.75" hidden="false" customHeight="true" outlineLevel="0" collapsed="false">
      <c r="A559" s="23" t="str">
        <f aca="false">IF(47&lt;=NW,"من السبت "&amp;TEXT(DAY(SAT1+322),"00")&amp;"/"&amp;TEXT(MONTH(SAT1+322),"00")&amp;"/"&amp;YEAR(SAT1+322)&amp;" إلى الجمعة "&amp;TEXT(DAY(SAT1+328),"00")&amp;"/"&amp;TEXT(MONTH(SAT1+328),"00")&amp;"/"&amp;YEAR(SAT1+328)&amp;" · الأسبوع 47"&amp;"  (يوم القبض: الجمعة)"&amp;IF(47&lt;START_O,"   — قبل أسبوع البداية (ما بينحسب)",""),"ما في أسبوع 47 هالسنة")</f>
        <v>من السبت 14/11/2026 إلى الجمعة 20/11/2026 · الأسبوع 47  (يوم القبض: الجمعة)</v>
      </c>
      <c r="B559" s="23"/>
      <c r="C559" s="23"/>
      <c r="D559" s="23"/>
      <c r="E559" s="23"/>
      <c r="F559" s="23"/>
      <c r="G559" s="23"/>
      <c r="H559" s="23"/>
      <c r="I559" s="23"/>
      <c r="L559" s="24" t="n">
        <f aca="false">IF(47&lt;=NW,SAT1+328,"")</f>
        <v>46346</v>
      </c>
      <c r="M559" s="25" t="n">
        <f aca="false">IF(AND(47&lt;=NW,47&gt;=START_O),1,0)</f>
        <v>1</v>
      </c>
      <c r="N559" s="26" t="n">
        <f aca="false">IFERROR(INDEX(RT_OMR,MATCH(L559,RT_K,1)),INDEX(RT_OMR,1))</f>
        <v>1.25</v>
      </c>
      <c r="O559" s="26" t="n">
        <f aca="false">IFERROR(INDEX(RT_OT,MATCH(L559,RT_K,1)),INDEX(RT_OT,1))</f>
        <v>1.5</v>
      </c>
      <c r="P559" s="26" t="n">
        <f aca="false">IFERROR(INDEX(RT_GYP,MATCH(L559,RT_K,1)),INDEX(RT_GYP,1))</f>
        <v>2.5</v>
      </c>
      <c r="R559" s="0" t="n">
        <v>47</v>
      </c>
      <c r="S559" s="0" t="n">
        <v>47</v>
      </c>
    </row>
    <row r="560" customFormat="false" ht="25.5" hidden="false" customHeight="true" outlineLevel="0" collapsed="false">
      <c r="A560" s="27" t="s">
        <v>22</v>
      </c>
      <c r="B560" s="27" t="s">
        <v>23</v>
      </c>
      <c r="C560" s="27" t="s">
        <v>24</v>
      </c>
      <c r="D560" s="27" t="s">
        <v>25</v>
      </c>
      <c r="E560" s="27" t="s">
        <v>26</v>
      </c>
      <c r="F560" s="27" t="s">
        <v>27</v>
      </c>
      <c r="G560" s="27" t="s">
        <v>28</v>
      </c>
      <c r="H560" s="27" t="s">
        <v>29</v>
      </c>
      <c r="I560" s="27" t="s">
        <v>30</v>
      </c>
      <c r="S560" s="0" t="n">
        <v>47</v>
      </c>
    </row>
    <row r="561" customFormat="false" ht="15" hidden="false" customHeight="false" outlineLevel="0" collapsed="false">
      <c r="A561" s="28" t="n">
        <f aca="false">IF(47&lt;=NW,SAT1+322,"")</f>
        <v>46340</v>
      </c>
      <c r="B561" s="29" t="str">
        <f aca="false">IF(A561="","",CHOOSE(WEEKDAY(A561,1),"الأحد","الاثنين","الثلاثاء","الأربعاء","الخميس","الجمعة","السبت"))</f>
        <v>السبت</v>
      </c>
      <c r="C561" s="30"/>
      <c r="D561" s="30"/>
      <c r="E561" s="31" t="str">
        <f aca="false">IF(OR(M561=0,K561="",L561=""),"",MOD(L561-K561,1))</f>
        <v/>
      </c>
      <c r="F561" s="31" t="str">
        <f aca="false">IF(OR(E561="",M561=0),"",IF(WEEKDAY(A561,1)=6,E561,MIN(E561,MAX(0,MIN(IF(L561&lt;K561,L561+1,L561),OMR_OT_AT)-K561))))</f>
        <v/>
      </c>
      <c r="G561" s="31" t="str">
        <f aca="false">IF(OR(E561="",M561=0),"",MAX(0,E561-F561))</f>
        <v/>
      </c>
      <c r="H561" s="32" t="str">
        <f aca="false">IF(OR(E561="",M561=0),"",ROUND((F561*$N$559+G561*$O$559)*24,3))</f>
        <v/>
      </c>
      <c r="I561" s="30"/>
      <c r="K561" s="33" t="str">
        <f aca="false">IF(OR(M561=0,C561=""),"",IF(ISNUMBER(C561),MOD(C561,1),IFERROR(INDEX(القوائم!$B$1:$B$288,MATCH(TRIM(C561),القوائم!$A$1:$A$288,0)),IFERROR(MOD(TIMEVALUE(C561),1),""))))</f>
        <v/>
      </c>
      <c r="L561" s="33" t="str">
        <f aca="false">IF(OR(M561=0,D561=""),"",IF(ISNUMBER(D561),MOD(D561,1),IFERROR(INDEX(القوائم!$B$1:$B$288,MATCH(TRIM(D561),القوائم!$A$1:$A$288,0)),IFERROR(MOD(TIMEVALUE(D561),1),""))))</f>
        <v/>
      </c>
      <c r="M561" s="25" t="n">
        <f aca="false">M559</f>
        <v>1</v>
      </c>
      <c r="Q561" s="25" t="n">
        <f aca="false">IF(N(G570)&gt;0,1,0)</f>
        <v>0</v>
      </c>
      <c r="S561" s="0" t="n">
        <v>47</v>
      </c>
    </row>
    <row r="562" customFormat="false" ht="15" hidden="false" customHeight="false" outlineLevel="0" collapsed="false">
      <c r="A562" s="28" t="n">
        <f aca="false">IF(47&lt;=NW,SAT1+323,"")</f>
        <v>46341</v>
      </c>
      <c r="B562" s="29" t="str">
        <f aca="false">IF(A562="","",CHOOSE(WEEKDAY(A562,1),"الأحد","الاثنين","الثلاثاء","الأربعاء","الخميس","الجمعة","السبت"))</f>
        <v>الأحد</v>
      </c>
      <c r="C562" s="30"/>
      <c r="D562" s="30"/>
      <c r="E562" s="31" t="str">
        <f aca="false">IF(OR(M562=0,K562="",L562=""),"",MOD(L562-K562,1))</f>
        <v/>
      </c>
      <c r="F562" s="31" t="str">
        <f aca="false">IF(OR(E562="",M562=0),"",IF(WEEKDAY(A562,1)=6,E562,MIN(E562,MAX(0,MIN(IF(L562&lt;K562,L562+1,L562),OMR_OT_AT)-K562))))</f>
        <v/>
      </c>
      <c r="G562" s="31" t="str">
        <f aca="false">IF(OR(E562="",M562=0),"",MAX(0,E562-F562))</f>
        <v/>
      </c>
      <c r="H562" s="32" t="str">
        <f aca="false">IF(OR(E562="",M562=0),"",ROUND((F562*$N$559+G562*$O$559)*24,3))</f>
        <v/>
      </c>
      <c r="I562" s="30"/>
      <c r="K562" s="33" t="str">
        <f aca="false">IF(OR(M562=0,C562=""),"",IF(ISNUMBER(C562),MOD(C562,1),IFERROR(INDEX(القوائم!$B$1:$B$288,MATCH(TRIM(C562),القوائم!$A$1:$A$288,0)),IFERROR(MOD(TIMEVALUE(C562),1),""))))</f>
        <v/>
      </c>
      <c r="L562" s="33" t="str">
        <f aca="false">IF(OR(M562=0,D562=""),"",IF(ISNUMBER(D562),MOD(D562,1),IFERROR(INDEX(القوائم!$B$1:$B$288,MATCH(TRIM(D562),القوائم!$A$1:$A$288,0)),IFERROR(MOD(TIMEVALUE(D562),1),""))))</f>
        <v/>
      </c>
      <c r="M562" s="25" t="n">
        <f aca="false">M559</f>
        <v>1</v>
      </c>
      <c r="Q562" s="25" t="n">
        <f aca="false">IF(N(G570)&gt;0,1,0)</f>
        <v>0</v>
      </c>
      <c r="S562" s="0" t="n">
        <v>47</v>
      </c>
    </row>
    <row r="563" customFormat="false" ht="15" hidden="false" customHeight="false" outlineLevel="0" collapsed="false">
      <c r="A563" s="28" t="n">
        <f aca="false">IF(47&lt;=NW,SAT1+324,"")</f>
        <v>46342</v>
      </c>
      <c r="B563" s="29" t="str">
        <f aca="false">IF(A563="","",CHOOSE(WEEKDAY(A563,1),"الأحد","الاثنين","الثلاثاء","الأربعاء","الخميس","الجمعة","السبت"))</f>
        <v>الاثنين</v>
      </c>
      <c r="C563" s="30"/>
      <c r="D563" s="30"/>
      <c r="E563" s="31" t="str">
        <f aca="false">IF(OR(M563=0,K563="",L563=""),"",MOD(L563-K563,1))</f>
        <v/>
      </c>
      <c r="F563" s="31" t="str">
        <f aca="false">IF(OR(E563="",M563=0),"",IF(WEEKDAY(A563,1)=6,E563,MIN(E563,MAX(0,MIN(IF(L563&lt;K563,L563+1,L563),OMR_OT_AT)-K563))))</f>
        <v/>
      </c>
      <c r="G563" s="31" t="str">
        <f aca="false">IF(OR(E563="",M563=0),"",MAX(0,E563-F563))</f>
        <v/>
      </c>
      <c r="H563" s="32" t="str">
        <f aca="false">IF(OR(E563="",M563=0),"",ROUND((F563*$N$559+G563*$O$559)*24,3))</f>
        <v/>
      </c>
      <c r="I563" s="30"/>
      <c r="K563" s="33" t="str">
        <f aca="false">IF(OR(M563=0,C563=""),"",IF(ISNUMBER(C563),MOD(C563,1),IFERROR(INDEX(القوائم!$B$1:$B$288,MATCH(TRIM(C563),القوائم!$A$1:$A$288,0)),IFERROR(MOD(TIMEVALUE(C563),1),""))))</f>
        <v/>
      </c>
      <c r="L563" s="33" t="str">
        <f aca="false">IF(OR(M563=0,D563=""),"",IF(ISNUMBER(D563),MOD(D563,1),IFERROR(INDEX(القوائم!$B$1:$B$288,MATCH(TRIM(D563),القوائم!$A$1:$A$288,0)),IFERROR(MOD(TIMEVALUE(D563),1),""))))</f>
        <v/>
      </c>
      <c r="M563" s="25" t="n">
        <f aca="false">M559</f>
        <v>1</v>
      </c>
      <c r="Q563" s="25" t="n">
        <f aca="false">IF(N(G570)&gt;0,1,0)</f>
        <v>0</v>
      </c>
      <c r="S563" s="0" t="n">
        <v>47</v>
      </c>
    </row>
    <row r="564" customFormat="false" ht="15" hidden="false" customHeight="false" outlineLevel="0" collapsed="false">
      <c r="A564" s="28" t="n">
        <f aca="false">IF(47&lt;=NW,SAT1+325,"")</f>
        <v>46343</v>
      </c>
      <c r="B564" s="29" t="str">
        <f aca="false">IF(A564="","",CHOOSE(WEEKDAY(A564,1),"الأحد","الاثنين","الثلاثاء","الأربعاء","الخميس","الجمعة","السبت"))</f>
        <v>الثلاثاء</v>
      </c>
      <c r="C564" s="30"/>
      <c r="D564" s="30"/>
      <c r="E564" s="31" t="str">
        <f aca="false">IF(OR(M564=0,K564="",L564=""),"",MOD(L564-K564,1))</f>
        <v/>
      </c>
      <c r="F564" s="31" t="str">
        <f aca="false">IF(OR(E564="",M564=0),"",IF(WEEKDAY(A564,1)=6,E564,MIN(E564,MAX(0,MIN(IF(L564&lt;K564,L564+1,L564),OMR_OT_AT)-K564))))</f>
        <v/>
      </c>
      <c r="G564" s="31" t="str">
        <f aca="false">IF(OR(E564="",M564=0),"",MAX(0,E564-F564))</f>
        <v/>
      </c>
      <c r="H564" s="32" t="str">
        <f aca="false">IF(OR(E564="",M564=0),"",ROUND((F564*$N$559+G564*$O$559)*24,3))</f>
        <v/>
      </c>
      <c r="I564" s="30"/>
      <c r="K564" s="33" t="str">
        <f aca="false">IF(OR(M564=0,C564=""),"",IF(ISNUMBER(C564),MOD(C564,1),IFERROR(INDEX(القوائم!$B$1:$B$288,MATCH(TRIM(C564),القوائم!$A$1:$A$288,0)),IFERROR(MOD(TIMEVALUE(C564),1),""))))</f>
        <v/>
      </c>
      <c r="L564" s="33" t="str">
        <f aca="false">IF(OR(M564=0,D564=""),"",IF(ISNUMBER(D564),MOD(D564,1),IFERROR(INDEX(القوائم!$B$1:$B$288,MATCH(TRIM(D564),القوائم!$A$1:$A$288,0)),IFERROR(MOD(TIMEVALUE(D564),1),""))))</f>
        <v/>
      </c>
      <c r="M564" s="25" t="n">
        <f aca="false">M559</f>
        <v>1</v>
      </c>
      <c r="Q564" s="25" t="n">
        <f aca="false">IF(N(G570)&gt;0,1,0)</f>
        <v>0</v>
      </c>
      <c r="S564" s="0" t="n">
        <v>47</v>
      </c>
    </row>
    <row r="565" customFormat="false" ht="15" hidden="false" customHeight="false" outlineLevel="0" collapsed="false">
      <c r="A565" s="28" t="n">
        <f aca="false">IF(47&lt;=NW,SAT1+326,"")</f>
        <v>46344</v>
      </c>
      <c r="B565" s="29" t="str">
        <f aca="false">IF(A565="","",CHOOSE(WEEKDAY(A565,1),"الأحد","الاثنين","الثلاثاء","الأربعاء","الخميس","الجمعة","السبت"))</f>
        <v>الأربعاء</v>
      </c>
      <c r="C565" s="30"/>
      <c r="D565" s="30"/>
      <c r="E565" s="31" t="str">
        <f aca="false">IF(OR(M565=0,K565="",L565=""),"",MOD(L565-K565,1))</f>
        <v/>
      </c>
      <c r="F565" s="31" t="str">
        <f aca="false">IF(OR(E565="",M565=0),"",IF(WEEKDAY(A565,1)=6,E565,MIN(E565,MAX(0,MIN(IF(L565&lt;K565,L565+1,L565),OMR_OT_AT)-K565))))</f>
        <v/>
      </c>
      <c r="G565" s="31" t="str">
        <f aca="false">IF(OR(E565="",M565=0),"",MAX(0,E565-F565))</f>
        <v/>
      </c>
      <c r="H565" s="32" t="str">
        <f aca="false">IF(OR(E565="",M565=0),"",ROUND((F565*$N$559+G565*$O$559)*24,3))</f>
        <v/>
      </c>
      <c r="I565" s="30"/>
      <c r="K565" s="33" t="str">
        <f aca="false">IF(OR(M565=0,C565=""),"",IF(ISNUMBER(C565),MOD(C565,1),IFERROR(INDEX(القوائم!$B$1:$B$288,MATCH(TRIM(C565),القوائم!$A$1:$A$288,0)),IFERROR(MOD(TIMEVALUE(C565),1),""))))</f>
        <v/>
      </c>
      <c r="L565" s="33" t="str">
        <f aca="false">IF(OR(M565=0,D565=""),"",IF(ISNUMBER(D565),MOD(D565,1),IFERROR(INDEX(القوائم!$B$1:$B$288,MATCH(TRIM(D565),القوائم!$A$1:$A$288,0)),IFERROR(MOD(TIMEVALUE(D565),1),""))))</f>
        <v/>
      </c>
      <c r="M565" s="25" t="n">
        <f aca="false">M559</f>
        <v>1</v>
      </c>
      <c r="Q565" s="25" t="n">
        <f aca="false">IF(N(G570)&gt;0,1,0)</f>
        <v>0</v>
      </c>
      <c r="S565" s="0" t="n">
        <v>47</v>
      </c>
    </row>
    <row r="566" customFormat="false" ht="15" hidden="false" customHeight="false" outlineLevel="0" collapsed="false">
      <c r="A566" s="28" t="n">
        <f aca="false">IF(47&lt;=NW,SAT1+327,"")</f>
        <v>46345</v>
      </c>
      <c r="B566" s="29" t="str">
        <f aca="false">IF(A566="","",CHOOSE(WEEKDAY(A566,1),"الأحد","الاثنين","الثلاثاء","الأربعاء","الخميس","الجمعة","السبت"))</f>
        <v>الخميس</v>
      </c>
      <c r="C566" s="30"/>
      <c r="D566" s="30"/>
      <c r="E566" s="31" t="str">
        <f aca="false">IF(OR(M566=0,K566="",L566=""),"",MOD(L566-K566,1))</f>
        <v/>
      </c>
      <c r="F566" s="31" t="str">
        <f aca="false">IF(OR(E566="",M566=0),"",IF(WEEKDAY(A566,1)=6,E566,MIN(E566,MAX(0,MIN(IF(L566&lt;K566,L566+1,L566),OMR_OT_AT)-K566))))</f>
        <v/>
      </c>
      <c r="G566" s="31" t="str">
        <f aca="false">IF(OR(E566="",M566=0),"",MAX(0,E566-F566))</f>
        <v/>
      </c>
      <c r="H566" s="32" t="str">
        <f aca="false">IF(OR(E566="",M566=0),"",ROUND((F566*$N$559+G566*$O$559)*24,3))</f>
        <v/>
      </c>
      <c r="I566" s="30"/>
      <c r="K566" s="33" t="str">
        <f aca="false">IF(OR(M566=0,C566=""),"",IF(ISNUMBER(C566),MOD(C566,1),IFERROR(INDEX(القوائم!$B$1:$B$288,MATCH(TRIM(C566),القوائم!$A$1:$A$288,0)),IFERROR(MOD(TIMEVALUE(C566),1),""))))</f>
        <v/>
      </c>
      <c r="L566" s="33" t="str">
        <f aca="false">IF(OR(M566=0,D566=""),"",IF(ISNUMBER(D566),MOD(D566,1),IFERROR(INDEX(القوائم!$B$1:$B$288,MATCH(TRIM(D566),القوائم!$A$1:$A$288,0)),IFERROR(MOD(TIMEVALUE(D566),1),""))))</f>
        <v/>
      </c>
      <c r="M566" s="25" t="n">
        <f aca="false">M559</f>
        <v>1</v>
      </c>
      <c r="Q566" s="25" t="n">
        <f aca="false">IF(N(G570)&gt;0,1,0)</f>
        <v>0</v>
      </c>
      <c r="S566" s="0" t="n">
        <v>47</v>
      </c>
    </row>
    <row r="567" customFormat="false" ht="15" hidden="false" customHeight="false" outlineLevel="0" collapsed="false">
      <c r="A567" s="34" t="n">
        <f aca="false">IF(47&lt;=NW,SAT1+328,"")</f>
        <v>46346</v>
      </c>
      <c r="B567" s="35" t="str">
        <f aca="false">IF(A567="","",CHOOSE(WEEKDAY(A567,1),"الأحد","الاثنين","الثلاثاء","الأربعاء","الخميس","الجمعة","السبت"))</f>
        <v>الجمعة</v>
      </c>
      <c r="C567" s="30"/>
      <c r="D567" s="30"/>
      <c r="E567" s="31" t="str">
        <f aca="false">IF(OR(M567=0,K567="",L567=""),"",MOD(L567-K567,1))</f>
        <v/>
      </c>
      <c r="F567" s="31" t="str">
        <f aca="false">IF(OR(E567="",M567=0),"",IF(WEEKDAY(A567,1)=6,E567,MIN(E567,MAX(0,MIN(IF(L567&lt;K567,L567+1,L567),OMR_OT_AT)-K567))))</f>
        <v/>
      </c>
      <c r="G567" s="31" t="str">
        <f aca="false">IF(OR(E567="",M567=0),"",MAX(0,E567-F567))</f>
        <v/>
      </c>
      <c r="H567" s="32" t="str">
        <f aca="false">IF(OR(E567="",M567=0),"",ROUND((F567*$N$559+G567*$O$559)*24,3))</f>
        <v/>
      </c>
      <c r="I567" s="30"/>
      <c r="K567" s="33" t="str">
        <f aca="false">IF(OR(M567=0,C567=""),"",IF(ISNUMBER(C567),MOD(C567,1),IFERROR(INDEX(القوائم!$B$1:$B$288,MATCH(TRIM(C567),القوائم!$A$1:$A$288,0)),IFERROR(MOD(TIMEVALUE(C567),1),""))))</f>
        <v/>
      </c>
      <c r="L567" s="33" t="str">
        <f aca="false">IF(OR(M567=0,D567=""),"",IF(ISNUMBER(D567),MOD(D567,1),IFERROR(INDEX(القوائم!$B$1:$B$288,MATCH(TRIM(D567),القوائم!$A$1:$A$288,0)),IFERROR(MOD(TIMEVALUE(D567),1),""))))</f>
        <v/>
      </c>
      <c r="M567" s="25" t="n">
        <f aca="false">M559</f>
        <v>1</v>
      </c>
      <c r="Q567" s="25" t="n">
        <f aca="false">IF(N(G570)&gt;0,1,0)</f>
        <v>0</v>
      </c>
      <c r="S567" s="0" t="n">
        <v>47</v>
      </c>
    </row>
    <row r="568" customFormat="false" ht="15" hidden="false" customHeight="false" outlineLevel="0" collapsed="false">
      <c r="A568" s="36" t="str">
        <f aca="false">IF(M559=1,"مجموع أيام الأسبوع 47","")</f>
        <v>مجموع أيام الأسبوع 47</v>
      </c>
      <c r="B568" s="36"/>
      <c r="C568" s="36"/>
      <c r="D568" s="36"/>
      <c r="E568" s="37" t="n">
        <f aca="false">IF(M559=1,SUM(E561:E567),"")</f>
        <v>0</v>
      </c>
      <c r="F568" s="37" t="n">
        <f aca="false">IF(M559=1,SUM(F561:F567),"")</f>
        <v>0</v>
      </c>
      <c r="G568" s="37" t="n">
        <f aca="false">IF(M559=1,SUM(G561:G567),"")</f>
        <v>0</v>
      </c>
      <c r="H568" s="38" t="n">
        <f aca="false">IF(M559=1,SUM(H561:H567),"")</f>
        <v>0</v>
      </c>
      <c r="I568" s="36"/>
      <c r="S568" s="0" t="n">
        <v>47</v>
      </c>
    </row>
    <row r="569" customFormat="false" ht="31.5" hidden="false" customHeight="true" outlineLevel="0" collapsed="false">
      <c r="A569" s="39" t="str">
        <f aca="false">IF(M559=1,"ساعات تحميل الجبسمبورد بهالأسبوع (رقم: 2 أو 1.5) ←","")</f>
        <v>ساعات تحميل الجبسمبورد بهالأسبوع (رقم: 2 أو 1.5) ←</v>
      </c>
      <c r="B569" s="39"/>
      <c r="C569" s="39"/>
      <c r="D569" s="39"/>
      <c r="E569" s="40"/>
      <c r="F569" s="41" t="str">
        <f aca="false">IF(M559=1,"المستحق النهائي للأسبوع مع الإكرامية (دينار) ←","")</f>
        <v>المستحق النهائي للأسبوع مع الإكرامية (دينار) ←</v>
      </c>
      <c r="G569" s="41"/>
      <c r="H569" s="42" t="n">
        <f aca="false">IF(M559=1,IF(ROUND_MODE="للأعلى",CEILING(ROUND((N(H568)+N(E569)*($P$559-$N$559)),3),0.25),ROUND((N(H568)+N(E569)*($P$559-$N$559))*4,0)/4)+N(D570),"")</f>
        <v>0</v>
      </c>
      <c r="I569" s="43" t="str">
        <f aca="false">IF(M559=1,"قبل الجبر: "&amp;TEXT(N(H568)+N(E569)*($P$559-$N$559),"0.000")&amp;IF(N(D570)&gt;0," + إكرامية "&amp;TEXT(D570,"0.000"),""),"")</f>
        <v>قبل الجبر: 0.000</v>
      </c>
      <c r="S569" s="0" t="n">
        <v>47</v>
      </c>
    </row>
    <row r="570" customFormat="false" ht="25.5" hidden="false" customHeight="true" outlineLevel="0" collapsed="false">
      <c r="A570" s="39" t="str">
        <f aca="false">IF(M559=1,"إكرامية الأسبوع (دينار) ←","")</f>
        <v>إكرامية الأسبوع (دينار) ←</v>
      </c>
      <c r="B570" s="39"/>
      <c r="C570" s="39"/>
      <c r="D570" s="44"/>
      <c r="E570" s="39" t="str">
        <f aca="false">IF(M559=1,"المدفوع (دينار) ←","")</f>
        <v>المدفوع (دينار) ←</v>
      </c>
      <c r="F570" s="39"/>
      <c r="G570" s="44"/>
      <c r="H570" s="45" t="str">
        <f aca="false">IF(M559=1,IF(N(G570)&gt;0,"✔ انقبض — الأسبوع مقفول","⏳ لسا ما انقبض"),"")</f>
        <v>⏳ لسا ما انقبض</v>
      </c>
      <c r="I570" s="45"/>
      <c r="S570" s="0" t="n">
        <v>47</v>
      </c>
    </row>
    <row r="571" customFormat="false" ht="27.75" hidden="false" customHeight="true" outlineLevel="0" collapsed="false">
      <c r="A571" s="23" t="str">
        <f aca="false">IF(48&lt;=NW,"من السبت "&amp;TEXT(DAY(SAT1+329),"00")&amp;"/"&amp;TEXT(MONTH(SAT1+329),"00")&amp;"/"&amp;YEAR(SAT1+329)&amp;" إلى الجمعة "&amp;TEXT(DAY(SAT1+335),"00")&amp;"/"&amp;TEXT(MONTH(SAT1+335),"00")&amp;"/"&amp;YEAR(SAT1+335)&amp;" · الأسبوع 48"&amp;"  (يوم القبض: الجمعة)"&amp;IF(48&lt;START_O,"   — قبل أسبوع البداية (ما بينحسب)",""),"ما في أسبوع 48 هالسنة")</f>
        <v>من السبت 21/11/2026 إلى الجمعة 27/11/2026 · الأسبوع 48  (يوم القبض: الجمعة)</v>
      </c>
      <c r="B571" s="23"/>
      <c r="C571" s="23"/>
      <c r="D571" s="23"/>
      <c r="E571" s="23"/>
      <c r="F571" s="23"/>
      <c r="G571" s="23"/>
      <c r="H571" s="23"/>
      <c r="I571" s="23"/>
      <c r="L571" s="24" t="n">
        <f aca="false">IF(48&lt;=NW,SAT1+335,"")</f>
        <v>46353</v>
      </c>
      <c r="M571" s="25" t="n">
        <f aca="false">IF(AND(48&lt;=NW,48&gt;=START_O),1,0)</f>
        <v>1</v>
      </c>
      <c r="N571" s="26" t="n">
        <f aca="false">IFERROR(INDEX(RT_OMR,MATCH(L571,RT_K,1)),INDEX(RT_OMR,1))</f>
        <v>1.25</v>
      </c>
      <c r="O571" s="26" t="n">
        <f aca="false">IFERROR(INDEX(RT_OT,MATCH(L571,RT_K,1)),INDEX(RT_OT,1))</f>
        <v>1.5</v>
      </c>
      <c r="P571" s="26" t="n">
        <f aca="false">IFERROR(INDEX(RT_GYP,MATCH(L571,RT_K,1)),INDEX(RT_GYP,1))</f>
        <v>2.5</v>
      </c>
      <c r="R571" s="0" t="n">
        <v>48</v>
      </c>
      <c r="S571" s="0" t="n">
        <v>48</v>
      </c>
    </row>
    <row r="572" customFormat="false" ht="25.5" hidden="false" customHeight="true" outlineLevel="0" collapsed="false">
      <c r="A572" s="27" t="s">
        <v>22</v>
      </c>
      <c r="B572" s="27" t="s">
        <v>23</v>
      </c>
      <c r="C572" s="27" t="s">
        <v>24</v>
      </c>
      <c r="D572" s="27" t="s">
        <v>25</v>
      </c>
      <c r="E572" s="27" t="s">
        <v>26</v>
      </c>
      <c r="F572" s="27" t="s">
        <v>27</v>
      </c>
      <c r="G572" s="27" t="s">
        <v>28</v>
      </c>
      <c r="H572" s="27" t="s">
        <v>29</v>
      </c>
      <c r="I572" s="27" t="s">
        <v>30</v>
      </c>
      <c r="S572" s="0" t="n">
        <v>48</v>
      </c>
    </row>
    <row r="573" customFormat="false" ht="15" hidden="false" customHeight="false" outlineLevel="0" collapsed="false">
      <c r="A573" s="28" t="n">
        <f aca="false">IF(48&lt;=NW,SAT1+329,"")</f>
        <v>46347</v>
      </c>
      <c r="B573" s="29" t="str">
        <f aca="false">IF(A573="","",CHOOSE(WEEKDAY(A573,1),"الأحد","الاثنين","الثلاثاء","الأربعاء","الخميس","الجمعة","السبت"))</f>
        <v>السبت</v>
      </c>
      <c r="C573" s="30"/>
      <c r="D573" s="30"/>
      <c r="E573" s="31" t="str">
        <f aca="false">IF(OR(M573=0,K573="",L573=""),"",MOD(L573-K573,1))</f>
        <v/>
      </c>
      <c r="F573" s="31" t="str">
        <f aca="false">IF(OR(E573="",M573=0),"",IF(WEEKDAY(A573,1)=6,E573,MIN(E573,MAX(0,MIN(IF(L573&lt;K573,L573+1,L573),OMR_OT_AT)-K573))))</f>
        <v/>
      </c>
      <c r="G573" s="31" t="str">
        <f aca="false">IF(OR(E573="",M573=0),"",MAX(0,E573-F573))</f>
        <v/>
      </c>
      <c r="H573" s="32" t="str">
        <f aca="false">IF(OR(E573="",M573=0),"",ROUND((F573*$N$571+G573*$O$571)*24,3))</f>
        <v/>
      </c>
      <c r="I573" s="30"/>
      <c r="K573" s="33" t="str">
        <f aca="false">IF(OR(M573=0,C573=""),"",IF(ISNUMBER(C573),MOD(C573,1),IFERROR(INDEX(القوائم!$B$1:$B$288,MATCH(TRIM(C573),القوائم!$A$1:$A$288,0)),IFERROR(MOD(TIMEVALUE(C573),1),""))))</f>
        <v/>
      </c>
      <c r="L573" s="33" t="str">
        <f aca="false">IF(OR(M573=0,D573=""),"",IF(ISNUMBER(D573),MOD(D573,1),IFERROR(INDEX(القوائم!$B$1:$B$288,MATCH(TRIM(D573),القوائم!$A$1:$A$288,0)),IFERROR(MOD(TIMEVALUE(D573),1),""))))</f>
        <v/>
      </c>
      <c r="M573" s="25" t="n">
        <f aca="false">M571</f>
        <v>1</v>
      </c>
      <c r="Q573" s="25" t="n">
        <f aca="false">IF(N(G582)&gt;0,1,0)</f>
        <v>0</v>
      </c>
      <c r="S573" s="0" t="n">
        <v>48</v>
      </c>
    </row>
    <row r="574" customFormat="false" ht="15" hidden="false" customHeight="false" outlineLevel="0" collapsed="false">
      <c r="A574" s="28" t="n">
        <f aca="false">IF(48&lt;=NW,SAT1+330,"")</f>
        <v>46348</v>
      </c>
      <c r="B574" s="29" t="str">
        <f aca="false">IF(A574="","",CHOOSE(WEEKDAY(A574,1),"الأحد","الاثنين","الثلاثاء","الأربعاء","الخميس","الجمعة","السبت"))</f>
        <v>الأحد</v>
      </c>
      <c r="C574" s="30"/>
      <c r="D574" s="30"/>
      <c r="E574" s="31" t="str">
        <f aca="false">IF(OR(M574=0,K574="",L574=""),"",MOD(L574-K574,1))</f>
        <v/>
      </c>
      <c r="F574" s="31" t="str">
        <f aca="false">IF(OR(E574="",M574=0),"",IF(WEEKDAY(A574,1)=6,E574,MIN(E574,MAX(0,MIN(IF(L574&lt;K574,L574+1,L574),OMR_OT_AT)-K574))))</f>
        <v/>
      </c>
      <c r="G574" s="31" t="str">
        <f aca="false">IF(OR(E574="",M574=0),"",MAX(0,E574-F574))</f>
        <v/>
      </c>
      <c r="H574" s="32" t="str">
        <f aca="false">IF(OR(E574="",M574=0),"",ROUND((F574*$N$571+G574*$O$571)*24,3))</f>
        <v/>
      </c>
      <c r="I574" s="30"/>
      <c r="K574" s="33" t="str">
        <f aca="false">IF(OR(M574=0,C574=""),"",IF(ISNUMBER(C574),MOD(C574,1),IFERROR(INDEX(القوائم!$B$1:$B$288,MATCH(TRIM(C574),القوائم!$A$1:$A$288,0)),IFERROR(MOD(TIMEVALUE(C574),1),""))))</f>
        <v/>
      </c>
      <c r="L574" s="33" t="str">
        <f aca="false">IF(OR(M574=0,D574=""),"",IF(ISNUMBER(D574),MOD(D574,1),IFERROR(INDEX(القوائم!$B$1:$B$288,MATCH(TRIM(D574),القوائم!$A$1:$A$288,0)),IFERROR(MOD(TIMEVALUE(D574),1),""))))</f>
        <v/>
      </c>
      <c r="M574" s="25" t="n">
        <f aca="false">M571</f>
        <v>1</v>
      </c>
      <c r="Q574" s="25" t="n">
        <f aca="false">IF(N(G582)&gt;0,1,0)</f>
        <v>0</v>
      </c>
      <c r="S574" s="0" t="n">
        <v>48</v>
      </c>
    </row>
    <row r="575" customFormat="false" ht="15" hidden="false" customHeight="false" outlineLevel="0" collapsed="false">
      <c r="A575" s="28" t="n">
        <f aca="false">IF(48&lt;=NW,SAT1+331,"")</f>
        <v>46349</v>
      </c>
      <c r="B575" s="29" t="str">
        <f aca="false">IF(A575="","",CHOOSE(WEEKDAY(A575,1),"الأحد","الاثنين","الثلاثاء","الأربعاء","الخميس","الجمعة","السبت"))</f>
        <v>الاثنين</v>
      </c>
      <c r="C575" s="30"/>
      <c r="D575" s="30"/>
      <c r="E575" s="31" t="str">
        <f aca="false">IF(OR(M575=0,K575="",L575=""),"",MOD(L575-K575,1))</f>
        <v/>
      </c>
      <c r="F575" s="31" t="str">
        <f aca="false">IF(OR(E575="",M575=0),"",IF(WEEKDAY(A575,1)=6,E575,MIN(E575,MAX(0,MIN(IF(L575&lt;K575,L575+1,L575),OMR_OT_AT)-K575))))</f>
        <v/>
      </c>
      <c r="G575" s="31" t="str">
        <f aca="false">IF(OR(E575="",M575=0),"",MAX(0,E575-F575))</f>
        <v/>
      </c>
      <c r="H575" s="32" t="str">
        <f aca="false">IF(OR(E575="",M575=0),"",ROUND((F575*$N$571+G575*$O$571)*24,3))</f>
        <v/>
      </c>
      <c r="I575" s="30"/>
      <c r="K575" s="33" t="str">
        <f aca="false">IF(OR(M575=0,C575=""),"",IF(ISNUMBER(C575),MOD(C575,1),IFERROR(INDEX(القوائم!$B$1:$B$288,MATCH(TRIM(C575),القوائم!$A$1:$A$288,0)),IFERROR(MOD(TIMEVALUE(C575),1),""))))</f>
        <v/>
      </c>
      <c r="L575" s="33" t="str">
        <f aca="false">IF(OR(M575=0,D575=""),"",IF(ISNUMBER(D575),MOD(D575,1),IFERROR(INDEX(القوائم!$B$1:$B$288,MATCH(TRIM(D575),القوائم!$A$1:$A$288,0)),IFERROR(MOD(TIMEVALUE(D575),1),""))))</f>
        <v/>
      </c>
      <c r="M575" s="25" t="n">
        <f aca="false">M571</f>
        <v>1</v>
      </c>
      <c r="Q575" s="25" t="n">
        <f aca="false">IF(N(G582)&gt;0,1,0)</f>
        <v>0</v>
      </c>
      <c r="S575" s="0" t="n">
        <v>48</v>
      </c>
    </row>
    <row r="576" customFormat="false" ht="15" hidden="false" customHeight="false" outlineLevel="0" collapsed="false">
      <c r="A576" s="28" t="n">
        <f aca="false">IF(48&lt;=NW,SAT1+332,"")</f>
        <v>46350</v>
      </c>
      <c r="B576" s="29" t="str">
        <f aca="false">IF(A576="","",CHOOSE(WEEKDAY(A576,1),"الأحد","الاثنين","الثلاثاء","الأربعاء","الخميس","الجمعة","السبت"))</f>
        <v>الثلاثاء</v>
      </c>
      <c r="C576" s="30"/>
      <c r="D576" s="30"/>
      <c r="E576" s="31" t="str">
        <f aca="false">IF(OR(M576=0,K576="",L576=""),"",MOD(L576-K576,1))</f>
        <v/>
      </c>
      <c r="F576" s="31" t="str">
        <f aca="false">IF(OR(E576="",M576=0),"",IF(WEEKDAY(A576,1)=6,E576,MIN(E576,MAX(0,MIN(IF(L576&lt;K576,L576+1,L576),OMR_OT_AT)-K576))))</f>
        <v/>
      </c>
      <c r="G576" s="31" t="str">
        <f aca="false">IF(OR(E576="",M576=0),"",MAX(0,E576-F576))</f>
        <v/>
      </c>
      <c r="H576" s="32" t="str">
        <f aca="false">IF(OR(E576="",M576=0),"",ROUND((F576*$N$571+G576*$O$571)*24,3))</f>
        <v/>
      </c>
      <c r="I576" s="30"/>
      <c r="K576" s="33" t="str">
        <f aca="false">IF(OR(M576=0,C576=""),"",IF(ISNUMBER(C576),MOD(C576,1),IFERROR(INDEX(القوائم!$B$1:$B$288,MATCH(TRIM(C576),القوائم!$A$1:$A$288,0)),IFERROR(MOD(TIMEVALUE(C576),1),""))))</f>
        <v/>
      </c>
      <c r="L576" s="33" t="str">
        <f aca="false">IF(OR(M576=0,D576=""),"",IF(ISNUMBER(D576),MOD(D576,1),IFERROR(INDEX(القوائم!$B$1:$B$288,MATCH(TRIM(D576),القوائم!$A$1:$A$288,0)),IFERROR(MOD(TIMEVALUE(D576),1),""))))</f>
        <v/>
      </c>
      <c r="M576" s="25" t="n">
        <f aca="false">M571</f>
        <v>1</v>
      </c>
      <c r="Q576" s="25" t="n">
        <f aca="false">IF(N(G582)&gt;0,1,0)</f>
        <v>0</v>
      </c>
      <c r="S576" s="0" t="n">
        <v>48</v>
      </c>
    </row>
    <row r="577" customFormat="false" ht="15" hidden="false" customHeight="false" outlineLevel="0" collapsed="false">
      <c r="A577" s="28" t="n">
        <f aca="false">IF(48&lt;=NW,SAT1+333,"")</f>
        <v>46351</v>
      </c>
      <c r="B577" s="29" t="str">
        <f aca="false">IF(A577="","",CHOOSE(WEEKDAY(A577,1),"الأحد","الاثنين","الثلاثاء","الأربعاء","الخميس","الجمعة","السبت"))</f>
        <v>الأربعاء</v>
      </c>
      <c r="C577" s="30"/>
      <c r="D577" s="30"/>
      <c r="E577" s="31" t="str">
        <f aca="false">IF(OR(M577=0,K577="",L577=""),"",MOD(L577-K577,1))</f>
        <v/>
      </c>
      <c r="F577" s="31" t="str">
        <f aca="false">IF(OR(E577="",M577=0),"",IF(WEEKDAY(A577,1)=6,E577,MIN(E577,MAX(0,MIN(IF(L577&lt;K577,L577+1,L577),OMR_OT_AT)-K577))))</f>
        <v/>
      </c>
      <c r="G577" s="31" t="str">
        <f aca="false">IF(OR(E577="",M577=0),"",MAX(0,E577-F577))</f>
        <v/>
      </c>
      <c r="H577" s="32" t="str">
        <f aca="false">IF(OR(E577="",M577=0),"",ROUND((F577*$N$571+G577*$O$571)*24,3))</f>
        <v/>
      </c>
      <c r="I577" s="30"/>
      <c r="K577" s="33" t="str">
        <f aca="false">IF(OR(M577=0,C577=""),"",IF(ISNUMBER(C577),MOD(C577,1),IFERROR(INDEX(القوائم!$B$1:$B$288,MATCH(TRIM(C577),القوائم!$A$1:$A$288,0)),IFERROR(MOD(TIMEVALUE(C577),1),""))))</f>
        <v/>
      </c>
      <c r="L577" s="33" t="str">
        <f aca="false">IF(OR(M577=0,D577=""),"",IF(ISNUMBER(D577),MOD(D577,1),IFERROR(INDEX(القوائم!$B$1:$B$288,MATCH(TRIM(D577),القوائم!$A$1:$A$288,0)),IFERROR(MOD(TIMEVALUE(D577),1),""))))</f>
        <v/>
      </c>
      <c r="M577" s="25" t="n">
        <f aca="false">M571</f>
        <v>1</v>
      </c>
      <c r="Q577" s="25" t="n">
        <f aca="false">IF(N(G582)&gt;0,1,0)</f>
        <v>0</v>
      </c>
      <c r="S577" s="0" t="n">
        <v>48</v>
      </c>
    </row>
    <row r="578" customFormat="false" ht="15" hidden="false" customHeight="false" outlineLevel="0" collapsed="false">
      <c r="A578" s="28" t="n">
        <f aca="false">IF(48&lt;=NW,SAT1+334,"")</f>
        <v>46352</v>
      </c>
      <c r="B578" s="29" t="str">
        <f aca="false">IF(A578="","",CHOOSE(WEEKDAY(A578,1),"الأحد","الاثنين","الثلاثاء","الأربعاء","الخميس","الجمعة","السبت"))</f>
        <v>الخميس</v>
      </c>
      <c r="C578" s="30"/>
      <c r="D578" s="30"/>
      <c r="E578" s="31" t="str">
        <f aca="false">IF(OR(M578=0,K578="",L578=""),"",MOD(L578-K578,1))</f>
        <v/>
      </c>
      <c r="F578" s="31" t="str">
        <f aca="false">IF(OR(E578="",M578=0),"",IF(WEEKDAY(A578,1)=6,E578,MIN(E578,MAX(0,MIN(IF(L578&lt;K578,L578+1,L578),OMR_OT_AT)-K578))))</f>
        <v/>
      </c>
      <c r="G578" s="31" t="str">
        <f aca="false">IF(OR(E578="",M578=0),"",MAX(0,E578-F578))</f>
        <v/>
      </c>
      <c r="H578" s="32" t="str">
        <f aca="false">IF(OR(E578="",M578=0),"",ROUND((F578*$N$571+G578*$O$571)*24,3))</f>
        <v/>
      </c>
      <c r="I578" s="30"/>
      <c r="K578" s="33" t="str">
        <f aca="false">IF(OR(M578=0,C578=""),"",IF(ISNUMBER(C578),MOD(C578,1),IFERROR(INDEX(القوائم!$B$1:$B$288,MATCH(TRIM(C578),القوائم!$A$1:$A$288,0)),IFERROR(MOD(TIMEVALUE(C578),1),""))))</f>
        <v/>
      </c>
      <c r="L578" s="33" t="str">
        <f aca="false">IF(OR(M578=0,D578=""),"",IF(ISNUMBER(D578),MOD(D578,1),IFERROR(INDEX(القوائم!$B$1:$B$288,MATCH(TRIM(D578),القوائم!$A$1:$A$288,0)),IFERROR(MOD(TIMEVALUE(D578),1),""))))</f>
        <v/>
      </c>
      <c r="M578" s="25" t="n">
        <f aca="false">M571</f>
        <v>1</v>
      </c>
      <c r="Q578" s="25" t="n">
        <f aca="false">IF(N(G582)&gt;0,1,0)</f>
        <v>0</v>
      </c>
      <c r="S578" s="0" t="n">
        <v>48</v>
      </c>
    </row>
    <row r="579" customFormat="false" ht="15" hidden="false" customHeight="false" outlineLevel="0" collapsed="false">
      <c r="A579" s="34" t="n">
        <f aca="false">IF(48&lt;=NW,SAT1+335,"")</f>
        <v>46353</v>
      </c>
      <c r="B579" s="35" t="str">
        <f aca="false">IF(A579="","",CHOOSE(WEEKDAY(A579,1),"الأحد","الاثنين","الثلاثاء","الأربعاء","الخميس","الجمعة","السبت"))</f>
        <v>الجمعة</v>
      </c>
      <c r="C579" s="30"/>
      <c r="D579" s="30"/>
      <c r="E579" s="31" t="str">
        <f aca="false">IF(OR(M579=0,K579="",L579=""),"",MOD(L579-K579,1))</f>
        <v/>
      </c>
      <c r="F579" s="31" t="str">
        <f aca="false">IF(OR(E579="",M579=0),"",IF(WEEKDAY(A579,1)=6,E579,MIN(E579,MAX(0,MIN(IF(L579&lt;K579,L579+1,L579),OMR_OT_AT)-K579))))</f>
        <v/>
      </c>
      <c r="G579" s="31" t="str">
        <f aca="false">IF(OR(E579="",M579=0),"",MAX(0,E579-F579))</f>
        <v/>
      </c>
      <c r="H579" s="32" t="str">
        <f aca="false">IF(OR(E579="",M579=0),"",ROUND((F579*$N$571+G579*$O$571)*24,3))</f>
        <v/>
      </c>
      <c r="I579" s="30"/>
      <c r="K579" s="33" t="str">
        <f aca="false">IF(OR(M579=0,C579=""),"",IF(ISNUMBER(C579),MOD(C579,1),IFERROR(INDEX(القوائم!$B$1:$B$288,MATCH(TRIM(C579),القوائم!$A$1:$A$288,0)),IFERROR(MOD(TIMEVALUE(C579),1),""))))</f>
        <v/>
      </c>
      <c r="L579" s="33" t="str">
        <f aca="false">IF(OR(M579=0,D579=""),"",IF(ISNUMBER(D579),MOD(D579,1),IFERROR(INDEX(القوائم!$B$1:$B$288,MATCH(TRIM(D579),القوائم!$A$1:$A$288,0)),IFERROR(MOD(TIMEVALUE(D579),1),""))))</f>
        <v/>
      </c>
      <c r="M579" s="25" t="n">
        <f aca="false">M571</f>
        <v>1</v>
      </c>
      <c r="Q579" s="25" t="n">
        <f aca="false">IF(N(G582)&gt;0,1,0)</f>
        <v>0</v>
      </c>
      <c r="S579" s="0" t="n">
        <v>48</v>
      </c>
    </row>
    <row r="580" customFormat="false" ht="15" hidden="false" customHeight="false" outlineLevel="0" collapsed="false">
      <c r="A580" s="36" t="str">
        <f aca="false">IF(M571=1,"مجموع أيام الأسبوع 48","")</f>
        <v>مجموع أيام الأسبوع 48</v>
      </c>
      <c r="B580" s="36"/>
      <c r="C580" s="36"/>
      <c r="D580" s="36"/>
      <c r="E580" s="37" t="n">
        <f aca="false">IF(M571=1,SUM(E573:E579),"")</f>
        <v>0</v>
      </c>
      <c r="F580" s="37" t="n">
        <f aca="false">IF(M571=1,SUM(F573:F579),"")</f>
        <v>0</v>
      </c>
      <c r="G580" s="37" t="n">
        <f aca="false">IF(M571=1,SUM(G573:G579),"")</f>
        <v>0</v>
      </c>
      <c r="H580" s="38" t="n">
        <f aca="false">IF(M571=1,SUM(H573:H579),"")</f>
        <v>0</v>
      </c>
      <c r="I580" s="36"/>
      <c r="S580" s="0" t="n">
        <v>48</v>
      </c>
    </row>
    <row r="581" customFormat="false" ht="31.5" hidden="false" customHeight="true" outlineLevel="0" collapsed="false">
      <c r="A581" s="39" t="str">
        <f aca="false">IF(M571=1,"ساعات تحميل الجبسمبورد بهالأسبوع (رقم: 2 أو 1.5) ←","")</f>
        <v>ساعات تحميل الجبسمبورد بهالأسبوع (رقم: 2 أو 1.5) ←</v>
      </c>
      <c r="B581" s="39"/>
      <c r="C581" s="39"/>
      <c r="D581" s="39"/>
      <c r="E581" s="40"/>
      <c r="F581" s="41" t="str">
        <f aca="false">IF(M571=1,"المستحق النهائي للأسبوع مع الإكرامية (دينار) ←","")</f>
        <v>المستحق النهائي للأسبوع مع الإكرامية (دينار) ←</v>
      </c>
      <c r="G581" s="41"/>
      <c r="H581" s="42" t="n">
        <f aca="false">IF(M571=1,IF(ROUND_MODE="للأعلى",CEILING(ROUND((N(H580)+N(E581)*($P$571-$N$571)),3),0.25),ROUND((N(H580)+N(E581)*($P$571-$N$571))*4,0)/4)+N(D582),"")</f>
        <v>0</v>
      </c>
      <c r="I581" s="43" t="str">
        <f aca="false">IF(M571=1,"قبل الجبر: "&amp;TEXT(N(H580)+N(E581)*($P$571-$N$571),"0.000")&amp;IF(N(D582)&gt;0," + إكرامية "&amp;TEXT(D582,"0.000"),""),"")</f>
        <v>قبل الجبر: 0.000</v>
      </c>
      <c r="S581" s="0" t="n">
        <v>48</v>
      </c>
    </row>
    <row r="582" customFormat="false" ht="25.5" hidden="false" customHeight="true" outlineLevel="0" collapsed="false">
      <c r="A582" s="39" t="str">
        <f aca="false">IF(M571=1,"إكرامية الأسبوع (دينار) ←","")</f>
        <v>إكرامية الأسبوع (دينار) ←</v>
      </c>
      <c r="B582" s="39"/>
      <c r="C582" s="39"/>
      <c r="D582" s="44"/>
      <c r="E582" s="39" t="str">
        <f aca="false">IF(M571=1,"المدفوع (دينار) ←","")</f>
        <v>المدفوع (دينار) ←</v>
      </c>
      <c r="F582" s="39"/>
      <c r="G582" s="44"/>
      <c r="H582" s="45" t="str">
        <f aca="false">IF(M571=1,IF(N(G582)&gt;0,"✔ انقبض — الأسبوع مقفول","⏳ لسا ما انقبض"),"")</f>
        <v>⏳ لسا ما انقبض</v>
      </c>
      <c r="I582" s="45"/>
      <c r="S582" s="0" t="n">
        <v>48</v>
      </c>
    </row>
    <row r="583" customFormat="false" ht="27.75" hidden="false" customHeight="true" outlineLevel="0" collapsed="false">
      <c r="A583" s="23" t="str">
        <f aca="false">IF(49&lt;=NW,"من السبت "&amp;TEXT(DAY(SAT1+336),"00")&amp;"/"&amp;TEXT(MONTH(SAT1+336),"00")&amp;"/"&amp;YEAR(SAT1+336)&amp;" إلى الجمعة "&amp;TEXT(DAY(SAT1+342),"00")&amp;"/"&amp;TEXT(MONTH(SAT1+342),"00")&amp;"/"&amp;YEAR(SAT1+342)&amp;" · الأسبوع 49"&amp;"  (يوم القبض: الجمعة)"&amp;IF(49&lt;START_O,"   — قبل أسبوع البداية (ما بينحسب)",""),"ما في أسبوع 49 هالسنة")</f>
        <v>من السبت 28/11/2026 إلى الجمعة 04/12/2026 · الأسبوع 49  (يوم القبض: الجمعة)</v>
      </c>
      <c r="B583" s="23"/>
      <c r="C583" s="23"/>
      <c r="D583" s="23"/>
      <c r="E583" s="23"/>
      <c r="F583" s="23"/>
      <c r="G583" s="23"/>
      <c r="H583" s="23"/>
      <c r="I583" s="23"/>
      <c r="L583" s="24" t="n">
        <f aca="false">IF(49&lt;=NW,SAT1+342,"")</f>
        <v>46360</v>
      </c>
      <c r="M583" s="25" t="n">
        <f aca="false">IF(AND(49&lt;=NW,49&gt;=START_O),1,0)</f>
        <v>1</v>
      </c>
      <c r="N583" s="26" t="n">
        <f aca="false">IFERROR(INDEX(RT_OMR,MATCH(L583,RT_K,1)),INDEX(RT_OMR,1))</f>
        <v>1.25</v>
      </c>
      <c r="O583" s="26" t="n">
        <f aca="false">IFERROR(INDEX(RT_OT,MATCH(L583,RT_K,1)),INDEX(RT_OT,1))</f>
        <v>1.5</v>
      </c>
      <c r="P583" s="26" t="n">
        <f aca="false">IFERROR(INDEX(RT_GYP,MATCH(L583,RT_K,1)),INDEX(RT_GYP,1))</f>
        <v>2.5</v>
      </c>
      <c r="R583" s="0" t="n">
        <v>49</v>
      </c>
      <c r="S583" s="0" t="n">
        <v>49</v>
      </c>
    </row>
    <row r="584" customFormat="false" ht="25.5" hidden="false" customHeight="true" outlineLevel="0" collapsed="false">
      <c r="A584" s="27" t="s">
        <v>22</v>
      </c>
      <c r="B584" s="27" t="s">
        <v>23</v>
      </c>
      <c r="C584" s="27" t="s">
        <v>24</v>
      </c>
      <c r="D584" s="27" t="s">
        <v>25</v>
      </c>
      <c r="E584" s="27" t="s">
        <v>26</v>
      </c>
      <c r="F584" s="27" t="s">
        <v>27</v>
      </c>
      <c r="G584" s="27" t="s">
        <v>28</v>
      </c>
      <c r="H584" s="27" t="s">
        <v>29</v>
      </c>
      <c r="I584" s="27" t="s">
        <v>30</v>
      </c>
      <c r="S584" s="0" t="n">
        <v>49</v>
      </c>
    </row>
    <row r="585" customFormat="false" ht="15" hidden="false" customHeight="false" outlineLevel="0" collapsed="false">
      <c r="A585" s="28" t="n">
        <f aca="false">IF(49&lt;=NW,SAT1+336,"")</f>
        <v>46354</v>
      </c>
      <c r="B585" s="29" t="str">
        <f aca="false">IF(A585="","",CHOOSE(WEEKDAY(A585,1),"الأحد","الاثنين","الثلاثاء","الأربعاء","الخميس","الجمعة","السبت"))</f>
        <v>السبت</v>
      </c>
      <c r="C585" s="30"/>
      <c r="D585" s="30"/>
      <c r="E585" s="31" t="str">
        <f aca="false">IF(OR(M585=0,K585="",L585=""),"",MOD(L585-K585,1))</f>
        <v/>
      </c>
      <c r="F585" s="31" t="str">
        <f aca="false">IF(OR(E585="",M585=0),"",IF(WEEKDAY(A585,1)=6,E585,MIN(E585,MAX(0,MIN(IF(L585&lt;K585,L585+1,L585),OMR_OT_AT)-K585))))</f>
        <v/>
      </c>
      <c r="G585" s="31" t="str">
        <f aca="false">IF(OR(E585="",M585=0),"",MAX(0,E585-F585))</f>
        <v/>
      </c>
      <c r="H585" s="32" t="str">
        <f aca="false">IF(OR(E585="",M585=0),"",ROUND((F585*$N$583+G585*$O$583)*24,3))</f>
        <v/>
      </c>
      <c r="I585" s="30"/>
      <c r="K585" s="33" t="str">
        <f aca="false">IF(OR(M585=0,C585=""),"",IF(ISNUMBER(C585),MOD(C585,1),IFERROR(INDEX(القوائم!$B$1:$B$288,MATCH(TRIM(C585),القوائم!$A$1:$A$288,0)),IFERROR(MOD(TIMEVALUE(C585),1),""))))</f>
        <v/>
      </c>
      <c r="L585" s="33" t="str">
        <f aca="false">IF(OR(M585=0,D585=""),"",IF(ISNUMBER(D585),MOD(D585,1),IFERROR(INDEX(القوائم!$B$1:$B$288,MATCH(TRIM(D585),القوائم!$A$1:$A$288,0)),IFERROR(MOD(TIMEVALUE(D585),1),""))))</f>
        <v/>
      </c>
      <c r="M585" s="25" t="n">
        <f aca="false">M583</f>
        <v>1</v>
      </c>
      <c r="Q585" s="25" t="n">
        <f aca="false">IF(N(G594)&gt;0,1,0)</f>
        <v>0</v>
      </c>
      <c r="S585" s="0" t="n">
        <v>49</v>
      </c>
    </row>
    <row r="586" customFormat="false" ht="15" hidden="false" customHeight="false" outlineLevel="0" collapsed="false">
      <c r="A586" s="28" t="n">
        <f aca="false">IF(49&lt;=NW,SAT1+337,"")</f>
        <v>46355</v>
      </c>
      <c r="B586" s="29" t="str">
        <f aca="false">IF(A586="","",CHOOSE(WEEKDAY(A586,1),"الأحد","الاثنين","الثلاثاء","الأربعاء","الخميس","الجمعة","السبت"))</f>
        <v>الأحد</v>
      </c>
      <c r="C586" s="30"/>
      <c r="D586" s="30"/>
      <c r="E586" s="31" t="str">
        <f aca="false">IF(OR(M586=0,K586="",L586=""),"",MOD(L586-K586,1))</f>
        <v/>
      </c>
      <c r="F586" s="31" t="str">
        <f aca="false">IF(OR(E586="",M586=0),"",IF(WEEKDAY(A586,1)=6,E586,MIN(E586,MAX(0,MIN(IF(L586&lt;K586,L586+1,L586),OMR_OT_AT)-K586))))</f>
        <v/>
      </c>
      <c r="G586" s="31" t="str">
        <f aca="false">IF(OR(E586="",M586=0),"",MAX(0,E586-F586))</f>
        <v/>
      </c>
      <c r="H586" s="32" t="str">
        <f aca="false">IF(OR(E586="",M586=0),"",ROUND((F586*$N$583+G586*$O$583)*24,3))</f>
        <v/>
      </c>
      <c r="I586" s="30"/>
      <c r="K586" s="33" t="str">
        <f aca="false">IF(OR(M586=0,C586=""),"",IF(ISNUMBER(C586),MOD(C586,1),IFERROR(INDEX(القوائم!$B$1:$B$288,MATCH(TRIM(C586),القوائم!$A$1:$A$288,0)),IFERROR(MOD(TIMEVALUE(C586),1),""))))</f>
        <v/>
      </c>
      <c r="L586" s="33" t="str">
        <f aca="false">IF(OR(M586=0,D586=""),"",IF(ISNUMBER(D586),MOD(D586,1),IFERROR(INDEX(القوائم!$B$1:$B$288,MATCH(TRIM(D586),القوائم!$A$1:$A$288,0)),IFERROR(MOD(TIMEVALUE(D586),1),""))))</f>
        <v/>
      </c>
      <c r="M586" s="25" t="n">
        <f aca="false">M583</f>
        <v>1</v>
      </c>
      <c r="Q586" s="25" t="n">
        <f aca="false">IF(N(G594)&gt;0,1,0)</f>
        <v>0</v>
      </c>
      <c r="S586" s="0" t="n">
        <v>49</v>
      </c>
    </row>
    <row r="587" customFormat="false" ht="15" hidden="false" customHeight="false" outlineLevel="0" collapsed="false">
      <c r="A587" s="28" t="n">
        <f aca="false">IF(49&lt;=NW,SAT1+338,"")</f>
        <v>46356</v>
      </c>
      <c r="B587" s="29" t="str">
        <f aca="false">IF(A587="","",CHOOSE(WEEKDAY(A587,1),"الأحد","الاثنين","الثلاثاء","الأربعاء","الخميس","الجمعة","السبت"))</f>
        <v>الاثنين</v>
      </c>
      <c r="C587" s="30"/>
      <c r="D587" s="30"/>
      <c r="E587" s="31" t="str">
        <f aca="false">IF(OR(M587=0,K587="",L587=""),"",MOD(L587-K587,1))</f>
        <v/>
      </c>
      <c r="F587" s="31" t="str">
        <f aca="false">IF(OR(E587="",M587=0),"",IF(WEEKDAY(A587,1)=6,E587,MIN(E587,MAX(0,MIN(IF(L587&lt;K587,L587+1,L587),OMR_OT_AT)-K587))))</f>
        <v/>
      </c>
      <c r="G587" s="31" t="str">
        <f aca="false">IF(OR(E587="",M587=0),"",MAX(0,E587-F587))</f>
        <v/>
      </c>
      <c r="H587" s="32" t="str">
        <f aca="false">IF(OR(E587="",M587=0),"",ROUND((F587*$N$583+G587*$O$583)*24,3))</f>
        <v/>
      </c>
      <c r="I587" s="30"/>
      <c r="K587" s="33" t="str">
        <f aca="false">IF(OR(M587=0,C587=""),"",IF(ISNUMBER(C587),MOD(C587,1),IFERROR(INDEX(القوائم!$B$1:$B$288,MATCH(TRIM(C587),القوائم!$A$1:$A$288,0)),IFERROR(MOD(TIMEVALUE(C587),1),""))))</f>
        <v/>
      </c>
      <c r="L587" s="33" t="str">
        <f aca="false">IF(OR(M587=0,D587=""),"",IF(ISNUMBER(D587),MOD(D587,1),IFERROR(INDEX(القوائم!$B$1:$B$288,MATCH(TRIM(D587),القوائم!$A$1:$A$288,0)),IFERROR(MOD(TIMEVALUE(D587),1),""))))</f>
        <v/>
      </c>
      <c r="M587" s="25" t="n">
        <f aca="false">M583</f>
        <v>1</v>
      </c>
      <c r="Q587" s="25" t="n">
        <f aca="false">IF(N(G594)&gt;0,1,0)</f>
        <v>0</v>
      </c>
      <c r="S587" s="0" t="n">
        <v>49</v>
      </c>
    </row>
    <row r="588" customFormat="false" ht="15" hidden="false" customHeight="false" outlineLevel="0" collapsed="false">
      <c r="A588" s="28" t="n">
        <f aca="false">IF(49&lt;=NW,SAT1+339,"")</f>
        <v>46357</v>
      </c>
      <c r="B588" s="29" t="str">
        <f aca="false">IF(A588="","",CHOOSE(WEEKDAY(A588,1),"الأحد","الاثنين","الثلاثاء","الأربعاء","الخميس","الجمعة","السبت"))</f>
        <v>الثلاثاء</v>
      </c>
      <c r="C588" s="30"/>
      <c r="D588" s="30"/>
      <c r="E588" s="31" t="str">
        <f aca="false">IF(OR(M588=0,K588="",L588=""),"",MOD(L588-K588,1))</f>
        <v/>
      </c>
      <c r="F588" s="31" t="str">
        <f aca="false">IF(OR(E588="",M588=0),"",IF(WEEKDAY(A588,1)=6,E588,MIN(E588,MAX(0,MIN(IF(L588&lt;K588,L588+1,L588),OMR_OT_AT)-K588))))</f>
        <v/>
      </c>
      <c r="G588" s="31" t="str">
        <f aca="false">IF(OR(E588="",M588=0),"",MAX(0,E588-F588))</f>
        <v/>
      </c>
      <c r="H588" s="32" t="str">
        <f aca="false">IF(OR(E588="",M588=0),"",ROUND((F588*$N$583+G588*$O$583)*24,3))</f>
        <v/>
      </c>
      <c r="I588" s="30"/>
      <c r="K588" s="33" t="str">
        <f aca="false">IF(OR(M588=0,C588=""),"",IF(ISNUMBER(C588),MOD(C588,1),IFERROR(INDEX(القوائم!$B$1:$B$288,MATCH(TRIM(C588),القوائم!$A$1:$A$288,0)),IFERROR(MOD(TIMEVALUE(C588),1),""))))</f>
        <v/>
      </c>
      <c r="L588" s="33" t="str">
        <f aca="false">IF(OR(M588=0,D588=""),"",IF(ISNUMBER(D588),MOD(D588,1),IFERROR(INDEX(القوائم!$B$1:$B$288,MATCH(TRIM(D588),القوائم!$A$1:$A$288,0)),IFERROR(MOD(TIMEVALUE(D588),1),""))))</f>
        <v/>
      </c>
      <c r="M588" s="25" t="n">
        <f aca="false">M583</f>
        <v>1</v>
      </c>
      <c r="Q588" s="25" t="n">
        <f aca="false">IF(N(G594)&gt;0,1,0)</f>
        <v>0</v>
      </c>
      <c r="S588" s="0" t="n">
        <v>49</v>
      </c>
    </row>
    <row r="589" customFormat="false" ht="15" hidden="false" customHeight="false" outlineLevel="0" collapsed="false">
      <c r="A589" s="28" t="n">
        <f aca="false">IF(49&lt;=NW,SAT1+340,"")</f>
        <v>46358</v>
      </c>
      <c r="B589" s="29" t="str">
        <f aca="false">IF(A589="","",CHOOSE(WEEKDAY(A589,1),"الأحد","الاثنين","الثلاثاء","الأربعاء","الخميس","الجمعة","السبت"))</f>
        <v>الأربعاء</v>
      </c>
      <c r="C589" s="30"/>
      <c r="D589" s="30"/>
      <c r="E589" s="31" t="str">
        <f aca="false">IF(OR(M589=0,K589="",L589=""),"",MOD(L589-K589,1))</f>
        <v/>
      </c>
      <c r="F589" s="31" t="str">
        <f aca="false">IF(OR(E589="",M589=0),"",IF(WEEKDAY(A589,1)=6,E589,MIN(E589,MAX(0,MIN(IF(L589&lt;K589,L589+1,L589),OMR_OT_AT)-K589))))</f>
        <v/>
      </c>
      <c r="G589" s="31" t="str">
        <f aca="false">IF(OR(E589="",M589=0),"",MAX(0,E589-F589))</f>
        <v/>
      </c>
      <c r="H589" s="32" t="str">
        <f aca="false">IF(OR(E589="",M589=0),"",ROUND((F589*$N$583+G589*$O$583)*24,3))</f>
        <v/>
      </c>
      <c r="I589" s="30"/>
      <c r="K589" s="33" t="str">
        <f aca="false">IF(OR(M589=0,C589=""),"",IF(ISNUMBER(C589),MOD(C589,1),IFERROR(INDEX(القوائم!$B$1:$B$288,MATCH(TRIM(C589),القوائم!$A$1:$A$288,0)),IFERROR(MOD(TIMEVALUE(C589),1),""))))</f>
        <v/>
      </c>
      <c r="L589" s="33" t="str">
        <f aca="false">IF(OR(M589=0,D589=""),"",IF(ISNUMBER(D589),MOD(D589,1),IFERROR(INDEX(القوائم!$B$1:$B$288,MATCH(TRIM(D589),القوائم!$A$1:$A$288,0)),IFERROR(MOD(TIMEVALUE(D589),1),""))))</f>
        <v/>
      </c>
      <c r="M589" s="25" t="n">
        <f aca="false">M583</f>
        <v>1</v>
      </c>
      <c r="Q589" s="25" t="n">
        <f aca="false">IF(N(G594)&gt;0,1,0)</f>
        <v>0</v>
      </c>
      <c r="S589" s="0" t="n">
        <v>49</v>
      </c>
    </row>
    <row r="590" customFormat="false" ht="15" hidden="false" customHeight="false" outlineLevel="0" collapsed="false">
      <c r="A590" s="28" t="n">
        <f aca="false">IF(49&lt;=NW,SAT1+341,"")</f>
        <v>46359</v>
      </c>
      <c r="B590" s="29" t="str">
        <f aca="false">IF(A590="","",CHOOSE(WEEKDAY(A590,1),"الأحد","الاثنين","الثلاثاء","الأربعاء","الخميس","الجمعة","السبت"))</f>
        <v>الخميس</v>
      </c>
      <c r="C590" s="30"/>
      <c r="D590" s="30"/>
      <c r="E590" s="31" t="str">
        <f aca="false">IF(OR(M590=0,K590="",L590=""),"",MOD(L590-K590,1))</f>
        <v/>
      </c>
      <c r="F590" s="31" t="str">
        <f aca="false">IF(OR(E590="",M590=0),"",IF(WEEKDAY(A590,1)=6,E590,MIN(E590,MAX(0,MIN(IF(L590&lt;K590,L590+1,L590),OMR_OT_AT)-K590))))</f>
        <v/>
      </c>
      <c r="G590" s="31" t="str">
        <f aca="false">IF(OR(E590="",M590=0),"",MAX(0,E590-F590))</f>
        <v/>
      </c>
      <c r="H590" s="32" t="str">
        <f aca="false">IF(OR(E590="",M590=0),"",ROUND((F590*$N$583+G590*$O$583)*24,3))</f>
        <v/>
      </c>
      <c r="I590" s="30"/>
      <c r="K590" s="33" t="str">
        <f aca="false">IF(OR(M590=0,C590=""),"",IF(ISNUMBER(C590),MOD(C590,1),IFERROR(INDEX(القوائم!$B$1:$B$288,MATCH(TRIM(C590),القوائم!$A$1:$A$288,0)),IFERROR(MOD(TIMEVALUE(C590),1),""))))</f>
        <v/>
      </c>
      <c r="L590" s="33" t="str">
        <f aca="false">IF(OR(M590=0,D590=""),"",IF(ISNUMBER(D590),MOD(D590,1),IFERROR(INDEX(القوائم!$B$1:$B$288,MATCH(TRIM(D590),القوائم!$A$1:$A$288,0)),IFERROR(MOD(TIMEVALUE(D590),1),""))))</f>
        <v/>
      </c>
      <c r="M590" s="25" t="n">
        <f aca="false">M583</f>
        <v>1</v>
      </c>
      <c r="Q590" s="25" t="n">
        <f aca="false">IF(N(G594)&gt;0,1,0)</f>
        <v>0</v>
      </c>
      <c r="S590" s="0" t="n">
        <v>49</v>
      </c>
    </row>
    <row r="591" customFormat="false" ht="15" hidden="false" customHeight="false" outlineLevel="0" collapsed="false">
      <c r="A591" s="34" t="n">
        <f aca="false">IF(49&lt;=NW,SAT1+342,"")</f>
        <v>46360</v>
      </c>
      <c r="B591" s="35" t="str">
        <f aca="false">IF(A591="","",CHOOSE(WEEKDAY(A591,1),"الأحد","الاثنين","الثلاثاء","الأربعاء","الخميس","الجمعة","السبت"))</f>
        <v>الجمعة</v>
      </c>
      <c r="C591" s="30"/>
      <c r="D591" s="30"/>
      <c r="E591" s="31" t="str">
        <f aca="false">IF(OR(M591=0,K591="",L591=""),"",MOD(L591-K591,1))</f>
        <v/>
      </c>
      <c r="F591" s="31" t="str">
        <f aca="false">IF(OR(E591="",M591=0),"",IF(WEEKDAY(A591,1)=6,E591,MIN(E591,MAX(0,MIN(IF(L591&lt;K591,L591+1,L591),OMR_OT_AT)-K591))))</f>
        <v/>
      </c>
      <c r="G591" s="31" t="str">
        <f aca="false">IF(OR(E591="",M591=0),"",MAX(0,E591-F591))</f>
        <v/>
      </c>
      <c r="H591" s="32" t="str">
        <f aca="false">IF(OR(E591="",M591=0),"",ROUND((F591*$N$583+G591*$O$583)*24,3))</f>
        <v/>
      </c>
      <c r="I591" s="30"/>
      <c r="K591" s="33" t="str">
        <f aca="false">IF(OR(M591=0,C591=""),"",IF(ISNUMBER(C591),MOD(C591,1),IFERROR(INDEX(القوائم!$B$1:$B$288,MATCH(TRIM(C591),القوائم!$A$1:$A$288,0)),IFERROR(MOD(TIMEVALUE(C591),1),""))))</f>
        <v/>
      </c>
      <c r="L591" s="33" t="str">
        <f aca="false">IF(OR(M591=0,D591=""),"",IF(ISNUMBER(D591),MOD(D591,1),IFERROR(INDEX(القوائم!$B$1:$B$288,MATCH(TRIM(D591),القوائم!$A$1:$A$288,0)),IFERROR(MOD(TIMEVALUE(D591),1),""))))</f>
        <v/>
      </c>
      <c r="M591" s="25" t="n">
        <f aca="false">M583</f>
        <v>1</v>
      </c>
      <c r="Q591" s="25" t="n">
        <f aca="false">IF(N(G594)&gt;0,1,0)</f>
        <v>0</v>
      </c>
      <c r="S591" s="0" t="n">
        <v>49</v>
      </c>
    </row>
    <row r="592" customFormat="false" ht="15" hidden="false" customHeight="false" outlineLevel="0" collapsed="false">
      <c r="A592" s="36" t="str">
        <f aca="false">IF(M583=1,"مجموع أيام الأسبوع 49","")</f>
        <v>مجموع أيام الأسبوع 49</v>
      </c>
      <c r="B592" s="36"/>
      <c r="C592" s="36"/>
      <c r="D592" s="36"/>
      <c r="E592" s="37" t="n">
        <f aca="false">IF(M583=1,SUM(E585:E591),"")</f>
        <v>0</v>
      </c>
      <c r="F592" s="37" t="n">
        <f aca="false">IF(M583=1,SUM(F585:F591),"")</f>
        <v>0</v>
      </c>
      <c r="G592" s="37" t="n">
        <f aca="false">IF(M583=1,SUM(G585:G591),"")</f>
        <v>0</v>
      </c>
      <c r="H592" s="38" t="n">
        <f aca="false">IF(M583=1,SUM(H585:H591),"")</f>
        <v>0</v>
      </c>
      <c r="I592" s="36"/>
      <c r="S592" s="0" t="n">
        <v>49</v>
      </c>
    </row>
    <row r="593" customFormat="false" ht="31.5" hidden="false" customHeight="true" outlineLevel="0" collapsed="false">
      <c r="A593" s="39" t="str">
        <f aca="false">IF(M583=1,"ساعات تحميل الجبسمبورد بهالأسبوع (رقم: 2 أو 1.5) ←","")</f>
        <v>ساعات تحميل الجبسمبورد بهالأسبوع (رقم: 2 أو 1.5) ←</v>
      </c>
      <c r="B593" s="39"/>
      <c r="C593" s="39"/>
      <c r="D593" s="39"/>
      <c r="E593" s="40"/>
      <c r="F593" s="41" t="str">
        <f aca="false">IF(M583=1,"المستحق النهائي للأسبوع مع الإكرامية (دينار) ←","")</f>
        <v>المستحق النهائي للأسبوع مع الإكرامية (دينار) ←</v>
      </c>
      <c r="G593" s="41"/>
      <c r="H593" s="42" t="n">
        <f aca="false">IF(M583=1,IF(ROUND_MODE="للأعلى",CEILING(ROUND((N(H592)+N(E593)*($P$583-$N$583)),3),0.25),ROUND((N(H592)+N(E593)*($P$583-$N$583))*4,0)/4)+N(D594),"")</f>
        <v>0</v>
      </c>
      <c r="I593" s="43" t="str">
        <f aca="false">IF(M583=1,"قبل الجبر: "&amp;TEXT(N(H592)+N(E593)*($P$583-$N$583),"0.000")&amp;IF(N(D594)&gt;0," + إكرامية "&amp;TEXT(D594,"0.000"),""),"")</f>
        <v>قبل الجبر: 0.000</v>
      </c>
      <c r="S593" s="0" t="n">
        <v>49</v>
      </c>
    </row>
    <row r="594" customFormat="false" ht="25.5" hidden="false" customHeight="true" outlineLevel="0" collapsed="false">
      <c r="A594" s="39" t="str">
        <f aca="false">IF(M583=1,"إكرامية الأسبوع (دينار) ←","")</f>
        <v>إكرامية الأسبوع (دينار) ←</v>
      </c>
      <c r="B594" s="39"/>
      <c r="C594" s="39"/>
      <c r="D594" s="44"/>
      <c r="E594" s="39" t="str">
        <f aca="false">IF(M583=1,"المدفوع (دينار) ←","")</f>
        <v>المدفوع (دينار) ←</v>
      </c>
      <c r="F594" s="39"/>
      <c r="G594" s="44"/>
      <c r="H594" s="45" t="str">
        <f aca="false">IF(M583=1,IF(N(G594)&gt;0,"✔ انقبض — الأسبوع مقفول","⏳ لسا ما انقبض"),"")</f>
        <v>⏳ لسا ما انقبض</v>
      </c>
      <c r="I594" s="45"/>
      <c r="S594" s="0" t="n">
        <v>49</v>
      </c>
    </row>
    <row r="595" customFormat="false" ht="27.75" hidden="false" customHeight="true" outlineLevel="0" collapsed="false">
      <c r="A595" s="23" t="str">
        <f aca="false">IF(50&lt;=NW,"من السبت "&amp;TEXT(DAY(SAT1+343),"00")&amp;"/"&amp;TEXT(MONTH(SAT1+343),"00")&amp;"/"&amp;YEAR(SAT1+343)&amp;" إلى الجمعة "&amp;TEXT(DAY(SAT1+349),"00")&amp;"/"&amp;TEXT(MONTH(SAT1+349),"00")&amp;"/"&amp;YEAR(SAT1+349)&amp;" · الأسبوع 50"&amp;"  (يوم القبض: الجمعة)"&amp;IF(50&lt;START_O,"   — قبل أسبوع البداية (ما بينحسب)",""),"ما في أسبوع 50 هالسنة")</f>
        <v>من السبت 05/12/2026 إلى الجمعة 11/12/2026 · الأسبوع 50  (يوم القبض: الجمعة)</v>
      </c>
      <c r="B595" s="23"/>
      <c r="C595" s="23"/>
      <c r="D595" s="23"/>
      <c r="E595" s="23"/>
      <c r="F595" s="23"/>
      <c r="G595" s="23"/>
      <c r="H595" s="23"/>
      <c r="I595" s="23"/>
      <c r="L595" s="24" t="n">
        <f aca="false">IF(50&lt;=NW,SAT1+349,"")</f>
        <v>46367</v>
      </c>
      <c r="M595" s="25" t="n">
        <f aca="false">IF(AND(50&lt;=NW,50&gt;=START_O),1,0)</f>
        <v>1</v>
      </c>
      <c r="N595" s="26" t="n">
        <f aca="false">IFERROR(INDEX(RT_OMR,MATCH(L595,RT_K,1)),INDEX(RT_OMR,1))</f>
        <v>1.25</v>
      </c>
      <c r="O595" s="26" t="n">
        <f aca="false">IFERROR(INDEX(RT_OT,MATCH(L595,RT_K,1)),INDEX(RT_OT,1))</f>
        <v>1.5</v>
      </c>
      <c r="P595" s="26" t="n">
        <f aca="false">IFERROR(INDEX(RT_GYP,MATCH(L595,RT_K,1)),INDEX(RT_GYP,1))</f>
        <v>2.5</v>
      </c>
      <c r="R595" s="0" t="n">
        <v>50</v>
      </c>
      <c r="S595" s="0" t="n">
        <v>50</v>
      </c>
    </row>
    <row r="596" customFormat="false" ht="25.5" hidden="false" customHeight="true" outlineLevel="0" collapsed="false">
      <c r="A596" s="27" t="s">
        <v>22</v>
      </c>
      <c r="B596" s="27" t="s">
        <v>23</v>
      </c>
      <c r="C596" s="27" t="s">
        <v>24</v>
      </c>
      <c r="D596" s="27" t="s">
        <v>25</v>
      </c>
      <c r="E596" s="27" t="s">
        <v>26</v>
      </c>
      <c r="F596" s="27" t="s">
        <v>27</v>
      </c>
      <c r="G596" s="27" t="s">
        <v>28</v>
      </c>
      <c r="H596" s="27" t="s">
        <v>29</v>
      </c>
      <c r="I596" s="27" t="s">
        <v>30</v>
      </c>
      <c r="S596" s="0" t="n">
        <v>50</v>
      </c>
    </row>
    <row r="597" customFormat="false" ht="15" hidden="false" customHeight="false" outlineLevel="0" collapsed="false">
      <c r="A597" s="28" t="n">
        <f aca="false">IF(50&lt;=NW,SAT1+343,"")</f>
        <v>46361</v>
      </c>
      <c r="B597" s="29" t="str">
        <f aca="false">IF(A597="","",CHOOSE(WEEKDAY(A597,1),"الأحد","الاثنين","الثلاثاء","الأربعاء","الخميس","الجمعة","السبت"))</f>
        <v>السبت</v>
      </c>
      <c r="C597" s="30"/>
      <c r="D597" s="30"/>
      <c r="E597" s="31" t="str">
        <f aca="false">IF(OR(M597=0,K597="",L597=""),"",MOD(L597-K597,1))</f>
        <v/>
      </c>
      <c r="F597" s="31" t="str">
        <f aca="false">IF(OR(E597="",M597=0),"",IF(WEEKDAY(A597,1)=6,E597,MIN(E597,MAX(0,MIN(IF(L597&lt;K597,L597+1,L597),OMR_OT_AT)-K597))))</f>
        <v/>
      </c>
      <c r="G597" s="31" t="str">
        <f aca="false">IF(OR(E597="",M597=0),"",MAX(0,E597-F597))</f>
        <v/>
      </c>
      <c r="H597" s="32" t="str">
        <f aca="false">IF(OR(E597="",M597=0),"",ROUND((F597*$N$595+G597*$O$595)*24,3))</f>
        <v/>
      </c>
      <c r="I597" s="30"/>
      <c r="K597" s="33" t="str">
        <f aca="false">IF(OR(M597=0,C597=""),"",IF(ISNUMBER(C597),MOD(C597,1),IFERROR(INDEX(القوائم!$B$1:$B$288,MATCH(TRIM(C597),القوائم!$A$1:$A$288,0)),IFERROR(MOD(TIMEVALUE(C597),1),""))))</f>
        <v/>
      </c>
      <c r="L597" s="33" t="str">
        <f aca="false">IF(OR(M597=0,D597=""),"",IF(ISNUMBER(D597),MOD(D597,1),IFERROR(INDEX(القوائم!$B$1:$B$288,MATCH(TRIM(D597),القوائم!$A$1:$A$288,0)),IFERROR(MOD(TIMEVALUE(D597),1),""))))</f>
        <v/>
      </c>
      <c r="M597" s="25" t="n">
        <f aca="false">M595</f>
        <v>1</v>
      </c>
      <c r="Q597" s="25" t="n">
        <f aca="false">IF(N(G606)&gt;0,1,0)</f>
        <v>0</v>
      </c>
      <c r="S597" s="0" t="n">
        <v>50</v>
      </c>
    </row>
    <row r="598" customFormat="false" ht="15" hidden="false" customHeight="false" outlineLevel="0" collapsed="false">
      <c r="A598" s="28" t="n">
        <f aca="false">IF(50&lt;=NW,SAT1+344,"")</f>
        <v>46362</v>
      </c>
      <c r="B598" s="29" t="str">
        <f aca="false">IF(A598="","",CHOOSE(WEEKDAY(A598,1),"الأحد","الاثنين","الثلاثاء","الأربعاء","الخميس","الجمعة","السبت"))</f>
        <v>الأحد</v>
      </c>
      <c r="C598" s="30"/>
      <c r="D598" s="30"/>
      <c r="E598" s="31" t="str">
        <f aca="false">IF(OR(M598=0,K598="",L598=""),"",MOD(L598-K598,1))</f>
        <v/>
      </c>
      <c r="F598" s="31" t="str">
        <f aca="false">IF(OR(E598="",M598=0),"",IF(WEEKDAY(A598,1)=6,E598,MIN(E598,MAX(0,MIN(IF(L598&lt;K598,L598+1,L598),OMR_OT_AT)-K598))))</f>
        <v/>
      </c>
      <c r="G598" s="31" t="str">
        <f aca="false">IF(OR(E598="",M598=0),"",MAX(0,E598-F598))</f>
        <v/>
      </c>
      <c r="H598" s="32" t="str">
        <f aca="false">IF(OR(E598="",M598=0),"",ROUND((F598*$N$595+G598*$O$595)*24,3))</f>
        <v/>
      </c>
      <c r="I598" s="30"/>
      <c r="K598" s="33" t="str">
        <f aca="false">IF(OR(M598=0,C598=""),"",IF(ISNUMBER(C598),MOD(C598,1),IFERROR(INDEX(القوائم!$B$1:$B$288,MATCH(TRIM(C598),القوائم!$A$1:$A$288,0)),IFERROR(MOD(TIMEVALUE(C598),1),""))))</f>
        <v/>
      </c>
      <c r="L598" s="33" t="str">
        <f aca="false">IF(OR(M598=0,D598=""),"",IF(ISNUMBER(D598),MOD(D598,1),IFERROR(INDEX(القوائم!$B$1:$B$288,MATCH(TRIM(D598),القوائم!$A$1:$A$288,0)),IFERROR(MOD(TIMEVALUE(D598),1),""))))</f>
        <v/>
      </c>
      <c r="M598" s="25" t="n">
        <f aca="false">M595</f>
        <v>1</v>
      </c>
      <c r="Q598" s="25" t="n">
        <f aca="false">IF(N(G606)&gt;0,1,0)</f>
        <v>0</v>
      </c>
      <c r="S598" s="0" t="n">
        <v>50</v>
      </c>
    </row>
    <row r="599" customFormat="false" ht="15" hidden="false" customHeight="false" outlineLevel="0" collapsed="false">
      <c r="A599" s="28" t="n">
        <f aca="false">IF(50&lt;=NW,SAT1+345,"")</f>
        <v>46363</v>
      </c>
      <c r="B599" s="29" t="str">
        <f aca="false">IF(A599="","",CHOOSE(WEEKDAY(A599,1),"الأحد","الاثنين","الثلاثاء","الأربعاء","الخميس","الجمعة","السبت"))</f>
        <v>الاثنين</v>
      </c>
      <c r="C599" s="30"/>
      <c r="D599" s="30"/>
      <c r="E599" s="31" t="str">
        <f aca="false">IF(OR(M599=0,K599="",L599=""),"",MOD(L599-K599,1))</f>
        <v/>
      </c>
      <c r="F599" s="31" t="str">
        <f aca="false">IF(OR(E599="",M599=0),"",IF(WEEKDAY(A599,1)=6,E599,MIN(E599,MAX(0,MIN(IF(L599&lt;K599,L599+1,L599),OMR_OT_AT)-K599))))</f>
        <v/>
      </c>
      <c r="G599" s="31" t="str">
        <f aca="false">IF(OR(E599="",M599=0),"",MAX(0,E599-F599))</f>
        <v/>
      </c>
      <c r="H599" s="32" t="str">
        <f aca="false">IF(OR(E599="",M599=0),"",ROUND((F599*$N$595+G599*$O$595)*24,3))</f>
        <v/>
      </c>
      <c r="I599" s="30"/>
      <c r="K599" s="33" t="str">
        <f aca="false">IF(OR(M599=0,C599=""),"",IF(ISNUMBER(C599),MOD(C599,1),IFERROR(INDEX(القوائم!$B$1:$B$288,MATCH(TRIM(C599),القوائم!$A$1:$A$288,0)),IFERROR(MOD(TIMEVALUE(C599),1),""))))</f>
        <v/>
      </c>
      <c r="L599" s="33" t="str">
        <f aca="false">IF(OR(M599=0,D599=""),"",IF(ISNUMBER(D599),MOD(D599,1),IFERROR(INDEX(القوائم!$B$1:$B$288,MATCH(TRIM(D599),القوائم!$A$1:$A$288,0)),IFERROR(MOD(TIMEVALUE(D599),1),""))))</f>
        <v/>
      </c>
      <c r="M599" s="25" t="n">
        <f aca="false">M595</f>
        <v>1</v>
      </c>
      <c r="Q599" s="25" t="n">
        <f aca="false">IF(N(G606)&gt;0,1,0)</f>
        <v>0</v>
      </c>
      <c r="S599" s="0" t="n">
        <v>50</v>
      </c>
    </row>
    <row r="600" customFormat="false" ht="15" hidden="false" customHeight="false" outlineLevel="0" collapsed="false">
      <c r="A600" s="28" t="n">
        <f aca="false">IF(50&lt;=NW,SAT1+346,"")</f>
        <v>46364</v>
      </c>
      <c r="B600" s="29" t="str">
        <f aca="false">IF(A600="","",CHOOSE(WEEKDAY(A600,1),"الأحد","الاثنين","الثلاثاء","الأربعاء","الخميس","الجمعة","السبت"))</f>
        <v>الثلاثاء</v>
      </c>
      <c r="C600" s="30"/>
      <c r="D600" s="30"/>
      <c r="E600" s="31" t="str">
        <f aca="false">IF(OR(M600=0,K600="",L600=""),"",MOD(L600-K600,1))</f>
        <v/>
      </c>
      <c r="F600" s="31" t="str">
        <f aca="false">IF(OR(E600="",M600=0),"",IF(WEEKDAY(A600,1)=6,E600,MIN(E600,MAX(0,MIN(IF(L600&lt;K600,L600+1,L600),OMR_OT_AT)-K600))))</f>
        <v/>
      </c>
      <c r="G600" s="31" t="str">
        <f aca="false">IF(OR(E600="",M600=0),"",MAX(0,E600-F600))</f>
        <v/>
      </c>
      <c r="H600" s="32" t="str">
        <f aca="false">IF(OR(E600="",M600=0),"",ROUND((F600*$N$595+G600*$O$595)*24,3))</f>
        <v/>
      </c>
      <c r="I600" s="30"/>
      <c r="K600" s="33" t="str">
        <f aca="false">IF(OR(M600=0,C600=""),"",IF(ISNUMBER(C600),MOD(C600,1),IFERROR(INDEX(القوائم!$B$1:$B$288,MATCH(TRIM(C600),القوائم!$A$1:$A$288,0)),IFERROR(MOD(TIMEVALUE(C600),1),""))))</f>
        <v/>
      </c>
      <c r="L600" s="33" t="str">
        <f aca="false">IF(OR(M600=0,D600=""),"",IF(ISNUMBER(D600),MOD(D600,1),IFERROR(INDEX(القوائم!$B$1:$B$288,MATCH(TRIM(D600),القوائم!$A$1:$A$288,0)),IFERROR(MOD(TIMEVALUE(D600),1),""))))</f>
        <v/>
      </c>
      <c r="M600" s="25" t="n">
        <f aca="false">M595</f>
        <v>1</v>
      </c>
      <c r="Q600" s="25" t="n">
        <f aca="false">IF(N(G606)&gt;0,1,0)</f>
        <v>0</v>
      </c>
      <c r="S600" s="0" t="n">
        <v>50</v>
      </c>
    </row>
    <row r="601" customFormat="false" ht="15" hidden="false" customHeight="false" outlineLevel="0" collapsed="false">
      <c r="A601" s="28" t="n">
        <f aca="false">IF(50&lt;=NW,SAT1+347,"")</f>
        <v>46365</v>
      </c>
      <c r="B601" s="29" t="str">
        <f aca="false">IF(A601="","",CHOOSE(WEEKDAY(A601,1),"الأحد","الاثنين","الثلاثاء","الأربعاء","الخميس","الجمعة","السبت"))</f>
        <v>الأربعاء</v>
      </c>
      <c r="C601" s="30"/>
      <c r="D601" s="30"/>
      <c r="E601" s="31" t="str">
        <f aca="false">IF(OR(M601=0,K601="",L601=""),"",MOD(L601-K601,1))</f>
        <v/>
      </c>
      <c r="F601" s="31" t="str">
        <f aca="false">IF(OR(E601="",M601=0),"",IF(WEEKDAY(A601,1)=6,E601,MIN(E601,MAX(0,MIN(IF(L601&lt;K601,L601+1,L601),OMR_OT_AT)-K601))))</f>
        <v/>
      </c>
      <c r="G601" s="31" t="str">
        <f aca="false">IF(OR(E601="",M601=0),"",MAX(0,E601-F601))</f>
        <v/>
      </c>
      <c r="H601" s="32" t="str">
        <f aca="false">IF(OR(E601="",M601=0),"",ROUND((F601*$N$595+G601*$O$595)*24,3))</f>
        <v/>
      </c>
      <c r="I601" s="30"/>
      <c r="K601" s="33" t="str">
        <f aca="false">IF(OR(M601=0,C601=""),"",IF(ISNUMBER(C601),MOD(C601,1),IFERROR(INDEX(القوائم!$B$1:$B$288,MATCH(TRIM(C601),القوائم!$A$1:$A$288,0)),IFERROR(MOD(TIMEVALUE(C601),1),""))))</f>
        <v/>
      </c>
      <c r="L601" s="33" t="str">
        <f aca="false">IF(OR(M601=0,D601=""),"",IF(ISNUMBER(D601),MOD(D601,1),IFERROR(INDEX(القوائم!$B$1:$B$288,MATCH(TRIM(D601),القوائم!$A$1:$A$288,0)),IFERROR(MOD(TIMEVALUE(D601),1),""))))</f>
        <v/>
      </c>
      <c r="M601" s="25" t="n">
        <f aca="false">M595</f>
        <v>1</v>
      </c>
      <c r="Q601" s="25" t="n">
        <f aca="false">IF(N(G606)&gt;0,1,0)</f>
        <v>0</v>
      </c>
      <c r="S601" s="0" t="n">
        <v>50</v>
      </c>
    </row>
    <row r="602" customFormat="false" ht="15" hidden="false" customHeight="false" outlineLevel="0" collapsed="false">
      <c r="A602" s="28" t="n">
        <f aca="false">IF(50&lt;=NW,SAT1+348,"")</f>
        <v>46366</v>
      </c>
      <c r="B602" s="29" t="str">
        <f aca="false">IF(A602="","",CHOOSE(WEEKDAY(A602,1),"الأحد","الاثنين","الثلاثاء","الأربعاء","الخميس","الجمعة","السبت"))</f>
        <v>الخميس</v>
      </c>
      <c r="C602" s="30"/>
      <c r="D602" s="30"/>
      <c r="E602" s="31" t="str">
        <f aca="false">IF(OR(M602=0,K602="",L602=""),"",MOD(L602-K602,1))</f>
        <v/>
      </c>
      <c r="F602" s="31" t="str">
        <f aca="false">IF(OR(E602="",M602=0),"",IF(WEEKDAY(A602,1)=6,E602,MIN(E602,MAX(0,MIN(IF(L602&lt;K602,L602+1,L602),OMR_OT_AT)-K602))))</f>
        <v/>
      </c>
      <c r="G602" s="31" t="str">
        <f aca="false">IF(OR(E602="",M602=0),"",MAX(0,E602-F602))</f>
        <v/>
      </c>
      <c r="H602" s="32" t="str">
        <f aca="false">IF(OR(E602="",M602=0),"",ROUND((F602*$N$595+G602*$O$595)*24,3))</f>
        <v/>
      </c>
      <c r="I602" s="30"/>
      <c r="K602" s="33" t="str">
        <f aca="false">IF(OR(M602=0,C602=""),"",IF(ISNUMBER(C602),MOD(C602,1),IFERROR(INDEX(القوائم!$B$1:$B$288,MATCH(TRIM(C602),القوائم!$A$1:$A$288,0)),IFERROR(MOD(TIMEVALUE(C602),1),""))))</f>
        <v/>
      </c>
      <c r="L602" s="33" t="str">
        <f aca="false">IF(OR(M602=0,D602=""),"",IF(ISNUMBER(D602),MOD(D602,1),IFERROR(INDEX(القوائم!$B$1:$B$288,MATCH(TRIM(D602),القوائم!$A$1:$A$288,0)),IFERROR(MOD(TIMEVALUE(D602),1),""))))</f>
        <v/>
      </c>
      <c r="M602" s="25" t="n">
        <f aca="false">M595</f>
        <v>1</v>
      </c>
      <c r="Q602" s="25" t="n">
        <f aca="false">IF(N(G606)&gt;0,1,0)</f>
        <v>0</v>
      </c>
      <c r="S602" s="0" t="n">
        <v>50</v>
      </c>
    </row>
    <row r="603" customFormat="false" ht="15" hidden="false" customHeight="false" outlineLevel="0" collapsed="false">
      <c r="A603" s="34" t="n">
        <f aca="false">IF(50&lt;=NW,SAT1+349,"")</f>
        <v>46367</v>
      </c>
      <c r="B603" s="35" t="str">
        <f aca="false">IF(A603="","",CHOOSE(WEEKDAY(A603,1),"الأحد","الاثنين","الثلاثاء","الأربعاء","الخميس","الجمعة","السبت"))</f>
        <v>الجمعة</v>
      </c>
      <c r="C603" s="30"/>
      <c r="D603" s="30"/>
      <c r="E603" s="31" t="str">
        <f aca="false">IF(OR(M603=0,K603="",L603=""),"",MOD(L603-K603,1))</f>
        <v/>
      </c>
      <c r="F603" s="31" t="str">
        <f aca="false">IF(OR(E603="",M603=0),"",IF(WEEKDAY(A603,1)=6,E603,MIN(E603,MAX(0,MIN(IF(L603&lt;K603,L603+1,L603),OMR_OT_AT)-K603))))</f>
        <v/>
      </c>
      <c r="G603" s="31" t="str">
        <f aca="false">IF(OR(E603="",M603=0),"",MAX(0,E603-F603))</f>
        <v/>
      </c>
      <c r="H603" s="32" t="str">
        <f aca="false">IF(OR(E603="",M603=0),"",ROUND((F603*$N$595+G603*$O$595)*24,3))</f>
        <v/>
      </c>
      <c r="I603" s="30"/>
      <c r="K603" s="33" t="str">
        <f aca="false">IF(OR(M603=0,C603=""),"",IF(ISNUMBER(C603),MOD(C603,1),IFERROR(INDEX(القوائم!$B$1:$B$288,MATCH(TRIM(C603),القوائم!$A$1:$A$288,0)),IFERROR(MOD(TIMEVALUE(C603),1),""))))</f>
        <v/>
      </c>
      <c r="L603" s="33" t="str">
        <f aca="false">IF(OR(M603=0,D603=""),"",IF(ISNUMBER(D603),MOD(D603,1),IFERROR(INDEX(القوائم!$B$1:$B$288,MATCH(TRIM(D603),القوائم!$A$1:$A$288,0)),IFERROR(MOD(TIMEVALUE(D603),1),""))))</f>
        <v/>
      </c>
      <c r="M603" s="25" t="n">
        <f aca="false">M595</f>
        <v>1</v>
      </c>
      <c r="Q603" s="25" t="n">
        <f aca="false">IF(N(G606)&gt;0,1,0)</f>
        <v>0</v>
      </c>
      <c r="S603" s="0" t="n">
        <v>50</v>
      </c>
    </row>
    <row r="604" customFormat="false" ht="15" hidden="false" customHeight="false" outlineLevel="0" collapsed="false">
      <c r="A604" s="36" t="str">
        <f aca="false">IF(M595=1,"مجموع أيام الأسبوع 50","")</f>
        <v>مجموع أيام الأسبوع 50</v>
      </c>
      <c r="B604" s="36"/>
      <c r="C604" s="36"/>
      <c r="D604" s="36"/>
      <c r="E604" s="37" t="n">
        <f aca="false">IF(M595=1,SUM(E597:E603),"")</f>
        <v>0</v>
      </c>
      <c r="F604" s="37" t="n">
        <f aca="false">IF(M595=1,SUM(F597:F603),"")</f>
        <v>0</v>
      </c>
      <c r="G604" s="37" t="n">
        <f aca="false">IF(M595=1,SUM(G597:G603),"")</f>
        <v>0</v>
      </c>
      <c r="H604" s="38" t="n">
        <f aca="false">IF(M595=1,SUM(H597:H603),"")</f>
        <v>0</v>
      </c>
      <c r="I604" s="36"/>
      <c r="S604" s="0" t="n">
        <v>50</v>
      </c>
    </row>
    <row r="605" customFormat="false" ht="31.5" hidden="false" customHeight="true" outlineLevel="0" collapsed="false">
      <c r="A605" s="39" t="str">
        <f aca="false">IF(M595=1,"ساعات تحميل الجبسمبورد بهالأسبوع (رقم: 2 أو 1.5) ←","")</f>
        <v>ساعات تحميل الجبسمبورد بهالأسبوع (رقم: 2 أو 1.5) ←</v>
      </c>
      <c r="B605" s="39"/>
      <c r="C605" s="39"/>
      <c r="D605" s="39"/>
      <c r="E605" s="40"/>
      <c r="F605" s="41" t="str">
        <f aca="false">IF(M595=1,"المستحق النهائي للأسبوع مع الإكرامية (دينار) ←","")</f>
        <v>المستحق النهائي للأسبوع مع الإكرامية (دينار) ←</v>
      </c>
      <c r="G605" s="41"/>
      <c r="H605" s="42" t="n">
        <f aca="false">IF(M595=1,IF(ROUND_MODE="للأعلى",CEILING(ROUND((N(H604)+N(E605)*($P$595-$N$595)),3),0.25),ROUND((N(H604)+N(E605)*($P$595-$N$595))*4,0)/4)+N(D606),"")</f>
        <v>0</v>
      </c>
      <c r="I605" s="43" t="str">
        <f aca="false">IF(M595=1,"قبل الجبر: "&amp;TEXT(N(H604)+N(E605)*($P$595-$N$595),"0.000")&amp;IF(N(D606)&gt;0," + إكرامية "&amp;TEXT(D606,"0.000"),""),"")</f>
        <v>قبل الجبر: 0.000</v>
      </c>
      <c r="S605" s="0" t="n">
        <v>50</v>
      </c>
    </row>
    <row r="606" customFormat="false" ht="25.5" hidden="false" customHeight="true" outlineLevel="0" collapsed="false">
      <c r="A606" s="39" t="str">
        <f aca="false">IF(M595=1,"إكرامية الأسبوع (دينار) ←","")</f>
        <v>إكرامية الأسبوع (دينار) ←</v>
      </c>
      <c r="B606" s="39"/>
      <c r="C606" s="39"/>
      <c r="D606" s="44"/>
      <c r="E606" s="39" t="str">
        <f aca="false">IF(M595=1,"المدفوع (دينار) ←","")</f>
        <v>المدفوع (دينار) ←</v>
      </c>
      <c r="F606" s="39"/>
      <c r="G606" s="44"/>
      <c r="H606" s="45" t="str">
        <f aca="false">IF(M595=1,IF(N(G606)&gt;0,"✔ انقبض — الأسبوع مقفول","⏳ لسا ما انقبض"),"")</f>
        <v>⏳ لسا ما انقبض</v>
      </c>
      <c r="I606" s="45"/>
      <c r="S606" s="0" t="n">
        <v>50</v>
      </c>
    </row>
    <row r="607" customFormat="false" ht="27.75" hidden="false" customHeight="true" outlineLevel="0" collapsed="false">
      <c r="A607" s="23" t="str">
        <f aca="false">IF(51&lt;=NW,"من السبت "&amp;TEXT(DAY(SAT1+350),"00")&amp;"/"&amp;TEXT(MONTH(SAT1+350),"00")&amp;"/"&amp;YEAR(SAT1+350)&amp;" إلى الجمعة "&amp;TEXT(DAY(SAT1+356),"00")&amp;"/"&amp;TEXT(MONTH(SAT1+356),"00")&amp;"/"&amp;YEAR(SAT1+356)&amp;" · الأسبوع 51"&amp;"  (يوم القبض: الجمعة)"&amp;IF(51&lt;START_O,"   — قبل أسبوع البداية (ما بينحسب)",""),"ما في أسبوع 51 هالسنة")</f>
        <v>من السبت 12/12/2026 إلى الجمعة 18/12/2026 · الأسبوع 51  (يوم القبض: الجمعة)</v>
      </c>
      <c r="B607" s="23"/>
      <c r="C607" s="23"/>
      <c r="D607" s="23"/>
      <c r="E607" s="23"/>
      <c r="F607" s="23"/>
      <c r="G607" s="23"/>
      <c r="H607" s="23"/>
      <c r="I607" s="23"/>
      <c r="L607" s="24" t="n">
        <f aca="false">IF(51&lt;=NW,SAT1+356,"")</f>
        <v>46374</v>
      </c>
      <c r="M607" s="25" t="n">
        <f aca="false">IF(AND(51&lt;=NW,51&gt;=START_O),1,0)</f>
        <v>1</v>
      </c>
      <c r="N607" s="26" t="n">
        <f aca="false">IFERROR(INDEX(RT_OMR,MATCH(L607,RT_K,1)),INDEX(RT_OMR,1))</f>
        <v>1.25</v>
      </c>
      <c r="O607" s="26" t="n">
        <f aca="false">IFERROR(INDEX(RT_OT,MATCH(L607,RT_K,1)),INDEX(RT_OT,1))</f>
        <v>1.5</v>
      </c>
      <c r="P607" s="26" t="n">
        <f aca="false">IFERROR(INDEX(RT_GYP,MATCH(L607,RT_K,1)),INDEX(RT_GYP,1))</f>
        <v>2.5</v>
      </c>
      <c r="R607" s="0" t="n">
        <v>51</v>
      </c>
      <c r="S607" s="0" t="n">
        <v>51</v>
      </c>
    </row>
    <row r="608" customFormat="false" ht="25.5" hidden="false" customHeight="true" outlineLevel="0" collapsed="false">
      <c r="A608" s="27" t="s">
        <v>22</v>
      </c>
      <c r="B608" s="27" t="s">
        <v>23</v>
      </c>
      <c r="C608" s="27" t="s">
        <v>24</v>
      </c>
      <c r="D608" s="27" t="s">
        <v>25</v>
      </c>
      <c r="E608" s="27" t="s">
        <v>26</v>
      </c>
      <c r="F608" s="27" t="s">
        <v>27</v>
      </c>
      <c r="G608" s="27" t="s">
        <v>28</v>
      </c>
      <c r="H608" s="27" t="s">
        <v>29</v>
      </c>
      <c r="I608" s="27" t="s">
        <v>30</v>
      </c>
      <c r="S608" s="0" t="n">
        <v>51</v>
      </c>
    </row>
    <row r="609" customFormat="false" ht="15" hidden="false" customHeight="false" outlineLevel="0" collapsed="false">
      <c r="A609" s="28" t="n">
        <f aca="false">IF(51&lt;=NW,SAT1+350,"")</f>
        <v>46368</v>
      </c>
      <c r="B609" s="29" t="str">
        <f aca="false">IF(A609="","",CHOOSE(WEEKDAY(A609,1),"الأحد","الاثنين","الثلاثاء","الأربعاء","الخميس","الجمعة","السبت"))</f>
        <v>السبت</v>
      </c>
      <c r="C609" s="30"/>
      <c r="D609" s="30"/>
      <c r="E609" s="31" t="str">
        <f aca="false">IF(OR(M609=0,K609="",L609=""),"",MOD(L609-K609,1))</f>
        <v/>
      </c>
      <c r="F609" s="31" t="str">
        <f aca="false">IF(OR(E609="",M609=0),"",IF(WEEKDAY(A609,1)=6,E609,MIN(E609,MAX(0,MIN(IF(L609&lt;K609,L609+1,L609),OMR_OT_AT)-K609))))</f>
        <v/>
      </c>
      <c r="G609" s="31" t="str">
        <f aca="false">IF(OR(E609="",M609=0),"",MAX(0,E609-F609))</f>
        <v/>
      </c>
      <c r="H609" s="32" t="str">
        <f aca="false">IF(OR(E609="",M609=0),"",ROUND((F609*$N$607+G609*$O$607)*24,3))</f>
        <v/>
      </c>
      <c r="I609" s="30"/>
      <c r="K609" s="33" t="str">
        <f aca="false">IF(OR(M609=0,C609=""),"",IF(ISNUMBER(C609),MOD(C609,1),IFERROR(INDEX(القوائم!$B$1:$B$288,MATCH(TRIM(C609),القوائم!$A$1:$A$288,0)),IFERROR(MOD(TIMEVALUE(C609),1),""))))</f>
        <v/>
      </c>
      <c r="L609" s="33" t="str">
        <f aca="false">IF(OR(M609=0,D609=""),"",IF(ISNUMBER(D609),MOD(D609,1),IFERROR(INDEX(القوائم!$B$1:$B$288,MATCH(TRIM(D609),القوائم!$A$1:$A$288,0)),IFERROR(MOD(TIMEVALUE(D609),1),""))))</f>
        <v/>
      </c>
      <c r="M609" s="25" t="n">
        <f aca="false">M607</f>
        <v>1</v>
      </c>
      <c r="Q609" s="25" t="n">
        <f aca="false">IF(N(G618)&gt;0,1,0)</f>
        <v>0</v>
      </c>
      <c r="S609" s="0" t="n">
        <v>51</v>
      </c>
    </row>
    <row r="610" customFormat="false" ht="15" hidden="false" customHeight="false" outlineLevel="0" collapsed="false">
      <c r="A610" s="28" t="n">
        <f aca="false">IF(51&lt;=NW,SAT1+351,"")</f>
        <v>46369</v>
      </c>
      <c r="B610" s="29" t="str">
        <f aca="false">IF(A610="","",CHOOSE(WEEKDAY(A610,1),"الأحد","الاثنين","الثلاثاء","الأربعاء","الخميس","الجمعة","السبت"))</f>
        <v>الأحد</v>
      </c>
      <c r="C610" s="30"/>
      <c r="D610" s="30"/>
      <c r="E610" s="31" t="str">
        <f aca="false">IF(OR(M610=0,K610="",L610=""),"",MOD(L610-K610,1))</f>
        <v/>
      </c>
      <c r="F610" s="31" t="str">
        <f aca="false">IF(OR(E610="",M610=0),"",IF(WEEKDAY(A610,1)=6,E610,MIN(E610,MAX(0,MIN(IF(L610&lt;K610,L610+1,L610),OMR_OT_AT)-K610))))</f>
        <v/>
      </c>
      <c r="G610" s="31" t="str">
        <f aca="false">IF(OR(E610="",M610=0),"",MAX(0,E610-F610))</f>
        <v/>
      </c>
      <c r="H610" s="32" t="str">
        <f aca="false">IF(OR(E610="",M610=0),"",ROUND((F610*$N$607+G610*$O$607)*24,3))</f>
        <v/>
      </c>
      <c r="I610" s="30"/>
      <c r="K610" s="33" t="str">
        <f aca="false">IF(OR(M610=0,C610=""),"",IF(ISNUMBER(C610),MOD(C610,1),IFERROR(INDEX(القوائم!$B$1:$B$288,MATCH(TRIM(C610),القوائم!$A$1:$A$288,0)),IFERROR(MOD(TIMEVALUE(C610),1),""))))</f>
        <v/>
      </c>
      <c r="L610" s="33" t="str">
        <f aca="false">IF(OR(M610=0,D610=""),"",IF(ISNUMBER(D610),MOD(D610,1),IFERROR(INDEX(القوائم!$B$1:$B$288,MATCH(TRIM(D610),القوائم!$A$1:$A$288,0)),IFERROR(MOD(TIMEVALUE(D610),1),""))))</f>
        <v/>
      </c>
      <c r="M610" s="25" t="n">
        <f aca="false">M607</f>
        <v>1</v>
      </c>
      <c r="Q610" s="25" t="n">
        <f aca="false">IF(N(G618)&gt;0,1,0)</f>
        <v>0</v>
      </c>
      <c r="S610" s="0" t="n">
        <v>51</v>
      </c>
    </row>
    <row r="611" customFormat="false" ht="15" hidden="false" customHeight="false" outlineLevel="0" collapsed="false">
      <c r="A611" s="28" t="n">
        <f aca="false">IF(51&lt;=NW,SAT1+352,"")</f>
        <v>46370</v>
      </c>
      <c r="B611" s="29" t="str">
        <f aca="false">IF(A611="","",CHOOSE(WEEKDAY(A611,1),"الأحد","الاثنين","الثلاثاء","الأربعاء","الخميس","الجمعة","السبت"))</f>
        <v>الاثنين</v>
      </c>
      <c r="C611" s="30"/>
      <c r="D611" s="30"/>
      <c r="E611" s="31" t="str">
        <f aca="false">IF(OR(M611=0,K611="",L611=""),"",MOD(L611-K611,1))</f>
        <v/>
      </c>
      <c r="F611" s="31" t="str">
        <f aca="false">IF(OR(E611="",M611=0),"",IF(WEEKDAY(A611,1)=6,E611,MIN(E611,MAX(0,MIN(IF(L611&lt;K611,L611+1,L611),OMR_OT_AT)-K611))))</f>
        <v/>
      </c>
      <c r="G611" s="31" t="str">
        <f aca="false">IF(OR(E611="",M611=0),"",MAX(0,E611-F611))</f>
        <v/>
      </c>
      <c r="H611" s="32" t="str">
        <f aca="false">IF(OR(E611="",M611=0),"",ROUND((F611*$N$607+G611*$O$607)*24,3))</f>
        <v/>
      </c>
      <c r="I611" s="30"/>
      <c r="K611" s="33" t="str">
        <f aca="false">IF(OR(M611=0,C611=""),"",IF(ISNUMBER(C611),MOD(C611,1),IFERROR(INDEX(القوائم!$B$1:$B$288,MATCH(TRIM(C611),القوائم!$A$1:$A$288,0)),IFERROR(MOD(TIMEVALUE(C611),1),""))))</f>
        <v/>
      </c>
      <c r="L611" s="33" t="str">
        <f aca="false">IF(OR(M611=0,D611=""),"",IF(ISNUMBER(D611),MOD(D611,1),IFERROR(INDEX(القوائم!$B$1:$B$288,MATCH(TRIM(D611),القوائم!$A$1:$A$288,0)),IFERROR(MOD(TIMEVALUE(D611),1),""))))</f>
        <v/>
      </c>
      <c r="M611" s="25" t="n">
        <f aca="false">M607</f>
        <v>1</v>
      </c>
      <c r="Q611" s="25" t="n">
        <f aca="false">IF(N(G618)&gt;0,1,0)</f>
        <v>0</v>
      </c>
      <c r="S611" s="0" t="n">
        <v>51</v>
      </c>
    </row>
    <row r="612" customFormat="false" ht="15" hidden="false" customHeight="false" outlineLevel="0" collapsed="false">
      <c r="A612" s="28" t="n">
        <f aca="false">IF(51&lt;=NW,SAT1+353,"")</f>
        <v>46371</v>
      </c>
      <c r="B612" s="29" t="str">
        <f aca="false">IF(A612="","",CHOOSE(WEEKDAY(A612,1),"الأحد","الاثنين","الثلاثاء","الأربعاء","الخميس","الجمعة","السبت"))</f>
        <v>الثلاثاء</v>
      </c>
      <c r="C612" s="30"/>
      <c r="D612" s="30"/>
      <c r="E612" s="31" t="str">
        <f aca="false">IF(OR(M612=0,K612="",L612=""),"",MOD(L612-K612,1))</f>
        <v/>
      </c>
      <c r="F612" s="31" t="str">
        <f aca="false">IF(OR(E612="",M612=0),"",IF(WEEKDAY(A612,1)=6,E612,MIN(E612,MAX(0,MIN(IF(L612&lt;K612,L612+1,L612),OMR_OT_AT)-K612))))</f>
        <v/>
      </c>
      <c r="G612" s="31" t="str">
        <f aca="false">IF(OR(E612="",M612=0),"",MAX(0,E612-F612))</f>
        <v/>
      </c>
      <c r="H612" s="32" t="str">
        <f aca="false">IF(OR(E612="",M612=0),"",ROUND((F612*$N$607+G612*$O$607)*24,3))</f>
        <v/>
      </c>
      <c r="I612" s="30"/>
      <c r="K612" s="33" t="str">
        <f aca="false">IF(OR(M612=0,C612=""),"",IF(ISNUMBER(C612),MOD(C612,1),IFERROR(INDEX(القوائم!$B$1:$B$288,MATCH(TRIM(C612),القوائم!$A$1:$A$288,0)),IFERROR(MOD(TIMEVALUE(C612),1),""))))</f>
        <v/>
      </c>
      <c r="L612" s="33" t="str">
        <f aca="false">IF(OR(M612=0,D612=""),"",IF(ISNUMBER(D612),MOD(D612,1),IFERROR(INDEX(القوائم!$B$1:$B$288,MATCH(TRIM(D612),القوائم!$A$1:$A$288,0)),IFERROR(MOD(TIMEVALUE(D612),1),""))))</f>
        <v/>
      </c>
      <c r="M612" s="25" t="n">
        <f aca="false">M607</f>
        <v>1</v>
      </c>
      <c r="Q612" s="25" t="n">
        <f aca="false">IF(N(G618)&gt;0,1,0)</f>
        <v>0</v>
      </c>
      <c r="S612" s="0" t="n">
        <v>51</v>
      </c>
    </row>
    <row r="613" customFormat="false" ht="15" hidden="false" customHeight="false" outlineLevel="0" collapsed="false">
      <c r="A613" s="28" t="n">
        <f aca="false">IF(51&lt;=NW,SAT1+354,"")</f>
        <v>46372</v>
      </c>
      <c r="B613" s="29" t="str">
        <f aca="false">IF(A613="","",CHOOSE(WEEKDAY(A613,1),"الأحد","الاثنين","الثلاثاء","الأربعاء","الخميس","الجمعة","السبت"))</f>
        <v>الأربعاء</v>
      </c>
      <c r="C613" s="30"/>
      <c r="D613" s="30"/>
      <c r="E613" s="31" t="str">
        <f aca="false">IF(OR(M613=0,K613="",L613=""),"",MOD(L613-K613,1))</f>
        <v/>
      </c>
      <c r="F613" s="31" t="str">
        <f aca="false">IF(OR(E613="",M613=0),"",IF(WEEKDAY(A613,1)=6,E613,MIN(E613,MAX(0,MIN(IF(L613&lt;K613,L613+1,L613),OMR_OT_AT)-K613))))</f>
        <v/>
      </c>
      <c r="G613" s="31" t="str">
        <f aca="false">IF(OR(E613="",M613=0),"",MAX(0,E613-F613))</f>
        <v/>
      </c>
      <c r="H613" s="32" t="str">
        <f aca="false">IF(OR(E613="",M613=0),"",ROUND((F613*$N$607+G613*$O$607)*24,3))</f>
        <v/>
      </c>
      <c r="I613" s="30"/>
      <c r="K613" s="33" t="str">
        <f aca="false">IF(OR(M613=0,C613=""),"",IF(ISNUMBER(C613),MOD(C613,1),IFERROR(INDEX(القوائم!$B$1:$B$288,MATCH(TRIM(C613),القوائم!$A$1:$A$288,0)),IFERROR(MOD(TIMEVALUE(C613),1),""))))</f>
        <v/>
      </c>
      <c r="L613" s="33" t="str">
        <f aca="false">IF(OR(M613=0,D613=""),"",IF(ISNUMBER(D613),MOD(D613,1),IFERROR(INDEX(القوائم!$B$1:$B$288,MATCH(TRIM(D613),القوائم!$A$1:$A$288,0)),IFERROR(MOD(TIMEVALUE(D613),1),""))))</f>
        <v/>
      </c>
      <c r="M613" s="25" t="n">
        <f aca="false">M607</f>
        <v>1</v>
      </c>
      <c r="Q613" s="25" t="n">
        <f aca="false">IF(N(G618)&gt;0,1,0)</f>
        <v>0</v>
      </c>
      <c r="S613" s="0" t="n">
        <v>51</v>
      </c>
    </row>
    <row r="614" customFormat="false" ht="15" hidden="false" customHeight="false" outlineLevel="0" collapsed="false">
      <c r="A614" s="28" t="n">
        <f aca="false">IF(51&lt;=NW,SAT1+355,"")</f>
        <v>46373</v>
      </c>
      <c r="B614" s="29" t="str">
        <f aca="false">IF(A614="","",CHOOSE(WEEKDAY(A614,1),"الأحد","الاثنين","الثلاثاء","الأربعاء","الخميس","الجمعة","السبت"))</f>
        <v>الخميس</v>
      </c>
      <c r="C614" s="30"/>
      <c r="D614" s="30"/>
      <c r="E614" s="31" t="str">
        <f aca="false">IF(OR(M614=0,K614="",L614=""),"",MOD(L614-K614,1))</f>
        <v/>
      </c>
      <c r="F614" s="31" t="str">
        <f aca="false">IF(OR(E614="",M614=0),"",IF(WEEKDAY(A614,1)=6,E614,MIN(E614,MAX(0,MIN(IF(L614&lt;K614,L614+1,L614),OMR_OT_AT)-K614))))</f>
        <v/>
      </c>
      <c r="G614" s="31" t="str">
        <f aca="false">IF(OR(E614="",M614=0),"",MAX(0,E614-F614))</f>
        <v/>
      </c>
      <c r="H614" s="32" t="str">
        <f aca="false">IF(OR(E614="",M614=0),"",ROUND((F614*$N$607+G614*$O$607)*24,3))</f>
        <v/>
      </c>
      <c r="I614" s="30"/>
      <c r="K614" s="33" t="str">
        <f aca="false">IF(OR(M614=0,C614=""),"",IF(ISNUMBER(C614),MOD(C614,1),IFERROR(INDEX(القوائم!$B$1:$B$288,MATCH(TRIM(C614),القوائم!$A$1:$A$288,0)),IFERROR(MOD(TIMEVALUE(C614),1),""))))</f>
        <v/>
      </c>
      <c r="L614" s="33" t="str">
        <f aca="false">IF(OR(M614=0,D614=""),"",IF(ISNUMBER(D614),MOD(D614,1),IFERROR(INDEX(القوائم!$B$1:$B$288,MATCH(TRIM(D614),القوائم!$A$1:$A$288,0)),IFERROR(MOD(TIMEVALUE(D614),1),""))))</f>
        <v/>
      </c>
      <c r="M614" s="25" t="n">
        <f aca="false">M607</f>
        <v>1</v>
      </c>
      <c r="Q614" s="25" t="n">
        <f aca="false">IF(N(G618)&gt;0,1,0)</f>
        <v>0</v>
      </c>
      <c r="S614" s="0" t="n">
        <v>51</v>
      </c>
    </row>
    <row r="615" customFormat="false" ht="15" hidden="false" customHeight="false" outlineLevel="0" collapsed="false">
      <c r="A615" s="34" t="n">
        <f aca="false">IF(51&lt;=NW,SAT1+356,"")</f>
        <v>46374</v>
      </c>
      <c r="B615" s="35" t="str">
        <f aca="false">IF(A615="","",CHOOSE(WEEKDAY(A615,1),"الأحد","الاثنين","الثلاثاء","الأربعاء","الخميس","الجمعة","السبت"))</f>
        <v>الجمعة</v>
      </c>
      <c r="C615" s="30"/>
      <c r="D615" s="30"/>
      <c r="E615" s="31" t="str">
        <f aca="false">IF(OR(M615=0,K615="",L615=""),"",MOD(L615-K615,1))</f>
        <v/>
      </c>
      <c r="F615" s="31" t="str">
        <f aca="false">IF(OR(E615="",M615=0),"",IF(WEEKDAY(A615,1)=6,E615,MIN(E615,MAX(0,MIN(IF(L615&lt;K615,L615+1,L615),OMR_OT_AT)-K615))))</f>
        <v/>
      </c>
      <c r="G615" s="31" t="str">
        <f aca="false">IF(OR(E615="",M615=0),"",MAX(0,E615-F615))</f>
        <v/>
      </c>
      <c r="H615" s="32" t="str">
        <f aca="false">IF(OR(E615="",M615=0),"",ROUND((F615*$N$607+G615*$O$607)*24,3))</f>
        <v/>
      </c>
      <c r="I615" s="30"/>
      <c r="K615" s="33" t="str">
        <f aca="false">IF(OR(M615=0,C615=""),"",IF(ISNUMBER(C615),MOD(C615,1),IFERROR(INDEX(القوائم!$B$1:$B$288,MATCH(TRIM(C615),القوائم!$A$1:$A$288,0)),IFERROR(MOD(TIMEVALUE(C615),1),""))))</f>
        <v/>
      </c>
      <c r="L615" s="33" t="str">
        <f aca="false">IF(OR(M615=0,D615=""),"",IF(ISNUMBER(D615),MOD(D615,1),IFERROR(INDEX(القوائم!$B$1:$B$288,MATCH(TRIM(D615),القوائم!$A$1:$A$288,0)),IFERROR(MOD(TIMEVALUE(D615),1),""))))</f>
        <v/>
      </c>
      <c r="M615" s="25" t="n">
        <f aca="false">M607</f>
        <v>1</v>
      </c>
      <c r="Q615" s="25" t="n">
        <f aca="false">IF(N(G618)&gt;0,1,0)</f>
        <v>0</v>
      </c>
      <c r="S615" s="0" t="n">
        <v>51</v>
      </c>
    </row>
    <row r="616" customFormat="false" ht="15" hidden="false" customHeight="false" outlineLevel="0" collapsed="false">
      <c r="A616" s="36" t="str">
        <f aca="false">IF(M607=1,"مجموع أيام الأسبوع 51","")</f>
        <v>مجموع أيام الأسبوع 51</v>
      </c>
      <c r="B616" s="36"/>
      <c r="C616" s="36"/>
      <c r="D616" s="36"/>
      <c r="E616" s="37" t="n">
        <f aca="false">IF(M607=1,SUM(E609:E615),"")</f>
        <v>0</v>
      </c>
      <c r="F616" s="37" t="n">
        <f aca="false">IF(M607=1,SUM(F609:F615),"")</f>
        <v>0</v>
      </c>
      <c r="G616" s="37" t="n">
        <f aca="false">IF(M607=1,SUM(G609:G615),"")</f>
        <v>0</v>
      </c>
      <c r="H616" s="38" t="n">
        <f aca="false">IF(M607=1,SUM(H609:H615),"")</f>
        <v>0</v>
      </c>
      <c r="I616" s="36"/>
      <c r="S616" s="0" t="n">
        <v>51</v>
      </c>
    </row>
    <row r="617" customFormat="false" ht="31.5" hidden="false" customHeight="true" outlineLevel="0" collapsed="false">
      <c r="A617" s="39" t="str">
        <f aca="false">IF(M607=1,"ساعات تحميل الجبسمبورد بهالأسبوع (رقم: 2 أو 1.5) ←","")</f>
        <v>ساعات تحميل الجبسمبورد بهالأسبوع (رقم: 2 أو 1.5) ←</v>
      </c>
      <c r="B617" s="39"/>
      <c r="C617" s="39"/>
      <c r="D617" s="39"/>
      <c r="E617" s="40"/>
      <c r="F617" s="41" t="str">
        <f aca="false">IF(M607=1,"المستحق النهائي للأسبوع مع الإكرامية (دينار) ←","")</f>
        <v>المستحق النهائي للأسبوع مع الإكرامية (دينار) ←</v>
      </c>
      <c r="G617" s="41"/>
      <c r="H617" s="42" t="n">
        <f aca="false">IF(M607=1,IF(ROUND_MODE="للأعلى",CEILING(ROUND((N(H616)+N(E617)*($P$607-$N$607)),3),0.25),ROUND((N(H616)+N(E617)*($P$607-$N$607))*4,0)/4)+N(D618),"")</f>
        <v>0</v>
      </c>
      <c r="I617" s="43" t="str">
        <f aca="false">IF(M607=1,"قبل الجبر: "&amp;TEXT(N(H616)+N(E617)*($P$607-$N$607),"0.000")&amp;IF(N(D618)&gt;0," + إكرامية "&amp;TEXT(D618,"0.000"),""),"")</f>
        <v>قبل الجبر: 0.000</v>
      </c>
      <c r="S617" s="0" t="n">
        <v>51</v>
      </c>
    </row>
    <row r="618" customFormat="false" ht="25.5" hidden="false" customHeight="true" outlineLevel="0" collapsed="false">
      <c r="A618" s="39" t="str">
        <f aca="false">IF(M607=1,"إكرامية الأسبوع (دينار) ←","")</f>
        <v>إكرامية الأسبوع (دينار) ←</v>
      </c>
      <c r="B618" s="39"/>
      <c r="C618" s="39"/>
      <c r="D618" s="44"/>
      <c r="E618" s="39" t="str">
        <f aca="false">IF(M607=1,"المدفوع (دينار) ←","")</f>
        <v>المدفوع (دينار) ←</v>
      </c>
      <c r="F618" s="39"/>
      <c r="G618" s="44"/>
      <c r="H618" s="45" t="str">
        <f aca="false">IF(M607=1,IF(N(G618)&gt;0,"✔ انقبض — الأسبوع مقفول","⏳ لسا ما انقبض"),"")</f>
        <v>⏳ لسا ما انقبض</v>
      </c>
      <c r="I618" s="45"/>
      <c r="S618" s="0" t="n">
        <v>51</v>
      </c>
    </row>
    <row r="619" customFormat="false" ht="27.75" hidden="false" customHeight="true" outlineLevel="0" collapsed="false">
      <c r="A619" s="23" t="str">
        <f aca="false">IF(52&lt;=NW,"من السبت "&amp;TEXT(DAY(SAT1+357),"00")&amp;"/"&amp;TEXT(MONTH(SAT1+357),"00")&amp;"/"&amp;YEAR(SAT1+357)&amp;" إلى الجمعة "&amp;TEXT(DAY(SAT1+363),"00")&amp;"/"&amp;TEXT(MONTH(SAT1+363),"00")&amp;"/"&amp;YEAR(SAT1+363)&amp;" · الأسبوع 52"&amp;"  (يوم القبض: الجمعة)"&amp;IF(52&lt;START_O,"   — قبل أسبوع البداية (ما بينحسب)",""),"ما في أسبوع 52 هالسنة")</f>
        <v>من السبت 19/12/2026 إلى الجمعة 25/12/2026 · الأسبوع 52  (يوم القبض: الجمعة)</v>
      </c>
      <c r="B619" s="23"/>
      <c r="C619" s="23"/>
      <c r="D619" s="23"/>
      <c r="E619" s="23"/>
      <c r="F619" s="23"/>
      <c r="G619" s="23"/>
      <c r="H619" s="23"/>
      <c r="I619" s="23"/>
      <c r="L619" s="24" t="n">
        <f aca="false">IF(52&lt;=NW,SAT1+363,"")</f>
        <v>46381</v>
      </c>
      <c r="M619" s="25" t="n">
        <f aca="false">IF(AND(52&lt;=NW,52&gt;=START_O),1,0)</f>
        <v>1</v>
      </c>
      <c r="N619" s="26" t="n">
        <f aca="false">IFERROR(INDEX(RT_OMR,MATCH(L619,RT_K,1)),INDEX(RT_OMR,1))</f>
        <v>1.25</v>
      </c>
      <c r="O619" s="26" t="n">
        <f aca="false">IFERROR(INDEX(RT_OT,MATCH(L619,RT_K,1)),INDEX(RT_OT,1))</f>
        <v>1.5</v>
      </c>
      <c r="P619" s="26" t="n">
        <f aca="false">IFERROR(INDEX(RT_GYP,MATCH(L619,RT_K,1)),INDEX(RT_GYP,1))</f>
        <v>2.5</v>
      </c>
      <c r="R619" s="0" t="n">
        <v>52</v>
      </c>
      <c r="S619" s="0" t="n">
        <v>52</v>
      </c>
    </row>
    <row r="620" customFormat="false" ht="25.5" hidden="false" customHeight="true" outlineLevel="0" collapsed="false">
      <c r="A620" s="27" t="s">
        <v>22</v>
      </c>
      <c r="B620" s="27" t="s">
        <v>23</v>
      </c>
      <c r="C620" s="27" t="s">
        <v>24</v>
      </c>
      <c r="D620" s="27" t="s">
        <v>25</v>
      </c>
      <c r="E620" s="27" t="s">
        <v>26</v>
      </c>
      <c r="F620" s="27" t="s">
        <v>27</v>
      </c>
      <c r="G620" s="27" t="s">
        <v>28</v>
      </c>
      <c r="H620" s="27" t="s">
        <v>29</v>
      </c>
      <c r="I620" s="27" t="s">
        <v>30</v>
      </c>
      <c r="S620" s="0" t="n">
        <v>52</v>
      </c>
    </row>
    <row r="621" customFormat="false" ht="15" hidden="false" customHeight="false" outlineLevel="0" collapsed="false">
      <c r="A621" s="28" t="n">
        <f aca="false">IF(52&lt;=NW,SAT1+357,"")</f>
        <v>46375</v>
      </c>
      <c r="B621" s="29" t="str">
        <f aca="false">IF(A621="","",CHOOSE(WEEKDAY(A621,1),"الأحد","الاثنين","الثلاثاء","الأربعاء","الخميس","الجمعة","السبت"))</f>
        <v>السبت</v>
      </c>
      <c r="C621" s="30"/>
      <c r="D621" s="30"/>
      <c r="E621" s="31" t="str">
        <f aca="false">IF(OR(M621=0,K621="",L621=""),"",MOD(L621-K621,1))</f>
        <v/>
      </c>
      <c r="F621" s="31" t="str">
        <f aca="false">IF(OR(E621="",M621=0),"",IF(WEEKDAY(A621,1)=6,E621,MIN(E621,MAX(0,MIN(IF(L621&lt;K621,L621+1,L621),OMR_OT_AT)-K621))))</f>
        <v/>
      </c>
      <c r="G621" s="31" t="str">
        <f aca="false">IF(OR(E621="",M621=0),"",MAX(0,E621-F621))</f>
        <v/>
      </c>
      <c r="H621" s="32" t="str">
        <f aca="false">IF(OR(E621="",M621=0),"",ROUND((F621*$N$619+G621*$O$619)*24,3))</f>
        <v/>
      </c>
      <c r="I621" s="30"/>
      <c r="K621" s="33" t="str">
        <f aca="false">IF(OR(M621=0,C621=""),"",IF(ISNUMBER(C621),MOD(C621,1),IFERROR(INDEX(القوائم!$B$1:$B$288,MATCH(TRIM(C621),القوائم!$A$1:$A$288,0)),IFERROR(MOD(TIMEVALUE(C621),1),""))))</f>
        <v/>
      </c>
      <c r="L621" s="33" t="str">
        <f aca="false">IF(OR(M621=0,D621=""),"",IF(ISNUMBER(D621),MOD(D621,1),IFERROR(INDEX(القوائم!$B$1:$B$288,MATCH(TRIM(D621),القوائم!$A$1:$A$288,0)),IFERROR(MOD(TIMEVALUE(D621),1),""))))</f>
        <v/>
      </c>
      <c r="M621" s="25" t="n">
        <f aca="false">M619</f>
        <v>1</v>
      </c>
      <c r="Q621" s="25" t="n">
        <f aca="false">IF(N(G630)&gt;0,1,0)</f>
        <v>0</v>
      </c>
      <c r="S621" s="0" t="n">
        <v>52</v>
      </c>
    </row>
    <row r="622" customFormat="false" ht="15" hidden="false" customHeight="false" outlineLevel="0" collapsed="false">
      <c r="A622" s="28" t="n">
        <f aca="false">IF(52&lt;=NW,SAT1+358,"")</f>
        <v>46376</v>
      </c>
      <c r="B622" s="29" t="str">
        <f aca="false">IF(A622="","",CHOOSE(WEEKDAY(A622,1),"الأحد","الاثنين","الثلاثاء","الأربعاء","الخميس","الجمعة","السبت"))</f>
        <v>الأحد</v>
      </c>
      <c r="C622" s="30"/>
      <c r="D622" s="30"/>
      <c r="E622" s="31" t="str">
        <f aca="false">IF(OR(M622=0,K622="",L622=""),"",MOD(L622-K622,1))</f>
        <v/>
      </c>
      <c r="F622" s="31" t="str">
        <f aca="false">IF(OR(E622="",M622=0),"",IF(WEEKDAY(A622,1)=6,E622,MIN(E622,MAX(0,MIN(IF(L622&lt;K622,L622+1,L622),OMR_OT_AT)-K622))))</f>
        <v/>
      </c>
      <c r="G622" s="31" t="str">
        <f aca="false">IF(OR(E622="",M622=0),"",MAX(0,E622-F622))</f>
        <v/>
      </c>
      <c r="H622" s="32" t="str">
        <f aca="false">IF(OR(E622="",M622=0),"",ROUND((F622*$N$619+G622*$O$619)*24,3))</f>
        <v/>
      </c>
      <c r="I622" s="30"/>
      <c r="K622" s="33" t="str">
        <f aca="false">IF(OR(M622=0,C622=""),"",IF(ISNUMBER(C622),MOD(C622,1),IFERROR(INDEX(القوائم!$B$1:$B$288,MATCH(TRIM(C622),القوائم!$A$1:$A$288,0)),IFERROR(MOD(TIMEVALUE(C622),1),""))))</f>
        <v/>
      </c>
      <c r="L622" s="33" t="str">
        <f aca="false">IF(OR(M622=0,D622=""),"",IF(ISNUMBER(D622),MOD(D622,1),IFERROR(INDEX(القوائم!$B$1:$B$288,MATCH(TRIM(D622),القوائم!$A$1:$A$288,0)),IFERROR(MOD(TIMEVALUE(D622),1),""))))</f>
        <v/>
      </c>
      <c r="M622" s="25" t="n">
        <f aca="false">M619</f>
        <v>1</v>
      </c>
      <c r="Q622" s="25" t="n">
        <f aca="false">IF(N(G630)&gt;0,1,0)</f>
        <v>0</v>
      </c>
      <c r="S622" s="0" t="n">
        <v>52</v>
      </c>
    </row>
    <row r="623" customFormat="false" ht="15" hidden="false" customHeight="false" outlineLevel="0" collapsed="false">
      <c r="A623" s="28" t="n">
        <f aca="false">IF(52&lt;=NW,SAT1+359,"")</f>
        <v>46377</v>
      </c>
      <c r="B623" s="29" t="str">
        <f aca="false">IF(A623="","",CHOOSE(WEEKDAY(A623,1),"الأحد","الاثنين","الثلاثاء","الأربعاء","الخميس","الجمعة","السبت"))</f>
        <v>الاثنين</v>
      </c>
      <c r="C623" s="30"/>
      <c r="D623" s="30"/>
      <c r="E623" s="31" t="str">
        <f aca="false">IF(OR(M623=0,K623="",L623=""),"",MOD(L623-K623,1))</f>
        <v/>
      </c>
      <c r="F623" s="31" t="str">
        <f aca="false">IF(OR(E623="",M623=0),"",IF(WEEKDAY(A623,1)=6,E623,MIN(E623,MAX(0,MIN(IF(L623&lt;K623,L623+1,L623),OMR_OT_AT)-K623))))</f>
        <v/>
      </c>
      <c r="G623" s="31" t="str">
        <f aca="false">IF(OR(E623="",M623=0),"",MAX(0,E623-F623))</f>
        <v/>
      </c>
      <c r="H623" s="32" t="str">
        <f aca="false">IF(OR(E623="",M623=0),"",ROUND((F623*$N$619+G623*$O$619)*24,3))</f>
        <v/>
      </c>
      <c r="I623" s="30"/>
      <c r="K623" s="33" t="str">
        <f aca="false">IF(OR(M623=0,C623=""),"",IF(ISNUMBER(C623),MOD(C623,1),IFERROR(INDEX(القوائم!$B$1:$B$288,MATCH(TRIM(C623),القوائم!$A$1:$A$288,0)),IFERROR(MOD(TIMEVALUE(C623),1),""))))</f>
        <v/>
      </c>
      <c r="L623" s="33" t="str">
        <f aca="false">IF(OR(M623=0,D623=""),"",IF(ISNUMBER(D623),MOD(D623,1),IFERROR(INDEX(القوائم!$B$1:$B$288,MATCH(TRIM(D623),القوائم!$A$1:$A$288,0)),IFERROR(MOD(TIMEVALUE(D623),1),""))))</f>
        <v/>
      </c>
      <c r="M623" s="25" t="n">
        <f aca="false">M619</f>
        <v>1</v>
      </c>
      <c r="Q623" s="25" t="n">
        <f aca="false">IF(N(G630)&gt;0,1,0)</f>
        <v>0</v>
      </c>
      <c r="S623" s="0" t="n">
        <v>52</v>
      </c>
    </row>
    <row r="624" customFormat="false" ht="15" hidden="false" customHeight="false" outlineLevel="0" collapsed="false">
      <c r="A624" s="28" t="n">
        <f aca="false">IF(52&lt;=NW,SAT1+360,"")</f>
        <v>46378</v>
      </c>
      <c r="B624" s="29" t="str">
        <f aca="false">IF(A624="","",CHOOSE(WEEKDAY(A624,1),"الأحد","الاثنين","الثلاثاء","الأربعاء","الخميس","الجمعة","السبت"))</f>
        <v>الثلاثاء</v>
      </c>
      <c r="C624" s="30"/>
      <c r="D624" s="30"/>
      <c r="E624" s="31" t="str">
        <f aca="false">IF(OR(M624=0,K624="",L624=""),"",MOD(L624-K624,1))</f>
        <v/>
      </c>
      <c r="F624" s="31" t="str">
        <f aca="false">IF(OR(E624="",M624=0),"",IF(WEEKDAY(A624,1)=6,E624,MIN(E624,MAX(0,MIN(IF(L624&lt;K624,L624+1,L624),OMR_OT_AT)-K624))))</f>
        <v/>
      </c>
      <c r="G624" s="31" t="str">
        <f aca="false">IF(OR(E624="",M624=0),"",MAX(0,E624-F624))</f>
        <v/>
      </c>
      <c r="H624" s="32" t="str">
        <f aca="false">IF(OR(E624="",M624=0),"",ROUND((F624*$N$619+G624*$O$619)*24,3))</f>
        <v/>
      </c>
      <c r="I624" s="30"/>
      <c r="K624" s="33" t="str">
        <f aca="false">IF(OR(M624=0,C624=""),"",IF(ISNUMBER(C624),MOD(C624,1),IFERROR(INDEX(القوائم!$B$1:$B$288,MATCH(TRIM(C624),القوائم!$A$1:$A$288,0)),IFERROR(MOD(TIMEVALUE(C624),1),""))))</f>
        <v/>
      </c>
      <c r="L624" s="33" t="str">
        <f aca="false">IF(OR(M624=0,D624=""),"",IF(ISNUMBER(D624),MOD(D624,1),IFERROR(INDEX(القوائم!$B$1:$B$288,MATCH(TRIM(D624),القوائم!$A$1:$A$288,0)),IFERROR(MOD(TIMEVALUE(D624),1),""))))</f>
        <v/>
      </c>
      <c r="M624" s="25" t="n">
        <f aca="false">M619</f>
        <v>1</v>
      </c>
      <c r="Q624" s="25" t="n">
        <f aca="false">IF(N(G630)&gt;0,1,0)</f>
        <v>0</v>
      </c>
      <c r="S624" s="0" t="n">
        <v>52</v>
      </c>
    </row>
    <row r="625" customFormat="false" ht="15" hidden="false" customHeight="false" outlineLevel="0" collapsed="false">
      <c r="A625" s="28" t="n">
        <f aca="false">IF(52&lt;=NW,SAT1+361,"")</f>
        <v>46379</v>
      </c>
      <c r="B625" s="29" t="str">
        <f aca="false">IF(A625="","",CHOOSE(WEEKDAY(A625,1),"الأحد","الاثنين","الثلاثاء","الأربعاء","الخميس","الجمعة","السبت"))</f>
        <v>الأربعاء</v>
      </c>
      <c r="C625" s="30"/>
      <c r="D625" s="30"/>
      <c r="E625" s="31" t="str">
        <f aca="false">IF(OR(M625=0,K625="",L625=""),"",MOD(L625-K625,1))</f>
        <v/>
      </c>
      <c r="F625" s="31" t="str">
        <f aca="false">IF(OR(E625="",M625=0),"",IF(WEEKDAY(A625,1)=6,E625,MIN(E625,MAX(0,MIN(IF(L625&lt;K625,L625+1,L625),OMR_OT_AT)-K625))))</f>
        <v/>
      </c>
      <c r="G625" s="31" t="str">
        <f aca="false">IF(OR(E625="",M625=0),"",MAX(0,E625-F625))</f>
        <v/>
      </c>
      <c r="H625" s="32" t="str">
        <f aca="false">IF(OR(E625="",M625=0),"",ROUND((F625*$N$619+G625*$O$619)*24,3))</f>
        <v/>
      </c>
      <c r="I625" s="30"/>
      <c r="K625" s="33" t="str">
        <f aca="false">IF(OR(M625=0,C625=""),"",IF(ISNUMBER(C625),MOD(C625,1),IFERROR(INDEX(القوائم!$B$1:$B$288,MATCH(TRIM(C625),القوائم!$A$1:$A$288,0)),IFERROR(MOD(TIMEVALUE(C625),1),""))))</f>
        <v/>
      </c>
      <c r="L625" s="33" t="str">
        <f aca="false">IF(OR(M625=0,D625=""),"",IF(ISNUMBER(D625),MOD(D625,1),IFERROR(INDEX(القوائم!$B$1:$B$288,MATCH(TRIM(D625),القوائم!$A$1:$A$288,0)),IFERROR(MOD(TIMEVALUE(D625),1),""))))</f>
        <v/>
      </c>
      <c r="M625" s="25" t="n">
        <f aca="false">M619</f>
        <v>1</v>
      </c>
      <c r="Q625" s="25" t="n">
        <f aca="false">IF(N(G630)&gt;0,1,0)</f>
        <v>0</v>
      </c>
      <c r="S625" s="0" t="n">
        <v>52</v>
      </c>
    </row>
    <row r="626" customFormat="false" ht="15" hidden="false" customHeight="false" outlineLevel="0" collapsed="false">
      <c r="A626" s="28" t="n">
        <f aca="false">IF(52&lt;=NW,SAT1+362,"")</f>
        <v>46380</v>
      </c>
      <c r="B626" s="29" t="str">
        <f aca="false">IF(A626="","",CHOOSE(WEEKDAY(A626,1),"الأحد","الاثنين","الثلاثاء","الأربعاء","الخميس","الجمعة","السبت"))</f>
        <v>الخميس</v>
      </c>
      <c r="C626" s="30"/>
      <c r="D626" s="30"/>
      <c r="E626" s="31" t="str">
        <f aca="false">IF(OR(M626=0,K626="",L626=""),"",MOD(L626-K626,1))</f>
        <v/>
      </c>
      <c r="F626" s="31" t="str">
        <f aca="false">IF(OR(E626="",M626=0),"",IF(WEEKDAY(A626,1)=6,E626,MIN(E626,MAX(0,MIN(IF(L626&lt;K626,L626+1,L626),OMR_OT_AT)-K626))))</f>
        <v/>
      </c>
      <c r="G626" s="31" t="str">
        <f aca="false">IF(OR(E626="",M626=0),"",MAX(0,E626-F626))</f>
        <v/>
      </c>
      <c r="H626" s="32" t="str">
        <f aca="false">IF(OR(E626="",M626=0),"",ROUND((F626*$N$619+G626*$O$619)*24,3))</f>
        <v/>
      </c>
      <c r="I626" s="30"/>
      <c r="K626" s="33" t="str">
        <f aca="false">IF(OR(M626=0,C626=""),"",IF(ISNUMBER(C626),MOD(C626,1),IFERROR(INDEX(القوائم!$B$1:$B$288,MATCH(TRIM(C626),القوائم!$A$1:$A$288,0)),IFERROR(MOD(TIMEVALUE(C626),1),""))))</f>
        <v/>
      </c>
      <c r="L626" s="33" t="str">
        <f aca="false">IF(OR(M626=0,D626=""),"",IF(ISNUMBER(D626),MOD(D626,1),IFERROR(INDEX(القوائم!$B$1:$B$288,MATCH(TRIM(D626),القوائم!$A$1:$A$288,0)),IFERROR(MOD(TIMEVALUE(D626),1),""))))</f>
        <v/>
      </c>
      <c r="M626" s="25" t="n">
        <f aca="false">M619</f>
        <v>1</v>
      </c>
      <c r="Q626" s="25" t="n">
        <f aca="false">IF(N(G630)&gt;0,1,0)</f>
        <v>0</v>
      </c>
      <c r="S626" s="0" t="n">
        <v>52</v>
      </c>
    </row>
    <row r="627" customFormat="false" ht="15" hidden="false" customHeight="false" outlineLevel="0" collapsed="false">
      <c r="A627" s="34" t="n">
        <f aca="false">IF(52&lt;=NW,SAT1+363,"")</f>
        <v>46381</v>
      </c>
      <c r="B627" s="35" t="str">
        <f aca="false">IF(A627="","",CHOOSE(WEEKDAY(A627,1),"الأحد","الاثنين","الثلاثاء","الأربعاء","الخميس","الجمعة","السبت"))</f>
        <v>الجمعة</v>
      </c>
      <c r="C627" s="30"/>
      <c r="D627" s="30"/>
      <c r="E627" s="31" t="str">
        <f aca="false">IF(OR(M627=0,K627="",L627=""),"",MOD(L627-K627,1))</f>
        <v/>
      </c>
      <c r="F627" s="31" t="str">
        <f aca="false">IF(OR(E627="",M627=0),"",IF(WEEKDAY(A627,1)=6,E627,MIN(E627,MAX(0,MIN(IF(L627&lt;K627,L627+1,L627),OMR_OT_AT)-K627))))</f>
        <v/>
      </c>
      <c r="G627" s="31" t="str">
        <f aca="false">IF(OR(E627="",M627=0),"",MAX(0,E627-F627))</f>
        <v/>
      </c>
      <c r="H627" s="32" t="str">
        <f aca="false">IF(OR(E627="",M627=0),"",ROUND((F627*$N$619+G627*$O$619)*24,3))</f>
        <v/>
      </c>
      <c r="I627" s="30"/>
      <c r="K627" s="33" t="str">
        <f aca="false">IF(OR(M627=0,C627=""),"",IF(ISNUMBER(C627),MOD(C627,1),IFERROR(INDEX(القوائم!$B$1:$B$288,MATCH(TRIM(C627),القوائم!$A$1:$A$288,0)),IFERROR(MOD(TIMEVALUE(C627),1),""))))</f>
        <v/>
      </c>
      <c r="L627" s="33" t="str">
        <f aca="false">IF(OR(M627=0,D627=""),"",IF(ISNUMBER(D627),MOD(D627,1),IFERROR(INDEX(القوائم!$B$1:$B$288,MATCH(TRIM(D627),القوائم!$A$1:$A$288,0)),IFERROR(MOD(TIMEVALUE(D627),1),""))))</f>
        <v/>
      </c>
      <c r="M627" s="25" t="n">
        <f aca="false">M619</f>
        <v>1</v>
      </c>
      <c r="Q627" s="25" t="n">
        <f aca="false">IF(N(G630)&gt;0,1,0)</f>
        <v>0</v>
      </c>
      <c r="S627" s="0" t="n">
        <v>52</v>
      </c>
    </row>
    <row r="628" customFormat="false" ht="15" hidden="false" customHeight="false" outlineLevel="0" collapsed="false">
      <c r="A628" s="36" t="str">
        <f aca="false">IF(M619=1,"مجموع أيام الأسبوع 52","")</f>
        <v>مجموع أيام الأسبوع 52</v>
      </c>
      <c r="B628" s="36"/>
      <c r="C628" s="36"/>
      <c r="D628" s="36"/>
      <c r="E628" s="37" t="n">
        <f aca="false">IF(M619=1,SUM(E621:E627),"")</f>
        <v>0</v>
      </c>
      <c r="F628" s="37" t="n">
        <f aca="false">IF(M619=1,SUM(F621:F627),"")</f>
        <v>0</v>
      </c>
      <c r="G628" s="37" t="n">
        <f aca="false">IF(M619=1,SUM(G621:G627),"")</f>
        <v>0</v>
      </c>
      <c r="H628" s="38" t="n">
        <f aca="false">IF(M619=1,SUM(H621:H627),"")</f>
        <v>0</v>
      </c>
      <c r="I628" s="36"/>
      <c r="S628" s="0" t="n">
        <v>52</v>
      </c>
    </row>
    <row r="629" customFormat="false" ht="31.5" hidden="false" customHeight="true" outlineLevel="0" collapsed="false">
      <c r="A629" s="39" t="str">
        <f aca="false">IF(M619=1,"ساعات تحميل الجبسمبورد بهالأسبوع (رقم: 2 أو 1.5) ←","")</f>
        <v>ساعات تحميل الجبسمبورد بهالأسبوع (رقم: 2 أو 1.5) ←</v>
      </c>
      <c r="B629" s="39"/>
      <c r="C629" s="39"/>
      <c r="D629" s="39"/>
      <c r="E629" s="40"/>
      <c r="F629" s="41" t="str">
        <f aca="false">IF(M619=1,"المستحق النهائي للأسبوع مع الإكرامية (دينار) ←","")</f>
        <v>المستحق النهائي للأسبوع مع الإكرامية (دينار) ←</v>
      </c>
      <c r="G629" s="41"/>
      <c r="H629" s="42" t="n">
        <f aca="false">IF(M619=1,IF(ROUND_MODE="للأعلى",CEILING(ROUND((N(H628)+N(E629)*($P$619-$N$619)),3),0.25),ROUND((N(H628)+N(E629)*($P$619-$N$619))*4,0)/4)+N(D630),"")</f>
        <v>0</v>
      </c>
      <c r="I629" s="43" t="str">
        <f aca="false">IF(M619=1,"قبل الجبر: "&amp;TEXT(N(H628)+N(E629)*($P$619-$N$619),"0.000")&amp;IF(N(D630)&gt;0," + إكرامية "&amp;TEXT(D630,"0.000"),""),"")</f>
        <v>قبل الجبر: 0.000</v>
      </c>
      <c r="S629" s="0" t="n">
        <v>52</v>
      </c>
    </row>
    <row r="630" customFormat="false" ht="25.5" hidden="false" customHeight="true" outlineLevel="0" collapsed="false">
      <c r="A630" s="39" t="str">
        <f aca="false">IF(M619=1,"إكرامية الأسبوع (دينار) ←","")</f>
        <v>إكرامية الأسبوع (دينار) ←</v>
      </c>
      <c r="B630" s="39"/>
      <c r="C630" s="39"/>
      <c r="D630" s="44"/>
      <c r="E630" s="39" t="str">
        <f aca="false">IF(M619=1,"المدفوع (دينار) ←","")</f>
        <v>المدفوع (دينار) ←</v>
      </c>
      <c r="F630" s="39"/>
      <c r="G630" s="44"/>
      <c r="H630" s="45" t="str">
        <f aca="false">IF(M619=1,IF(N(G630)&gt;0,"✔ انقبض — الأسبوع مقفول","⏳ لسا ما انقبض"),"")</f>
        <v>⏳ لسا ما انقبض</v>
      </c>
      <c r="I630" s="45"/>
      <c r="S630" s="0" t="n">
        <v>52</v>
      </c>
    </row>
    <row r="631" customFormat="false" ht="27.75" hidden="false" customHeight="true" outlineLevel="0" collapsed="false">
      <c r="A631" s="23" t="str">
        <f aca="false">IF(53&lt;=NW,"من السبت "&amp;TEXT(DAY(SAT1+364),"00")&amp;"/"&amp;TEXT(MONTH(SAT1+364),"00")&amp;"/"&amp;YEAR(SAT1+364)&amp;" إلى الجمعة "&amp;TEXT(DAY(SAT1+370),"00")&amp;"/"&amp;TEXT(MONTH(SAT1+370),"00")&amp;"/"&amp;YEAR(SAT1+370)&amp;" · الأسبوع 53"&amp;"  (يوم القبض: الجمعة)"&amp;IF(53&lt;START_O,"   — قبل أسبوع البداية (ما بينحسب)",""),"ما في أسبوع 53 هالسنة")</f>
        <v>ما في أسبوع 53 هالسنة</v>
      </c>
      <c r="B631" s="23"/>
      <c r="C631" s="23"/>
      <c r="D631" s="23"/>
      <c r="E631" s="23"/>
      <c r="F631" s="23"/>
      <c r="G631" s="23"/>
      <c r="H631" s="23"/>
      <c r="I631" s="23"/>
      <c r="L631" s="24" t="str">
        <f aca="false">IF(53&lt;=NW,SAT1+370,"")</f>
        <v/>
      </c>
      <c r="M631" s="25" t="n">
        <f aca="false">IF(AND(53&lt;=NW,53&gt;=START_O),1,0)</f>
        <v>0</v>
      </c>
      <c r="N631" s="26" t="n">
        <f aca="false">IFERROR(INDEX(RT_OMR,MATCH(L631,RT_K,1)),INDEX(RT_OMR,1))</f>
        <v>1.25</v>
      </c>
      <c r="O631" s="26" t="n">
        <f aca="false">IFERROR(INDEX(RT_OT,MATCH(L631,RT_K,1)),INDEX(RT_OT,1))</f>
        <v>1.5</v>
      </c>
      <c r="P631" s="26" t="n">
        <f aca="false">IFERROR(INDEX(RT_GYP,MATCH(L631,RT_K,1)),INDEX(RT_GYP,1))</f>
        <v>2.5</v>
      </c>
      <c r="R631" s="0" t="n">
        <v>53</v>
      </c>
      <c r="S631" s="0" t="n">
        <v>53</v>
      </c>
    </row>
    <row r="632" customFormat="false" ht="25.5" hidden="false" customHeight="true" outlineLevel="0" collapsed="false">
      <c r="A632" s="27" t="s">
        <v>22</v>
      </c>
      <c r="B632" s="27" t="s">
        <v>23</v>
      </c>
      <c r="C632" s="27" t="s">
        <v>24</v>
      </c>
      <c r="D632" s="27" t="s">
        <v>25</v>
      </c>
      <c r="E632" s="27" t="s">
        <v>26</v>
      </c>
      <c r="F632" s="27" t="s">
        <v>27</v>
      </c>
      <c r="G632" s="27" t="s">
        <v>28</v>
      </c>
      <c r="H632" s="27" t="s">
        <v>29</v>
      </c>
      <c r="I632" s="27" t="s">
        <v>30</v>
      </c>
      <c r="S632" s="0" t="n">
        <v>53</v>
      </c>
    </row>
    <row r="633" customFormat="false" ht="15" hidden="false" customHeight="false" outlineLevel="0" collapsed="false">
      <c r="A633" s="28" t="str">
        <f aca="false">IF(53&lt;=NW,SAT1+364,"")</f>
        <v/>
      </c>
      <c r="B633" s="29" t="str">
        <f aca="false">IF(A633="","",CHOOSE(WEEKDAY(A633,1),"الأحد","الاثنين","الثلاثاء","الأربعاء","الخميس","الجمعة","السبت"))</f>
        <v/>
      </c>
      <c r="C633" s="30"/>
      <c r="D633" s="30"/>
      <c r="E633" s="31" t="str">
        <f aca="false">IF(OR(M633=0,K633="",L633=""),"",MOD(L633-K633,1))</f>
        <v/>
      </c>
      <c r="F633" s="31" t="str">
        <f aca="false">IF(OR(E633="",M633=0),"",IF(WEEKDAY(A633,1)=6,E633,MIN(E633,MAX(0,MIN(IF(L633&lt;K633,L633+1,L633),OMR_OT_AT)-K633))))</f>
        <v/>
      </c>
      <c r="G633" s="31" t="str">
        <f aca="false">IF(OR(E633="",M633=0),"",MAX(0,E633-F633))</f>
        <v/>
      </c>
      <c r="H633" s="32" t="str">
        <f aca="false">IF(OR(E633="",M633=0),"",ROUND((F633*$N$631+G633*$O$631)*24,3))</f>
        <v/>
      </c>
      <c r="I633" s="30"/>
      <c r="K633" s="33" t="str">
        <f aca="false">IF(OR(M633=0,C633=""),"",IF(ISNUMBER(C633),MOD(C633,1),IFERROR(INDEX(القوائم!$B$1:$B$288,MATCH(TRIM(C633),القوائم!$A$1:$A$288,0)),IFERROR(MOD(TIMEVALUE(C633),1),""))))</f>
        <v/>
      </c>
      <c r="L633" s="33" t="str">
        <f aca="false">IF(OR(M633=0,D633=""),"",IF(ISNUMBER(D633),MOD(D633,1),IFERROR(INDEX(القوائم!$B$1:$B$288,MATCH(TRIM(D633),القوائم!$A$1:$A$288,0)),IFERROR(MOD(TIMEVALUE(D633),1),""))))</f>
        <v/>
      </c>
      <c r="M633" s="25" t="n">
        <f aca="false">M631</f>
        <v>0</v>
      </c>
      <c r="Q633" s="25" t="n">
        <f aca="false">IF(N(G642)&gt;0,1,0)</f>
        <v>0</v>
      </c>
      <c r="S633" s="0" t="n">
        <v>53</v>
      </c>
    </row>
    <row r="634" customFormat="false" ht="15" hidden="false" customHeight="false" outlineLevel="0" collapsed="false">
      <c r="A634" s="28" t="str">
        <f aca="false">IF(53&lt;=NW,SAT1+365,"")</f>
        <v/>
      </c>
      <c r="B634" s="29" t="str">
        <f aca="false">IF(A634="","",CHOOSE(WEEKDAY(A634,1),"الأحد","الاثنين","الثلاثاء","الأربعاء","الخميس","الجمعة","السبت"))</f>
        <v/>
      </c>
      <c r="C634" s="30"/>
      <c r="D634" s="30"/>
      <c r="E634" s="31" t="str">
        <f aca="false">IF(OR(M634=0,K634="",L634=""),"",MOD(L634-K634,1))</f>
        <v/>
      </c>
      <c r="F634" s="31" t="str">
        <f aca="false">IF(OR(E634="",M634=0),"",IF(WEEKDAY(A634,1)=6,E634,MIN(E634,MAX(0,MIN(IF(L634&lt;K634,L634+1,L634),OMR_OT_AT)-K634))))</f>
        <v/>
      </c>
      <c r="G634" s="31" t="str">
        <f aca="false">IF(OR(E634="",M634=0),"",MAX(0,E634-F634))</f>
        <v/>
      </c>
      <c r="H634" s="32" t="str">
        <f aca="false">IF(OR(E634="",M634=0),"",ROUND((F634*$N$631+G634*$O$631)*24,3))</f>
        <v/>
      </c>
      <c r="I634" s="30"/>
      <c r="K634" s="33" t="str">
        <f aca="false">IF(OR(M634=0,C634=""),"",IF(ISNUMBER(C634),MOD(C634,1),IFERROR(INDEX(القوائم!$B$1:$B$288,MATCH(TRIM(C634),القوائم!$A$1:$A$288,0)),IFERROR(MOD(TIMEVALUE(C634),1),""))))</f>
        <v/>
      </c>
      <c r="L634" s="33" t="str">
        <f aca="false">IF(OR(M634=0,D634=""),"",IF(ISNUMBER(D634),MOD(D634,1),IFERROR(INDEX(القوائم!$B$1:$B$288,MATCH(TRIM(D634),القوائم!$A$1:$A$288,0)),IFERROR(MOD(TIMEVALUE(D634),1),""))))</f>
        <v/>
      </c>
      <c r="M634" s="25" t="n">
        <f aca="false">M631</f>
        <v>0</v>
      </c>
      <c r="Q634" s="25" t="n">
        <f aca="false">IF(N(G642)&gt;0,1,0)</f>
        <v>0</v>
      </c>
      <c r="S634" s="0" t="n">
        <v>53</v>
      </c>
    </row>
    <row r="635" customFormat="false" ht="15" hidden="false" customHeight="false" outlineLevel="0" collapsed="false">
      <c r="A635" s="28" t="str">
        <f aca="false">IF(53&lt;=NW,SAT1+366,"")</f>
        <v/>
      </c>
      <c r="B635" s="29" t="str">
        <f aca="false">IF(A635="","",CHOOSE(WEEKDAY(A635,1),"الأحد","الاثنين","الثلاثاء","الأربعاء","الخميس","الجمعة","السبت"))</f>
        <v/>
      </c>
      <c r="C635" s="30"/>
      <c r="D635" s="30"/>
      <c r="E635" s="31" t="str">
        <f aca="false">IF(OR(M635=0,K635="",L635=""),"",MOD(L635-K635,1))</f>
        <v/>
      </c>
      <c r="F635" s="31" t="str">
        <f aca="false">IF(OR(E635="",M635=0),"",IF(WEEKDAY(A635,1)=6,E635,MIN(E635,MAX(0,MIN(IF(L635&lt;K635,L635+1,L635),OMR_OT_AT)-K635))))</f>
        <v/>
      </c>
      <c r="G635" s="31" t="str">
        <f aca="false">IF(OR(E635="",M635=0),"",MAX(0,E635-F635))</f>
        <v/>
      </c>
      <c r="H635" s="32" t="str">
        <f aca="false">IF(OR(E635="",M635=0),"",ROUND((F635*$N$631+G635*$O$631)*24,3))</f>
        <v/>
      </c>
      <c r="I635" s="30"/>
      <c r="K635" s="33" t="str">
        <f aca="false">IF(OR(M635=0,C635=""),"",IF(ISNUMBER(C635),MOD(C635,1),IFERROR(INDEX(القوائم!$B$1:$B$288,MATCH(TRIM(C635),القوائم!$A$1:$A$288,0)),IFERROR(MOD(TIMEVALUE(C635),1),""))))</f>
        <v/>
      </c>
      <c r="L635" s="33" t="str">
        <f aca="false">IF(OR(M635=0,D635=""),"",IF(ISNUMBER(D635),MOD(D635,1),IFERROR(INDEX(القوائم!$B$1:$B$288,MATCH(TRIM(D635),القوائم!$A$1:$A$288,0)),IFERROR(MOD(TIMEVALUE(D635),1),""))))</f>
        <v/>
      </c>
      <c r="M635" s="25" t="n">
        <f aca="false">M631</f>
        <v>0</v>
      </c>
      <c r="Q635" s="25" t="n">
        <f aca="false">IF(N(G642)&gt;0,1,0)</f>
        <v>0</v>
      </c>
      <c r="S635" s="0" t="n">
        <v>53</v>
      </c>
    </row>
    <row r="636" customFormat="false" ht="15" hidden="false" customHeight="false" outlineLevel="0" collapsed="false">
      <c r="A636" s="28" t="str">
        <f aca="false">IF(53&lt;=NW,SAT1+367,"")</f>
        <v/>
      </c>
      <c r="B636" s="29" t="str">
        <f aca="false">IF(A636="","",CHOOSE(WEEKDAY(A636,1),"الأحد","الاثنين","الثلاثاء","الأربعاء","الخميس","الجمعة","السبت"))</f>
        <v/>
      </c>
      <c r="C636" s="30"/>
      <c r="D636" s="30"/>
      <c r="E636" s="31" t="str">
        <f aca="false">IF(OR(M636=0,K636="",L636=""),"",MOD(L636-K636,1))</f>
        <v/>
      </c>
      <c r="F636" s="31" t="str">
        <f aca="false">IF(OR(E636="",M636=0),"",IF(WEEKDAY(A636,1)=6,E636,MIN(E636,MAX(0,MIN(IF(L636&lt;K636,L636+1,L636),OMR_OT_AT)-K636))))</f>
        <v/>
      </c>
      <c r="G636" s="31" t="str">
        <f aca="false">IF(OR(E636="",M636=0),"",MAX(0,E636-F636))</f>
        <v/>
      </c>
      <c r="H636" s="32" t="str">
        <f aca="false">IF(OR(E636="",M636=0),"",ROUND((F636*$N$631+G636*$O$631)*24,3))</f>
        <v/>
      </c>
      <c r="I636" s="30"/>
      <c r="K636" s="33" t="str">
        <f aca="false">IF(OR(M636=0,C636=""),"",IF(ISNUMBER(C636),MOD(C636,1),IFERROR(INDEX(القوائم!$B$1:$B$288,MATCH(TRIM(C636),القوائم!$A$1:$A$288,0)),IFERROR(MOD(TIMEVALUE(C636),1),""))))</f>
        <v/>
      </c>
      <c r="L636" s="33" t="str">
        <f aca="false">IF(OR(M636=0,D636=""),"",IF(ISNUMBER(D636),MOD(D636,1),IFERROR(INDEX(القوائم!$B$1:$B$288,MATCH(TRIM(D636),القوائم!$A$1:$A$288,0)),IFERROR(MOD(TIMEVALUE(D636),1),""))))</f>
        <v/>
      </c>
      <c r="M636" s="25" t="n">
        <f aca="false">M631</f>
        <v>0</v>
      </c>
      <c r="Q636" s="25" t="n">
        <f aca="false">IF(N(G642)&gt;0,1,0)</f>
        <v>0</v>
      </c>
      <c r="S636" s="0" t="n">
        <v>53</v>
      </c>
    </row>
    <row r="637" customFormat="false" ht="15" hidden="false" customHeight="false" outlineLevel="0" collapsed="false">
      <c r="A637" s="28" t="str">
        <f aca="false">IF(53&lt;=NW,SAT1+368,"")</f>
        <v/>
      </c>
      <c r="B637" s="29" t="str">
        <f aca="false">IF(A637="","",CHOOSE(WEEKDAY(A637,1),"الأحد","الاثنين","الثلاثاء","الأربعاء","الخميس","الجمعة","السبت"))</f>
        <v/>
      </c>
      <c r="C637" s="30"/>
      <c r="D637" s="30"/>
      <c r="E637" s="31" t="str">
        <f aca="false">IF(OR(M637=0,K637="",L637=""),"",MOD(L637-K637,1))</f>
        <v/>
      </c>
      <c r="F637" s="31" t="str">
        <f aca="false">IF(OR(E637="",M637=0),"",IF(WEEKDAY(A637,1)=6,E637,MIN(E637,MAX(0,MIN(IF(L637&lt;K637,L637+1,L637),OMR_OT_AT)-K637))))</f>
        <v/>
      </c>
      <c r="G637" s="31" t="str">
        <f aca="false">IF(OR(E637="",M637=0),"",MAX(0,E637-F637))</f>
        <v/>
      </c>
      <c r="H637" s="32" t="str">
        <f aca="false">IF(OR(E637="",M637=0),"",ROUND((F637*$N$631+G637*$O$631)*24,3))</f>
        <v/>
      </c>
      <c r="I637" s="30"/>
      <c r="K637" s="33" t="str">
        <f aca="false">IF(OR(M637=0,C637=""),"",IF(ISNUMBER(C637),MOD(C637,1),IFERROR(INDEX(القوائم!$B$1:$B$288,MATCH(TRIM(C637),القوائم!$A$1:$A$288,0)),IFERROR(MOD(TIMEVALUE(C637),1),""))))</f>
        <v/>
      </c>
      <c r="L637" s="33" t="str">
        <f aca="false">IF(OR(M637=0,D637=""),"",IF(ISNUMBER(D637),MOD(D637,1),IFERROR(INDEX(القوائم!$B$1:$B$288,MATCH(TRIM(D637),القوائم!$A$1:$A$288,0)),IFERROR(MOD(TIMEVALUE(D637),1),""))))</f>
        <v/>
      </c>
      <c r="M637" s="25" t="n">
        <f aca="false">M631</f>
        <v>0</v>
      </c>
      <c r="Q637" s="25" t="n">
        <f aca="false">IF(N(G642)&gt;0,1,0)</f>
        <v>0</v>
      </c>
      <c r="S637" s="0" t="n">
        <v>53</v>
      </c>
    </row>
    <row r="638" customFormat="false" ht="15" hidden="false" customHeight="false" outlineLevel="0" collapsed="false">
      <c r="A638" s="28" t="str">
        <f aca="false">IF(53&lt;=NW,SAT1+369,"")</f>
        <v/>
      </c>
      <c r="B638" s="29" t="str">
        <f aca="false">IF(A638="","",CHOOSE(WEEKDAY(A638,1),"الأحد","الاثنين","الثلاثاء","الأربعاء","الخميس","الجمعة","السبت"))</f>
        <v/>
      </c>
      <c r="C638" s="30"/>
      <c r="D638" s="30"/>
      <c r="E638" s="31" t="str">
        <f aca="false">IF(OR(M638=0,K638="",L638=""),"",MOD(L638-K638,1))</f>
        <v/>
      </c>
      <c r="F638" s="31" t="str">
        <f aca="false">IF(OR(E638="",M638=0),"",IF(WEEKDAY(A638,1)=6,E638,MIN(E638,MAX(0,MIN(IF(L638&lt;K638,L638+1,L638),OMR_OT_AT)-K638))))</f>
        <v/>
      </c>
      <c r="G638" s="31" t="str">
        <f aca="false">IF(OR(E638="",M638=0),"",MAX(0,E638-F638))</f>
        <v/>
      </c>
      <c r="H638" s="32" t="str">
        <f aca="false">IF(OR(E638="",M638=0),"",ROUND((F638*$N$631+G638*$O$631)*24,3))</f>
        <v/>
      </c>
      <c r="I638" s="30"/>
      <c r="K638" s="33" t="str">
        <f aca="false">IF(OR(M638=0,C638=""),"",IF(ISNUMBER(C638),MOD(C638,1),IFERROR(INDEX(القوائم!$B$1:$B$288,MATCH(TRIM(C638),القوائم!$A$1:$A$288,0)),IFERROR(MOD(TIMEVALUE(C638),1),""))))</f>
        <v/>
      </c>
      <c r="L638" s="33" t="str">
        <f aca="false">IF(OR(M638=0,D638=""),"",IF(ISNUMBER(D638),MOD(D638,1),IFERROR(INDEX(القوائم!$B$1:$B$288,MATCH(TRIM(D638),القوائم!$A$1:$A$288,0)),IFERROR(MOD(TIMEVALUE(D638),1),""))))</f>
        <v/>
      </c>
      <c r="M638" s="25" t="n">
        <f aca="false">M631</f>
        <v>0</v>
      </c>
      <c r="Q638" s="25" t="n">
        <f aca="false">IF(N(G642)&gt;0,1,0)</f>
        <v>0</v>
      </c>
      <c r="S638" s="0" t="n">
        <v>53</v>
      </c>
    </row>
    <row r="639" customFormat="false" ht="15" hidden="false" customHeight="false" outlineLevel="0" collapsed="false">
      <c r="A639" s="34" t="str">
        <f aca="false">IF(53&lt;=NW,SAT1+370,"")</f>
        <v/>
      </c>
      <c r="B639" s="35" t="str">
        <f aca="false">IF(A639="","",CHOOSE(WEEKDAY(A639,1),"الأحد","الاثنين","الثلاثاء","الأربعاء","الخميس","الجمعة","السبت"))</f>
        <v/>
      </c>
      <c r="C639" s="30"/>
      <c r="D639" s="30"/>
      <c r="E639" s="31" t="str">
        <f aca="false">IF(OR(M639=0,K639="",L639=""),"",MOD(L639-K639,1))</f>
        <v/>
      </c>
      <c r="F639" s="31" t="str">
        <f aca="false">IF(OR(E639="",M639=0),"",IF(WEEKDAY(A639,1)=6,E639,MIN(E639,MAX(0,MIN(IF(L639&lt;K639,L639+1,L639),OMR_OT_AT)-K639))))</f>
        <v/>
      </c>
      <c r="G639" s="31" t="str">
        <f aca="false">IF(OR(E639="",M639=0),"",MAX(0,E639-F639))</f>
        <v/>
      </c>
      <c r="H639" s="32" t="str">
        <f aca="false">IF(OR(E639="",M639=0),"",ROUND((F639*$N$631+G639*$O$631)*24,3))</f>
        <v/>
      </c>
      <c r="I639" s="30"/>
      <c r="K639" s="33" t="str">
        <f aca="false">IF(OR(M639=0,C639=""),"",IF(ISNUMBER(C639),MOD(C639,1),IFERROR(INDEX(القوائم!$B$1:$B$288,MATCH(TRIM(C639),القوائم!$A$1:$A$288,0)),IFERROR(MOD(TIMEVALUE(C639),1),""))))</f>
        <v/>
      </c>
      <c r="L639" s="33" t="str">
        <f aca="false">IF(OR(M639=0,D639=""),"",IF(ISNUMBER(D639),MOD(D639,1),IFERROR(INDEX(القوائم!$B$1:$B$288,MATCH(TRIM(D639),القوائم!$A$1:$A$288,0)),IFERROR(MOD(TIMEVALUE(D639),1),""))))</f>
        <v/>
      </c>
      <c r="M639" s="25" t="n">
        <f aca="false">M631</f>
        <v>0</v>
      </c>
      <c r="Q639" s="25" t="n">
        <f aca="false">IF(N(G642)&gt;0,1,0)</f>
        <v>0</v>
      </c>
      <c r="S639" s="0" t="n">
        <v>53</v>
      </c>
    </row>
    <row r="640" customFormat="false" ht="15" hidden="false" customHeight="false" outlineLevel="0" collapsed="false">
      <c r="A640" s="36" t="str">
        <f aca="false">IF(M631=1,"مجموع أيام الأسبوع 53","")</f>
        <v/>
      </c>
      <c r="B640" s="36"/>
      <c r="C640" s="36"/>
      <c r="D640" s="36"/>
      <c r="E640" s="37" t="str">
        <f aca="false">IF(M631=1,SUM(E633:E639),"")</f>
        <v/>
      </c>
      <c r="F640" s="37" t="str">
        <f aca="false">IF(M631=1,SUM(F633:F639),"")</f>
        <v/>
      </c>
      <c r="G640" s="37" t="str">
        <f aca="false">IF(M631=1,SUM(G633:G639),"")</f>
        <v/>
      </c>
      <c r="H640" s="38" t="str">
        <f aca="false">IF(M631=1,SUM(H633:H639),"")</f>
        <v/>
      </c>
      <c r="I640" s="36"/>
      <c r="S640" s="0" t="n">
        <v>53</v>
      </c>
    </row>
    <row r="641" customFormat="false" ht="31.5" hidden="false" customHeight="true" outlineLevel="0" collapsed="false">
      <c r="A641" s="39" t="str">
        <f aca="false">IF(M631=1,"ساعات تحميل الجبسمبورد بهالأسبوع (رقم: 2 أو 1.5) ←","")</f>
        <v/>
      </c>
      <c r="B641" s="39"/>
      <c r="C641" s="39"/>
      <c r="D641" s="39"/>
      <c r="E641" s="40"/>
      <c r="F641" s="41" t="str">
        <f aca="false">IF(M631=1,"المستحق النهائي للأسبوع مع الإكرامية (دينار) ←","")</f>
        <v/>
      </c>
      <c r="G641" s="41"/>
      <c r="H641" s="42" t="str">
        <f aca="false">IF(M631=1,IF(ROUND_MODE="للأعلى",CEILING(ROUND((N(H640)+N(E641)*($P$631-$N$631)),3),0.25),ROUND((N(H640)+N(E641)*($P$631-$N$631))*4,0)/4)+N(D642),"")</f>
        <v/>
      </c>
      <c r="I641" s="43" t="str">
        <f aca="false">IF(M631=1,"قبل الجبر: "&amp;TEXT(N(H640)+N(E641)*($P$631-$N$631),"0.000")&amp;IF(N(D642)&gt;0," + إكرامية "&amp;TEXT(D642,"0.000"),""),"")</f>
        <v/>
      </c>
      <c r="S641" s="0" t="n">
        <v>53</v>
      </c>
    </row>
    <row r="642" customFormat="false" ht="25.5" hidden="false" customHeight="true" outlineLevel="0" collapsed="false">
      <c r="A642" s="39" t="str">
        <f aca="false">IF(M631=1,"إكرامية الأسبوع (دينار) ←","")</f>
        <v/>
      </c>
      <c r="B642" s="39"/>
      <c r="C642" s="39"/>
      <c r="D642" s="44"/>
      <c r="E642" s="39" t="str">
        <f aca="false">IF(M631=1,"المدفوع (دينار) ←","")</f>
        <v/>
      </c>
      <c r="F642" s="39"/>
      <c r="G642" s="44"/>
      <c r="H642" s="45" t="str">
        <f aca="false">IF(M631=1,IF(N(G642)&gt;0,"✔ انقبض — الأسبوع مقفول","⏳ لسا ما انقبض"),"")</f>
        <v/>
      </c>
      <c r="I642" s="45"/>
      <c r="S642" s="0" t="n">
        <v>53</v>
      </c>
    </row>
  </sheetData>
  <sheetProtection sheet="true" formatColumns="false" formatRows="false"/>
  <mergeCells count="374">
    <mergeCell ref="A1:I1"/>
    <mergeCell ref="A2:I2"/>
    <mergeCell ref="A3:I3"/>
    <mergeCell ref="A7:I7"/>
    <mergeCell ref="A16:D16"/>
    <mergeCell ref="A17:D17"/>
    <mergeCell ref="F17:G17"/>
    <mergeCell ref="A18:C18"/>
    <mergeCell ref="E18:F18"/>
    <mergeCell ref="H18:I18"/>
    <mergeCell ref="A19:I19"/>
    <mergeCell ref="A28:D28"/>
    <mergeCell ref="A29:D29"/>
    <mergeCell ref="F29:G29"/>
    <mergeCell ref="A30:C30"/>
    <mergeCell ref="E30:F30"/>
    <mergeCell ref="H30:I30"/>
    <mergeCell ref="A31:I31"/>
    <mergeCell ref="A40:D40"/>
    <mergeCell ref="A41:D41"/>
    <mergeCell ref="F41:G41"/>
    <mergeCell ref="A42:C42"/>
    <mergeCell ref="E42:F42"/>
    <mergeCell ref="H42:I42"/>
    <mergeCell ref="A43:I43"/>
    <mergeCell ref="A52:D52"/>
    <mergeCell ref="A53:D53"/>
    <mergeCell ref="F53:G53"/>
    <mergeCell ref="A54:C54"/>
    <mergeCell ref="E54:F54"/>
    <mergeCell ref="H54:I54"/>
    <mergeCell ref="A55:I55"/>
    <mergeCell ref="A64:D64"/>
    <mergeCell ref="A65:D65"/>
    <mergeCell ref="F65:G65"/>
    <mergeCell ref="A66:C66"/>
    <mergeCell ref="E66:F66"/>
    <mergeCell ref="H66:I66"/>
    <mergeCell ref="A67:I67"/>
    <mergeCell ref="A76:D76"/>
    <mergeCell ref="A77:D77"/>
    <mergeCell ref="F77:G77"/>
    <mergeCell ref="A78:C78"/>
    <mergeCell ref="E78:F78"/>
    <mergeCell ref="H78:I78"/>
    <mergeCell ref="A79:I79"/>
    <mergeCell ref="A88:D88"/>
    <mergeCell ref="A89:D89"/>
    <mergeCell ref="F89:G89"/>
    <mergeCell ref="A90:C90"/>
    <mergeCell ref="E90:F90"/>
    <mergeCell ref="H90:I90"/>
    <mergeCell ref="A91:I91"/>
    <mergeCell ref="A100:D100"/>
    <mergeCell ref="A101:D101"/>
    <mergeCell ref="F101:G101"/>
    <mergeCell ref="A102:C102"/>
    <mergeCell ref="E102:F102"/>
    <mergeCell ref="H102:I102"/>
    <mergeCell ref="A103:I103"/>
    <mergeCell ref="A112:D112"/>
    <mergeCell ref="A113:D113"/>
    <mergeCell ref="F113:G113"/>
    <mergeCell ref="A114:C114"/>
    <mergeCell ref="E114:F114"/>
    <mergeCell ref="H114:I114"/>
    <mergeCell ref="A115:I115"/>
    <mergeCell ref="A124:D124"/>
    <mergeCell ref="A125:D125"/>
    <mergeCell ref="F125:G125"/>
    <mergeCell ref="A126:C126"/>
    <mergeCell ref="E126:F126"/>
    <mergeCell ref="H126:I126"/>
    <mergeCell ref="A127:I127"/>
    <mergeCell ref="A136:D136"/>
    <mergeCell ref="A137:D137"/>
    <mergeCell ref="F137:G137"/>
    <mergeCell ref="A138:C138"/>
    <mergeCell ref="E138:F138"/>
    <mergeCell ref="H138:I138"/>
    <mergeCell ref="A139:I139"/>
    <mergeCell ref="A148:D148"/>
    <mergeCell ref="A149:D149"/>
    <mergeCell ref="F149:G149"/>
    <mergeCell ref="A150:C150"/>
    <mergeCell ref="E150:F150"/>
    <mergeCell ref="H150:I150"/>
    <mergeCell ref="A151:I151"/>
    <mergeCell ref="A160:D160"/>
    <mergeCell ref="A161:D161"/>
    <mergeCell ref="F161:G161"/>
    <mergeCell ref="A162:C162"/>
    <mergeCell ref="E162:F162"/>
    <mergeCell ref="H162:I162"/>
    <mergeCell ref="A163:I163"/>
    <mergeCell ref="A172:D172"/>
    <mergeCell ref="A173:D173"/>
    <mergeCell ref="F173:G173"/>
    <mergeCell ref="A174:C174"/>
    <mergeCell ref="E174:F174"/>
    <mergeCell ref="H174:I174"/>
    <mergeCell ref="A175:I175"/>
    <mergeCell ref="A184:D184"/>
    <mergeCell ref="A185:D185"/>
    <mergeCell ref="F185:G185"/>
    <mergeCell ref="A186:C186"/>
    <mergeCell ref="E186:F186"/>
    <mergeCell ref="H186:I186"/>
    <mergeCell ref="A187:I187"/>
    <mergeCell ref="A196:D196"/>
    <mergeCell ref="A197:D197"/>
    <mergeCell ref="F197:G197"/>
    <mergeCell ref="A198:C198"/>
    <mergeCell ref="E198:F198"/>
    <mergeCell ref="H198:I198"/>
    <mergeCell ref="A199:I199"/>
    <mergeCell ref="A208:D208"/>
    <mergeCell ref="A209:D209"/>
    <mergeCell ref="F209:G209"/>
    <mergeCell ref="A210:C210"/>
    <mergeCell ref="E210:F210"/>
    <mergeCell ref="H210:I210"/>
    <mergeCell ref="A211:I211"/>
    <mergeCell ref="A220:D220"/>
    <mergeCell ref="A221:D221"/>
    <mergeCell ref="F221:G221"/>
    <mergeCell ref="A222:C222"/>
    <mergeCell ref="E222:F222"/>
    <mergeCell ref="H222:I222"/>
    <mergeCell ref="A223:I223"/>
    <mergeCell ref="A232:D232"/>
    <mergeCell ref="A233:D233"/>
    <mergeCell ref="F233:G233"/>
    <mergeCell ref="A234:C234"/>
    <mergeCell ref="E234:F234"/>
    <mergeCell ref="H234:I234"/>
    <mergeCell ref="A235:I235"/>
    <mergeCell ref="A244:D244"/>
    <mergeCell ref="A245:D245"/>
    <mergeCell ref="F245:G245"/>
    <mergeCell ref="A246:C246"/>
    <mergeCell ref="E246:F246"/>
    <mergeCell ref="H246:I246"/>
    <mergeCell ref="A247:I247"/>
    <mergeCell ref="A256:D256"/>
    <mergeCell ref="A257:D257"/>
    <mergeCell ref="F257:G257"/>
    <mergeCell ref="A258:C258"/>
    <mergeCell ref="E258:F258"/>
    <mergeCell ref="H258:I258"/>
    <mergeCell ref="A259:I259"/>
    <mergeCell ref="A268:D268"/>
    <mergeCell ref="A269:D269"/>
    <mergeCell ref="F269:G269"/>
    <mergeCell ref="A270:C270"/>
    <mergeCell ref="E270:F270"/>
    <mergeCell ref="H270:I270"/>
    <mergeCell ref="A271:I271"/>
    <mergeCell ref="A280:D280"/>
    <mergeCell ref="A281:D281"/>
    <mergeCell ref="F281:G281"/>
    <mergeCell ref="A282:C282"/>
    <mergeCell ref="E282:F282"/>
    <mergeCell ref="H282:I282"/>
    <mergeCell ref="A283:I283"/>
    <mergeCell ref="A292:D292"/>
    <mergeCell ref="A293:D293"/>
    <mergeCell ref="F293:G293"/>
    <mergeCell ref="A294:C294"/>
    <mergeCell ref="E294:F294"/>
    <mergeCell ref="H294:I294"/>
    <mergeCell ref="A295:I295"/>
    <mergeCell ref="A304:D304"/>
    <mergeCell ref="A305:D305"/>
    <mergeCell ref="F305:G305"/>
    <mergeCell ref="A306:C306"/>
    <mergeCell ref="E306:F306"/>
    <mergeCell ref="H306:I306"/>
    <mergeCell ref="A307:I307"/>
    <mergeCell ref="A316:D316"/>
    <mergeCell ref="A317:D317"/>
    <mergeCell ref="F317:G317"/>
    <mergeCell ref="A318:C318"/>
    <mergeCell ref="E318:F318"/>
    <mergeCell ref="H318:I318"/>
    <mergeCell ref="A319:I319"/>
    <mergeCell ref="A328:D328"/>
    <mergeCell ref="A329:D329"/>
    <mergeCell ref="F329:G329"/>
    <mergeCell ref="A330:C330"/>
    <mergeCell ref="E330:F330"/>
    <mergeCell ref="H330:I330"/>
    <mergeCell ref="A331:I331"/>
    <mergeCell ref="A340:D340"/>
    <mergeCell ref="A341:D341"/>
    <mergeCell ref="F341:G341"/>
    <mergeCell ref="A342:C342"/>
    <mergeCell ref="E342:F342"/>
    <mergeCell ref="H342:I342"/>
    <mergeCell ref="A343:I343"/>
    <mergeCell ref="A352:D352"/>
    <mergeCell ref="A353:D353"/>
    <mergeCell ref="F353:G353"/>
    <mergeCell ref="A354:C354"/>
    <mergeCell ref="E354:F354"/>
    <mergeCell ref="H354:I354"/>
    <mergeCell ref="A355:I355"/>
    <mergeCell ref="A364:D364"/>
    <mergeCell ref="A365:D365"/>
    <mergeCell ref="F365:G365"/>
    <mergeCell ref="A366:C366"/>
    <mergeCell ref="E366:F366"/>
    <mergeCell ref="H366:I366"/>
    <mergeCell ref="A367:I367"/>
    <mergeCell ref="A376:D376"/>
    <mergeCell ref="A377:D377"/>
    <mergeCell ref="F377:G377"/>
    <mergeCell ref="A378:C378"/>
    <mergeCell ref="E378:F378"/>
    <mergeCell ref="H378:I378"/>
    <mergeCell ref="A379:I379"/>
    <mergeCell ref="A388:D388"/>
    <mergeCell ref="A389:D389"/>
    <mergeCell ref="F389:G389"/>
    <mergeCell ref="A390:C390"/>
    <mergeCell ref="E390:F390"/>
    <mergeCell ref="H390:I390"/>
    <mergeCell ref="A391:I391"/>
    <mergeCell ref="A400:D400"/>
    <mergeCell ref="A401:D401"/>
    <mergeCell ref="F401:G401"/>
    <mergeCell ref="A402:C402"/>
    <mergeCell ref="E402:F402"/>
    <mergeCell ref="H402:I402"/>
    <mergeCell ref="A403:I403"/>
    <mergeCell ref="A412:D412"/>
    <mergeCell ref="A413:D413"/>
    <mergeCell ref="F413:G413"/>
    <mergeCell ref="A414:C414"/>
    <mergeCell ref="E414:F414"/>
    <mergeCell ref="H414:I414"/>
    <mergeCell ref="A415:I415"/>
    <mergeCell ref="A424:D424"/>
    <mergeCell ref="A425:D425"/>
    <mergeCell ref="F425:G425"/>
    <mergeCell ref="A426:C426"/>
    <mergeCell ref="E426:F426"/>
    <mergeCell ref="H426:I426"/>
    <mergeCell ref="A427:I427"/>
    <mergeCell ref="A436:D436"/>
    <mergeCell ref="A437:D437"/>
    <mergeCell ref="F437:G437"/>
    <mergeCell ref="A438:C438"/>
    <mergeCell ref="E438:F438"/>
    <mergeCell ref="H438:I438"/>
    <mergeCell ref="A439:I439"/>
    <mergeCell ref="A448:D448"/>
    <mergeCell ref="A449:D449"/>
    <mergeCell ref="F449:G449"/>
    <mergeCell ref="A450:C450"/>
    <mergeCell ref="E450:F450"/>
    <mergeCell ref="H450:I450"/>
    <mergeCell ref="A451:I451"/>
    <mergeCell ref="A460:D460"/>
    <mergeCell ref="A461:D461"/>
    <mergeCell ref="F461:G461"/>
    <mergeCell ref="A462:C462"/>
    <mergeCell ref="E462:F462"/>
    <mergeCell ref="H462:I462"/>
    <mergeCell ref="A463:I463"/>
    <mergeCell ref="A472:D472"/>
    <mergeCell ref="A473:D473"/>
    <mergeCell ref="F473:G473"/>
    <mergeCell ref="A474:C474"/>
    <mergeCell ref="E474:F474"/>
    <mergeCell ref="H474:I474"/>
    <mergeCell ref="A475:I475"/>
    <mergeCell ref="A484:D484"/>
    <mergeCell ref="A485:D485"/>
    <mergeCell ref="F485:G485"/>
    <mergeCell ref="A486:C486"/>
    <mergeCell ref="E486:F486"/>
    <mergeCell ref="H486:I486"/>
    <mergeCell ref="A487:I487"/>
    <mergeCell ref="A496:D496"/>
    <mergeCell ref="A497:D497"/>
    <mergeCell ref="F497:G497"/>
    <mergeCell ref="A498:C498"/>
    <mergeCell ref="E498:F498"/>
    <mergeCell ref="H498:I498"/>
    <mergeCell ref="A499:I499"/>
    <mergeCell ref="A508:D508"/>
    <mergeCell ref="A509:D509"/>
    <mergeCell ref="F509:G509"/>
    <mergeCell ref="A510:C510"/>
    <mergeCell ref="E510:F510"/>
    <mergeCell ref="H510:I510"/>
    <mergeCell ref="A511:I511"/>
    <mergeCell ref="A520:D520"/>
    <mergeCell ref="A521:D521"/>
    <mergeCell ref="F521:G521"/>
    <mergeCell ref="A522:C522"/>
    <mergeCell ref="E522:F522"/>
    <mergeCell ref="H522:I522"/>
    <mergeCell ref="A523:I523"/>
    <mergeCell ref="A532:D532"/>
    <mergeCell ref="A533:D533"/>
    <mergeCell ref="F533:G533"/>
    <mergeCell ref="A534:C534"/>
    <mergeCell ref="E534:F534"/>
    <mergeCell ref="H534:I534"/>
    <mergeCell ref="A535:I535"/>
    <mergeCell ref="A544:D544"/>
    <mergeCell ref="A545:D545"/>
    <mergeCell ref="F545:G545"/>
    <mergeCell ref="A546:C546"/>
    <mergeCell ref="E546:F546"/>
    <mergeCell ref="H546:I546"/>
    <mergeCell ref="A547:I547"/>
    <mergeCell ref="A556:D556"/>
    <mergeCell ref="A557:D557"/>
    <mergeCell ref="F557:G557"/>
    <mergeCell ref="A558:C558"/>
    <mergeCell ref="E558:F558"/>
    <mergeCell ref="H558:I558"/>
    <mergeCell ref="A559:I559"/>
    <mergeCell ref="A568:D568"/>
    <mergeCell ref="A569:D569"/>
    <mergeCell ref="F569:G569"/>
    <mergeCell ref="A570:C570"/>
    <mergeCell ref="E570:F570"/>
    <mergeCell ref="H570:I570"/>
    <mergeCell ref="A571:I571"/>
    <mergeCell ref="A580:D580"/>
    <mergeCell ref="A581:D581"/>
    <mergeCell ref="F581:G581"/>
    <mergeCell ref="A582:C582"/>
    <mergeCell ref="E582:F582"/>
    <mergeCell ref="H582:I582"/>
    <mergeCell ref="A583:I583"/>
    <mergeCell ref="A592:D592"/>
    <mergeCell ref="A593:D593"/>
    <mergeCell ref="F593:G593"/>
    <mergeCell ref="A594:C594"/>
    <mergeCell ref="E594:F594"/>
    <mergeCell ref="H594:I594"/>
    <mergeCell ref="A595:I595"/>
    <mergeCell ref="A604:D604"/>
    <mergeCell ref="A605:D605"/>
    <mergeCell ref="F605:G605"/>
    <mergeCell ref="A606:C606"/>
    <mergeCell ref="E606:F606"/>
    <mergeCell ref="H606:I606"/>
    <mergeCell ref="A607:I607"/>
    <mergeCell ref="A616:D616"/>
    <mergeCell ref="A617:D617"/>
    <mergeCell ref="F617:G617"/>
    <mergeCell ref="A618:C618"/>
    <mergeCell ref="E618:F618"/>
    <mergeCell ref="H618:I618"/>
    <mergeCell ref="A619:I619"/>
    <mergeCell ref="A628:D628"/>
    <mergeCell ref="A629:D629"/>
    <mergeCell ref="F629:G629"/>
    <mergeCell ref="A630:C630"/>
    <mergeCell ref="E630:F630"/>
    <mergeCell ref="H630:I630"/>
    <mergeCell ref="A631:I631"/>
    <mergeCell ref="A640:D640"/>
    <mergeCell ref="A641:D641"/>
    <mergeCell ref="F641:G641"/>
    <mergeCell ref="A642:C642"/>
    <mergeCell ref="E642:F642"/>
    <mergeCell ref="H642:I642"/>
  </mergeCells>
  <conditionalFormatting sqref="C7:D642">
    <cfRule type="expression" priority="2" aboveAverage="0" equalAverage="0" bottom="0" percent="0" rank="0" text="" dxfId="0">
      <formula>AND($M7=1,$K7&lt;&gt;"",$L7&lt;&gt;"",WEEKDAY($A7,1)=6,OR($K7&lt;OMR_FRI_IN,$L7&gt;OMR_FRI_OUT))</formula>
    </cfRule>
  </conditionalFormatting>
  <conditionalFormatting sqref="A7:I642">
    <cfRule type="expression" priority="3" aboveAverage="0" equalAverage="0" bottom="0" percent="0" rank="0" text="" dxfId="1">
      <formula>$M7=0</formula>
    </cfRule>
    <cfRule type="expression" priority="4" aboveAverage="0" equalAverage="0" bottom="0" percent="0" rank="0" text="" dxfId="2">
      <formula>AND($M7=1,$Q7=1)</formula>
    </cfRule>
    <cfRule type="expression" priority="5" aboveAverage="0" equalAverage="0" bottom="0" percent="0" rank="0" text="" dxfId="3">
      <formula>$R7=CURWK</formula>
    </cfRule>
    <cfRule type="expression" priority="6" aboveAverage="0" equalAverage="0" bottom="0" percent="0" rank="0" text="" dxfId="4">
      <formula>AND($S7=CURWK,$R7&lt;&gt;CURWK)</formula>
    </cfRule>
  </conditionalFormatting>
  <conditionalFormatting sqref="H17">
    <cfRule type="expression" priority="7" aboveAverage="0" equalAverage="0" bottom="0" percent="0" rank="0" text="" dxfId="5">
      <formula>H17&lt;&gt;""</formula>
    </cfRule>
  </conditionalFormatting>
  <conditionalFormatting sqref="H29">
    <cfRule type="expression" priority="8" aboveAverage="0" equalAverage="0" bottom="0" percent="0" rank="0" text="" dxfId="5">
      <formula>H29&lt;&gt;""</formula>
    </cfRule>
  </conditionalFormatting>
  <conditionalFormatting sqref="H41">
    <cfRule type="expression" priority="9" aboveAverage="0" equalAverage="0" bottom="0" percent="0" rank="0" text="" dxfId="5">
      <formula>H41&lt;&gt;""</formula>
    </cfRule>
  </conditionalFormatting>
  <conditionalFormatting sqref="H53">
    <cfRule type="expression" priority="10" aboveAverage="0" equalAverage="0" bottom="0" percent="0" rank="0" text="" dxfId="5">
      <formula>H53&lt;&gt;""</formula>
    </cfRule>
  </conditionalFormatting>
  <conditionalFormatting sqref="H65">
    <cfRule type="expression" priority="11" aboveAverage="0" equalAverage="0" bottom="0" percent="0" rank="0" text="" dxfId="5">
      <formula>H65&lt;&gt;""</formula>
    </cfRule>
  </conditionalFormatting>
  <conditionalFormatting sqref="H77">
    <cfRule type="expression" priority="12" aboveAverage="0" equalAverage="0" bottom="0" percent="0" rank="0" text="" dxfId="5">
      <formula>H77&lt;&gt;""</formula>
    </cfRule>
  </conditionalFormatting>
  <conditionalFormatting sqref="H89">
    <cfRule type="expression" priority="13" aboveAverage="0" equalAverage="0" bottom="0" percent="0" rank="0" text="" dxfId="5">
      <formula>H89&lt;&gt;""</formula>
    </cfRule>
  </conditionalFormatting>
  <conditionalFormatting sqref="H101">
    <cfRule type="expression" priority="14" aboveAverage="0" equalAverage="0" bottom="0" percent="0" rank="0" text="" dxfId="5">
      <formula>H101&lt;&gt;""</formula>
    </cfRule>
  </conditionalFormatting>
  <conditionalFormatting sqref="H113">
    <cfRule type="expression" priority="15" aboveAverage="0" equalAverage="0" bottom="0" percent="0" rank="0" text="" dxfId="5">
      <formula>H113&lt;&gt;""</formula>
    </cfRule>
  </conditionalFormatting>
  <conditionalFormatting sqref="H125">
    <cfRule type="expression" priority="16" aboveAverage="0" equalAverage="0" bottom="0" percent="0" rank="0" text="" dxfId="5">
      <formula>H125&lt;&gt;""</formula>
    </cfRule>
  </conditionalFormatting>
  <conditionalFormatting sqref="H137">
    <cfRule type="expression" priority="17" aboveAverage="0" equalAverage="0" bottom="0" percent="0" rank="0" text="" dxfId="5">
      <formula>H137&lt;&gt;""</formula>
    </cfRule>
  </conditionalFormatting>
  <conditionalFormatting sqref="H149">
    <cfRule type="expression" priority="18" aboveAverage="0" equalAverage="0" bottom="0" percent="0" rank="0" text="" dxfId="5">
      <formula>H149&lt;&gt;""</formula>
    </cfRule>
  </conditionalFormatting>
  <conditionalFormatting sqref="H161">
    <cfRule type="expression" priority="19" aboveAverage="0" equalAverage="0" bottom="0" percent="0" rank="0" text="" dxfId="5">
      <formula>H161&lt;&gt;""</formula>
    </cfRule>
  </conditionalFormatting>
  <conditionalFormatting sqref="H173">
    <cfRule type="expression" priority="20" aboveAverage="0" equalAverage="0" bottom="0" percent="0" rank="0" text="" dxfId="5">
      <formula>H173&lt;&gt;""</formula>
    </cfRule>
  </conditionalFormatting>
  <conditionalFormatting sqref="H185">
    <cfRule type="expression" priority="21" aboveAverage="0" equalAverage="0" bottom="0" percent="0" rank="0" text="" dxfId="5">
      <formula>H185&lt;&gt;""</formula>
    </cfRule>
  </conditionalFormatting>
  <conditionalFormatting sqref="H197">
    <cfRule type="expression" priority="22" aboveAverage="0" equalAverage="0" bottom="0" percent="0" rank="0" text="" dxfId="5">
      <formula>H197&lt;&gt;""</formula>
    </cfRule>
  </conditionalFormatting>
  <conditionalFormatting sqref="H209">
    <cfRule type="expression" priority="23" aboveAverage="0" equalAverage="0" bottom="0" percent="0" rank="0" text="" dxfId="5">
      <formula>H209&lt;&gt;""</formula>
    </cfRule>
  </conditionalFormatting>
  <conditionalFormatting sqref="H221">
    <cfRule type="expression" priority="24" aboveAverage="0" equalAverage="0" bottom="0" percent="0" rank="0" text="" dxfId="5">
      <formula>H221&lt;&gt;""</formula>
    </cfRule>
  </conditionalFormatting>
  <conditionalFormatting sqref="H233">
    <cfRule type="expression" priority="25" aboveAverage="0" equalAverage="0" bottom="0" percent="0" rank="0" text="" dxfId="5">
      <formula>H233&lt;&gt;""</formula>
    </cfRule>
  </conditionalFormatting>
  <conditionalFormatting sqref="H245">
    <cfRule type="expression" priority="26" aboveAverage="0" equalAverage="0" bottom="0" percent="0" rank="0" text="" dxfId="5">
      <formula>H245&lt;&gt;""</formula>
    </cfRule>
  </conditionalFormatting>
  <conditionalFormatting sqref="H257">
    <cfRule type="expression" priority="27" aboveAverage="0" equalAverage="0" bottom="0" percent="0" rank="0" text="" dxfId="5">
      <formula>H257&lt;&gt;""</formula>
    </cfRule>
  </conditionalFormatting>
  <conditionalFormatting sqref="H269">
    <cfRule type="expression" priority="28" aboveAverage="0" equalAverage="0" bottom="0" percent="0" rank="0" text="" dxfId="5">
      <formula>H269&lt;&gt;""</formula>
    </cfRule>
  </conditionalFormatting>
  <conditionalFormatting sqref="H281">
    <cfRule type="expression" priority="29" aboveAverage="0" equalAverage="0" bottom="0" percent="0" rank="0" text="" dxfId="5">
      <formula>H281&lt;&gt;""</formula>
    </cfRule>
  </conditionalFormatting>
  <conditionalFormatting sqref="H293">
    <cfRule type="expression" priority="30" aboveAverage="0" equalAverage="0" bottom="0" percent="0" rank="0" text="" dxfId="5">
      <formula>H293&lt;&gt;""</formula>
    </cfRule>
  </conditionalFormatting>
  <conditionalFormatting sqref="H305">
    <cfRule type="expression" priority="31" aboveAverage="0" equalAverage="0" bottom="0" percent="0" rank="0" text="" dxfId="5">
      <formula>H305&lt;&gt;""</formula>
    </cfRule>
  </conditionalFormatting>
  <conditionalFormatting sqref="H317">
    <cfRule type="expression" priority="32" aboveAverage="0" equalAverage="0" bottom="0" percent="0" rank="0" text="" dxfId="5">
      <formula>H317&lt;&gt;""</formula>
    </cfRule>
  </conditionalFormatting>
  <conditionalFormatting sqref="H329">
    <cfRule type="expression" priority="33" aboveAverage="0" equalAverage="0" bottom="0" percent="0" rank="0" text="" dxfId="5">
      <formula>H329&lt;&gt;""</formula>
    </cfRule>
  </conditionalFormatting>
  <conditionalFormatting sqref="H341">
    <cfRule type="expression" priority="34" aboveAverage="0" equalAverage="0" bottom="0" percent="0" rank="0" text="" dxfId="5">
      <formula>H341&lt;&gt;""</formula>
    </cfRule>
  </conditionalFormatting>
  <conditionalFormatting sqref="H353">
    <cfRule type="expression" priority="35" aboveAverage="0" equalAverage="0" bottom="0" percent="0" rank="0" text="" dxfId="5">
      <formula>H353&lt;&gt;""</formula>
    </cfRule>
  </conditionalFormatting>
  <conditionalFormatting sqref="H365">
    <cfRule type="expression" priority="36" aboveAverage="0" equalAverage="0" bottom="0" percent="0" rank="0" text="" dxfId="5">
      <formula>H365&lt;&gt;""</formula>
    </cfRule>
  </conditionalFormatting>
  <conditionalFormatting sqref="H377">
    <cfRule type="expression" priority="37" aboveAverage="0" equalAverage="0" bottom="0" percent="0" rank="0" text="" dxfId="5">
      <formula>H377&lt;&gt;""</formula>
    </cfRule>
  </conditionalFormatting>
  <conditionalFormatting sqref="H389">
    <cfRule type="expression" priority="38" aboveAverage="0" equalAverage="0" bottom="0" percent="0" rank="0" text="" dxfId="5">
      <formula>H389&lt;&gt;""</formula>
    </cfRule>
  </conditionalFormatting>
  <conditionalFormatting sqref="H401">
    <cfRule type="expression" priority="39" aboveAverage="0" equalAverage="0" bottom="0" percent="0" rank="0" text="" dxfId="5">
      <formula>H401&lt;&gt;""</formula>
    </cfRule>
  </conditionalFormatting>
  <conditionalFormatting sqref="H413">
    <cfRule type="expression" priority="40" aboveAverage="0" equalAverage="0" bottom="0" percent="0" rank="0" text="" dxfId="5">
      <formula>H413&lt;&gt;""</formula>
    </cfRule>
  </conditionalFormatting>
  <conditionalFormatting sqref="H425">
    <cfRule type="expression" priority="41" aboveAverage="0" equalAverage="0" bottom="0" percent="0" rank="0" text="" dxfId="5">
      <formula>H425&lt;&gt;""</formula>
    </cfRule>
  </conditionalFormatting>
  <conditionalFormatting sqref="H437">
    <cfRule type="expression" priority="42" aboveAverage="0" equalAverage="0" bottom="0" percent="0" rank="0" text="" dxfId="5">
      <formula>H437&lt;&gt;""</formula>
    </cfRule>
  </conditionalFormatting>
  <conditionalFormatting sqref="H449">
    <cfRule type="expression" priority="43" aboveAverage="0" equalAverage="0" bottom="0" percent="0" rank="0" text="" dxfId="5">
      <formula>H449&lt;&gt;""</formula>
    </cfRule>
  </conditionalFormatting>
  <conditionalFormatting sqref="H461">
    <cfRule type="expression" priority="44" aboveAverage="0" equalAverage="0" bottom="0" percent="0" rank="0" text="" dxfId="5">
      <formula>H461&lt;&gt;""</formula>
    </cfRule>
  </conditionalFormatting>
  <conditionalFormatting sqref="H473">
    <cfRule type="expression" priority="45" aboveAverage="0" equalAverage="0" bottom="0" percent="0" rank="0" text="" dxfId="5">
      <formula>H473&lt;&gt;""</formula>
    </cfRule>
  </conditionalFormatting>
  <conditionalFormatting sqref="H485">
    <cfRule type="expression" priority="46" aboveAverage="0" equalAverage="0" bottom="0" percent="0" rank="0" text="" dxfId="5">
      <formula>H485&lt;&gt;""</formula>
    </cfRule>
  </conditionalFormatting>
  <conditionalFormatting sqref="H497">
    <cfRule type="expression" priority="47" aboveAverage="0" equalAverage="0" bottom="0" percent="0" rank="0" text="" dxfId="5">
      <formula>H497&lt;&gt;""</formula>
    </cfRule>
  </conditionalFormatting>
  <conditionalFormatting sqref="H509">
    <cfRule type="expression" priority="48" aboveAverage="0" equalAverage="0" bottom="0" percent="0" rank="0" text="" dxfId="5">
      <formula>H509&lt;&gt;""</formula>
    </cfRule>
  </conditionalFormatting>
  <conditionalFormatting sqref="H521">
    <cfRule type="expression" priority="49" aboveAverage="0" equalAverage="0" bottom="0" percent="0" rank="0" text="" dxfId="5">
      <formula>H521&lt;&gt;""</formula>
    </cfRule>
  </conditionalFormatting>
  <conditionalFormatting sqref="H533">
    <cfRule type="expression" priority="50" aboveAverage="0" equalAverage="0" bottom="0" percent="0" rank="0" text="" dxfId="5">
      <formula>H533&lt;&gt;""</formula>
    </cfRule>
  </conditionalFormatting>
  <conditionalFormatting sqref="H545">
    <cfRule type="expression" priority="51" aboveAverage="0" equalAverage="0" bottom="0" percent="0" rank="0" text="" dxfId="5">
      <formula>H545&lt;&gt;""</formula>
    </cfRule>
  </conditionalFormatting>
  <conditionalFormatting sqref="H557">
    <cfRule type="expression" priority="52" aboveAverage="0" equalAverage="0" bottom="0" percent="0" rank="0" text="" dxfId="5">
      <formula>H557&lt;&gt;""</formula>
    </cfRule>
  </conditionalFormatting>
  <conditionalFormatting sqref="H569">
    <cfRule type="expression" priority="53" aboveAverage="0" equalAverage="0" bottom="0" percent="0" rank="0" text="" dxfId="5">
      <formula>H569&lt;&gt;""</formula>
    </cfRule>
  </conditionalFormatting>
  <conditionalFormatting sqref="H581">
    <cfRule type="expression" priority="54" aboveAverage="0" equalAverage="0" bottom="0" percent="0" rank="0" text="" dxfId="5">
      <formula>H581&lt;&gt;""</formula>
    </cfRule>
  </conditionalFormatting>
  <conditionalFormatting sqref="H593">
    <cfRule type="expression" priority="55" aboveAverage="0" equalAverage="0" bottom="0" percent="0" rank="0" text="" dxfId="5">
      <formula>H593&lt;&gt;""</formula>
    </cfRule>
  </conditionalFormatting>
  <conditionalFormatting sqref="H605">
    <cfRule type="expression" priority="56" aboveAverage="0" equalAverage="0" bottom="0" percent="0" rank="0" text="" dxfId="5">
      <formula>H605&lt;&gt;""</formula>
    </cfRule>
  </conditionalFormatting>
  <conditionalFormatting sqref="H617">
    <cfRule type="expression" priority="57" aboveAverage="0" equalAverage="0" bottom="0" percent="0" rank="0" text="" dxfId="5">
      <formula>H617&lt;&gt;""</formula>
    </cfRule>
  </conditionalFormatting>
  <conditionalFormatting sqref="H629">
    <cfRule type="expression" priority="58" aboveAverage="0" equalAverage="0" bottom="0" percent="0" rank="0" text="" dxfId="5">
      <formula>H629&lt;&gt;""</formula>
    </cfRule>
  </conditionalFormatting>
  <conditionalFormatting sqref="H641">
    <cfRule type="expression" priority="59" aboveAverage="0" equalAverage="0" bottom="0" percent="0" rank="0" text="" dxfId="5">
      <formula>H641&lt;&gt;""</formula>
    </cfRule>
  </conditionalFormatting>
  <dataValidations count="1">
    <dataValidation allowBlank="true" errorStyle="stop" operator="between" showDropDown="false" showErrorMessage="false" showInputMessage="false" sqref="C7:D642" type="list">
      <formula1>القوائم!$A$1:$A$288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true" outlineLevel="0" max="19" min="11" style="0" width="13"/>
  </cols>
  <sheetData>
    <row r="1" customFormat="false" ht="31.5" hidden="false" customHeight="true" outlineLevel="0" collapsed="false">
      <c r="A1" s="46" t="s">
        <v>31</v>
      </c>
      <c r="B1" s="46"/>
      <c r="C1" s="46"/>
      <c r="D1" s="46"/>
      <c r="E1" s="46"/>
      <c r="F1" s="46"/>
      <c r="G1" s="46"/>
      <c r="H1" s="46"/>
    </row>
    <row r="2" customFormat="false" ht="21.75" hidden="false" customHeight="true" outlineLevel="0" collapsed="false">
      <c r="A2" s="47" t="str">
        <f aca="false">"سنة "&amp;YR&amp;"   (السنة بتنختار من ورقة «السنة»)"</f>
        <v>سنة 2026   (السنة بتنختار من ورقة «السنة»)</v>
      </c>
      <c r="B2" s="47"/>
      <c r="C2" s="47"/>
      <c r="D2" s="47"/>
      <c r="E2" s="47"/>
      <c r="F2" s="47"/>
      <c r="G2" s="47"/>
      <c r="H2" s="47"/>
    </row>
    <row r="3" customFormat="false" ht="39.75" hidden="false" customHeight="true" outlineLevel="0" collapsed="false">
      <c r="A3" s="21" t="s">
        <v>32</v>
      </c>
      <c r="B3" s="21"/>
      <c r="C3" s="21"/>
      <c r="D3" s="21"/>
      <c r="E3" s="21"/>
      <c r="F3" s="21"/>
      <c r="G3" s="21"/>
      <c r="H3" s="21"/>
    </row>
    <row r="5" customFormat="false" ht="21.75" hidden="false" customHeight="true" outlineLevel="0" collapsed="false">
      <c r="A5" s="7" t="s">
        <v>3</v>
      </c>
      <c r="B5" s="8" t="s">
        <v>4</v>
      </c>
      <c r="C5" s="9" t="s">
        <v>5</v>
      </c>
      <c r="D5" s="10" t="s">
        <v>6</v>
      </c>
      <c r="E5" s="22" t="s">
        <v>21</v>
      </c>
    </row>
    <row r="7" customFormat="false" ht="27.75" hidden="false" customHeight="true" outlineLevel="0" collapsed="false">
      <c r="A7" s="48" t="str">
        <f aca="false">IF(1&lt;=NW,"من السبت "&amp;TEXT(DAY(SAT1+0),"00")&amp;"/"&amp;TEXT(MONTH(SAT1+0),"00")&amp;"/"&amp;YEAR(SAT1+0)&amp;" إلى الجمعة "&amp;TEXT(DAY(SAT1+6),"00")&amp;"/"&amp;TEXT(MONTH(SAT1+6),"00")&amp;"/"&amp;YEAR(SAT1+6)&amp;" · الأسبوع 1"&amp;"  (يوم القبض: الجمعة)"&amp;IF(1&lt;START_Z,"   — قبل أسبوع البداية (ما بينحسب)",""),"ما في أسبوع 1 هالسنة")</f>
        <v>من السبت 27/12/2025 إلى الجمعة 02/01/2026 · الأسبوع 1  (يوم القبض: الجمعة)   — قبل أسبوع البداية (ما بينحسب)</v>
      </c>
      <c r="B7" s="48"/>
      <c r="C7" s="48"/>
      <c r="D7" s="48"/>
      <c r="E7" s="48"/>
      <c r="F7" s="48"/>
      <c r="G7" s="48"/>
      <c r="H7" s="48"/>
      <c r="L7" s="24" t="n">
        <f aca="false">IF(1&lt;=NW,SAT1+6,"")</f>
        <v>46024</v>
      </c>
      <c r="M7" s="25" t="n">
        <f aca="false">IF(AND(1&lt;=NW,1&gt;=START_Z),1,0)</f>
        <v>0</v>
      </c>
      <c r="N7" s="26" t="n">
        <f aca="false">IFERROR(INDEX(RT_AZZ,MATCH(L7,RT_K,1)),INDEX(RT_AZZ,1))</f>
        <v>1</v>
      </c>
      <c r="P7" s="26" t="n">
        <f aca="false">IFERROR(INDEX(RT_GYP,MATCH(L7,RT_K,1)),INDEX(RT_GYP,1))</f>
        <v>2.5</v>
      </c>
      <c r="R7" s="0" t="n">
        <v>1</v>
      </c>
      <c r="S7" s="0" t="n">
        <v>1</v>
      </c>
    </row>
    <row r="8" customFormat="false" ht="25.5" hidden="false" customHeight="true" outlineLevel="0" collapsed="false">
      <c r="A8" s="49" t="s">
        <v>22</v>
      </c>
      <c r="B8" s="49" t="s">
        <v>23</v>
      </c>
      <c r="C8" s="49" t="s">
        <v>24</v>
      </c>
      <c r="D8" s="49" t="s">
        <v>25</v>
      </c>
      <c r="E8" s="49" t="s">
        <v>26</v>
      </c>
      <c r="F8" s="49" t="s">
        <v>33</v>
      </c>
      <c r="G8" s="49" t="s">
        <v>34</v>
      </c>
      <c r="H8" s="49" t="s">
        <v>30</v>
      </c>
      <c r="S8" s="0" t="n">
        <v>1</v>
      </c>
    </row>
    <row r="9" customFormat="false" ht="15" hidden="false" customHeight="false" outlineLevel="0" collapsed="false">
      <c r="A9" s="28" t="n">
        <f aca="false">IF(1&lt;=NW,SAT1+0,"")</f>
        <v>46018</v>
      </c>
      <c r="B9" s="29" t="str">
        <f aca="false">IF(A9="","",CHOOSE(WEEKDAY(A9,1),"الأحد","الاثنين","الثلاثاء","الأربعاء","الخميس","الجمعة","السبت"))</f>
        <v>السبت</v>
      </c>
      <c r="C9" s="30"/>
      <c r="D9" s="30"/>
      <c r="E9" s="31" t="str">
        <f aca="false">IF(OR(M9=0,K9="",L9=""),"",MOD(L9-K9,1))</f>
        <v/>
      </c>
      <c r="F9" s="32" t="str">
        <f aca="false">IF(OR(E9="",M9=0),"",IF(ROUND_MODE="للأعلى",CEILING(ROUND((E9*24*$N$7),3),0.25),ROUND((E9*24*$N$7)*4,0)/4))</f>
        <v/>
      </c>
      <c r="G9" s="30"/>
      <c r="H9" s="30"/>
      <c r="K9" s="33" t="str">
        <f aca="false">IF(OR(M9=0,C9=""),"",IF(ISNUMBER(C9),MOD(C9,1),IFERROR(INDEX(القوائم!$B$1:$B$288,MATCH(TRIM(C9),القوائم!$A$1:$A$288,0)),IFERROR(MOD(TIMEVALUE(C9),1),""))))</f>
        <v/>
      </c>
      <c r="L9" s="33" t="str">
        <f aca="false">IF(OR(M9=0,D9=""),"",IF(ISNUMBER(D9),MOD(D9,1),IFERROR(INDEX(القوائم!$B$1:$B$288,MATCH(TRIM(D9),القوائم!$A$1:$A$288,0)),IFERROR(MOD(TIMEVALUE(D9),1),""))))</f>
        <v/>
      </c>
      <c r="M9" s="25" t="n">
        <f aca="false">M7</f>
        <v>0</v>
      </c>
      <c r="Q9" s="25" t="n">
        <f aca="false">IF(N(F18)&gt;0,1,0)</f>
        <v>0</v>
      </c>
      <c r="S9" s="0" t="n">
        <v>1</v>
      </c>
    </row>
    <row r="10" customFormat="false" ht="15" hidden="false" customHeight="false" outlineLevel="0" collapsed="false">
      <c r="A10" s="28" t="n">
        <f aca="false">IF(1&lt;=NW,SAT1+1,"")</f>
        <v>46019</v>
      </c>
      <c r="B10" s="29" t="str">
        <f aca="false">IF(A10="","",CHOOSE(WEEKDAY(A10,1),"الأحد","الاثنين","الثلاثاء","الأربعاء","الخميس","الجمعة","السبت"))</f>
        <v>الأحد</v>
      </c>
      <c r="C10" s="30"/>
      <c r="D10" s="30"/>
      <c r="E10" s="31" t="str">
        <f aca="false">IF(OR(M10=0,K10="",L10=""),"",MOD(L10-K10,1))</f>
        <v/>
      </c>
      <c r="F10" s="32" t="str">
        <f aca="false">IF(OR(E10="",M10=0),"",IF(ROUND_MODE="للأعلى",CEILING(ROUND((E10*24*$N$7),3),0.25),ROUND((E10*24*$N$7)*4,0)/4))</f>
        <v/>
      </c>
      <c r="G10" s="30"/>
      <c r="H10" s="30"/>
      <c r="K10" s="33" t="str">
        <f aca="false">IF(OR(M10=0,C10=""),"",IF(ISNUMBER(C10),MOD(C10,1),IFERROR(INDEX(القوائم!$B$1:$B$288,MATCH(TRIM(C10),القوائم!$A$1:$A$288,0)),IFERROR(MOD(TIMEVALUE(C10),1),""))))</f>
        <v/>
      </c>
      <c r="L10" s="33" t="str">
        <f aca="false">IF(OR(M10=0,D10=""),"",IF(ISNUMBER(D10),MOD(D10,1),IFERROR(INDEX(القوائم!$B$1:$B$288,MATCH(TRIM(D10),القوائم!$A$1:$A$288,0)),IFERROR(MOD(TIMEVALUE(D10),1),""))))</f>
        <v/>
      </c>
      <c r="M10" s="25" t="n">
        <f aca="false">M7</f>
        <v>0</v>
      </c>
      <c r="Q10" s="25" t="n">
        <f aca="false">IF(N(F18)&gt;0,1,0)</f>
        <v>0</v>
      </c>
      <c r="S10" s="0" t="n">
        <v>1</v>
      </c>
    </row>
    <row r="11" customFormat="false" ht="15" hidden="false" customHeight="false" outlineLevel="0" collapsed="false">
      <c r="A11" s="28" t="n">
        <f aca="false">IF(1&lt;=NW,SAT1+2,"")</f>
        <v>46020</v>
      </c>
      <c r="B11" s="29" t="str">
        <f aca="false">IF(A11="","",CHOOSE(WEEKDAY(A11,1),"الأحد","الاثنين","الثلاثاء","الأربعاء","الخميس","الجمعة","السبت"))</f>
        <v>الاثنين</v>
      </c>
      <c r="C11" s="30"/>
      <c r="D11" s="30"/>
      <c r="E11" s="31" t="str">
        <f aca="false">IF(OR(M11=0,K11="",L11=""),"",MOD(L11-K11,1))</f>
        <v/>
      </c>
      <c r="F11" s="32" t="str">
        <f aca="false">IF(OR(E11="",M11=0),"",IF(ROUND_MODE="للأعلى",CEILING(ROUND((E11*24*$N$7),3),0.25),ROUND((E11*24*$N$7)*4,0)/4))</f>
        <v/>
      </c>
      <c r="G11" s="30"/>
      <c r="H11" s="30"/>
      <c r="K11" s="33" t="str">
        <f aca="false">IF(OR(M11=0,C11=""),"",IF(ISNUMBER(C11),MOD(C11,1),IFERROR(INDEX(القوائم!$B$1:$B$288,MATCH(TRIM(C11),القوائم!$A$1:$A$288,0)),IFERROR(MOD(TIMEVALUE(C11),1),""))))</f>
        <v/>
      </c>
      <c r="L11" s="33" t="str">
        <f aca="false">IF(OR(M11=0,D11=""),"",IF(ISNUMBER(D11),MOD(D11,1),IFERROR(INDEX(القوائم!$B$1:$B$288,MATCH(TRIM(D11),القوائم!$A$1:$A$288,0)),IFERROR(MOD(TIMEVALUE(D11),1),""))))</f>
        <v/>
      </c>
      <c r="M11" s="25" t="n">
        <f aca="false">M7</f>
        <v>0</v>
      </c>
      <c r="Q11" s="25" t="n">
        <f aca="false">IF(N(F18)&gt;0,1,0)</f>
        <v>0</v>
      </c>
      <c r="S11" s="0" t="n">
        <v>1</v>
      </c>
    </row>
    <row r="12" customFormat="false" ht="15" hidden="false" customHeight="false" outlineLevel="0" collapsed="false">
      <c r="A12" s="28" t="n">
        <f aca="false">IF(1&lt;=NW,SAT1+3,"")</f>
        <v>46021</v>
      </c>
      <c r="B12" s="29" t="str">
        <f aca="false">IF(A12="","",CHOOSE(WEEKDAY(A12,1),"الأحد","الاثنين","الثلاثاء","الأربعاء","الخميس","الجمعة","السبت"))</f>
        <v>الثلاثاء</v>
      </c>
      <c r="C12" s="30"/>
      <c r="D12" s="30"/>
      <c r="E12" s="31" t="str">
        <f aca="false">IF(OR(M12=0,K12="",L12=""),"",MOD(L12-K12,1))</f>
        <v/>
      </c>
      <c r="F12" s="32" t="str">
        <f aca="false">IF(OR(E12="",M12=0),"",IF(ROUND_MODE="للأعلى",CEILING(ROUND((E12*24*$N$7),3),0.25),ROUND((E12*24*$N$7)*4,0)/4))</f>
        <v/>
      </c>
      <c r="G12" s="30"/>
      <c r="H12" s="30"/>
      <c r="K12" s="33" t="str">
        <f aca="false">IF(OR(M12=0,C12=""),"",IF(ISNUMBER(C12),MOD(C12,1),IFERROR(INDEX(القوائم!$B$1:$B$288,MATCH(TRIM(C12),القوائم!$A$1:$A$288,0)),IFERROR(MOD(TIMEVALUE(C12),1),""))))</f>
        <v/>
      </c>
      <c r="L12" s="33" t="str">
        <f aca="false">IF(OR(M12=0,D12=""),"",IF(ISNUMBER(D12),MOD(D12,1),IFERROR(INDEX(القوائم!$B$1:$B$288,MATCH(TRIM(D12),القوائم!$A$1:$A$288,0)),IFERROR(MOD(TIMEVALUE(D12),1),""))))</f>
        <v/>
      </c>
      <c r="M12" s="25" t="n">
        <f aca="false">M7</f>
        <v>0</v>
      </c>
      <c r="Q12" s="25" t="n">
        <f aca="false">IF(N(F18)&gt;0,1,0)</f>
        <v>0</v>
      </c>
      <c r="S12" s="0" t="n">
        <v>1</v>
      </c>
    </row>
    <row r="13" customFormat="false" ht="15" hidden="false" customHeight="false" outlineLevel="0" collapsed="false">
      <c r="A13" s="28" t="n">
        <f aca="false">IF(1&lt;=NW,SAT1+4,"")</f>
        <v>46022</v>
      </c>
      <c r="B13" s="29" t="str">
        <f aca="false">IF(A13="","",CHOOSE(WEEKDAY(A13,1),"الأحد","الاثنين","الثلاثاء","الأربعاء","الخميس","الجمعة","السبت"))</f>
        <v>الأربعاء</v>
      </c>
      <c r="C13" s="30"/>
      <c r="D13" s="30"/>
      <c r="E13" s="31" t="str">
        <f aca="false">IF(OR(M13=0,K13="",L13=""),"",MOD(L13-K13,1))</f>
        <v/>
      </c>
      <c r="F13" s="32" t="str">
        <f aca="false">IF(OR(E13="",M13=0),"",IF(ROUND_MODE="للأعلى",CEILING(ROUND((E13*24*$N$7),3),0.25),ROUND((E13*24*$N$7)*4,0)/4))</f>
        <v/>
      </c>
      <c r="G13" s="30"/>
      <c r="H13" s="30"/>
      <c r="K13" s="33" t="str">
        <f aca="false">IF(OR(M13=0,C13=""),"",IF(ISNUMBER(C13),MOD(C13,1),IFERROR(INDEX(القوائم!$B$1:$B$288,MATCH(TRIM(C13),القوائم!$A$1:$A$288,0)),IFERROR(MOD(TIMEVALUE(C13),1),""))))</f>
        <v/>
      </c>
      <c r="L13" s="33" t="str">
        <f aca="false">IF(OR(M13=0,D13=""),"",IF(ISNUMBER(D13),MOD(D13,1),IFERROR(INDEX(القوائم!$B$1:$B$288,MATCH(TRIM(D13),القوائم!$A$1:$A$288,0)),IFERROR(MOD(TIMEVALUE(D13),1),""))))</f>
        <v/>
      </c>
      <c r="M13" s="25" t="n">
        <f aca="false">M7</f>
        <v>0</v>
      </c>
      <c r="Q13" s="25" t="n">
        <f aca="false">IF(N(F18)&gt;0,1,0)</f>
        <v>0</v>
      </c>
      <c r="S13" s="0" t="n">
        <v>1</v>
      </c>
    </row>
    <row r="14" customFormat="false" ht="15" hidden="false" customHeight="false" outlineLevel="0" collapsed="false">
      <c r="A14" s="28" t="n">
        <f aca="false">IF(1&lt;=NW,SAT1+5,"")</f>
        <v>46023</v>
      </c>
      <c r="B14" s="29" t="str">
        <f aca="false">IF(A14="","",CHOOSE(WEEKDAY(A14,1),"الأحد","الاثنين","الثلاثاء","الأربعاء","الخميس","الجمعة","السبت"))</f>
        <v>الخميس</v>
      </c>
      <c r="C14" s="30"/>
      <c r="D14" s="30"/>
      <c r="E14" s="31" t="str">
        <f aca="false">IF(OR(M14=0,K14="",L14=""),"",MOD(L14-K14,1))</f>
        <v/>
      </c>
      <c r="F14" s="32" t="str">
        <f aca="false">IF(OR(E14="",M14=0),"",IF(ROUND_MODE="للأعلى",CEILING(ROUND((E14*24*$N$7),3),0.25),ROUND((E14*24*$N$7)*4,0)/4))</f>
        <v/>
      </c>
      <c r="G14" s="30"/>
      <c r="H14" s="30"/>
      <c r="K14" s="33" t="str">
        <f aca="false">IF(OR(M14=0,C14=""),"",IF(ISNUMBER(C14),MOD(C14,1),IFERROR(INDEX(القوائم!$B$1:$B$288,MATCH(TRIM(C14),القوائم!$A$1:$A$288,0)),IFERROR(MOD(TIMEVALUE(C14),1),""))))</f>
        <v/>
      </c>
      <c r="L14" s="33" t="str">
        <f aca="false">IF(OR(M14=0,D14=""),"",IF(ISNUMBER(D14),MOD(D14,1),IFERROR(INDEX(القوائم!$B$1:$B$288,MATCH(TRIM(D14),القوائم!$A$1:$A$288,0)),IFERROR(MOD(TIMEVALUE(D14),1),""))))</f>
        <v/>
      </c>
      <c r="M14" s="25" t="n">
        <f aca="false">M7</f>
        <v>0</v>
      </c>
      <c r="Q14" s="25" t="n">
        <f aca="false">IF(N(F18)&gt;0,1,0)</f>
        <v>0</v>
      </c>
      <c r="S14" s="0" t="n">
        <v>1</v>
      </c>
    </row>
    <row r="15" customFormat="false" ht="15" hidden="false" customHeight="false" outlineLevel="0" collapsed="false">
      <c r="A15" s="34" t="n">
        <f aca="false">IF(1&lt;=NW,SAT1+6,"")</f>
        <v>46024</v>
      </c>
      <c r="B15" s="35" t="str">
        <f aca="false">IF(A15="","",CHOOSE(WEEKDAY(A15,1),"الأحد","الاثنين","الثلاثاء","الأربعاء","الخميس","الجمعة","السبت"))</f>
        <v>الجمعة</v>
      </c>
      <c r="C15" s="30"/>
      <c r="D15" s="30"/>
      <c r="E15" s="31" t="str">
        <f aca="false">IF(OR(M15=0,K15="",L15=""),"",MOD(L15-K15,1))</f>
        <v/>
      </c>
      <c r="F15" s="32" t="str">
        <f aca="false">IF(OR(E15="",M15=0),"",IF(ROUND_MODE="للأعلى",CEILING(ROUND((E15*24*$N$7),3),0.25),ROUND((E15*24*$N$7)*4,0)/4))</f>
        <v/>
      </c>
      <c r="G15" s="30"/>
      <c r="H15" s="30"/>
      <c r="K15" s="33" t="str">
        <f aca="false">IF(OR(M15=0,C15=""),"",IF(ISNUMBER(C15),MOD(C15,1),IFERROR(INDEX(القوائم!$B$1:$B$288,MATCH(TRIM(C15),القوائم!$A$1:$A$288,0)),IFERROR(MOD(TIMEVALUE(C15),1),""))))</f>
        <v/>
      </c>
      <c r="L15" s="33" t="str">
        <f aca="false">IF(OR(M15=0,D15=""),"",IF(ISNUMBER(D15),MOD(D15,1),IFERROR(INDEX(القوائم!$B$1:$B$288,MATCH(TRIM(D15),القوائم!$A$1:$A$288,0)),IFERROR(MOD(TIMEVALUE(D15),1),""))))</f>
        <v/>
      </c>
      <c r="M15" s="25" t="n">
        <f aca="false">M7</f>
        <v>0</v>
      </c>
      <c r="Q15" s="25" t="n">
        <f aca="false">IF(N(F18)&gt;0,1,0)</f>
        <v>0</v>
      </c>
      <c r="S15" s="0" t="n">
        <v>1</v>
      </c>
    </row>
    <row r="16" customFormat="false" ht="15" hidden="false" customHeight="false" outlineLevel="0" collapsed="false">
      <c r="A16" s="36" t="str">
        <f aca="false">IF(M7=1,"مجموع أيام الأسبوع 1","")</f>
        <v/>
      </c>
      <c r="B16" s="36"/>
      <c r="C16" s="36"/>
      <c r="D16" s="36"/>
      <c r="E16" s="37" t="str">
        <f aca="false">IF(M7=1,SUM(E9:E15),"")</f>
        <v/>
      </c>
      <c r="F16" s="38" t="str">
        <f aca="false">IF(M7=1,SUM(F9:F15),"")</f>
        <v/>
      </c>
      <c r="G16" s="50" t="str">
        <f aca="false">IF(M7=1,SUMIFS(F9:F15,G9:G15,"نعم"),"")</f>
        <v/>
      </c>
      <c r="H16" s="36"/>
      <c r="S16" s="0" t="n">
        <v>1</v>
      </c>
    </row>
    <row r="17" customFormat="false" ht="31.5" hidden="false" customHeight="true" outlineLevel="0" collapsed="false">
      <c r="A17" s="39" t="str">
        <f aca="false">IF(M7=1,"ساعات تحميل الجبسمبورد بهالأسبوع (رقم: 2 أو 1.5) ←","")</f>
        <v/>
      </c>
      <c r="B17" s="39"/>
      <c r="C17" s="39"/>
      <c r="D17" s="39"/>
      <c r="E17" s="40"/>
      <c r="F17" s="42" t="str">
        <f aca="false">IF(M7=1,N(F16)+IF(ROUND_MODE="للأعلى",CEILING(ROUND((N(E17)*($P$7-$N$7)),3),0.25),ROUND((N(E17)*($P$7-$N$7))*4,0)/4)+N(C18),"")</f>
        <v/>
      </c>
      <c r="G17" s="41" t="str">
        <f aca="false">IF(M7=1,"← المستحق النهائي للأسبوع مع الجبسمبورد والإكرامية","")</f>
        <v/>
      </c>
      <c r="H17" s="41"/>
      <c r="S17" s="0" t="n">
        <v>1</v>
      </c>
    </row>
    <row r="18" customFormat="false" ht="25.5" hidden="false" customHeight="true" outlineLevel="0" collapsed="false">
      <c r="A18" s="39" t="str">
        <f aca="false">IF(M7=1,"إكرامية الأسبوع ←","")</f>
        <v/>
      </c>
      <c r="B18" s="39"/>
      <c r="C18" s="44"/>
      <c r="D18" s="39" t="str">
        <f aca="false">IF(M7=1,"المدفوع (التسوية) ←","")</f>
        <v/>
      </c>
      <c r="E18" s="39"/>
      <c r="F18" s="44"/>
      <c r="G18" s="45" t="str">
        <f aca="false">IF(M7=1,IF(N(F18)&gt;0,"✔ انقبض — الأسبوع مقفول","⏳ لسا ما انقبض"),"")</f>
        <v/>
      </c>
      <c r="H18" s="45"/>
      <c r="S18" s="0" t="n">
        <v>1</v>
      </c>
    </row>
    <row r="19" customFormat="false" ht="27.75" hidden="false" customHeight="true" outlineLevel="0" collapsed="false">
      <c r="A19" s="48" t="str">
        <f aca="false">IF(2&lt;=NW,"من السبت "&amp;TEXT(DAY(SAT1+7),"00")&amp;"/"&amp;TEXT(MONTH(SAT1+7),"00")&amp;"/"&amp;YEAR(SAT1+7)&amp;" إلى الجمعة "&amp;TEXT(DAY(SAT1+13),"00")&amp;"/"&amp;TEXT(MONTH(SAT1+13),"00")&amp;"/"&amp;YEAR(SAT1+13)&amp;" · الأسبوع 2"&amp;"  (يوم القبض: الجمعة)"&amp;IF(2&lt;START_Z,"   — قبل أسبوع البداية (ما بينحسب)",""),"ما في أسبوع 2 هالسنة")</f>
        <v>من السبت 03/01/2026 إلى الجمعة 09/01/2026 · الأسبوع 2  (يوم القبض: الجمعة)   — قبل أسبوع البداية (ما بينحسب)</v>
      </c>
      <c r="B19" s="48"/>
      <c r="C19" s="48"/>
      <c r="D19" s="48"/>
      <c r="E19" s="48"/>
      <c r="F19" s="48"/>
      <c r="G19" s="48"/>
      <c r="H19" s="48"/>
      <c r="L19" s="24" t="n">
        <f aca="false">IF(2&lt;=NW,SAT1+13,"")</f>
        <v>46031</v>
      </c>
      <c r="M19" s="25" t="n">
        <f aca="false">IF(AND(2&lt;=NW,2&gt;=START_Z),1,0)</f>
        <v>0</v>
      </c>
      <c r="N19" s="26" t="n">
        <f aca="false">IFERROR(INDEX(RT_AZZ,MATCH(L19,RT_K,1)),INDEX(RT_AZZ,1))</f>
        <v>1</v>
      </c>
      <c r="P19" s="26" t="n">
        <f aca="false">IFERROR(INDEX(RT_GYP,MATCH(L19,RT_K,1)),INDEX(RT_GYP,1))</f>
        <v>2.5</v>
      </c>
      <c r="R19" s="0" t="n">
        <v>2</v>
      </c>
      <c r="S19" s="0" t="n">
        <v>2</v>
      </c>
    </row>
    <row r="20" customFormat="false" ht="25.5" hidden="false" customHeight="true" outlineLevel="0" collapsed="false">
      <c r="A20" s="49" t="s">
        <v>22</v>
      </c>
      <c r="B20" s="49" t="s">
        <v>23</v>
      </c>
      <c r="C20" s="49" t="s">
        <v>24</v>
      </c>
      <c r="D20" s="49" t="s">
        <v>25</v>
      </c>
      <c r="E20" s="49" t="s">
        <v>26</v>
      </c>
      <c r="F20" s="49" t="s">
        <v>33</v>
      </c>
      <c r="G20" s="49" t="s">
        <v>34</v>
      </c>
      <c r="H20" s="49" t="s">
        <v>30</v>
      </c>
      <c r="S20" s="0" t="n">
        <v>2</v>
      </c>
    </row>
    <row r="21" customFormat="false" ht="15" hidden="false" customHeight="false" outlineLevel="0" collapsed="false">
      <c r="A21" s="28" t="n">
        <f aca="false">IF(2&lt;=NW,SAT1+7,"")</f>
        <v>46025</v>
      </c>
      <c r="B21" s="29" t="str">
        <f aca="false">IF(A21="","",CHOOSE(WEEKDAY(A21,1),"الأحد","الاثنين","الثلاثاء","الأربعاء","الخميس","الجمعة","السبت"))</f>
        <v>السبت</v>
      </c>
      <c r="C21" s="30"/>
      <c r="D21" s="30"/>
      <c r="E21" s="31" t="str">
        <f aca="false">IF(OR(M21=0,K21="",L21=""),"",MOD(L21-K21,1))</f>
        <v/>
      </c>
      <c r="F21" s="32" t="str">
        <f aca="false">IF(OR(E21="",M21=0),"",IF(ROUND_MODE="للأعلى",CEILING(ROUND((E21*24*$N$19),3),0.25),ROUND((E21*24*$N$19)*4,0)/4))</f>
        <v/>
      </c>
      <c r="G21" s="30"/>
      <c r="H21" s="30"/>
      <c r="K21" s="33" t="str">
        <f aca="false">IF(OR(M21=0,C21=""),"",IF(ISNUMBER(C21),MOD(C21,1),IFERROR(INDEX(القوائم!$B$1:$B$288,MATCH(TRIM(C21),القوائم!$A$1:$A$288,0)),IFERROR(MOD(TIMEVALUE(C21),1),""))))</f>
        <v/>
      </c>
      <c r="L21" s="33" t="str">
        <f aca="false">IF(OR(M21=0,D21=""),"",IF(ISNUMBER(D21),MOD(D21,1),IFERROR(INDEX(القوائم!$B$1:$B$288,MATCH(TRIM(D21),القوائم!$A$1:$A$288,0)),IFERROR(MOD(TIMEVALUE(D21),1),""))))</f>
        <v/>
      </c>
      <c r="M21" s="25" t="n">
        <f aca="false">M19</f>
        <v>0</v>
      </c>
      <c r="Q21" s="25" t="n">
        <f aca="false">IF(N(F30)&gt;0,1,0)</f>
        <v>0</v>
      </c>
      <c r="S21" s="0" t="n">
        <v>2</v>
      </c>
    </row>
    <row r="22" customFormat="false" ht="15" hidden="false" customHeight="false" outlineLevel="0" collapsed="false">
      <c r="A22" s="28" t="n">
        <f aca="false">IF(2&lt;=NW,SAT1+8,"")</f>
        <v>46026</v>
      </c>
      <c r="B22" s="29" t="str">
        <f aca="false">IF(A22="","",CHOOSE(WEEKDAY(A22,1),"الأحد","الاثنين","الثلاثاء","الأربعاء","الخميس","الجمعة","السبت"))</f>
        <v>الأحد</v>
      </c>
      <c r="C22" s="30"/>
      <c r="D22" s="30"/>
      <c r="E22" s="31" t="str">
        <f aca="false">IF(OR(M22=0,K22="",L22=""),"",MOD(L22-K22,1))</f>
        <v/>
      </c>
      <c r="F22" s="32" t="str">
        <f aca="false">IF(OR(E22="",M22=0),"",IF(ROUND_MODE="للأعلى",CEILING(ROUND((E22*24*$N$19),3),0.25),ROUND((E22*24*$N$19)*4,0)/4))</f>
        <v/>
      </c>
      <c r="G22" s="30"/>
      <c r="H22" s="30"/>
      <c r="K22" s="33" t="str">
        <f aca="false">IF(OR(M22=0,C22=""),"",IF(ISNUMBER(C22),MOD(C22,1),IFERROR(INDEX(القوائم!$B$1:$B$288,MATCH(TRIM(C22),القوائم!$A$1:$A$288,0)),IFERROR(MOD(TIMEVALUE(C22),1),""))))</f>
        <v/>
      </c>
      <c r="L22" s="33" t="str">
        <f aca="false">IF(OR(M22=0,D22=""),"",IF(ISNUMBER(D22),MOD(D22,1),IFERROR(INDEX(القوائم!$B$1:$B$288,MATCH(TRIM(D22),القوائم!$A$1:$A$288,0)),IFERROR(MOD(TIMEVALUE(D22),1),""))))</f>
        <v/>
      </c>
      <c r="M22" s="25" t="n">
        <f aca="false">M19</f>
        <v>0</v>
      </c>
      <c r="Q22" s="25" t="n">
        <f aca="false">IF(N(F30)&gt;0,1,0)</f>
        <v>0</v>
      </c>
      <c r="S22" s="0" t="n">
        <v>2</v>
      </c>
    </row>
    <row r="23" customFormat="false" ht="15" hidden="false" customHeight="false" outlineLevel="0" collapsed="false">
      <c r="A23" s="28" t="n">
        <f aca="false">IF(2&lt;=NW,SAT1+9,"")</f>
        <v>46027</v>
      </c>
      <c r="B23" s="29" t="str">
        <f aca="false">IF(A23="","",CHOOSE(WEEKDAY(A23,1),"الأحد","الاثنين","الثلاثاء","الأربعاء","الخميس","الجمعة","السبت"))</f>
        <v>الاثنين</v>
      </c>
      <c r="C23" s="30"/>
      <c r="D23" s="30"/>
      <c r="E23" s="31" t="str">
        <f aca="false">IF(OR(M23=0,K23="",L23=""),"",MOD(L23-K23,1))</f>
        <v/>
      </c>
      <c r="F23" s="32" t="str">
        <f aca="false">IF(OR(E23="",M23=0),"",IF(ROUND_MODE="للأعلى",CEILING(ROUND((E23*24*$N$19),3),0.25),ROUND((E23*24*$N$19)*4,0)/4))</f>
        <v/>
      </c>
      <c r="G23" s="30"/>
      <c r="H23" s="30"/>
      <c r="K23" s="33" t="str">
        <f aca="false">IF(OR(M23=0,C23=""),"",IF(ISNUMBER(C23),MOD(C23,1),IFERROR(INDEX(القوائم!$B$1:$B$288,MATCH(TRIM(C23),القوائم!$A$1:$A$288,0)),IFERROR(MOD(TIMEVALUE(C23),1),""))))</f>
        <v/>
      </c>
      <c r="L23" s="33" t="str">
        <f aca="false">IF(OR(M23=0,D23=""),"",IF(ISNUMBER(D23),MOD(D23,1),IFERROR(INDEX(القوائم!$B$1:$B$288,MATCH(TRIM(D23),القوائم!$A$1:$A$288,0)),IFERROR(MOD(TIMEVALUE(D23),1),""))))</f>
        <v/>
      </c>
      <c r="M23" s="25" t="n">
        <f aca="false">M19</f>
        <v>0</v>
      </c>
      <c r="Q23" s="25" t="n">
        <f aca="false">IF(N(F30)&gt;0,1,0)</f>
        <v>0</v>
      </c>
      <c r="S23" s="0" t="n">
        <v>2</v>
      </c>
    </row>
    <row r="24" customFormat="false" ht="15" hidden="false" customHeight="false" outlineLevel="0" collapsed="false">
      <c r="A24" s="28" t="n">
        <f aca="false">IF(2&lt;=NW,SAT1+10,"")</f>
        <v>46028</v>
      </c>
      <c r="B24" s="29" t="str">
        <f aca="false">IF(A24="","",CHOOSE(WEEKDAY(A24,1),"الأحد","الاثنين","الثلاثاء","الأربعاء","الخميس","الجمعة","السبت"))</f>
        <v>الثلاثاء</v>
      </c>
      <c r="C24" s="30"/>
      <c r="D24" s="30"/>
      <c r="E24" s="31" t="str">
        <f aca="false">IF(OR(M24=0,K24="",L24=""),"",MOD(L24-K24,1))</f>
        <v/>
      </c>
      <c r="F24" s="32" t="str">
        <f aca="false">IF(OR(E24="",M24=0),"",IF(ROUND_MODE="للأعلى",CEILING(ROUND((E24*24*$N$19),3),0.25),ROUND((E24*24*$N$19)*4,0)/4))</f>
        <v/>
      </c>
      <c r="G24" s="30"/>
      <c r="H24" s="30"/>
      <c r="K24" s="33" t="str">
        <f aca="false">IF(OR(M24=0,C24=""),"",IF(ISNUMBER(C24),MOD(C24,1),IFERROR(INDEX(القوائم!$B$1:$B$288,MATCH(TRIM(C24),القوائم!$A$1:$A$288,0)),IFERROR(MOD(TIMEVALUE(C24),1),""))))</f>
        <v/>
      </c>
      <c r="L24" s="33" t="str">
        <f aca="false">IF(OR(M24=0,D24=""),"",IF(ISNUMBER(D24),MOD(D24,1),IFERROR(INDEX(القوائم!$B$1:$B$288,MATCH(TRIM(D24),القوائم!$A$1:$A$288,0)),IFERROR(MOD(TIMEVALUE(D24),1),""))))</f>
        <v/>
      </c>
      <c r="M24" s="25" t="n">
        <f aca="false">M19</f>
        <v>0</v>
      </c>
      <c r="Q24" s="25" t="n">
        <f aca="false">IF(N(F30)&gt;0,1,0)</f>
        <v>0</v>
      </c>
      <c r="S24" s="0" t="n">
        <v>2</v>
      </c>
    </row>
    <row r="25" customFormat="false" ht="15" hidden="false" customHeight="false" outlineLevel="0" collapsed="false">
      <c r="A25" s="28" t="n">
        <f aca="false">IF(2&lt;=NW,SAT1+11,"")</f>
        <v>46029</v>
      </c>
      <c r="B25" s="29" t="str">
        <f aca="false">IF(A25="","",CHOOSE(WEEKDAY(A25,1),"الأحد","الاثنين","الثلاثاء","الأربعاء","الخميس","الجمعة","السبت"))</f>
        <v>الأربعاء</v>
      </c>
      <c r="C25" s="30"/>
      <c r="D25" s="30"/>
      <c r="E25" s="31" t="str">
        <f aca="false">IF(OR(M25=0,K25="",L25=""),"",MOD(L25-K25,1))</f>
        <v/>
      </c>
      <c r="F25" s="32" t="str">
        <f aca="false">IF(OR(E25="",M25=0),"",IF(ROUND_MODE="للأعلى",CEILING(ROUND((E25*24*$N$19),3),0.25),ROUND((E25*24*$N$19)*4,0)/4))</f>
        <v/>
      </c>
      <c r="G25" s="30"/>
      <c r="H25" s="30"/>
      <c r="K25" s="33" t="str">
        <f aca="false">IF(OR(M25=0,C25=""),"",IF(ISNUMBER(C25),MOD(C25,1),IFERROR(INDEX(القوائم!$B$1:$B$288,MATCH(TRIM(C25),القوائم!$A$1:$A$288,0)),IFERROR(MOD(TIMEVALUE(C25),1),""))))</f>
        <v/>
      </c>
      <c r="L25" s="33" t="str">
        <f aca="false">IF(OR(M25=0,D25=""),"",IF(ISNUMBER(D25),MOD(D25,1),IFERROR(INDEX(القوائم!$B$1:$B$288,MATCH(TRIM(D25),القوائم!$A$1:$A$288,0)),IFERROR(MOD(TIMEVALUE(D25),1),""))))</f>
        <v/>
      </c>
      <c r="M25" s="25" t="n">
        <f aca="false">M19</f>
        <v>0</v>
      </c>
      <c r="Q25" s="25" t="n">
        <f aca="false">IF(N(F30)&gt;0,1,0)</f>
        <v>0</v>
      </c>
      <c r="S25" s="0" t="n">
        <v>2</v>
      </c>
    </row>
    <row r="26" customFormat="false" ht="15" hidden="false" customHeight="false" outlineLevel="0" collapsed="false">
      <c r="A26" s="28" t="n">
        <f aca="false">IF(2&lt;=NW,SAT1+12,"")</f>
        <v>46030</v>
      </c>
      <c r="B26" s="29" t="str">
        <f aca="false">IF(A26="","",CHOOSE(WEEKDAY(A26,1),"الأحد","الاثنين","الثلاثاء","الأربعاء","الخميس","الجمعة","السبت"))</f>
        <v>الخميس</v>
      </c>
      <c r="C26" s="30"/>
      <c r="D26" s="30"/>
      <c r="E26" s="31" t="str">
        <f aca="false">IF(OR(M26=0,K26="",L26=""),"",MOD(L26-K26,1))</f>
        <v/>
      </c>
      <c r="F26" s="32" t="str">
        <f aca="false">IF(OR(E26="",M26=0),"",IF(ROUND_MODE="للأعلى",CEILING(ROUND((E26*24*$N$19),3),0.25),ROUND((E26*24*$N$19)*4,0)/4))</f>
        <v/>
      </c>
      <c r="G26" s="30"/>
      <c r="H26" s="30"/>
      <c r="K26" s="33" t="str">
        <f aca="false">IF(OR(M26=0,C26=""),"",IF(ISNUMBER(C26),MOD(C26,1),IFERROR(INDEX(القوائم!$B$1:$B$288,MATCH(TRIM(C26),القوائم!$A$1:$A$288,0)),IFERROR(MOD(TIMEVALUE(C26),1),""))))</f>
        <v/>
      </c>
      <c r="L26" s="33" t="str">
        <f aca="false">IF(OR(M26=0,D26=""),"",IF(ISNUMBER(D26),MOD(D26,1),IFERROR(INDEX(القوائم!$B$1:$B$288,MATCH(TRIM(D26),القوائم!$A$1:$A$288,0)),IFERROR(MOD(TIMEVALUE(D26),1),""))))</f>
        <v/>
      </c>
      <c r="M26" s="25" t="n">
        <f aca="false">M19</f>
        <v>0</v>
      </c>
      <c r="Q26" s="25" t="n">
        <f aca="false">IF(N(F30)&gt;0,1,0)</f>
        <v>0</v>
      </c>
      <c r="S26" s="0" t="n">
        <v>2</v>
      </c>
    </row>
    <row r="27" customFormat="false" ht="15" hidden="false" customHeight="false" outlineLevel="0" collapsed="false">
      <c r="A27" s="34" t="n">
        <f aca="false">IF(2&lt;=NW,SAT1+13,"")</f>
        <v>46031</v>
      </c>
      <c r="B27" s="35" t="str">
        <f aca="false">IF(A27="","",CHOOSE(WEEKDAY(A27,1),"الأحد","الاثنين","الثلاثاء","الأربعاء","الخميس","الجمعة","السبت"))</f>
        <v>الجمعة</v>
      </c>
      <c r="C27" s="30"/>
      <c r="D27" s="30"/>
      <c r="E27" s="31" t="str">
        <f aca="false">IF(OR(M27=0,K27="",L27=""),"",MOD(L27-K27,1))</f>
        <v/>
      </c>
      <c r="F27" s="32" t="str">
        <f aca="false">IF(OR(E27="",M27=0),"",IF(ROUND_MODE="للأعلى",CEILING(ROUND((E27*24*$N$19),3),0.25),ROUND((E27*24*$N$19)*4,0)/4))</f>
        <v/>
      </c>
      <c r="G27" s="30"/>
      <c r="H27" s="30"/>
      <c r="K27" s="33" t="str">
        <f aca="false">IF(OR(M27=0,C27=""),"",IF(ISNUMBER(C27),MOD(C27,1),IFERROR(INDEX(القوائم!$B$1:$B$288,MATCH(TRIM(C27),القوائم!$A$1:$A$288,0)),IFERROR(MOD(TIMEVALUE(C27),1),""))))</f>
        <v/>
      </c>
      <c r="L27" s="33" t="str">
        <f aca="false">IF(OR(M27=0,D27=""),"",IF(ISNUMBER(D27),MOD(D27,1),IFERROR(INDEX(القوائم!$B$1:$B$288,MATCH(TRIM(D27),القوائم!$A$1:$A$288,0)),IFERROR(MOD(TIMEVALUE(D27),1),""))))</f>
        <v/>
      </c>
      <c r="M27" s="25" t="n">
        <f aca="false">M19</f>
        <v>0</v>
      </c>
      <c r="Q27" s="25" t="n">
        <f aca="false">IF(N(F30)&gt;0,1,0)</f>
        <v>0</v>
      </c>
      <c r="S27" s="0" t="n">
        <v>2</v>
      </c>
    </row>
    <row r="28" customFormat="false" ht="15" hidden="false" customHeight="false" outlineLevel="0" collapsed="false">
      <c r="A28" s="36" t="str">
        <f aca="false">IF(M19=1,"مجموع أيام الأسبوع 2","")</f>
        <v/>
      </c>
      <c r="B28" s="36"/>
      <c r="C28" s="36"/>
      <c r="D28" s="36"/>
      <c r="E28" s="37" t="str">
        <f aca="false">IF(M19=1,SUM(E21:E27),"")</f>
        <v/>
      </c>
      <c r="F28" s="38" t="str">
        <f aca="false">IF(M19=1,SUM(F21:F27),"")</f>
        <v/>
      </c>
      <c r="G28" s="50" t="str">
        <f aca="false">IF(M19=1,SUMIFS(F21:F27,G21:G27,"نعم"),"")</f>
        <v/>
      </c>
      <c r="H28" s="36"/>
      <c r="S28" s="0" t="n">
        <v>2</v>
      </c>
    </row>
    <row r="29" customFormat="false" ht="31.5" hidden="false" customHeight="true" outlineLevel="0" collapsed="false">
      <c r="A29" s="39" t="str">
        <f aca="false">IF(M19=1,"ساعات تحميل الجبسمبورد بهالأسبوع (رقم: 2 أو 1.5) ←","")</f>
        <v/>
      </c>
      <c r="B29" s="39"/>
      <c r="C29" s="39"/>
      <c r="D29" s="39"/>
      <c r="E29" s="40"/>
      <c r="F29" s="42" t="str">
        <f aca="false">IF(M19=1,N(F28)+IF(ROUND_MODE="للأعلى",CEILING(ROUND((N(E29)*($P$19-$N$19)),3),0.25),ROUND((N(E29)*($P$19-$N$19))*4,0)/4)+N(C30),"")</f>
        <v/>
      </c>
      <c r="G29" s="41" t="str">
        <f aca="false">IF(M19=1,"← المستحق النهائي للأسبوع مع الجبسمبورد والإكرامية","")</f>
        <v/>
      </c>
      <c r="H29" s="41"/>
      <c r="S29" s="0" t="n">
        <v>2</v>
      </c>
    </row>
    <row r="30" customFormat="false" ht="25.5" hidden="false" customHeight="true" outlineLevel="0" collapsed="false">
      <c r="A30" s="39" t="str">
        <f aca="false">IF(M19=1,"إكرامية الأسبوع ←","")</f>
        <v/>
      </c>
      <c r="B30" s="39"/>
      <c r="C30" s="44"/>
      <c r="D30" s="39" t="str">
        <f aca="false">IF(M19=1,"المدفوع (التسوية) ←","")</f>
        <v/>
      </c>
      <c r="E30" s="39"/>
      <c r="F30" s="44"/>
      <c r="G30" s="45" t="str">
        <f aca="false">IF(M19=1,IF(N(F30)&gt;0,"✔ انقبض — الأسبوع مقفول","⏳ لسا ما انقبض"),"")</f>
        <v/>
      </c>
      <c r="H30" s="45"/>
      <c r="S30" s="0" t="n">
        <v>2</v>
      </c>
    </row>
    <row r="31" customFormat="false" ht="27.75" hidden="false" customHeight="true" outlineLevel="0" collapsed="false">
      <c r="A31" s="48" t="str">
        <f aca="false">IF(3&lt;=NW,"من السبت "&amp;TEXT(DAY(SAT1+14),"00")&amp;"/"&amp;TEXT(MONTH(SAT1+14),"00")&amp;"/"&amp;YEAR(SAT1+14)&amp;" إلى الجمعة "&amp;TEXT(DAY(SAT1+20),"00")&amp;"/"&amp;TEXT(MONTH(SAT1+20),"00")&amp;"/"&amp;YEAR(SAT1+20)&amp;" · الأسبوع 3"&amp;"  (يوم القبض: الجمعة)"&amp;IF(3&lt;START_Z,"   — قبل أسبوع البداية (ما بينحسب)",""),"ما في أسبوع 3 هالسنة")</f>
        <v>من السبت 10/01/2026 إلى الجمعة 16/01/2026 · الأسبوع 3  (يوم القبض: الجمعة)   — قبل أسبوع البداية (ما بينحسب)</v>
      </c>
      <c r="B31" s="48"/>
      <c r="C31" s="48"/>
      <c r="D31" s="48"/>
      <c r="E31" s="48"/>
      <c r="F31" s="48"/>
      <c r="G31" s="48"/>
      <c r="H31" s="48"/>
      <c r="L31" s="24" t="n">
        <f aca="false">IF(3&lt;=NW,SAT1+20,"")</f>
        <v>46038</v>
      </c>
      <c r="M31" s="25" t="n">
        <f aca="false">IF(AND(3&lt;=NW,3&gt;=START_Z),1,0)</f>
        <v>0</v>
      </c>
      <c r="N31" s="26" t="n">
        <f aca="false">IFERROR(INDEX(RT_AZZ,MATCH(L31,RT_K,1)),INDEX(RT_AZZ,1))</f>
        <v>1</v>
      </c>
      <c r="P31" s="26" t="n">
        <f aca="false">IFERROR(INDEX(RT_GYP,MATCH(L31,RT_K,1)),INDEX(RT_GYP,1))</f>
        <v>2.5</v>
      </c>
      <c r="R31" s="0" t="n">
        <v>3</v>
      </c>
      <c r="S31" s="0" t="n">
        <v>3</v>
      </c>
    </row>
    <row r="32" customFormat="false" ht="25.5" hidden="false" customHeight="true" outlineLevel="0" collapsed="false">
      <c r="A32" s="49" t="s">
        <v>22</v>
      </c>
      <c r="B32" s="49" t="s">
        <v>23</v>
      </c>
      <c r="C32" s="49" t="s">
        <v>24</v>
      </c>
      <c r="D32" s="49" t="s">
        <v>25</v>
      </c>
      <c r="E32" s="49" t="s">
        <v>26</v>
      </c>
      <c r="F32" s="49" t="s">
        <v>33</v>
      </c>
      <c r="G32" s="49" t="s">
        <v>34</v>
      </c>
      <c r="H32" s="49" t="s">
        <v>30</v>
      </c>
      <c r="S32" s="0" t="n">
        <v>3</v>
      </c>
    </row>
    <row r="33" customFormat="false" ht="15" hidden="false" customHeight="false" outlineLevel="0" collapsed="false">
      <c r="A33" s="28" t="n">
        <f aca="false">IF(3&lt;=NW,SAT1+14,"")</f>
        <v>46032</v>
      </c>
      <c r="B33" s="29" t="str">
        <f aca="false">IF(A33="","",CHOOSE(WEEKDAY(A33,1),"الأحد","الاثنين","الثلاثاء","الأربعاء","الخميس","الجمعة","السبت"))</f>
        <v>السبت</v>
      </c>
      <c r="C33" s="30"/>
      <c r="D33" s="30"/>
      <c r="E33" s="31" t="str">
        <f aca="false">IF(OR(M33=0,K33="",L33=""),"",MOD(L33-K33,1))</f>
        <v/>
      </c>
      <c r="F33" s="32" t="str">
        <f aca="false">IF(OR(E33="",M33=0),"",IF(ROUND_MODE="للأعلى",CEILING(ROUND((E33*24*$N$31),3),0.25),ROUND((E33*24*$N$31)*4,0)/4))</f>
        <v/>
      </c>
      <c r="G33" s="30"/>
      <c r="H33" s="30"/>
      <c r="K33" s="33" t="str">
        <f aca="false">IF(OR(M33=0,C33=""),"",IF(ISNUMBER(C33),MOD(C33,1),IFERROR(INDEX(القوائم!$B$1:$B$288,MATCH(TRIM(C33),القوائم!$A$1:$A$288,0)),IFERROR(MOD(TIMEVALUE(C33),1),""))))</f>
        <v/>
      </c>
      <c r="L33" s="33" t="str">
        <f aca="false">IF(OR(M33=0,D33=""),"",IF(ISNUMBER(D33),MOD(D33,1),IFERROR(INDEX(القوائم!$B$1:$B$288,MATCH(TRIM(D33),القوائم!$A$1:$A$288,0)),IFERROR(MOD(TIMEVALUE(D33),1),""))))</f>
        <v/>
      </c>
      <c r="M33" s="25" t="n">
        <f aca="false">M31</f>
        <v>0</v>
      </c>
      <c r="Q33" s="25" t="n">
        <f aca="false">IF(N(F42)&gt;0,1,0)</f>
        <v>0</v>
      </c>
      <c r="S33" s="0" t="n">
        <v>3</v>
      </c>
    </row>
    <row r="34" customFormat="false" ht="15" hidden="false" customHeight="false" outlineLevel="0" collapsed="false">
      <c r="A34" s="28" t="n">
        <f aca="false">IF(3&lt;=NW,SAT1+15,"")</f>
        <v>46033</v>
      </c>
      <c r="B34" s="29" t="str">
        <f aca="false">IF(A34="","",CHOOSE(WEEKDAY(A34,1),"الأحد","الاثنين","الثلاثاء","الأربعاء","الخميس","الجمعة","السبت"))</f>
        <v>الأحد</v>
      </c>
      <c r="C34" s="30"/>
      <c r="D34" s="30"/>
      <c r="E34" s="31" t="str">
        <f aca="false">IF(OR(M34=0,K34="",L34=""),"",MOD(L34-K34,1))</f>
        <v/>
      </c>
      <c r="F34" s="32" t="str">
        <f aca="false">IF(OR(E34="",M34=0),"",IF(ROUND_MODE="للأعلى",CEILING(ROUND((E34*24*$N$31),3),0.25),ROUND((E34*24*$N$31)*4,0)/4))</f>
        <v/>
      </c>
      <c r="G34" s="30"/>
      <c r="H34" s="30"/>
      <c r="K34" s="33" t="str">
        <f aca="false">IF(OR(M34=0,C34=""),"",IF(ISNUMBER(C34),MOD(C34,1),IFERROR(INDEX(القوائم!$B$1:$B$288,MATCH(TRIM(C34),القوائم!$A$1:$A$288,0)),IFERROR(MOD(TIMEVALUE(C34),1),""))))</f>
        <v/>
      </c>
      <c r="L34" s="33" t="str">
        <f aca="false">IF(OR(M34=0,D34=""),"",IF(ISNUMBER(D34),MOD(D34,1),IFERROR(INDEX(القوائم!$B$1:$B$288,MATCH(TRIM(D34),القوائم!$A$1:$A$288,0)),IFERROR(MOD(TIMEVALUE(D34),1),""))))</f>
        <v/>
      </c>
      <c r="M34" s="25" t="n">
        <f aca="false">M31</f>
        <v>0</v>
      </c>
      <c r="Q34" s="25" t="n">
        <f aca="false">IF(N(F42)&gt;0,1,0)</f>
        <v>0</v>
      </c>
      <c r="S34" s="0" t="n">
        <v>3</v>
      </c>
    </row>
    <row r="35" customFormat="false" ht="15" hidden="false" customHeight="false" outlineLevel="0" collapsed="false">
      <c r="A35" s="28" t="n">
        <f aca="false">IF(3&lt;=NW,SAT1+16,"")</f>
        <v>46034</v>
      </c>
      <c r="B35" s="29" t="str">
        <f aca="false">IF(A35="","",CHOOSE(WEEKDAY(A35,1),"الأحد","الاثنين","الثلاثاء","الأربعاء","الخميس","الجمعة","السبت"))</f>
        <v>الاثنين</v>
      </c>
      <c r="C35" s="30"/>
      <c r="D35" s="30"/>
      <c r="E35" s="31" t="str">
        <f aca="false">IF(OR(M35=0,K35="",L35=""),"",MOD(L35-K35,1))</f>
        <v/>
      </c>
      <c r="F35" s="32" t="str">
        <f aca="false">IF(OR(E35="",M35=0),"",IF(ROUND_MODE="للأعلى",CEILING(ROUND((E35*24*$N$31),3),0.25),ROUND((E35*24*$N$31)*4,0)/4))</f>
        <v/>
      </c>
      <c r="G35" s="30"/>
      <c r="H35" s="30"/>
      <c r="K35" s="33" t="str">
        <f aca="false">IF(OR(M35=0,C35=""),"",IF(ISNUMBER(C35),MOD(C35,1),IFERROR(INDEX(القوائم!$B$1:$B$288,MATCH(TRIM(C35),القوائم!$A$1:$A$288,0)),IFERROR(MOD(TIMEVALUE(C35),1),""))))</f>
        <v/>
      </c>
      <c r="L35" s="33" t="str">
        <f aca="false">IF(OR(M35=0,D35=""),"",IF(ISNUMBER(D35),MOD(D35,1),IFERROR(INDEX(القوائم!$B$1:$B$288,MATCH(TRIM(D35),القوائم!$A$1:$A$288,0)),IFERROR(MOD(TIMEVALUE(D35),1),""))))</f>
        <v/>
      </c>
      <c r="M35" s="25" t="n">
        <f aca="false">M31</f>
        <v>0</v>
      </c>
      <c r="Q35" s="25" t="n">
        <f aca="false">IF(N(F42)&gt;0,1,0)</f>
        <v>0</v>
      </c>
      <c r="S35" s="0" t="n">
        <v>3</v>
      </c>
    </row>
    <row r="36" customFormat="false" ht="15" hidden="false" customHeight="false" outlineLevel="0" collapsed="false">
      <c r="A36" s="28" t="n">
        <f aca="false">IF(3&lt;=NW,SAT1+17,"")</f>
        <v>46035</v>
      </c>
      <c r="B36" s="29" t="str">
        <f aca="false">IF(A36="","",CHOOSE(WEEKDAY(A36,1),"الأحد","الاثنين","الثلاثاء","الأربعاء","الخميس","الجمعة","السبت"))</f>
        <v>الثلاثاء</v>
      </c>
      <c r="C36" s="30"/>
      <c r="D36" s="30"/>
      <c r="E36" s="31" t="str">
        <f aca="false">IF(OR(M36=0,K36="",L36=""),"",MOD(L36-K36,1))</f>
        <v/>
      </c>
      <c r="F36" s="32" t="str">
        <f aca="false">IF(OR(E36="",M36=0),"",IF(ROUND_MODE="للأعلى",CEILING(ROUND((E36*24*$N$31),3),0.25),ROUND((E36*24*$N$31)*4,0)/4))</f>
        <v/>
      </c>
      <c r="G36" s="30"/>
      <c r="H36" s="30"/>
      <c r="K36" s="33" t="str">
        <f aca="false">IF(OR(M36=0,C36=""),"",IF(ISNUMBER(C36),MOD(C36,1),IFERROR(INDEX(القوائم!$B$1:$B$288,MATCH(TRIM(C36),القوائم!$A$1:$A$288,0)),IFERROR(MOD(TIMEVALUE(C36),1),""))))</f>
        <v/>
      </c>
      <c r="L36" s="33" t="str">
        <f aca="false">IF(OR(M36=0,D36=""),"",IF(ISNUMBER(D36),MOD(D36,1),IFERROR(INDEX(القوائم!$B$1:$B$288,MATCH(TRIM(D36),القوائم!$A$1:$A$288,0)),IFERROR(MOD(TIMEVALUE(D36),1),""))))</f>
        <v/>
      </c>
      <c r="M36" s="25" t="n">
        <f aca="false">M31</f>
        <v>0</v>
      </c>
      <c r="Q36" s="25" t="n">
        <f aca="false">IF(N(F42)&gt;0,1,0)</f>
        <v>0</v>
      </c>
      <c r="S36" s="0" t="n">
        <v>3</v>
      </c>
    </row>
    <row r="37" customFormat="false" ht="15" hidden="false" customHeight="false" outlineLevel="0" collapsed="false">
      <c r="A37" s="28" t="n">
        <f aca="false">IF(3&lt;=NW,SAT1+18,"")</f>
        <v>46036</v>
      </c>
      <c r="B37" s="29" t="str">
        <f aca="false">IF(A37="","",CHOOSE(WEEKDAY(A37,1),"الأحد","الاثنين","الثلاثاء","الأربعاء","الخميس","الجمعة","السبت"))</f>
        <v>الأربعاء</v>
      </c>
      <c r="C37" s="30"/>
      <c r="D37" s="30"/>
      <c r="E37" s="31" t="str">
        <f aca="false">IF(OR(M37=0,K37="",L37=""),"",MOD(L37-K37,1))</f>
        <v/>
      </c>
      <c r="F37" s="32" t="str">
        <f aca="false">IF(OR(E37="",M37=0),"",IF(ROUND_MODE="للأعلى",CEILING(ROUND((E37*24*$N$31),3),0.25),ROUND((E37*24*$N$31)*4,0)/4))</f>
        <v/>
      </c>
      <c r="G37" s="30"/>
      <c r="H37" s="30"/>
      <c r="K37" s="33" t="str">
        <f aca="false">IF(OR(M37=0,C37=""),"",IF(ISNUMBER(C37),MOD(C37,1),IFERROR(INDEX(القوائم!$B$1:$B$288,MATCH(TRIM(C37),القوائم!$A$1:$A$288,0)),IFERROR(MOD(TIMEVALUE(C37),1),""))))</f>
        <v/>
      </c>
      <c r="L37" s="33" t="str">
        <f aca="false">IF(OR(M37=0,D37=""),"",IF(ISNUMBER(D37),MOD(D37,1),IFERROR(INDEX(القوائم!$B$1:$B$288,MATCH(TRIM(D37),القوائم!$A$1:$A$288,0)),IFERROR(MOD(TIMEVALUE(D37),1),""))))</f>
        <v/>
      </c>
      <c r="M37" s="25" t="n">
        <f aca="false">M31</f>
        <v>0</v>
      </c>
      <c r="Q37" s="25" t="n">
        <f aca="false">IF(N(F42)&gt;0,1,0)</f>
        <v>0</v>
      </c>
      <c r="S37" s="0" t="n">
        <v>3</v>
      </c>
    </row>
    <row r="38" customFormat="false" ht="15" hidden="false" customHeight="false" outlineLevel="0" collapsed="false">
      <c r="A38" s="28" t="n">
        <f aca="false">IF(3&lt;=NW,SAT1+19,"")</f>
        <v>46037</v>
      </c>
      <c r="B38" s="29" t="str">
        <f aca="false">IF(A38="","",CHOOSE(WEEKDAY(A38,1),"الأحد","الاثنين","الثلاثاء","الأربعاء","الخميس","الجمعة","السبت"))</f>
        <v>الخميس</v>
      </c>
      <c r="C38" s="30"/>
      <c r="D38" s="30"/>
      <c r="E38" s="31" t="str">
        <f aca="false">IF(OR(M38=0,K38="",L38=""),"",MOD(L38-K38,1))</f>
        <v/>
      </c>
      <c r="F38" s="32" t="str">
        <f aca="false">IF(OR(E38="",M38=0),"",IF(ROUND_MODE="للأعلى",CEILING(ROUND((E38*24*$N$31),3),0.25),ROUND((E38*24*$N$31)*4,0)/4))</f>
        <v/>
      </c>
      <c r="G38" s="30"/>
      <c r="H38" s="30"/>
      <c r="K38" s="33" t="str">
        <f aca="false">IF(OR(M38=0,C38=""),"",IF(ISNUMBER(C38),MOD(C38,1),IFERROR(INDEX(القوائم!$B$1:$B$288,MATCH(TRIM(C38),القوائم!$A$1:$A$288,0)),IFERROR(MOD(TIMEVALUE(C38),1),""))))</f>
        <v/>
      </c>
      <c r="L38" s="33" t="str">
        <f aca="false">IF(OR(M38=0,D38=""),"",IF(ISNUMBER(D38),MOD(D38,1),IFERROR(INDEX(القوائم!$B$1:$B$288,MATCH(TRIM(D38),القوائم!$A$1:$A$288,0)),IFERROR(MOD(TIMEVALUE(D38),1),""))))</f>
        <v/>
      </c>
      <c r="M38" s="25" t="n">
        <f aca="false">M31</f>
        <v>0</v>
      </c>
      <c r="Q38" s="25" t="n">
        <f aca="false">IF(N(F42)&gt;0,1,0)</f>
        <v>0</v>
      </c>
      <c r="S38" s="0" t="n">
        <v>3</v>
      </c>
    </row>
    <row r="39" customFormat="false" ht="15" hidden="false" customHeight="false" outlineLevel="0" collapsed="false">
      <c r="A39" s="34" t="n">
        <f aca="false">IF(3&lt;=NW,SAT1+20,"")</f>
        <v>46038</v>
      </c>
      <c r="B39" s="35" t="str">
        <f aca="false">IF(A39="","",CHOOSE(WEEKDAY(A39,1),"الأحد","الاثنين","الثلاثاء","الأربعاء","الخميس","الجمعة","السبت"))</f>
        <v>الجمعة</v>
      </c>
      <c r="C39" s="30"/>
      <c r="D39" s="30"/>
      <c r="E39" s="31" t="str">
        <f aca="false">IF(OR(M39=0,K39="",L39=""),"",MOD(L39-K39,1))</f>
        <v/>
      </c>
      <c r="F39" s="32" t="str">
        <f aca="false">IF(OR(E39="",M39=0),"",IF(ROUND_MODE="للأعلى",CEILING(ROUND((E39*24*$N$31),3),0.25),ROUND((E39*24*$N$31)*4,0)/4))</f>
        <v/>
      </c>
      <c r="G39" s="30"/>
      <c r="H39" s="30"/>
      <c r="K39" s="33" t="str">
        <f aca="false">IF(OR(M39=0,C39=""),"",IF(ISNUMBER(C39),MOD(C39,1),IFERROR(INDEX(القوائم!$B$1:$B$288,MATCH(TRIM(C39),القوائم!$A$1:$A$288,0)),IFERROR(MOD(TIMEVALUE(C39),1),""))))</f>
        <v/>
      </c>
      <c r="L39" s="33" t="str">
        <f aca="false">IF(OR(M39=0,D39=""),"",IF(ISNUMBER(D39),MOD(D39,1),IFERROR(INDEX(القوائم!$B$1:$B$288,MATCH(TRIM(D39),القوائم!$A$1:$A$288,0)),IFERROR(MOD(TIMEVALUE(D39),1),""))))</f>
        <v/>
      </c>
      <c r="M39" s="25" t="n">
        <f aca="false">M31</f>
        <v>0</v>
      </c>
      <c r="Q39" s="25" t="n">
        <f aca="false">IF(N(F42)&gt;0,1,0)</f>
        <v>0</v>
      </c>
      <c r="S39" s="0" t="n">
        <v>3</v>
      </c>
    </row>
    <row r="40" customFormat="false" ht="15" hidden="false" customHeight="false" outlineLevel="0" collapsed="false">
      <c r="A40" s="36" t="str">
        <f aca="false">IF(M31=1,"مجموع أيام الأسبوع 3","")</f>
        <v/>
      </c>
      <c r="B40" s="36"/>
      <c r="C40" s="36"/>
      <c r="D40" s="36"/>
      <c r="E40" s="37" t="str">
        <f aca="false">IF(M31=1,SUM(E33:E39),"")</f>
        <v/>
      </c>
      <c r="F40" s="38" t="str">
        <f aca="false">IF(M31=1,SUM(F33:F39),"")</f>
        <v/>
      </c>
      <c r="G40" s="50" t="str">
        <f aca="false">IF(M31=1,SUMIFS(F33:F39,G33:G39,"نعم"),"")</f>
        <v/>
      </c>
      <c r="H40" s="36"/>
      <c r="S40" s="0" t="n">
        <v>3</v>
      </c>
    </row>
    <row r="41" customFormat="false" ht="31.5" hidden="false" customHeight="true" outlineLevel="0" collapsed="false">
      <c r="A41" s="39" t="str">
        <f aca="false">IF(M31=1,"ساعات تحميل الجبسمبورد بهالأسبوع (رقم: 2 أو 1.5) ←","")</f>
        <v/>
      </c>
      <c r="B41" s="39"/>
      <c r="C41" s="39"/>
      <c r="D41" s="39"/>
      <c r="E41" s="40"/>
      <c r="F41" s="42" t="str">
        <f aca="false">IF(M31=1,N(F40)+IF(ROUND_MODE="للأعلى",CEILING(ROUND((N(E41)*($P$31-$N$31)),3),0.25),ROUND((N(E41)*($P$31-$N$31))*4,0)/4)+N(C42),"")</f>
        <v/>
      </c>
      <c r="G41" s="41" t="str">
        <f aca="false">IF(M31=1,"← المستحق النهائي للأسبوع مع الجبسمبورد والإكرامية","")</f>
        <v/>
      </c>
      <c r="H41" s="41"/>
      <c r="S41" s="0" t="n">
        <v>3</v>
      </c>
    </row>
    <row r="42" customFormat="false" ht="25.5" hidden="false" customHeight="true" outlineLevel="0" collapsed="false">
      <c r="A42" s="39" t="str">
        <f aca="false">IF(M31=1,"إكرامية الأسبوع ←","")</f>
        <v/>
      </c>
      <c r="B42" s="39"/>
      <c r="C42" s="44"/>
      <c r="D42" s="39" t="str">
        <f aca="false">IF(M31=1,"المدفوع (التسوية) ←","")</f>
        <v/>
      </c>
      <c r="E42" s="39"/>
      <c r="F42" s="44"/>
      <c r="G42" s="45" t="str">
        <f aca="false">IF(M31=1,IF(N(F42)&gt;0,"✔ انقبض — الأسبوع مقفول","⏳ لسا ما انقبض"),"")</f>
        <v/>
      </c>
      <c r="H42" s="45"/>
      <c r="S42" s="0" t="n">
        <v>3</v>
      </c>
    </row>
    <row r="43" customFormat="false" ht="27.75" hidden="false" customHeight="true" outlineLevel="0" collapsed="false">
      <c r="A43" s="48" t="str">
        <f aca="false">IF(4&lt;=NW,"من السبت "&amp;TEXT(DAY(SAT1+21),"00")&amp;"/"&amp;TEXT(MONTH(SAT1+21),"00")&amp;"/"&amp;YEAR(SAT1+21)&amp;" إلى الجمعة "&amp;TEXT(DAY(SAT1+27),"00")&amp;"/"&amp;TEXT(MONTH(SAT1+27),"00")&amp;"/"&amp;YEAR(SAT1+27)&amp;" · الأسبوع 4"&amp;"  (يوم القبض: الجمعة)"&amp;IF(4&lt;START_Z,"   — قبل أسبوع البداية (ما بينحسب)",""),"ما في أسبوع 4 هالسنة")</f>
        <v>من السبت 17/01/2026 إلى الجمعة 23/01/2026 · الأسبوع 4  (يوم القبض: الجمعة)   — قبل أسبوع البداية (ما بينحسب)</v>
      </c>
      <c r="B43" s="48"/>
      <c r="C43" s="48"/>
      <c r="D43" s="48"/>
      <c r="E43" s="48"/>
      <c r="F43" s="48"/>
      <c r="G43" s="48"/>
      <c r="H43" s="48"/>
      <c r="L43" s="24" t="n">
        <f aca="false">IF(4&lt;=NW,SAT1+27,"")</f>
        <v>46045</v>
      </c>
      <c r="M43" s="25" t="n">
        <f aca="false">IF(AND(4&lt;=NW,4&gt;=START_Z),1,0)</f>
        <v>0</v>
      </c>
      <c r="N43" s="26" t="n">
        <f aca="false">IFERROR(INDEX(RT_AZZ,MATCH(L43,RT_K,1)),INDEX(RT_AZZ,1))</f>
        <v>1</v>
      </c>
      <c r="P43" s="26" t="n">
        <f aca="false">IFERROR(INDEX(RT_GYP,MATCH(L43,RT_K,1)),INDEX(RT_GYP,1))</f>
        <v>2.5</v>
      </c>
      <c r="R43" s="0" t="n">
        <v>4</v>
      </c>
      <c r="S43" s="0" t="n">
        <v>4</v>
      </c>
    </row>
    <row r="44" customFormat="false" ht="25.5" hidden="false" customHeight="true" outlineLevel="0" collapsed="false">
      <c r="A44" s="49" t="s">
        <v>22</v>
      </c>
      <c r="B44" s="49" t="s">
        <v>23</v>
      </c>
      <c r="C44" s="49" t="s">
        <v>24</v>
      </c>
      <c r="D44" s="49" t="s">
        <v>25</v>
      </c>
      <c r="E44" s="49" t="s">
        <v>26</v>
      </c>
      <c r="F44" s="49" t="s">
        <v>33</v>
      </c>
      <c r="G44" s="49" t="s">
        <v>34</v>
      </c>
      <c r="H44" s="49" t="s">
        <v>30</v>
      </c>
      <c r="S44" s="0" t="n">
        <v>4</v>
      </c>
    </row>
    <row r="45" customFormat="false" ht="15" hidden="false" customHeight="false" outlineLevel="0" collapsed="false">
      <c r="A45" s="28" t="n">
        <f aca="false">IF(4&lt;=NW,SAT1+21,"")</f>
        <v>46039</v>
      </c>
      <c r="B45" s="29" t="str">
        <f aca="false">IF(A45="","",CHOOSE(WEEKDAY(A45,1),"الأحد","الاثنين","الثلاثاء","الأربعاء","الخميس","الجمعة","السبت"))</f>
        <v>السبت</v>
      </c>
      <c r="C45" s="30"/>
      <c r="D45" s="30"/>
      <c r="E45" s="31" t="str">
        <f aca="false">IF(OR(M45=0,K45="",L45=""),"",MOD(L45-K45,1))</f>
        <v/>
      </c>
      <c r="F45" s="32" t="str">
        <f aca="false">IF(OR(E45="",M45=0),"",IF(ROUND_MODE="للأعلى",CEILING(ROUND((E45*24*$N$43),3),0.25),ROUND((E45*24*$N$43)*4,0)/4))</f>
        <v/>
      </c>
      <c r="G45" s="30"/>
      <c r="H45" s="30"/>
      <c r="K45" s="33" t="str">
        <f aca="false">IF(OR(M45=0,C45=""),"",IF(ISNUMBER(C45),MOD(C45,1),IFERROR(INDEX(القوائم!$B$1:$B$288,MATCH(TRIM(C45),القوائم!$A$1:$A$288,0)),IFERROR(MOD(TIMEVALUE(C45),1),""))))</f>
        <v/>
      </c>
      <c r="L45" s="33" t="str">
        <f aca="false">IF(OR(M45=0,D45=""),"",IF(ISNUMBER(D45),MOD(D45,1),IFERROR(INDEX(القوائم!$B$1:$B$288,MATCH(TRIM(D45),القوائم!$A$1:$A$288,0)),IFERROR(MOD(TIMEVALUE(D45),1),""))))</f>
        <v/>
      </c>
      <c r="M45" s="25" t="n">
        <f aca="false">M43</f>
        <v>0</v>
      </c>
      <c r="Q45" s="25" t="n">
        <f aca="false">IF(N(F54)&gt;0,1,0)</f>
        <v>0</v>
      </c>
      <c r="S45" s="0" t="n">
        <v>4</v>
      </c>
    </row>
    <row r="46" customFormat="false" ht="15" hidden="false" customHeight="false" outlineLevel="0" collapsed="false">
      <c r="A46" s="28" t="n">
        <f aca="false">IF(4&lt;=NW,SAT1+22,"")</f>
        <v>46040</v>
      </c>
      <c r="B46" s="29" t="str">
        <f aca="false">IF(A46="","",CHOOSE(WEEKDAY(A46,1),"الأحد","الاثنين","الثلاثاء","الأربعاء","الخميس","الجمعة","السبت"))</f>
        <v>الأحد</v>
      </c>
      <c r="C46" s="30"/>
      <c r="D46" s="30"/>
      <c r="E46" s="31" t="str">
        <f aca="false">IF(OR(M46=0,K46="",L46=""),"",MOD(L46-K46,1))</f>
        <v/>
      </c>
      <c r="F46" s="32" t="str">
        <f aca="false">IF(OR(E46="",M46=0),"",IF(ROUND_MODE="للأعلى",CEILING(ROUND((E46*24*$N$43),3),0.25),ROUND((E46*24*$N$43)*4,0)/4))</f>
        <v/>
      </c>
      <c r="G46" s="30"/>
      <c r="H46" s="30"/>
      <c r="K46" s="33" t="str">
        <f aca="false">IF(OR(M46=0,C46=""),"",IF(ISNUMBER(C46),MOD(C46,1),IFERROR(INDEX(القوائم!$B$1:$B$288,MATCH(TRIM(C46),القوائم!$A$1:$A$288,0)),IFERROR(MOD(TIMEVALUE(C46),1),""))))</f>
        <v/>
      </c>
      <c r="L46" s="33" t="str">
        <f aca="false">IF(OR(M46=0,D46=""),"",IF(ISNUMBER(D46),MOD(D46,1),IFERROR(INDEX(القوائم!$B$1:$B$288,MATCH(TRIM(D46),القوائم!$A$1:$A$288,0)),IFERROR(MOD(TIMEVALUE(D46),1),""))))</f>
        <v/>
      </c>
      <c r="M46" s="25" t="n">
        <f aca="false">M43</f>
        <v>0</v>
      </c>
      <c r="Q46" s="25" t="n">
        <f aca="false">IF(N(F54)&gt;0,1,0)</f>
        <v>0</v>
      </c>
      <c r="S46" s="0" t="n">
        <v>4</v>
      </c>
    </row>
    <row r="47" customFormat="false" ht="15" hidden="false" customHeight="false" outlineLevel="0" collapsed="false">
      <c r="A47" s="28" t="n">
        <f aca="false">IF(4&lt;=NW,SAT1+23,"")</f>
        <v>46041</v>
      </c>
      <c r="B47" s="29" t="str">
        <f aca="false">IF(A47="","",CHOOSE(WEEKDAY(A47,1),"الأحد","الاثنين","الثلاثاء","الأربعاء","الخميس","الجمعة","السبت"))</f>
        <v>الاثنين</v>
      </c>
      <c r="C47" s="30"/>
      <c r="D47" s="30"/>
      <c r="E47" s="31" t="str">
        <f aca="false">IF(OR(M47=0,K47="",L47=""),"",MOD(L47-K47,1))</f>
        <v/>
      </c>
      <c r="F47" s="32" t="str">
        <f aca="false">IF(OR(E47="",M47=0),"",IF(ROUND_MODE="للأعلى",CEILING(ROUND((E47*24*$N$43),3),0.25),ROUND((E47*24*$N$43)*4,0)/4))</f>
        <v/>
      </c>
      <c r="G47" s="30"/>
      <c r="H47" s="30"/>
      <c r="K47" s="33" t="str">
        <f aca="false">IF(OR(M47=0,C47=""),"",IF(ISNUMBER(C47),MOD(C47,1),IFERROR(INDEX(القوائم!$B$1:$B$288,MATCH(TRIM(C47),القوائم!$A$1:$A$288,0)),IFERROR(MOD(TIMEVALUE(C47),1),""))))</f>
        <v/>
      </c>
      <c r="L47" s="33" t="str">
        <f aca="false">IF(OR(M47=0,D47=""),"",IF(ISNUMBER(D47),MOD(D47,1),IFERROR(INDEX(القوائم!$B$1:$B$288,MATCH(TRIM(D47),القوائم!$A$1:$A$288,0)),IFERROR(MOD(TIMEVALUE(D47),1),""))))</f>
        <v/>
      </c>
      <c r="M47" s="25" t="n">
        <f aca="false">M43</f>
        <v>0</v>
      </c>
      <c r="Q47" s="25" t="n">
        <f aca="false">IF(N(F54)&gt;0,1,0)</f>
        <v>0</v>
      </c>
      <c r="S47" s="0" t="n">
        <v>4</v>
      </c>
    </row>
    <row r="48" customFormat="false" ht="15" hidden="false" customHeight="false" outlineLevel="0" collapsed="false">
      <c r="A48" s="28" t="n">
        <f aca="false">IF(4&lt;=NW,SAT1+24,"")</f>
        <v>46042</v>
      </c>
      <c r="B48" s="29" t="str">
        <f aca="false">IF(A48="","",CHOOSE(WEEKDAY(A48,1),"الأحد","الاثنين","الثلاثاء","الأربعاء","الخميس","الجمعة","السبت"))</f>
        <v>الثلاثاء</v>
      </c>
      <c r="C48" s="30"/>
      <c r="D48" s="30"/>
      <c r="E48" s="31" t="str">
        <f aca="false">IF(OR(M48=0,K48="",L48=""),"",MOD(L48-K48,1))</f>
        <v/>
      </c>
      <c r="F48" s="32" t="str">
        <f aca="false">IF(OR(E48="",M48=0),"",IF(ROUND_MODE="للأعلى",CEILING(ROUND((E48*24*$N$43),3),0.25),ROUND((E48*24*$N$43)*4,0)/4))</f>
        <v/>
      </c>
      <c r="G48" s="30"/>
      <c r="H48" s="30"/>
      <c r="K48" s="33" t="str">
        <f aca="false">IF(OR(M48=0,C48=""),"",IF(ISNUMBER(C48),MOD(C48,1),IFERROR(INDEX(القوائم!$B$1:$B$288,MATCH(TRIM(C48),القوائم!$A$1:$A$288,0)),IFERROR(MOD(TIMEVALUE(C48),1),""))))</f>
        <v/>
      </c>
      <c r="L48" s="33" t="str">
        <f aca="false">IF(OR(M48=0,D48=""),"",IF(ISNUMBER(D48),MOD(D48,1),IFERROR(INDEX(القوائم!$B$1:$B$288,MATCH(TRIM(D48),القوائم!$A$1:$A$288,0)),IFERROR(MOD(TIMEVALUE(D48),1),""))))</f>
        <v/>
      </c>
      <c r="M48" s="25" t="n">
        <f aca="false">M43</f>
        <v>0</v>
      </c>
      <c r="Q48" s="25" t="n">
        <f aca="false">IF(N(F54)&gt;0,1,0)</f>
        <v>0</v>
      </c>
      <c r="S48" s="0" t="n">
        <v>4</v>
      </c>
    </row>
    <row r="49" customFormat="false" ht="15" hidden="false" customHeight="false" outlineLevel="0" collapsed="false">
      <c r="A49" s="28" t="n">
        <f aca="false">IF(4&lt;=NW,SAT1+25,"")</f>
        <v>46043</v>
      </c>
      <c r="B49" s="29" t="str">
        <f aca="false">IF(A49="","",CHOOSE(WEEKDAY(A49,1),"الأحد","الاثنين","الثلاثاء","الأربعاء","الخميس","الجمعة","السبت"))</f>
        <v>الأربعاء</v>
      </c>
      <c r="C49" s="30"/>
      <c r="D49" s="30"/>
      <c r="E49" s="31" t="str">
        <f aca="false">IF(OR(M49=0,K49="",L49=""),"",MOD(L49-K49,1))</f>
        <v/>
      </c>
      <c r="F49" s="32" t="str">
        <f aca="false">IF(OR(E49="",M49=0),"",IF(ROUND_MODE="للأعلى",CEILING(ROUND((E49*24*$N$43),3),0.25),ROUND((E49*24*$N$43)*4,0)/4))</f>
        <v/>
      </c>
      <c r="G49" s="30"/>
      <c r="H49" s="30"/>
      <c r="K49" s="33" t="str">
        <f aca="false">IF(OR(M49=0,C49=""),"",IF(ISNUMBER(C49),MOD(C49,1),IFERROR(INDEX(القوائم!$B$1:$B$288,MATCH(TRIM(C49),القوائم!$A$1:$A$288,0)),IFERROR(MOD(TIMEVALUE(C49),1),""))))</f>
        <v/>
      </c>
      <c r="L49" s="33" t="str">
        <f aca="false">IF(OR(M49=0,D49=""),"",IF(ISNUMBER(D49),MOD(D49,1),IFERROR(INDEX(القوائم!$B$1:$B$288,MATCH(TRIM(D49),القوائم!$A$1:$A$288,0)),IFERROR(MOD(TIMEVALUE(D49),1),""))))</f>
        <v/>
      </c>
      <c r="M49" s="25" t="n">
        <f aca="false">M43</f>
        <v>0</v>
      </c>
      <c r="Q49" s="25" t="n">
        <f aca="false">IF(N(F54)&gt;0,1,0)</f>
        <v>0</v>
      </c>
      <c r="S49" s="0" t="n">
        <v>4</v>
      </c>
    </row>
    <row r="50" customFormat="false" ht="15" hidden="false" customHeight="false" outlineLevel="0" collapsed="false">
      <c r="A50" s="28" t="n">
        <f aca="false">IF(4&lt;=NW,SAT1+26,"")</f>
        <v>46044</v>
      </c>
      <c r="B50" s="29" t="str">
        <f aca="false">IF(A50="","",CHOOSE(WEEKDAY(A50,1),"الأحد","الاثنين","الثلاثاء","الأربعاء","الخميس","الجمعة","السبت"))</f>
        <v>الخميس</v>
      </c>
      <c r="C50" s="30"/>
      <c r="D50" s="30"/>
      <c r="E50" s="31" t="str">
        <f aca="false">IF(OR(M50=0,K50="",L50=""),"",MOD(L50-K50,1))</f>
        <v/>
      </c>
      <c r="F50" s="32" t="str">
        <f aca="false">IF(OR(E50="",M50=0),"",IF(ROUND_MODE="للأعلى",CEILING(ROUND((E50*24*$N$43),3),0.25),ROUND((E50*24*$N$43)*4,0)/4))</f>
        <v/>
      </c>
      <c r="G50" s="30"/>
      <c r="H50" s="30"/>
      <c r="K50" s="33" t="str">
        <f aca="false">IF(OR(M50=0,C50=""),"",IF(ISNUMBER(C50),MOD(C50,1),IFERROR(INDEX(القوائم!$B$1:$B$288,MATCH(TRIM(C50),القوائم!$A$1:$A$288,0)),IFERROR(MOD(TIMEVALUE(C50),1),""))))</f>
        <v/>
      </c>
      <c r="L50" s="33" t="str">
        <f aca="false">IF(OR(M50=0,D50=""),"",IF(ISNUMBER(D50),MOD(D50,1),IFERROR(INDEX(القوائم!$B$1:$B$288,MATCH(TRIM(D50),القوائم!$A$1:$A$288,0)),IFERROR(MOD(TIMEVALUE(D50),1),""))))</f>
        <v/>
      </c>
      <c r="M50" s="25" t="n">
        <f aca="false">M43</f>
        <v>0</v>
      </c>
      <c r="Q50" s="25" t="n">
        <f aca="false">IF(N(F54)&gt;0,1,0)</f>
        <v>0</v>
      </c>
      <c r="S50" s="0" t="n">
        <v>4</v>
      </c>
    </row>
    <row r="51" customFormat="false" ht="15" hidden="false" customHeight="false" outlineLevel="0" collapsed="false">
      <c r="A51" s="34" t="n">
        <f aca="false">IF(4&lt;=NW,SAT1+27,"")</f>
        <v>46045</v>
      </c>
      <c r="B51" s="35" t="str">
        <f aca="false">IF(A51="","",CHOOSE(WEEKDAY(A51,1),"الأحد","الاثنين","الثلاثاء","الأربعاء","الخميس","الجمعة","السبت"))</f>
        <v>الجمعة</v>
      </c>
      <c r="C51" s="30"/>
      <c r="D51" s="30"/>
      <c r="E51" s="31" t="str">
        <f aca="false">IF(OR(M51=0,K51="",L51=""),"",MOD(L51-K51,1))</f>
        <v/>
      </c>
      <c r="F51" s="32" t="str">
        <f aca="false">IF(OR(E51="",M51=0),"",IF(ROUND_MODE="للأعلى",CEILING(ROUND((E51*24*$N$43),3),0.25),ROUND((E51*24*$N$43)*4,0)/4))</f>
        <v/>
      </c>
      <c r="G51" s="30"/>
      <c r="H51" s="30"/>
      <c r="K51" s="33" t="str">
        <f aca="false">IF(OR(M51=0,C51=""),"",IF(ISNUMBER(C51),MOD(C51,1),IFERROR(INDEX(القوائم!$B$1:$B$288,MATCH(TRIM(C51),القوائم!$A$1:$A$288,0)),IFERROR(MOD(TIMEVALUE(C51),1),""))))</f>
        <v/>
      </c>
      <c r="L51" s="33" t="str">
        <f aca="false">IF(OR(M51=0,D51=""),"",IF(ISNUMBER(D51),MOD(D51,1),IFERROR(INDEX(القوائم!$B$1:$B$288,MATCH(TRIM(D51),القوائم!$A$1:$A$288,0)),IFERROR(MOD(TIMEVALUE(D51),1),""))))</f>
        <v/>
      </c>
      <c r="M51" s="25" t="n">
        <f aca="false">M43</f>
        <v>0</v>
      </c>
      <c r="Q51" s="25" t="n">
        <f aca="false">IF(N(F54)&gt;0,1,0)</f>
        <v>0</v>
      </c>
      <c r="S51" s="0" t="n">
        <v>4</v>
      </c>
    </row>
    <row r="52" customFormat="false" ht="15" hidden="false" customHeight="false" outlineLevel="0" collapsed="false">
      <c r="A52" s="36" t="str">
        <f aca="false">IF(M43=1,"مجموع أيام الأسبوع 4","")</f>
        <v/>
      </c>
      <c r="B52" s="36"/>
      <c r="C52" s="36"/>
      <c r="D52" s="36"/>
      <c r="E52" s="37" t="str">
        <f aca="false">IF(M43=1,SUM(E45:E51),"")</f>
        <v/>
      </c>
      <c r="F52" s="38" t="str">
        <f aca="false">IF(M43=1,SUM(F45:F51),"")</f>
        <v/>
      </c>
      <c r="G52" s="50" t="str">
        <f aca="false">IF(M43=1,SUMIFS(F45:F51,G45:G51,"نعم"),"")</f>
        <v/>
      </c>
      <c r="H52" s="36"/>
      <c r="S52" s="0" t="n">
        <v>4</v>
      </c>
    </row>
    <row r="53" customFormat="false" ht="31.5" hidden="false" customHeight="true" outlineLevel="0" collapsed="false">
      <c r="A53" s="39" t="str">
        <f aca="false">IF(M43=1,"ساعات تحميل الجبسمبورد بهالأسبوع (رقم: 2 أو 1.5) ←","")</f>
        <v/>
      </c>
      <c r="B53" s="39"/>
      <c r="C53" s="39"/>
      <c r="D53" s="39"/>
      <c r="E53" s="40"/>
      <c r="F53" s="42" t="str">
        <f aca="false">IF(M43=1,N(F52)+IF(ROUND_MODE="للأعلى",CEILING(ROUND((N(E53)*($P$43-$N$43)),3),0.25),ROUND((N(E53)*($P$43-$N$43))*4,0)/4)+N(C54),"")</f>
        <v/>
      </c>
      <c r="G53" s="41" t="str">
        <f aca="false">IF(M43=1,"← المستحق النهائي للأسبوع مع الجبسمبورد والإكرامية","")</f>
        <v/>
      </c>
      <c r="H53" s="41"/>
      <c r="S53" s="0" t="n">
        <v>4</v>
      </c>
    </row>
    <row r="54" customFormat="false" ht="25.5" hidden="false" customHeight="true" outlineLevel="0" collapsed="false">
      <c r="A54" s="39" t="str">
        <f aca="false">IF(M43=1,"إكرامية الأسبوع ←","")</f>
        <v/>
      </c>
      <c r="B54" s="39"/>
      <c r="C54" s="44"/>
      <c r="D54" s="39" t="str">
        <f aca="false">IF(M43=1,"المدفوع (التسوية) ←","")</f>
        <v/>
      </c>
      <c r="E54" s="39"/>
      <c r="F54" s="44"/>
      <c r="G54" s="45" t="str">
        <f aca="false">IF(M43=1,IF(N(F54)&gt;0,"✔ انقبض — الأسبوع مقفول","⏳ لسا ما انقبض"),"")</f>
        <v/>
      </c>
      <c r="H54" s="45"/>
      <c r="S54" s="0" t="n">
        <v>4</v>
      </c>
    </row>
    <row r="55" customFormat="false" ht="27.75" hidden="false" customHeight="true" outlineLevel="0" collapsed="false">
      <c r="A55" s="48" t="str">
        <f aca="false">IF(5&lt;=NW,"من السبت "&amp;TEXT(DAY(SAT1+28),"00")&amp;"/"&amp;TEXT(MONTH(SAT1+28),"00")&amp;"/"&amp;YEAR(SAT1+28)&amp;" إلى الجمعة "&amp;TEXT(DAY(SAT1+34),"00")&amp;"/"&amp;TEXT(MONTH(SAT1+34),"00")&amp;"/"&amp;YEAR(SAT1+34)&amp;" · الأسبوع 5"&amp;"  (يوم القبض: الجمعة)"&amp;IF(5&lt;START_Z,"   — قبل أسبوع البداية (ما بينحسب)",""),"ما في أسبوع 5 هالسنة")</f>
        <v>من السبت 24/01/2026 إلى الجمعة 30/01/2026 · الأسبوع 5  (يوم القبض: الجمعة)   — قبل أسبوع البداية (ما بينحسب)</v>
      </c>
      <c r="B55" s="48"/>
      <c r="C55" s="48"/>
      <c r="D55" s="48"/>
      <c r="E55" s="48"/>
      <c r="F55" s="48"/>
      <c r="G55" s="48"/>
      <c r="H55" s="48"/>
      <c r="L55" s="24" t="n">
        <f aca="false">IF(5&lt;=NW,SAT1+34,"")</f>
        <v>46052</v>
      </c>
      <c r="M55" s="25" t="n">
        <f aca="false">IF(AND(5&lt;=NW,5&gt;=START_Z),1,0)</f>
        <v>0</v>
      </c>
      <c r="N55" s="26" t="n">
        <f aca="false">IFERROR(INDEX(RT_AZZ,MATCH(L55,RT_K,1)),INDEX(RT_AZZ,1))</f>
        <v>1</v>
      </c>
      <c r="P55" s="26" t="n">
        <f aca="false">IFERROR(INDEX(RT_GYP,MATCH(L55,RT_K,1)),INDEX(RT_GYP,1))</f>
        <v>2.5</v>
      </c>
      <c r="R55" s="0" t="n">
        <v>5</v>
      </c>
      <c r="S55" s="0" t="n">
        <v>5</v>
      </c>
    </row>
    <row r="56" customFormat="false" ht="25.5" hidden="false" customHeight="true" outlineLevel="0" collapsed="false">
      <c r="A56" s="49" t="s">
        <v>22</v>
      </c>
      <c r="B56" s="49" t="s">
        <v>23</v>
      </c>
      <c r="C56" s="49" t="s">
        <v>24</v>
      </c>
      <c r="D56" s="49" t="s">
        <v>25</v>
      </c>
      <c r="E56" s="49" t="s">
        <v>26</v>
      </c>
      <c r="F56" s="49" t="s">
        <v>33</v>
      </c>
      <c r="G56" s="49" t="s">
        <v>34</v>
      </c>
      <c r="H56" s="49" t="s">
        <v>30</v>
      </c>
      <c r="S56" s="0" t="n">
        <v>5</v>
      </c>
    </row>
    <row r="57" customFormat="false" ht="15" hidden="false" customHeight="false" outlineLevel="0" collapsed="false">
      <c r="A57" s="28" t="n">
        <f aca="false">IF(5&lt;=NW,SAT1+28,"")</f>
        <v>46046</v>
      </c>
      <c r="B57" s="29" t="str">
        <f aca="false">IF(A57="","",CHOOSE(WEEKDAY(A57,1),"الأحد","الاثنين","الثلاثاء","الأربعاء","الخميس","الجمعة","السبت"))</f>
        <v>السبت</v>
      </c>
      <c r="C57" s="30"/>
      <c r="D57" s="30"/>
      <c r="E57" s="31" t="str">
        <f aca="false">IF(OR(M57=0,K57="",L57=""),"",MOD(L57-K57,1))</f>
        <v/>
      </c>
      <c r="F57" s="32" t="str">
        <f aca="false">IF(OR(E57="",M57=0),"",IF(ROUND_MODE="للأعلى",CEILING(ROUND((E57*24*$N$55),3),0.25),ROUND((E57*24*$N$55)*4,0)/4))</f>
        <v/>
      </c>
      <c r="G57" s="30"/>
      <c r="H57" s="30"/>
      <c r="K57" s="33" t="str">
        <f aca="false">IF(OR(M57=0,C57=""),"",IF(ISNUMBER(C57),MOD(C57,1),IFERROR(INDEX(القوائم!$B$1:$B$288,MATCH(TRIM(C57),القوائم!$A$1:$A$288,0)),IFERROR(MOD(TIMEVALUE(C57),1),""))))</f>
        <v/>
      </c>
      <c r="L57" s="33" t="str">
        <f aca="false">IF(OR(M57=0,D57=""),"",IF(ISNUMBER(D57),MOD(D57,1),IFERROR(INDEX(القوائم!$B$1:$B$288,MATCH(TRIM(D57),القوائم!$A$1:$A$288,0)),IFERROR(MOD(TIMEVALUE(D57),1),""))))</f>
        <v/>
      </c>
      <c r="M57" s="25" t="n">
        <f aca="false">M55</f>
        <v>0</v>
      </c>
      <c r="Q57" s="25" t="n">
        <f aca="false">IF(N(F66)&gt;0,1,0)</f>
        <v>0</v>
      </c>
      <c r="S57" s="0" t="n">
        <v>5</v>
      </c>
    </row>
    <row r="58" customFormat="false" ht="15" hidden="false" customHeight="false" outlineLevel="0" collapsed="false">
      <c r="A58" s="28" t="n">
        <f aca="false">IF(5&lt;=NW,SAT1+29,"")</f>
        <v>46047</v>
      </c>
      <c r="B58" s="29" t="str">
        <f aca="false">IF(A58="","",CHOOSE(WEEKDAY(A58,1),"الأحد","الاثنين","الثلاثاء","الأربعاء","الخميس","الجمعة","السبت"))</f>
        <v>الأحد</v>
      </c>
      <c r="C58" s="30"/>
      <c r="D58" s="30"/>
      <c r="E58" s="31" t="str">
        <f aca="false">IF(OR(M58=0,K58="",L58=""),"",MOD(L58-K58,1))</f>
        <v/>
      </c>
      <c r="F58" s="32" t="str">
        <f aca="false">IF(OR(E58="",M58=0),"",IF(ROUND_MODE="للأعلى",CEILING(ROUND((E58*24*$N$55),3),0.25),ROUND((E58*24*$N$55)*4,0)/4))</f>
        <v/>
      </c>
      <c r="G58" s="30"/>
      <c r="H58" s="30"/>
      <c r="K58" s="33" t="str">
        <f aca="false">IF(OR(M58=0,C58=""),"",IF(ISNUMBER(C58),MOD(C58,1),IFERROR(INDEX(القوائم!$B$1:$B$288,MATCH(TRIM(C58),القوائم!$A$1:$A$288,0)),IFERROR(MOD(TIMEVALUE(C58),1),""))))</f>
        <v/>
      </c>
      <c r="L58" s="33" t="str">
        <f aca="false">IF(OR(M58=0,D58=""),"",IF(ISNUMBER(D58),MOD(D58,1),IFERROR(INDEX(القوائم!$B$1:$B$288,MATCH(TRIM(D58),القوائم!$A$1:$A$288,0)),IFERROR(MOD(TIMEVALUE(D58),1),""))))</f>
        <v/>
      </c>
      <c r="M58" s="25" t="n">
        <f aca="false">M55</f>
        <v>0</v>
      </c>
      <c r="Q58" s="25" t="n">
        <f aca="false">IF(N(F66)&gt;0,1,0)</f>
        <v>0</v>
      </c>
      <c r="S58" s="0" t="n">
        <v>5</v>
      </c>
    </row>
    <row r="59" customFormat="false" ht="15" hidden="false" customHeight="false" outlineLevel="0" collapsed="false">
      <c r="A59" s="28" t="n">
        <f aca="false">IF(5&lt;=NW,SAT1+30,"")</f>
        <v>46048</v>
      </c>
      <c r="B59" s="29" t="str">
        <f aca="false">IF(A59="","",CHOOSE(WEEKDAY(A59,1),"الأحد","الاثنين","الثلاثاء","الأربعاء","الخميس","الجمعة","السبت"))</f>
        <v>الاثنين</v>
      </c>
      <c r="C59" s="30"/>
      <c r="D59" s="30"/>
      <c r="E59" s="31" t="str">
        <f aca="false">IF(OR(M59=0,K59="",L59=""),"",MOD(L59-K59,1))</f>
        <v/>
      </c>
      <c r="F59" s="32" t="str">
        <f aca="false">IF(OR(E59="",M59=0),"",IF(ROUND_MODE="للأعلى",CEILING(ROUND((E59*24*$N$55),3),0.25),ROUND((E59*24*$N$55)*4,0)/4))</f>
        <v/>
      </c>
      <c r="G59" s="30"/>
      <c r="H59" s="30"/>
      <c r="K59" s="33" t="str">
        <f aca="false">IF(OR(M59=0,C59=""),"",IF(ISNUMBER(C59),MOD(C59,1),IFERROR(INDEX(القوائم!$B$1:$B$288,MATCH(TRIM(C59),القوائم!$A$1:$A$288,0)),IFERROR(MOD(TIMEVALUE(C59),1),""))))</f>
        <v/>
      </c>
      <c r="L59" s="33" t="str">
        <f aca="false">IF(OR(M59=0,D59=""),"",IF(ISNUMBER(D59),MOD(D59,1),IFERROR(INDEX(القوائم!$B$1:$B$288,MATCH(TRIM(D59),القوائم!$A$1:$A$288,0)),IFERROR(MOD(TIMEVALUE(D59),1),""))))</f>
        <v/>
      </c>
      <c r="M59" s="25" t="n">
        <f aca="false">M55</f>
        <v>0</v>
      </c>
      <c r="Q59" s="25" t="n">
        <f aca="false">IF(N(F66)&gt;0,1,0)</f>
        <v>0</v>
      </c>
      <c r="S59" s="0" t="n">
        <v>5</v>
      </c>
    </row>
    <row r="60" customFormat="false" ht="15" hidden="false" customHeight="false" outlineLevel="0" collapsed="false">
      <c r="A60" s="28" t="n">
        <f aca="false">IF(5&lt;=NW,SAT1+31,"")</f>
        <v>46049</v>
      </c>
      <c r="B60" s="29" t="str">
        <f aca="false">IF(A60="","",CHOOSE(WEEKDAY(A60,1),"الأحد","الاثنين","الثلاثاء","الأربعاء","الخميس","الجمعة","السبت"))</f>
        <v>الثلاثاء</v>
      </c>
      <c r="C60" s="30"/>
      <c r="D60" s="30"/>
      <c r="E60" s="31" t="str">
        <f aca="false">IF(OR(M60=0,K60="",L60=""),"",MOD(L60-K60,1))</f>
        <v/>
      </c>
      <c r="F60" s="32" t="str">
        <f aca="false">IF(OR(E60="",M60=0),"",IF(ROUND_MODE="للأعلى",CEILING(ROUND((E60*24*$N$55),3),0.25),ROUND((E60*24*$N$55)*4,0)/4))</f>
        <v/>
      </c>
      <c r="G60" s="30"/>
      <c r="H60" s="30"/>
      <c r="K60" s="33" t="str">
        <f aca="false">IF(OR(M60=0,C60=""),"",IF(ISNUMBER(C60),MOD(C60,1),IFERROR(INDEX(القوائم!$B$1:$B$288,MATCH(TRIM(C60),القوائم!$A$1:$A$288,0)),IFERROR(MOD(TIMEVALUE(C60),1),""))))</f>
        <v/>
      </c>
      <c r="L60" s="33" t="str">
        <f aca="false">IF(OR(M60=0,D60=""),"",IF(ISNUMBER(D60),MOD(D60,1),IFERROR(INDEX(القوائم!$B$1:$B$288,MATCH(TRIM(D60),القوائم!$A$1:$A$288,0)),IFERROR(MOD(TIMEVALUE(D60),1),""))))</f>
        <v/>
      </c>
      <c r="M60" s="25" t="n">
        <f aca="false">M55</f>
        <v>0</v>
      </c>
      <c r="Q60" s="25" t="n">
        <f aca="false">IF(N(F66)&gt;0,1,0)</f>
        <v>0</v>
      </c>
      <c r="S60" s="0" t="n">
        <v>5</v>
      </c>
    </row>
    <row r="61" customFormat="false" ht="15" hidden="false" customHeight="false" outlineLevel="0" collapsed="false">
      <c r="A61" s="28" t="n">
        <f aca="false">IF(5&lt;=NW,SAT1+32,"")</f>
        <v>46050</v>
      </c>
      <c r="B61" s="29" t="str">
        <f aca="false">IF(A61="","",CHOOSE(WEEKDAY(A61,1),"الأحد","الاثنين","الثلاثاء","الأربعاء","الخميس","الجمعة","السبت"))</f>
        <v>الأربعاء</v>
      </c>
      <c r="C61" s="30"/>
      <c r="D61" s="30"/>
      <c r="E61" s="31" t="str">
        <f aca="false">IF(OR(M61=0,K61="",L61=""),"",MOD(L61-K61,1))</f>
        <v/>
      </c>
      <c r="F61" s="32" t="str">
        <f aca="false">IF(OR(E61="",M61=0),"",IF(ROUND_MODE="للأعلى",CEILING(ROUND((E61*24*$N$55),3),0.25),ROUND((E61*24*$N$55)*4,0)/4))</f>
        <v/>
      </c>
      <c r="G61" s="30"/>
      <c r="H61" s="30"/>
      <c r="K61" s="33" t="str">
        <f aca="false">IF(OR(M61=0,C61=""),"",IF(ISNUMBER(C61),MOD(C61,1),IFERROR(INDEX(القوائم!$B$1:$B$288,MATCH(TRIM(C61),القوائم!$A$1:$A$288,0)),IFERROR(MOD(TIMEVALUE(C61),1),""))))</f>
        <v/>
      </c>
      <c r="L61" s="33" t="str">
        <f aca="false">IF(OR(M61=0,D61=""),"",IF(ISNUMBER(D61),MOD(D61,1),IFERROR(INDEX(القوائم!$B$1:$B$288,MATCH(TRIM(D61),القوائم!$A$1:$A$288,0)),IFERROR(MOD(TIMEVALUE(D61),1),""))))</f>
        <v/>
      </c>
      <c r="M61" s="25" t="n">
        <f aca="false">M55</f>
        <v>0</v>
      </c>
      <c r="Q61" s="25" t="n">
        <f aca="false">IF(N(F66)&gt;0,1,0)</f>
        <v>0</v>
      </c>
      <c r="S61" s="0" t="n">
        <v>5</v>
      </c>
    </row>
    <row r="62" customFormat="false" ht="15" hidden="false" customHeight="false" outlineLevel="0" collapsed="false">
      <c r="A62" s="28" t="n">
        <f aca="false">IF(5&lt;=NW,SAT1+33,"")</f>
        <v>46051</v>
      </c>
      <c r="B62" s="29" t="str">
        <f aca="false">IF(A62="","",CHOOSE(WEEKDAY(A62,1),"الأحد","الاثنين","الثلاثاء","الأربعاء","الخميس","الجمعة","السبت"))</f>
        <v>الخميس</v>
      </c>
      <c r="C62" s="30"/>
      <c r="D62" s="30"/>
      <c r="E62" s="31" t="str">
        <f aca="false">IF(OR(M62=0,K62="",L62=""),"",MOD(L62-K62,1))</f>
        <v/>
      </c>
      <c r="F62" s="32" t="str">
        <f aca="false">IF(OR(E62="",M62=0),"",IF(ROUND_MODE="للأعلى",CEILING(ROUND((E62*24*$N$55),3),0.25),ROUND((E62*24*$N$55)*4,0)/4))</f>
        <v/>
      </c>
      <c r="G62" s="30"/>
      <c r="H62" s="30"/>
      <c r="K62" s="33" t="str">
        <f aca="false">IF(OR(M62=0,C62=""),"",IF(ISNUMBER(C62),MOD(C62,1),IFERROR(INDEX(القوائم!$B$1:$B$288,MATCH(TRIM(C62),القوائم!$A$1:$A$288,0)),IFERROR(MOD(TIMEVALUE(C62),1),""))))</f>
        <v/>
      </c>
      <c r="L62" s="33" t="str">
        <f aca="false">IF(OR(M62=0,D62=""),"",IF(ISNUMBER(D62),MOD(D62,1),IFERROR(INDEX(القوائم!$B$1:$B$288,MATCH(TRIM(D62),القوائم!$A$1:$A$288,0)),IFERROR(MOD(TIMEVALUE(D62),1),""))))</f>
        <v/>
      </c>
      <c r="M62" s="25" t="n">
        <f aca="false">M55</f>
        <v>0</v>
      </c>
      <c r="Q62" s="25" t="n">
        <f aca="false">IF(N(F66)&gt;0,1,0)</f>
        <v>0</v>
      </c>
      <c r="S62" s="0" t="n">
        <v>5</v>
      </c>
    </row>
    <row r="63" customFormat="false" ht="15" hidden="false" customHeight="false" outlineLevel="0" collapsed="false">
      <c r="A63" s="34" t="n">
        <f aca="false">IF(5&lt;=NW,SAT1+34,"")</f>
        <v>46052</v>
      </c>
      <c r="B63" s="35" t="str">
        <f aca="false">IF(A63="","",CHOOSE(WEEKDAY(A63,1),"الأحد","الاثنين","الثلاثاء","الأربعاء","الخميس","الجمعة","السبت"))</f>
        <v>الجمعة</v>
      </c>
      <c r="C63" s="30"/>
      <c r="D63" s="30"/>
      <c r="E63" s="31" t="str">
        <f aca="false">IF(OR(M63=0,K63="",L63=""),"",MOD(L63-K63,1))</f>
        <v/>
      </c>
      <c r="F63" s="32" t="str">
        <f aca="false">IF(OR(E63="",M63=0),"",IF(ROUND_MODE="للأعلى",CEILING(ROUND((E63*24*$N$55),3),0.25),ROUND((E63*24*$N$55)*4,0)/4))</f>
        <v/>
      </c>
      <c r="G63" s="30"/>
      <c r="H63" s="30"/>
      <c r="K63" s="33" t="str">
        <f aca="false">IF(OR(M63=0,C63=""),"",IF(ISNUMBER(C63),MOD(C63,1),IFERROR(INDEX(القوائم!$B$1:$B$288,MATCH(TRIM(C63),القوائم!$A$1:$A$288,0)),IFERROR(MOD(TIMEVALUE(C63),1),""))))</f>
        <v/>
      </c>
      <c r="L63" s="33" t="str">
        <f aca="false">IF(OR(M63=0,D63=""),"",IF(ISNUMBER(D63),MOD(D63,1),IFERROR(INDEX(القوائم!$B$1:$B$288,MATCH(TRIM(D63),القوائم!$A$1:$A$288,0)),IFERROR(MOD(TIMEVALUE(D63),1),""))))</f>
        <v/>
      </c>
      <c r="M63" s="25" t="n">
        <f aca="false">M55</f>
        <v>0</v>
      </c>
      <c r="Q63" s="25" t="n">
        <f aca="false">IF(N(F66)&gt;0,1,0)</f>
        <v>0</v>
      </c>
      <c r="S63" s="0" t="n">
        <v>5</v>
      </c>
    </row>
    <row r="64" customFormat="false" ht="15" hidden="false" customHeight="false" outlineLevel="0" collapsed="false">
      <c r="A64" s="36" t="str">
        <f aca="false">IF(M55=1,"مجموع أيام الأسبوع 5","")</f>
        <v/>
      </c>
      <c r="B64" s="36"/>
      <c r="C64" s="36"/>
      <c r="D64" s="36"/>
      <c r="E64" s="37" t="str">
        <f aca="false">IF(M55=1,SUM(E57:E63),"")</f>
        <v/>
      </c>
      <c r="F64" s="38" t="str">
        <f aca="false">IF(M55=1,SUM(F57:F63),"")</f>
        <v/>
      </c>
      <c r="G64" s="50" t="str">
        <f aca="false">IF(M55=1,SUMIFS(F57:F63,G57:G63,"نعم"),"")</f>
        <v/>
      </c>
      <c r="H64" s="36"/>
      <c r="S64" s="0" t="n">
        <v>5</v>
      </c>
    </row>
    <row r="65" customFormat="false" ht="31.5" hidden="false" customHeight="true" outlineLevel="0" collapsed="false">
      <c r="A65" s="39" t="str">
        <f aca="false">IF(M55=1,"ساعات تحميل الجبسمبورد بهالأسبوع (رقم: 2 أو 1.5) ←","")</f>
        <v/>
      </c>
      <c r="B65" s="39"/>
      <c r="C65" s="39"/>
      <c r="D65" s="39"/>
      <c r="E65" s="40"/>
      <c r="F65" s="42" t="str">
        <f aca="false">IF(M55=1,N(F64)+IF(ROUND_MODE="للأعلى",CEILING(ROUND((N(E65)*($P$55-$N$55)),3),0.25),ROUND((N(E65)*($P$55-$N$55))*4,0)/4)+N(C66),"")</f>
        <v/>
      </c>
      <c r="G65" s="41" t="str">
        <f aca="false">IF(M55=1,"← المستحق النهائي للأسبوع مع الجبسمبورد والإكرامية","")</f>
        <v/>
      </c>
      <c r="H65" s="41"/>
      <c r="S65" s="0" t="n">
        <v>5</v>
      </c>
    </row>
    <row r="66" customFormat="false" ht="25.5" hidden="false" customHeight="true" outlineLevel="0" collapsed="false">
      <c r="A66" s="39" t="str">
        <f aca="false">IF(M55=1,"إكرامية الأسبوع ←","")</f>
        <v/>
      </c>
      <c r="B66" s="39"/>
      <c r="C66" s="44"/>
      <c r="D66" s="39" t="str">
        <f aca="false">IF(M55=1,"المدفوع (التسوية) ←","")</f>
        <v/>
      </c>
      <c r="E66" s="39"/>
      <c r="F66" s="44"/>
      <c r="G66" s="45" t="str">
        <f aca="false">IF(M55=1,IF(N(F66)&gt;0,"✔ انقبض — الأسبوع مقفول","⏳ لسا ما انقبض"),"")</f>
        <v/>
      </c>
      <c r="H66" s="45"/>
      <c r="S66" s="0" t="n">
        <v>5</v>
      </c>
    </row>
    <row r="67" customFormat="false" ht="27.75" hidden="false" customHeight="true" outlineLevel="0" collapsed="false">
      <c r="A67" s="48" t="str">
        <f aca="false">IF(6&lt;=NW,"من السبت "&amp;TEXT(DAY(SAT1+35),"00")&amp;"/"&amp;TEXT(MONTH(SAT1+35),"00")&amp;"/"&amp;YEAR(SAT1+35)&amp;" إلى الجمعة "&amp;TEXT(DAY(SAT1+41),"00")&amp;"/"&amp;TEXT(MONTH(SAT1+41),"00")&amp;"/"&amp;YEAR(SAT1+41)&amp;" · الأسبوع 6"&amp;"  (يوم القبض: الجمعة)"&amp;IF(6&lt;START_Z,"   — قبل أسبوع البداية (ما بينحسب)",""),"ما في أسبوع 6 هالسنة")</f>
        <v>من السبت 31/01/2026 إلى الجمعة 06/02/2026 · الأسبوع 6  (يوم القبض: الجمعة)   — قبل أسبوع البداية (ما بينحسب)</v>
      </c>
      <c r="B67" s="48"/>
      <c r="C67" s="48"/>
      <c r="D67" s="48"/>
      <c r="E67" s="48"/>
      <c r="F67" s="48"/>
      <c r="G67" s="48"/>
      <c r="H67" s="48"/>
      <c r="L67" s="24" t="n">
        <f aca="false">IF(6&lt;=NW,SAT1+41,"")</f>
        <v>46059</v>
      </c>
      <c r="M67" s="25" t="n">
        <f aca="false">IF(AND(6&lt;=NW,6&gt;=START_Z),1,0)</f>
        <v>0</v>
      </c>
      <c r="N67" s="26" t="n">
        <f aca="false">IFERROR(INDEX(RT_AZZ,MATCH(L67,RT_K,1)),INDEX(RT_AZZ,1))</f>
        <v>1</v>
      </c>
      <c r="P67" s="26" t="n">
        <f aca="false">IFERROR(INDEX(RT_GYP,MATCH(L67,RT_K,1)),INDEX(RT_GYP,1))</f>
        <v>2.5</v>
      </c>
      <c r="R67" s="0" t="n">
        <v>6</v>
      </c>
      <c r="S67" s="0" t="n">
        <v>6</v>
      </c>
    </row>
    <row r="68" customFormat="false" ht="25.5" hidden="false" customHeight="true" outlineLevel="0" collapsed="false">
      <c r="A68" s="49" t="s">
        <v>22</v>
      </c>
      <c r="B68" s="49" t="s">
        <v>23</v>
      </c>
      <c r="C68" s="49" t="s">
        <v>24</v>
      </c>
      <c r="D68" s="49" t="s">
        <v>25</v>
      </c>
      <c r="E68" s="49" t="s">
        <v>26</v>
      </c>
      <c r="F68" s="49" t="s">
        <v>33</v>
      </c>
      <c r="G68" s="49" t="s">
        <v>34</v>
      </c>
      <c r="H68" s="49" t="s">
        <v>30</v>
      </c>
      <c r="S68" s="0" t="n">
        <v>6</v>
      </c>
    </row>
    <row r="69" customFormat="false" ht="15" hidden="false" customHeight="false" outlineLevel="0" collapsed="false">
      <c r="A69" s="28" t="n">
        <f aca="false">IF(6&lt;=NW,SAT1+35,"")</f>
        <v>46053</v>
      </c>
      <c r="B69" s="29" t="str">
        <f aca="false">IF(A69="","",CHOOSE(WEEKDAY(A69,1),"الأحد","الاثنين","الثلاثاء","الأربعاء","الخميس","الجمعة","السبت"))</f>
        <v>السبت</v>
      </c>
      <c r="C69" s="30"/>
      <c r="D69" s="30"/>
      <c r="E69" s="31" t="str">
        <f aca="false">IF(OR(M69=0,K69="",L69=""),"",MOD(L69-K69,1))</f>
        <v/>
      </c>
      <c r="F69" s="32" t="str">
        <f aca="false">IF(OR(E69="",M69=0),"",IF(ROUND_MODE="للأعلى",CEILING(ROUND((E69*24*$N$67),3),0.25),ROUND((E69*24*$N$67)*4,0)/4))</f>
        <v/>
      </c>
      <c r="G69" s="30"/>
      <c r="H69" s="30"/>
      <c r="K69" s="33" t="str">
        <f aca="false">IF(OR(M69=0,C69=""),"",IF(ISNUMBER(C69),MOD(C69,1),IFERROR(INDEX(القوائم!$B$1:$B$288,MATCH(TRIM(C69),القوائم!$A$1:$A$288,0)),IFERROR(MOD(TIMEVALUE(C69),1),""))))</f>
        <v/>
      </c>
      <c r="L69" s="33" t="str">
        <f aca="false">IF(OR(M69=0,D69=""),"",IF(ISNUMBER(D69),MOD(D69,1),IFERROR(INDEX(القوائم!$B$1:$B$288,MATCH(TRIM(D69),القوائم!$A$1:$A$288,0)),IFERROR(MOD(TIMEVALUE(D69),1),""))))</f>
        <v/>
      </c>
      <c r="M69" s="25" t="n">
        <f aca="false">M67</f>
        <v>0</v>
      </c>
      <c r="Q69" s="25" t="n">
        <f aca="false">IF(N(F78)&gt;0,1,0)</f>
        <v>0</v>
      </c>
      <c r="S69" s="0" t="n">
        <v>6</v>
      </c>
    </row>
    <row r="70" customFormat="false" ht="15" hidden="false" customHeight="false" outlineLevel="0" collapsed="false">
      <c r="A70" s="28" t="n">
        <f aca="false">IF(6&lt;=NW,SAT1+36,"")</f>
        <v>46054</v>
      </c>
      <c r="B70" s="29" t="str">
        <f aca="false">IF(A70="","",CHOOSE(WEEKDAY(A70,1),"الأحد","الاثنين","الثلاثاء","الأربعاء","الخميس","الجمعة","السبت"))</f>
        <v>الأحد</v>
      </c>
      <c r="C70" s="30"/>
      <c r="D70" s="30"/>
      <c r="E70" s="31" t="str">
        <f aca="false">IF(OR(M70=0,K70="",L70=""),"",MOD(L70-K70,1))</f>
        <v/>
      </c>
      <c r="F70" s="32" t="str">
        <f aca="false">IF(OR(E70="",M70=0),"",IF(ROUND_MODE="للأعلى",CEILING(ROUND((E70*24*$N$67),3),0.25),ROUND((E70*24*$N$67)*4,0)/4))</f>
        <v/>
      </c>
      <c r="G70" s="30"/>
      <c r="H70" s="30"/>
      <c r="K70" s="33" t="str">
        <f aca="false">IF(OR(M70=0,C70=""),"",IF(ISNUMBER(C70),MOD(C70,1),IFERROR(INDEX(القوائم!$B$1:$B$288,MATCH(TRIM(C70),القوائم!$A$1:$A$288,0)),IFERROR(MOD(TIMEVALUE(C70),1),""))))</f>
        <v/>
      </c>
      <c r="L70" s="33" t="str">
        <f aca="false">IF(OR(M70=0,D70=""),"",IF(ISNUMBER(D70),MOD(D70,1),IFERROR(INDEX(القوائم!$B$1:$B$288,MATCH(TRIM(D70),القوائم!$A$1:$A$288,0)),IFERROR(MOD(TIMEVALUE(D70),1),""))))</f>
        <v/>
      </c>
      <c r="M70" s="25" t="n">
        <f aca="false">M67</f>
        <v>0</v>
      </c>
      <c r="Q70" s="25" t="n">
        <f aca="false">IF(N(F78)&gt;0,1,0)</f>
        <v>0</v>
      </c>
      <c r="S70" s="0" t="n">
        <v>6</v>
      </c>
    </row>
    <row r="71" customFormat="false" ht="15" hidden="false" customHeight="false" outlineLevel="0" collapsed="false">
      <c r="A71" s="28" t="n">
        <f aca="false">IF(6&lt;=NW,SAT1+37,"")</f>
        <v>46055</v>
      </c>
      <c r="B71" s="29" t="str">
        <f aca="false">IF(A71="","",CHOOSE(WEEKDAY(A71,1),"الأحد","الاثنين","الثلاثاء","الأربعاء","الخميس","الجمعة","السبت"))</f>
        <v>الاثنين</v>
      </c>
      <c r="C71" s="30"/>
      <c r="D71" s="30"/>
      <c r="E71" s="31" t="str">
        <f aca="false">IF(OR(M71=0,K71="",L71=""),"",MOD(L71-K71,1))</f>
        <v/>
      </c>
      <c r="F71" s="32" t="str">
        <f aca="false">IF(OR(E71="",M71=0),"",IF(ROUND_MODE="للأعلى",CEILING(ROUND((E71*24*$N$67),3),0.25),ROUND((E71*24*$N$67)*4,0)/4))</f>
        <v/>
      </c>
      <c r="G71" s="30"/>
      <c r="H71" s="30"/>
      <c r="K71" s="33" t="str">
        <f aca="false">IF(OR(M71=0,C71=""),"",IF(ISNUMBER(C71),MOD(C71,1),IFERROR(INDEX(القوائم!$B$1:$B$288,MATCH(TRIM(C71),القوائم!$A$1:$A$288,0)),IFERROR(MOD(TIMEVALUE(C71),1),""))))</f>
        <v/>
      </c>
      <c r="L71" s="33" t="str">
        <f aca="false">IF(OR(M71=0,D71=""),"",IF(ISNUMBER(D71),MOD(D71,1),IFERROR(INDEX(القوائم!$B$1:$B$288,MATCH(TRIM(D71),القوائم!$A$1:$A$288,0)),IFERROR(MOD(TIMEVALUE(D71),1),""))))</f>
        <v/>
      </c>
      <c r="M71" s="25" t="n">
        <f aca="false">M67</f>
        <v>0</v>
      </c>
      <c r="Q71" s="25" t="n">
        <f aca="false">IF(N(F78)&gt;0,1,0)</f>
        <v>0</v>
      </c>
      <c r="S71" s="0" t="n">
        <v>6</v>
      </c>
    </row>
    <row r="72" customFormat="false" ht="15" hidden="false" customHeight="false" outlineLevel="0" collapsed="false">
      <c r="A72" s="28" t="n">
        <f aca="false">IF(6&lt;=NW,SAT1+38,"")</f>
        <v>46056</v>
      </c>
      <c r="B72" s="29" t="str">
        <f aca="false">IF(A72="","",CHOOSE(WEEKDAY(A72,1),"الأحد","الاثنين","الثلاثاء","الأربعاء","الخميس","الجمعة","السبت"))</f>
        <v>الثلاثاء</v>
      </c>
      <c r="C72" s="30"/>
      <c r="D72" s="30"/>
      <c r="E72" s="31" t="str">
        <f aca="false">IF(OR(M72=0,K72="",L72=""),"",MOD(L72-K72,1))</f>
        <v/>
      </c>
      <c r="F72" s="32" t="str">
        <f aca="false">IF(OR(E72="",M72=0),"",IF(ROUND_MODE="للأعلى",CEILING(ROUND((E72*24*$N$67),3),0.25),ROUND((E72*24*$N$67)*4,0)/4))</f>
        <v/>
      </c>
      <c r="G72" s="30"/>
      <c r="H72" s="30"/>
      <c r="K72" s="33" t="str">
        <f aca="false">IF(OR(M72=0,C72=""),"",IF(ISNUMBER(C72),MOD(C72,1),IFERROR(INDEX(القوائم!$B$1:$B$288,MATCH(TRIM(C72),القوائم!$A$1:$A$288,0)),IFERROR(MOD(TIMEVALUE(C72),1),""))))</f>
        <v/>
      </c>
      <c r="L72" s="33" t="str">
        <f aca="false">IF(OR(M72=0,D72=""),"",IF(ISNUMBER(D72),MOD(D72,1),IFERROR(INDEX(القوائم!$B$1:$B$288,MATCH(TRIM(D72),القوائم!$A$1:$A$288,0)),IFERROR(MOD(TIMEVALUE(D72),1),""))))</f>
        <v/>
      </c>
      <c r="M72" s="25" t="n">
        <f aca="false">M67</f>
        <v>0</v>
      </c>
      <c r="Q72" s="25" t="n">
        <f aca="false">IF(N(F78)&gt;0,1,0)</f>
        <v>0</v>
      </c>
      <c r="S72" s="0" t="n">
        <v>6</v>
      </c>
    </row>
    <row r="73" customFormat="false" ht="15" hidden="false" customHeight="false" outlineLevel="0" collapsed="false">
      <c r="A73" s="28" t="n">
        <f aca="false">IF(6&lt;=NW,SAT1+39,"")</f>
        <v>46057</v>
      </c>
      <c r="B73" s="29" t="str">
        <f aca="false">IF(A73="","",CHOOSE(WEEKDAY(A73,1),"الأحد","الاثنين","الثلاثاء","الأربعاء","الخميس","الجمعة","السبت"))</f>
        <v>الأربعاء</v>
      </c>
      <c r="C73" s="30"/>
      <c r="D73" s="30"/>
      <c r="E73" s="31" t="str">
        <f aca="false">IF(OR(M73=0,K73="",L73=""),"",MOD(L73-K73,1))</f>
        <v/>
      </c>
      <c r="F73" s="32" t="str">
        <f aca="false">IF(OR(E73="",M73=0),"",IF(ROUND_MODE="للأعلى",CEILING(ROUND((E73*24*$N$67),3),0.25),ROUND((E73*24*$N$67)*4,0)/4))</f>
        <v/>
      </c>
      <c r="G73" s="30"/>
      <c r="H73" s="30"/>
      <c r="K73" s="33" t="str">
        <f aca="false">IF(OR(M73=0,C73=""),"",IF(ISNUMBER(C73),MOD(C73,1),IFERROR(INDEX(القوائم!$B$1:$B$288,MATCH(TRIM(C73),القوائم!$A$1:$A$288,0)),IFERROR(MOD(TIMEVALUE(C73),1),""))))</f>
        <v/>
      </c>
      <c r="L73" s="33" t="str">
        <f aca="false">IF(OR(M73=0,D73=""),"",IF(ISNUMBER(D73),MOD(D73,1),IFERROR(INDEX(القوائم!$B$1:$B$288,MATCH(TRIM(D73),القوائم!$A$1:$A$288,0)),IFERROR(MOD(TIMEVALUE(D73),1),""))))</f>
        <v/>
      </c>
      <c r="M73" s="25" t="n">
        <f aca="false">M67</f>
        <v>0</v>
      </c>
      <c r="Q73" s="25" t="n">
        <f aca="false">IF(N(F78)&gt;0,1,0)</f>
        <v>0</v>
      </c>
      <c r="S73" s="0" t="n">
        <v>6</v>
      </c>
    </row>
    <row r="74" customFormat="false" ht="15" hidden="false" customHeight="false" outlineLevel="0" collapsed="false">
      <c r="A74" s="28" t="n">
        <f aca="false">IF(6&lt;=NW,SAT1+40,"")</f>
        <v>46058</v>
      </c>
      <c r="B74" s="29" t="str">
        <f aca="false">IF(A74="","",CHOOSE(WEEKDAY(A74,1),"الأحد","الاثنين","الثلاثاء","الأربعاء","الخميس","الجمعة","السبت"))</f>
        <v>الخميس</v>
      </c>
      <c r="C74" s="30"/>
      <c r="D74" s="30"/>
      <c r="E74" s="31" t="str">
        <f aca="false">IF(OR(M74=0,K74="",L74=""),"",MOD(L74-K74,1))</f>
        <v/>
      </c>
      <c r="F74" s="32" t="str">
        <f aca="false">IF(OR(E74="",M74=0),"",IF(ROUND_MODE="للأعلى",CEILING(ROUND((E74*24*$N$67),3),0.25),ROUND((E74*24*$N$67)*4,0)/4))</f>
        <v/>
      </c>
      <c r="G74" s="30"/>
      <c r="H74" s="30"/>
      <c r="K74" s="33" t="str">
        <f aca="false">IF(OR(M74=0,C74=""),"",IF(ISNUMBER(C74),MOD(C74,1),IFERROR(INDEX(القوائم!$B$1:$B$288,MATCH(TRIM(C74),القوائم!$A$1:$A$288,0)),IFERROR(MOD(TIMEVALUE(C74),1),""))))</f>
        <v/>
      </c>
      <c r="L74" s="33" t="str">
        <f aca="false">IF(OR(M74=0,D74=""),"",IF(ISNUMBER(D74),MOD(D74,1),IFERROR(INDEX(القوائم!$B$1:$B$288,MATCH(TRIM(D74),القوائم!$A$1:$A$288,0)),IFERROR(MOD(TIMEVALUE(D74),1),""))))</f>
        <v/>
      </c>
      <c r="M74" s="25" t="n">
        <f aca="false">M67</f>
        <v>0</v>
      </c>
      <c r="Q74" s="25" t="n">
        <f aca="false">IF(N(F78)&gt;0,1,0)</f>
        <v>0</v>
      </c>
      <c r="S74" s="0" t="n">
        <v>6</v>
      </c>
    </row>
    <row r="75" customFormat="false" ht="15" hidden="false" customHeight="false" outlineLevel="0" collapsed="false">
      <c r="A75" s="34" t="n">
        <f aca="false">IF(6&lt;=NW,SAT1+41,"")</f>
        <v>46059</v>
      </c>
      <c r="B75" s="35" t="str">
        <f aca="false">IF(A75="","",CHOOSE(WEEKDAY(A75,1),"الأحد","الاثنين","الثلاثاء","الأربعاء","الخميس","الجمعة","السبت"))</f>
        <v>الجمعة</v>
      </c>
      <c r="C75" s="30"/>
      <c r="D75" s="30"/>
      <c r="E75" s="31" t="str">
        <f aca="false">IF(OR(M75=0,K75="",L75=""),"",MOD(L75-K75,1))</f>
        <v/>
      </c>
      <c r="F75" s="32" t="str">
        <f aca="false">IF(OR(E75="",M75=0),"",IF(ROUND_MODE="للأعلى",CEILING(ROUND((E75*24*$N$67),3),0.25),ROUND((E75*24*$N$67)*4,0)/4))</f>
        <v/>
      </c>
      <c r="G75" s="30"/>
      <c r="H75" s="30"/>
      <c r="K75" s="33" t="str">
        <f aca="false">IF(OR(M75=0,C75=""),"",IF(ISNUMBER(C75),MOD(C75,1),IFERROR(INDEX(القوائم!$B$1:$B$288,MATCH(TRIM(C75),القوائم!$A$1:$A$288,0)),IFERROR(MOD(TIMEVALUE(C75),1),""))))</f>
        <v/>
      </c>
      <c r="L75" s="33" t="str">
        <f aca="false">IF(OR(M75=0,D75=""),"",IF(ISNUMBER(D75),MOD(D75,1),IFERROR(INDEX(القوائم!$B$1:$B$288,MATCH(TRIM(D75),القوائم!$A$1:$A$288,0)),IFERROR(MOD(TIMEVALUE(D75),1),""))))</f>
        <v/>
      </c>
      <c r="M75" s="25" t="n">
        <f aca="false">M67</f>
        <v>0</v>
      </c>
      <c r="Q75" s="25" t="n">
        <f aca="false">IF(N(F78)&gt;0,1,0)</f>
        <v>0</v>
      </c>
      <c r="S75" s="0" t="n">
        <v>6</v>
      </c>
    </row>
    <row r="76" customFormat="false" ht="15" hidden="false" customHeight="false" outlineLevel="0" collapsed="false">
      <c r="A76" s="36" t="str">
        <f aca="false">IF(M67=1,"مجموع أيام الأسبوع 6","")</f>
        <v/>
      </c>
      <c r="B76" s="36"/>
      <c r="C76" s="36"/>
      <c r="D76" s="36"/>
      <c r="E76" s="37" t="str">
        <f aca="false">IF(M67=1,SUM(E69:E75),"")</f>
        <v/>
      </c>
      <c r="F76" s="38" t="str">
        <f aca="false">IF(M67=1,SUM(F69:F75),"")</f>
        <v/>
      </c>
      <c r="G76" s="50" t="str">
        <f aca="false">IF(M67=1,SUMIFS(F69:F75,G69:G75,"نعم"),"")</f>
        <v/>
      </c>
      <c r="H76" s="36"/>
      <c r="S76" s="0" t="n">
        <v>6</v>
      </c>
    </row>
    <row r="77" customFormat="false" ht="31.5" hidden="false" customHeight="true" outlineLevel="0" collapsed="false">
      <c r="A77" s="39" t="str">
        <f aca="false">IF(M67=1,"ساعات تحميل الجبسمبورد بهالأسبوع (رقم: 2 أو 1.5) ←","")</f>
        <v/>
      </c>
      <c r="B77" s="39"/>
      <c r="C77" s="39"/>
      <c r="D77" s="39"/>
      <c r="E77" s="40"/>
      <c r="F77" s="42" t="str">
        <f aca="false">IF(M67=1,N(F76)+IF(ROUND_MODE="للأعلى",CEILING(ROUND((N(E77)*($P$67-$N$67)),3),0.25),ROUND((N(E77)*($P$67-$N$67))*4,0)/4)+N(C78),"")</f>
        <v/>
      </c>
      <c r="G77" s="41" t="str">
        <f aca="false">IF(M67=1,"← المستحق النهائي للأسبوع مع الجبسمبورد والإكرامية","")</f>
        <v/>
      </c>
      <c r="H77" s="41"/>
      <c r="S77" s="0" t="n">
        <v>6</v>
      </c>
    </row>
    <row r="78" customFormat="false" ht="25.5" hidden="false" customHeight="true" outlineLevel="0" collapsed="false">
      <c r="A78" s="39" t="str">
        <f aca="false">IF(M67=1,"إكرامية الأسبوع ←","")</f>
        <v/>
      </c>
      <c r="B78" s="39"/>
      <c r="C78" s="44"/>
      <c r="D78" s="39" t="str">
        <f aca="false">IF(M67=1,"المدفوع (التسوية) ←","")</f>
        <v/>
      </c>
      <c r="E78" s="39"/>
      <c r="F78" s="44"/>
      <c r="G78" s="45" t="str">
        <f aca="false">IF(M67=1,IF(N(F78)&gt;0,"✔ انقبض — الأسبوع مقفول","⏳ لسا ما انقبض"),"")</f>
        <v/>
      </c>
      <c r="H78" s="45"/>
      <c r="S78" s="0" t="n">
        <v>6</v>
      </c>
    </row>
    <row r="79" customFormat="false" ht="27.75" hidden="false" customHeight="true" outlineLevel="0" collapsed="false">
      <c r="A79" s="48" t="str">
        <f aca="false">IF(7&lt;=NW,"من السبت "&amp;TEXT(DAY(SAT1+42),"00")&amp;"/"&amp;TEXT(MONTH(SAT1+42),"00")&amp;"/"&amp;YEAR(SAT1+42)&amp;" إلى الجمعة "&amp;TEXT(DAY(SAT1+48),"00")&amp;"/"&amp;TEXT(MONTH(SAT1+48),"00")&amp;"/"&amp;YEAR(SAT1+48)&amp;" · الأسبوع 7"&amp;"  (يوم القبض: الجمعة)"&amp;IF(7&lt;START_Z,"   — قبل أسبوع البداية (ما بينحسب)",""),"ما في أسبوع 7 هالسنة")</f>
        <v>من السبت 07/02/2026 إلى الجمعة 13/02/2026 · الأسبوع 7  (يوم القبض: الجمعة)   — قبل أسبوع البداية (ما بينحسب)</v>
      </c>
      <c r="B79" s="48"/>
      <c r="C79" s="48"/>
      <c r="D79" s="48"/>
      <c r="E79" s="48"/>
      <c r="F79" s="48"/>
      <c r="G79" s="48"/>
      <c r="H79" s="48"/>
      <c r="L79" s="24" t="n">
        <f aca="false">IF(7&lt;=NW,SAT1+48,"")</f>
        <v>46066</v>
      </c>
      <c r="M79" s="25" t="n">
        <f aca="false">IF(AND(7&lt;=NW,7&gt;=START_Z),1,0)</f>
        <v>0</v>
      </c>
      <c r="N79" s="26" t="n">
        <f aca="false">IFERROR(INDEX(RT_AZZ,MATCH(L79,RT_K,1)),INDEX(RT_AZZ,1))</f>
        <v>1</v>
      </c>
      <c r="P79" s="26" t="n">
        <f aca="false">IFERROR(INDEX(RT_GYP,MATCH(L79,RT_K,1)),INDEX(RT_GYP,1))</f>
        <v>2.5</v>
      </c>
      <c r="R79" s="0" t="n">
        <v>7</v>
      </c>
      <c r="S79" s="0" t="n">
        <v>7</v>
      </c>
    </row>
    <row r="80" customFormat="false" ht="25.5" hidden="false" customHeight="true" outlineLevel="0" collapsed="false">
      <c r="A80" s="49" t="s">
        <v>22</v>
      </c>
      <c r="B80" s="49" t="s">
        <v>23</v>
      </c>
      <c r="C80" s="49" t="s">
        <v>24</v>
      </c>
      <c r="D80" s="49" t="s">
        <v>25</v>
      </c>
      <c r="E80" s="49" t="s">
        <v>26</v>
      </c>
      <c r="F80" s="49" t="s">
        <v>33</v>
      </c>
      <c r="G80" s="49" t="s">
        <v>34</v>
      </c>
      <c r="H80" s="49" t="s">
        <v>30</v>
      </c>
      <c r="S80" s="0" t="n">
        <v>7</v>
      </c>
    </row>
    <row r="81" customFormat="false" ht="15" hidden="false" customHeight="false" outlineLevel="0" collapsed="false">
      <c r="A81" s="28" t="n">
        <f aca="false">IF(7&lt;=NW,SAT1+42,"")</f>
        <v>46060</v>
      </c>
      <c r="B81" s="29" t="str">
        <f aca="false">IF(A81="","",CHOOSE(WEEKDAY(A81,1),"الأحد","الاثنين","الثلاثاء","الأربعاء","الخميس","الجمعة","السبت"))</f>
        <v>السبت</v>
      </c>
      <c r="C81" s="30"/>
      <c r="D81" s="30"/>
      <c r="E81" s="31" t="str">
        <f aca="false">IF(OR(M81=0,K81="",L81=""),"",MOD(L81-K81,1))</f>
        <v/>
      </c>
      <c r="F81" s="32" t="str">
        <f aca="false">IF(OR(E81="",M81=0),"",IF(ROUND_MODE="للأعلى",CEILING(ROUND((E81*24*$N$79),3),0.25),ROUND((E81*24*$N$79)*4,0)/4))</f>
        <v/>
      </c>
      <c r="G81" s="30"/>
      <c r="H81" s="30"/>
      <c r="K81" s="33" t="str">
        <f aca="false">IF(OR(M81=0,C81=""),"",IF(ISNUMBER(C81),MOD(C81,1),IFERROR(INDEX(القوائم!$B$1:$B$288,MATCH(TRIM(C81),القوائم!$A$1:$A$288,0)),IFERROR(MOD(TIMEVALUE(C81),1),""))))</f>
        <v/>
      </c>
      <c r="L81" s="33" t="str">
        <f aca="false">IF(OR(M81=0,D81=""),"",IF(ISNUMBER(D81),MOD(D81,1),IFERROR(INDEX(القوائم!$B$1:$B$288,MATCH(TRIM(D81),القوائم!$A$1:$A$288,0)),IFERROR(MOD(TIMEVALUE(D81),1),""))))</f>
        <v/>
      </c>
      <c r="M81" s="25" t="n">
        <f aca="false">M79</f>
        <v>0</v>
      </c>
      <c r="Q81" s="25" t="n">
        <f aca="false">IF(N(F90)&gt;0,1,0)</f>
        <v>0</v>
      </c>
      <c r="S81" s="0" t="n">
        <v>7</v>
      </c>
    </row>
    <row r="82" customFormat="false" ht="15" hidden="false" customHeight="false" outlineLevel="0" collapsed="false">
      <c r="A82" s="28" t="n">
        <f aca="false">IF(7&lt;=NW,SAT1+43,"")</f>
        <v>46061</v>
      </c>
      <c r="B82" s="29" t="str">
        <f aca="false">IF(A82="","",CHOOSE(WEEKDAY(A82,1),"الأحد","الاثنين","الثلاثاء","الأربعاء","الخميس","الجمعة","السبت"))</f>
        <v>الأحد</v>
      </c>
      <c r="C82" s="30"/>
      <c r="D82" s="30"/>
      <c r="E82" s="31" t="str">
        <f aca="false">IF(OR(M82=0,K82="",L82=""),"",MOD(L82-K82,1))</f>
        <v/>
      </c>
      <c r="F82" s="32" t="str">
        <f aca="false">IF(OR(E82="",M82=0),"",IF(ROUND_MODE="للأعلى",CEILING(ROUND((E82*24*$N$79),3),0.25),ROUND((E82*24*$N$79)*4,0)/4))</f>
        <v/>
      </c>
      <c r="G82" s="30"/>
      <c r="H82" s="30"/>
      <c r="K82" s="33" t="str">
        <f aca="false">IF(OR(M82=0,C82=""),"",IF(ISNUMBER(C82),MOD(C82,1),IFERROR(INDEX(القوائم!$B$1:$B$288,MATCH(TRIM(C82),القوائم!$A$1:$A$288,0)),IFERROR(MOD(TIMEVALUE(C82),1),""))))</f>
        <v/>
      </c>
      <c r="L82" s="33" t="str">
        <f aca="false">IF(OR(M82=0,D82=""),"",IF(ISNUMBER(D82),MOD(D82,1),IFERROR(INDEX(القوائم!$B$1:$B$288,MATCH(TRIM(D82),القوائم!$A$1:$A$288,0)),IFERROR(MOD(TIMEVALUE(D82),1),""))))</f>
        <v/>
      </c>
      <c r="M82" s="25" t="n">
        <f aca="false">M79</f>
        <v>0</v>
      </c>
      <c r="Q82" s="25" t="n">
        <f aca="false">IF(N(F90)&gt;0,1,0)</f>
        <v>0</v>
      </c>
      <c r="S82" s="0" t="n">
        <v>7</v>
      </c>
    </row>
    <row r="83" customFormat="false" ht="15" hidden="false" customHeight="false" outlineLevel="0" collapsed="false">
      <c r="A83" s="28" t="n">
        <f aca="false">IF(7&lt;=NW,SAT1+44,"")</f>
        <v>46062</v>
      </c>
      <c r="B83" s="29" t="str">
        <f aca="false">IF(A83="","",CHOOSE(WEEKDAY(A83,1),"الأحد","الاثنين","الثلاثاء","الأربعاء","الخميس","الجمعة","السبت"))</f>
        <v>الاثنين</v>
      </c>
      <c r="C83" s="30"/>
      <c r="D83" s="30"/>
      <c r="E83" s="31" t="str">
        <f aca="false">IF(OR(M83=0,K83="",L83=""),"",MOD(L83-K83,1))</f>
        <v/>
      </c>
      <c r="F83" s="32" t="str">
        <f aca="false">IF(OR(E83="",M83=0),"",IF(ROUND_MODE="للأعلى",CEILING(ROUND((E83*24*$N$79),3),0.25),ROUND((E83*24*$N$79)*4,0)/4))</f>
        <v/>
      </c>
      <c r="G83" s="30"/>
      <c r="H83" s="30"/>
      <c r="K83" s="33" t="str">
        <f aca="false">IF(OR(M83=0,C83=""),"",IF(ISNUMBER(C83),MOD(C83,1),IFERROR(INDEX(القوائم!$B$1:$B$288,MATCH(TRIM(C83),القوائم!$A$1:$A$288,0)),IFERROR(MOD(TIMEVALUE(C83),1),""))))</f>
        <v/>
      </c>
      <c r="L83" s="33" t="str">
        <f aca="false">IF(OR(M83=0,D83=""),"",IF(ISNUMBER(D83),MOD(D83,1),IFERROR(INDEX(القوائم!$B$1:$B$288,MATCH(TRIM(D83),القوائم!$A$1:$A$288,0)),IFERROR(MOD(TIMEVALUE(D83),1),""))))</f>
        <v/>
      </c>
      <c r="M83" s="25" t="n">
        <f aca="false">M79</f>
        <v>0</v>
      </c>
      <c r="Q83" s="25" t="n">
        <f aca="false">IF(N(F90)&gt;0,1,0)</f>
        <v>0</v>
      </c>
      <c r="S83" s="0" t="n">
        <v>7</v>
      </c>
    </row>
    <row r="84" customFormat="false" ht="15" hidden="false" customHeight="false" outlineLevel="0" collapsed="false">
      <c r="A84" s="28" t="n">
        <f aca="false">IF(7&lt;=NW,SAT1+45,"")</f>
        <v>46063</v>
      </c>
      <c r="B84" s="29" t="str">
        <f aca="false">IF(A84="","",CHOOSE(WEEKDAY(A84,1),"الأحد","الاثنين","الثلاثاء","الأربعاء","الخميس","الجمعة","السبت"))</f>
        <v>الثلاثاء</v>
      </c>
      <c r="C84" s="30"/>
      <c r="D84" s="30"/>
      <c r="E84" s="31" t="str">
        <f aca="false">IF(OR(M84=0,K84="",L84=""),"",MOD(L84-K84,1))</f>
        <v/>
      </c>
      <c r="F84" s="32" t="str">
        <f aca="false">IF(OR(E84="",M84=0),"",IF(ROUND_MODE="للأعلى",CEILING(ROUND((E84*24*$N$79),3),0.25),ROUND((E84*24*$N$79)*4,0)/4))</f>
        <v/>
      </c>
      <c r="G84" s="30"/>
      <c r="H84" s="30"/>
      <c r="K84" s="33" t="str">
        <f aca="false">IF(OR(M84=0,C84=""),"",IF(ISNUMBER(C84),MOD(C84,1),IFERROR(INDEX(القوائم!$B$1:$B$288,MATCH(TRIM(C84),القوائم!$A$1:$A$288,0)),IFERROR(MOD(TIMEVALUE(C84),1),""))))</f>
        <v/>
      </c>
      <c r="L84" s="33" t="str">
        <f aca="false">IF(OR(M84=0,D84=""),"",IF(ISNUMBER(D84),MOD(D84,1),IFERROR(INDEX(القوائم!$B$1:$B$288,MATCH(TRIM(D84),القوائم!$A$1:$A$288,0)),IFERROR(MOD(TIMEVALUE(D84),1),""))))</f>
        <v/>
      </c>
      <c r="M84" s="25" t="n">
        <f aca="false">M79</f>
        <v>0</v>
      </c>
      <c r="Q84" s="25" t="n">
        <f aca="false">IF(N(F90)&gt;0,1,0)</f>
        <v>0</v>
      </c>
      <c r="S84" s="0" t="n">
        <v>7</v>
      </c>
    </row>
    <row r="85" customFormat="false" ht="15" hidden="false" customHeight="false" outlineLevel="0" collapsed="false">
      <c r="A85" s="28" t="n">
        <f aca="false">IF(7&lt;=NW,SAT1+46,"")</f>
        <v>46064</v>
      </c>
      <c r="B85" s="29" t="str">
        <f aca="false">IF(A85="","",CHOOSE(WEEKDAY(A85,1),"الأحد","الاثنين","الثلاثاء","الأربعاء","الخميس","الجمعة","السبت"))</f>
        <v>الأربعاء</v>
      </c>
      <c r="C85" s="30"/>
      <c r="D85" s="30"/>
      <c r="E85" s="31" t="str">
        <f aca="false">IF(OR(M85=0,K85="",L85=""),"",MOD(L85-K85,1))</f>
        <v/>
      </c>
      <c r="F85" s="32" t="str">
        <f aca="false">IF(OR(E85="",M85=0),"",IF(ROUND_MODE="للأعلى",CEILING(ROUND((E85*24*$N$79),3),0.25),ROUND((E85*24*$N$79)*4,0)/4))</f>
        <v/>
      </c>
      <c r="G85" s="30"/>
      <c r="H85" s="30"/>
      <c r="K85" s="33" t="str">
        <f aca="false">IF(OR(M85=0,C85=""),"",IF(ISNUMBER(C85),MOD(C85,1),IFERROR(INDEX(القوائم!$B$1:$B$288,MATCH(TRIM(C85),القوائم!$A$1:$A$288,0)),IFERROR(MOD(TIMEVALUE(C85),1),""))))</f>
        <v/>
      </c>
      <c r="L85" s="33" t="str">
        <f aca="false">IF(OR(M85=0,D85=""),"",IF(ISNUMBER(D85),MOD(D85,1),IFERROR(INDEX(القوائم!$B$1:$B$288,MATCH(TRIM(D85),القوائم!$A$1:$A$288,0)),IFERROR(MOD(TIMEVALUE(D85),1),""))))</f>
        <v/>
      </c>
      <c r="M85" s="25" t="n">
        <f aca="false">M79</f>
        <v>0</v>
      </c>
      <c r="Q85" s="25" t="n">
        <f aca="false">IF(N(F90)&gt;0,1,0)</f>
        <v>0</v>
      </c>
      <c r="S85" s="0" t="n">
        <v>7</v>
      </c>
    </row>
    <row r="86" customFormat="false" ht="15" hidden="false" customHeight="false" outlineLevel="0" collapsed="false">
      <c r="A86" s="28" t="n">
        <f aca="false">IF(7&lt;=NW,SAT1+47,"")</f>
        <v>46065</v>
      </c>
      <c r="B86" s="29" t="str">
        <f aca="false">IF(A86="","",CHOOSE(WEEKDAY(A86,1),"الأحد","الاثنين","الثلاثاء","الأربعاء","الخميس","الجمعة","السبت"))</f>
        <v>الخميس</v>
      </c>
      <c r="C86" s="30"/>
      <c r="D86" s="30"/>
      <c r="E86" s="31" t="str">
        <f aca="false">IF(OR(M86=0,K86="",L86=""),"",MOD(L86-K86,1))</f>
        <v/>
      </c>
      <c r="F86" s="32" t="str">
        <f aca="false">IF(OR(E86="",M86=0),"",IF(ROUND_MODE="للأعلى",CEILING(ROUND((E86*24*$N$79),3),0.25),ROUND((E86*24*$N$79)*4,0)/4))</f>
        <v/>
      </c>
      <c r="G86" s="30"/>
      <c r="H86" s="30"/>
      <c r="K86" s="33" t="str">
        <f aca="false">IF(OR(M86=0,C86=""),"",IF(ISNUMBER(C86),MOD(C86,1),IFERROR(INDEX(القوائم!$B$1:$B$288,MATCH(TRIM(C86),القوائم!$A$1:$A$288,0)),IFERROR(MOD(TIMEVALUE(C86),1),""))))</f>
        <v/>
      </c>
      <c r="L86" s="33" t="str">
        <f aca="false">IF(OR(M86=0,D86=""),"",IF(ISNUMBER(D86),MOD(D86,1),IFERROR(INDEX(القوائم!$B$1:$B$288,MATCH(TRIM(D86),القوائم!$A$1:$A$288,0)),IFERROR(MOD(TIMEVALUE(D86),1),""))))</f>
        <v/>
      </c>
      <c r="M86" s="25" t="n">
        <f aca="false">M79</f>
        <v>0</v>
      </c>
      <c r="Q86" s="25" t="n">
        <f aca="false">IF(N(F90)&gt;0,1,0)</f>
        <v>0</v>
      </c>
      <c r="S86" s="0" t="n">
        <v>7</v>
      </c>
    </row>
    <row r="87" customFormat="false" ht="15" hidden="false" customHeight="false" outlineLevel="0" collapsed="false">
      <c r="A87" s="34" t="n">
        <f aca="false">IF(7&lt;=NW,SAT1+48,"")</f>
        <v>46066</v>
      </c>
      <c r="B87" s="35" t="str">
        <f aca="false">IF(A87="","",CHOOSE(WEEKDAY(A87,1),"الأحد","الاثنين","الثلاثاء","الأربعاء","الخميس","الجمعة","السبت"))</f>
        <v>الجمعة</v>
      </c>
      <c r="C87" s="30"/>
      <c r="D87" s="30"/>
      <c r="E87" s="31" t="str">
        <f aca="false">IF(OR(M87=0,K87="",L87=""),"",MOD(L87-K87,1))</f>
        <v/>
      </c>
      <c r="F87" s="32" t="str">
        <f aca="false">IF(OR(E87="",M87=0),"",IF(ROUND_MODE="للأعلى",CEILING(ROUND((E87*24*$N$79),3),0.25),ROUND((E87*24*$N$79)*4,0)/4))</f>
        <v/>
      </c>
      <c r="G87" s="30"/>
      <c r="H87" s="30"/>
      <c r="K87" s="33" t="str">
        <f aca="false">IF(OR(M87=0,C87=""),"",IF(ISNUMBER(C87),MOD(C87,1),IFERROR(INDEX(القوائم!$B$1:$B$288,MATCH(TRIM(C87),القوائم!$A$1:$A$288,0)),IFERROR(MOD(TIMEVALUE(C87),1),""))))</f>
        <v/>
      </c>
      <c r="L87" s="33" t="str">
        <f aca="false">IF(OR(M87=0,D87=""),"",IF(ISNUMBER(D87),MOD(D87,1),IFERROR(INDEX(القوائم!$B$1:$B$288,MATCH(TRIM(D87),القوائم!$A$1:$A$288,0)),IFERROR(MOD(TIMEVALUE(D87),1),""))))</f>
        <v/>
      </c>
      <c r="M87" s="25" t="n">
        <f aca="false">M79</f>
        <v>0</v>
      </c>
      <c r="Q87" s="25" t="n">
        <f aca="false">IF(N(F90)&gt;0,1,0)</f>
        <v>0</v>
      </c>
      <c r="S87" s="0" t="n">
        <v>7</v>
      </c>
    </row>
    <row r="88" customFormat="false" ht="15" hidden="false" customHeight="false" outlineLevel="0" collapsed="false">
      <c r="A88" s="36" t="str">
        <f aca="false">IF(M79=1,"مجموع أيام الأسبوع 7","")</f>
        <v/>
      </c>
      <c r="B88" s="36"/>
      <c r="C88" s="36"/>
      <c r="D88" s="36"/>
      <c r="E88" s="37" t="str">
        <f aca="false">IF(M79=1,SUM(E81:E87),"")</f>
        <v/>
      </c>
      <c r="F88" s="38" t="str">
        <f aca="false">IF(M79=1,SUM(F81:F87),"")</f>
        <v/>
      </c>
      <c r="G88" s="50" t="str">
        <f aca="false">IF(M79=1,SUMIFS(F81:F87,G81:G87,"نعم"),"")</f>
        <v/>
      </c>
      <c r="H88" s="36"/>
      <c r="S88" s="0" t="n">
        <v>7</v>
      </c>
    </row>
    <row r="89" customFormat="false" ht="31.5" hidden="false" customHeight="true" outlineLevel="0" collapsed="false">
      <c r="A89" s="39" t="str">
        <f aca="false">IF(M79=1,"ساعات تحميل الجبسمبورد بهالأسبوع (رقم: 2 أو 1.5) ←","")</f>
        <v/>
      </c>
      <c r="B89" s="39"/>
      <c r="C89" s="39"/>
      <c r="D89" s="39"/>
      <c r="E89" s="40"/>
      <c r="F89" s="42" t="str">
        <f aca="false">IF(M79=1,N(F88)+IF(ROUND_MODE="للأعلى",CEILING(ROUND((N(E89)*($P$79-$N$79)),3),0.25),ROUND((N(E89)*($P$79-$N$79))*4,0)/4)+N(C90),"")</f>
        <v/>
      </c>
      <c r="G89" s="41" t="str">
        <f aca="false">IF(M79=1,"← المستحق النهائي للأسبوع مع الجبسمبورد والإكرامية","")</f>
        <v/>
      </c>
      <c r="H89" s="41"/>
      <c r="S89" s="0" t="n">
        <v>7</v>
      </c>
    </row>
    <row r="90" customFormat="false" ht="25.5" hidden="false" customHeight="true" outlineLevel="0" collapsed="false">
      <c r="A90" s="39" t="str">
        <f aca="false">IF(M79=1,"إكرامية الأسبوع ←","")</f>
        <v/>
      </c>
      <c r="B90" s="39"/>
      <c r="C90" s="44"/>
      <c r="D90" s="39" t="str">
        <f aca="false">IF(M79=1,"المدفوع (التسوية) ←","")</f>
        <v/>
      </c>
      <c r="E90" s="39"/>
      <c r="F90" s="44"/>
      <c r="G90" s="45" t="str">
        <f aca="false">IF(M79=1,IF(N(F90)&gt;0,"✔ انقبض — الأسبوع مقفول","⏳ لسا ما انقبض"),"")</f>
        <v/>
      </c>
      <c r="H90" s="45"/>
      <c r="S90" s="0" t="n">
        <v>7</v>
      </c>
    </row>
    <row r="91" customFormat="false" ht="27.75" hidden="false" customHeight="true" outlineLevel="0" collapsed="false">
      <c r="A91" s="48" t="str">
        <f aca="false">IF(8&lt;=NW,"من السبت "&amp;TEXT(DAY(SAT1+49),"00")&amp;"/"&amp;TEXT(MONTH(SAT1+49),"00")&amp;"/"&amp;YEAR(SAT1+49)&amp;" إلى الجمعة "&amp;TEXT(DAY(SAT1+55),"00")&amp;"/"&amp;TEXT(MONTH(SAT1+55),"00")&amp;"/"&amp;YEAR(SAT1+55)&amp;" · الأسبوع 8"&amp;"  (يوم القبض: الجمعة)"&amp;IF(8&lt;START_Z,"   — قبل أسبوع البداية (ما بينحسب)",""),"ما في أسبوع 8 هالسنة")</f>
        <v>من السبت 14/02/2026 إلى الجمعة 20/02/2026 · الأسبوع 8  (يوم القبض: الجمعة)   — قبل أسبوع البداية (ما بينحسب)</v>
      </c>
      <c r="B91" s="48"/>
      <c r="C91" s="48"/>
      <c r="D91" s="48"/>
      <c r="E91" s="48"/>
      <c r="F91" s="48"/>
      <c r="G91" s="48"/>
      <c r="H91" s="48"/>
      <c r="L91" s="24" t="n">
        <f aca="false">IF(8&lt;=NW,SAT1+55,"")</f>
        <v>46073</v>
      </c>
      <c r="M91" s="25" t="n">
        <f aca="false">IF(AND(8&lt;=NW,8&gt;=START_Z),1,0)</f>
        <v>0</v>
      </c>
      <c r="N91" s="26" t="n">
        <f aca="false">IFERROR(INDEX(RT_AZZ,MATCH(L91,RT_K,1)),INDEX(RT_AZZ,1))</f>
        <v>1</v>
      </c>
      <c r="P91" s="26" t="n">
        <f aca="false">IFERROR(INDEX(RT_GYP,MATCH(L91,RT_K,1)),INDEX(RT_GYP,1))</f>
        <v>2.5</v>
      </c>
      <c r="R91" s="0" t="n">
        <v>8</v>
      </c>
      <c r="S91" s="0" t="n">
        <v>8</v>
      </c>
    </row>
    <row r="92" customFormat="false" ht="25.5" hidden="false" customHeight="true" outlineLevel="0" collapsed="false">
      <c r="A92" s="49" t="s">
        <v>22</v>
      </c>
      <c r="B92" s="49" t="s">
        <v>23</v>
      </c>
      <c r="C92" s="49" t="s">
        <v>24</v>
      </c>
      <c r="D92" s="49" t="s">
        <v>25</v>
      </c>
      <c r="E92" s="49" t="s">
        <v>26</v>
      </c>
      <c r="F92" s="49" t="s">
        <v>33</v>
      </c>
      <c r="G92" s="49" t="s">
        <v>34</v>
      </c>
      <c r="H92" s="49" t="s">
        <v>30</v>
      </c>
      <c r="S92" s="0" t="n">
        <v>8</v>
      </c>
    </row>
    <row r="93" customFormat="false" ht="15" hidden="false" customHeight="false" outlineLevel="0" collapsed="false">
      <c r="A93" s="28" t="n">
        <f aca="false">IF(8&lt;=NW,SAT1+49,"")</f>
        <v>46067</v>
      </c>
      <c r="B93" s="29" t="str">
        <f aca="false">IF(A93="","",CHOOSE(WEEKDAY(A93,1),"الأحد","الاثنين","الثلاثاء","الأربعاء","الخميس","الجمعة","السبت"))</f>
        <v>السبت</v>
      </c>
      <c r="C93" s="30"/>
      <c r="D93" s="30"/>
      <c r="E93" s="31" t="str">
        <f aca="false">IF(OR(M93=0,K93="",L93=""),"",MOD(L93-K93,1))</f>
        <v/>
      </c>
      <c r="F93" s="32" t="str">
        <f aca="false">IF(OR(E93="",M93=0),"",IF(ROUND_MODE="للأعلى",CEILING(ROUND((E93*24*$N$91),3),0.25),ROUND((E93*24*$N$91)*4,0)/4))</f>
        <v/>
      </c>
      <c r="G93" s="30"/>
      <c r="H93" s="30"/>
      <c r="K93" s="33" t="str">
        <f aca="false">IF(OR(M93=0,C93=""),"",IF(ISNUMBER(C93),MOD(C93,1),IFERROR(INDEX(القوائم!$B$1:$B$288,MATCH(TRIM(C93),القوائم!$A$1:$A$288,0)),IFERROR(MOD(TIMEVALUE(C93),1),""))))</f>
        <v/>
      </c>
      <c r="L93" s="33" t="str">
        <f aca="false">IF(OR(M93=0,D93=""),"",IF(ISNUMBER(D93),MOD(D93,1),IFERROR(INDEX(القوائم!$B$1:$B$288,MATCH(TRIM(D93),القوائم!$A$1:$A$288,0)),IFERROR(MOD(TIMEVALUE(D93),1),""))))</f>
        <v/>
      </c>
      <c r="M93" s="25" t="n">
        <f aca="false">M91</f>
        <v>0</v>
      </c>
      <c r="Q93" s="25" t="n">
        <f aca="false">IF(N(F102)&gt;0,1,0)</f>
        <v>0</v>
      </c>
      <c r="S93" s="0" t="n">
        <v>8</v>
      </c>
    </row>
    <row r="94" customFormat="false" ht="15" hidden="false" customHeight="false" outlineLevel="0" collapsed="false">
      <c r="A94" s="28" t="n">
        <f aca="false">IF(8&lt;=NW,SAT1+50,"")</f>
        <v>46068</v>
      </c>
      <c r="B94" s="29" t="str">
        <f aca="false">IF(A94="","",CHOOSE(WEEKDAY(A94,1),"الأحد","الاثنين","الثلاثاء","الأربعاء","الخميس","الجمعة","السبت"))</f>
        <v>الأحد</v>
      </c>
      <c r="C94" s="30"/>
      <c r="D94" s="30"/>
      <c r="E94" s="31" t="str">
        <f aca="false">IF(OR(M94=0,K94="",L94=""),"",MOD(L94-K94,1))</f>
        <v/>
      </c>
      <c r="F94" s="32" t="str">
        <f aca="false">IF(OR(E94="",M94=0),"",IF(ROUND_MODE="للأعلى",CEILING(ROUND((E94*24*$N$91),3),0.25),ROUND((E94*24*$N$91)*4,0)/4))</f>
        <v/>
      </c>
      <c r="G94" s="30"/>
      <c r="H94" s="30"/>
      <c r="K94" s="33" t="str">
        <f aca="false">IF(OR(M94=0,C94=""),"",IF(ISNUMBER(C94),MOD(C94,1),IFERROR(INDEX(القوائم!$B$1:$B$288,MATCH(TRIM(C94),القوائم!$A$1:$A$288,0)),IFERROR(MOD(TIMEVALUE(C94),1),""))))</f>
        <v/>
      </c>
      <c r="L94" s="33" t="str">
        <f aca="false">IF(OR(M94=0,D94=""),"",IF(ISNUMBER(D94),MOD(D94,1),IFERROR(INDEX(القوائم!$B$1:$B$288,MATCH(TRIM(D94),القوائم!$A$1:$A$288,0)),IFERROR(MOD(TIMEVALUE(D94),1),""))))</f>
        <v/>
      </c>
      <c r="M94" s="25" t="n">
        <f aca="false">M91</f>
        <v>0</v>
      </c>
      <c r="Q94" s="25" t="n">
        <f aca="false">IF(N(F102)&gt;0,1,0)</f>
        <v>0</v>
      </c>
      <c r="S94" s="0" t="n">
        <v>8</v>
      </c>
    </row>
    <row r="95" customFormat="false" ht="15" hidden="false" customHeight="false" outlineLevel="0" collapsed="false">
      <c r="A95" s="28" t="n">
        <f aca="false">IF(8&lt;=NW,SAT1+51,"")</f>
        <v>46069</v>
      </c>
      <c r="B95" s="29" t="str">
        <f aca="false">IF(A95="","",CHOOSE(WEEKDAY(A95,1),"الأحد","الاثنين","الثلاثاء","الأربعاء","الخميس","الجمعة","السبت"))</f>
        <v>الاثنين</v>
      </c>
      <c r="C95" s="30"/>
      <c r="D95" s="30"/>
      <c r="E95" s="31" t="str">
        <f aca="false">IF(OR(M95=0,K95="",L95=""),"",MOD(L95-K95,1))</f>
        <v/>
      </c>
      <c r="F95" s="32" t="str">
        <f aca="false">IF(OR(E95="",M95=0),"",IF(ROUND_MODE="للأعلى",CEILING(ROUND((E95*24*$N$91),3),0.25),ROUND((E95*24*$N$91)*4,0)/4))</f>
        <v/>
      </c>
      <c r="G95" s="30"/>
      <c r="H95" s="30"/>
      <c r="K95" s="33" t="str">
        <f aca="false">IF(OR(M95=0,C95=""),"",IF(ISNUMBER(C95),MOD(C95,1),IFERROR(INDEX(القوائم!$B$1:$B$288,MATCH(TRIM(C95),القوائم!$A$1:$A$288,0)),IFERROR(MOD(TIMEVALUE(C95),1),""))))</f>
        <v/>
      </c>
      <c r="L95" s="33" t="str">
        <f aca="false">IF(OR(M95=0,D95=""),"",IF(ISNUMBER(D95),MOD(D95,1),IFERROR(INDEX(القوائم!$B$1:$B$288,MATCH(TRIM(D95),القوائم!$A$1:$A$288,0)),IFERROR(MOD(TIMEVALUE(D95),1),""))))</f>
        <v/>
      </c>
      <c r="M95" s="25" t="n">
        <f aca="false">M91</f>
        <v>0</v>
      </c>
      <c r="Q95" s="25" t="n">
        <f aca="false">IF(N(F102)&gt;0,1,0)</f>
        <v>0</v>
      </c>
      <c r="S95" s="0" t="n">
        <v>8</v>
      </c>
    </row>
    <row r="96" customFormat="false" ht="15" hidden="false" customHeight="false" outlineLevel="0" collapsed="false">
      <c r="A96" s="28" t="n">
        <f aca="false">IF(8&lt;=NW,SAT1+52,"")</f>
        <v>46070</v>
      </c>
      <c r="B96" s="29" t="str">
        <f aca="false">IF(A96="","",CHOOSE(WEEKDAY(A96,1),"الأحد","الاثنين","الثلاثاء","الأربعاء","الخميس","الجمعة","السبت"))</f>
        <v>الثلاثاء</v>
      </c>
      <c r="C96" s="30"/>
      <c r="D96" s="30"/>
      <c r="E96" s="31" t="str">
        <f aca="false">IF(OR(M96=0,K96="",L96=""),"",MOD(L96-K96,1))</f>
        <v/>
      </c>
      <c r="F96" s="32" t="str">
        <f aca="false">IF(OR(E96="",M96=0),"",IF(ROUND_MODE="للأعلى",CEILING(ROUND((E96*24*$N$91),3),0.25),ROUND((E96*24*$N$91)*4,0)/4))</f>
        <v/>
      </c>
      <c r="G96" s="30"/>
      <c r="H96" s="30"/>
      <c r="K96" s="33" t="str">
        <f aca="false">IF(OR(M96=0,C96=""),"",IF(ISNUMBER(C96),MOD(C96,1),IFERROR(INDEX(القوائم!$B$1:$B$288,MATCH(TRIM(C96),القوائم!$A$1:$A$288,0)),IFERROR(MOD(TIMEVALUE(C96),1),""))))</f>
        <v/>
      </c>
      <c r="L96" s="33" t="str">
        <f aca="false">IF(OR(M96=0,D96=""),"",IF(ISNUMBER(D96),MOD(D96,1),IFERROR(INDEX(القوائم!$B$1:$B$288,MATCH(TRIM(D96),القوائم!$A$1:$A$288,0)),IFERROR(MOD(TIMEVALUE(D96),1),""))))</f>
        <v/>
      </c>
      <c r="M96" s="25" t="n">
        <f aca="false">M91</f>
        <v>0</v>
      </c>
      <c r="Q96" s="25" t="n">
        <f aca="false">IF(N(F102)&gt;0,1,0)</f>
        <v>0</v>
      </c>
      <c r="S96" s="0" t="n">
        <v>8</v>
      </c>
    </row>
    <row r="97" customFormat="false" ht="15" hidden="false" customHeight="false" outlineLevel="0" collapsed="false">
      <c r="A97" s="28" t="n">
        <f aca="false">IF(8&lt;=NW,SAT1+53,"")</f>
        <v>46071</v>
      </c>
      <c r="B97" s="29" t="str">
        <f aca="false">IF(A97="","",CHOOSE(WEEKDAY(A97,1),"الأحد","الاثنين","الثلاثاء","الأربعاء","الخميس","الجمعة","السبت"))</f>
        <v>الأربعاء</v>
      </c>
      <c r="C97" s="30"/>
      <c r="D97" s="30"/>
      <c r="E97" s="31" t="str">
        <f aca="false">IF(OR(M97=0,K97="",L97=""),"",MOD(L97-K97,1))</f>
        <v/>
      </c>
      <c r="F97" s="32" t="str">
        <f aca="false">IF(OR(E97="",M97=0),"",IF(ROUND_MODE="للأعلى",CEILING(ROUND((E97*24*$N$91),3),0.25),ROUND((E97*24*$N$91)*4,0)/4))</f>
        <v/>
      </c>
      <c r="G97" s="30"/>
      <c r="H97" s="30"/>
      <c r="K97" s="33" t="str">
        <f aca="false">IF(OR(M97=0,C97=""),"",IF(ISNUMBER(C97),MOD(C97,1),IFERROR(INDEX(القوائم!$B$1:$B$288,MATCH(TRIM(C97),القوائم!$A$1:$A$288,0)),IFERROR(MOD(TIMEVALUE(C97),1),""))))</f>
        <v/>
      </c>
      <c r="L97" s="33" t="str">
        <f aca="false">IF(OR(M97=0,D97=""),"",IF(ISNUMBER(D97),MOD(D97,1),IFERROR(INDEX(القوائم!$B$1:$B$288,MATCH(TRIM(D97),القوائم!$A$1:$A$288,0)),IFERROR(MOD(TIMEVALUE(D97),1),""))))</f>
        <v/>
      </c>
      <c r="M97" s="25" t="n">
        <f aca="false">M91</f>
        <v>0</v>
      </c>
      <c r="Q97" s="25" t="n">
        <f aca="false">IF(N(F102)&gt;0,1,0)</f>
        <v>0</v>
      </c>
      <c r="S97" s="0" t="n">
        <v>8</v>
      </c>
    </row>
    <row r="98" customFormat="false" ht="15" hidden="false" customHeight="false" outlineLevel="0" collapsed="false">
      <c r="A98" s="28" t="n">
        <f aca="false">IF(8&lt;=NW,SAT1+54,"")</f>
        <v>46072</v>
      </c>
      <c r="B98" s="29" t="str">
        <f aca="false">IF(A98="","",CHOOSE(WEEKDAY(A98,1),"الأحد","الاثنين","الثلاثاء","الأربعاء","الخميس","الجمعة","السبت"))</f>
        <v>الخميس</v>
      </c>
      <c r="C98" s="30"/>
      <c r="D98" s="30"/>
      <c r="E98" s="31" t="str">
        <f aca="false">IF(OR(M98=0,K98="",L98=""),"",MOD(L98-K98,1))</f>
        <v/>
      </c>
      <c r="F98" s="32" t="str">
        <f aca="false">IF(OR(E98="",M98=0),"",IF(ROUND_MODE="للأعلى",CEILING(ROUND((E98*24*$N$91),3),0.25),ROUND((E98*24*$N$91)*4,0)/4))</f>
        <v/>
      </c>
      <c r="G98" s="30"/>
      <c r="H98" s="30"/>
      <c r="K98" s="33" t="str">
        <f aca="false">IF(OR(M98=0,C98=""),"",IF(ISNUMBER(C98),MOD(C98,1),IFERROR(INDEX(القوائم!$B$1:$B$288,MATCH(TRIM(C98),القوائم!$A$1:$A$288,0)),IFERROR(MOD(TIMEVALUE(C98),1),""))))</f>
        <v/>
      </c>
      <c r="L98" s="33" t="str">
        <f aca="false">IF(OR(M98=0,D98=""),"",IF(ISNUMBER(D98),MOD(D98,1),IFERROR(INDEX(القوائم!$B$1:$B$288,MATCH(TRIM(D98),القوائم!$A$1:$A$288,0)),IFERROR(MOD(TIMEVALUE(D98),1),""))))</f>
        <v/>
      </c>
      <c r="M98" s="25" t="n">
        <f aca="false">M91</f>
        <v>0</v>
      </c>
      <c r="Q98" s="25" t="n">
        <f aca="false">IF(N(F102)&gt;0,1,0)</f>
        <v>0</v>
      </c>
      <c r="S98" s="0" t="n">
        <v>8</v>
      </c>
    </row>
    <row r="99" customFormat="false" ht="15" hidden="false" customHeight="false" outlineLevel="0" collapsed="false">
      <c r="A99" s="34" t="n">
        <f aca="false">IF(8&lt;=NW,SAT1+55,"")</f>
        <v>46073</v>
      </c>
      <c r="B99" s="35" t="str">
        <f aca="false">IF(A99="","",CHOOSE(WEEKDAY(A99,1),"الأحد","الاثنين","الثلاثاء","الأربعاء","الخميس","الجمعة","السبت"))</f>
        <v>الجمعة</v>
      </c>
      <c r="C99" s="30"/>
      <c r="D99" s="30"/>
      <c r="E99" s="31" t="str">
        <f aca="false">IF(OR(M99=0,K99="",L99=""),"",MOD(L99-K99,1))</f>
        <v/>
      </c>
      <c r="F99" s="32" t="str">
        <f aca="false">IF(OR(E99="",M99=0),"",IF(ROUND_MODE="للأعلى",CEILING(ROUND((E99*24*$N$91),3),0.25),ROUND((E99*24*$N$91)*4,0)/4))</f>
        <v/>
      </c>
      <c r="G99" s="30"/>
      <c r="H99" s="30"/>
      <c r="K99" s="33" t="str">
        <f aca="false">IF(OR(M99=0,C99=""),"",IF(ISNUMBER(C99),MOD(C99,1),IFERROR(INDEX(القوائم!$B$1:$B$288,MATCH(TRIM(C99),القوائم!$A$1:$A$288,0)),IFERROR(MOD(TIMEVALUE(C99),1),""))))</f>
        <v/>
      </c>
      <c r="L99" s="33" t="str">
        <f aca="false">IF(OR(M99=0,D99=""),"",IF(ISNUMBER(D99),MOD(D99,1),IFERROR(INDEX(القوائم!$B$1:$B$288,MATCH(TRIM(D99),القوائم!$A$1:$A$288,0)),IFERROR(MOD(TIMEVALUE(D99),1),""))))</f>
        <v/>
      </c>
      <c r="M99" s="25" t="n">
        <f aca="false">M91</f>
        <v>0</v>
      </c>
      <c r="Q99" s="25" t="n">
        <f aca="false">IF(N(F102)&gt;0,1,0)</f>
        <v>0</v>
      </c>
      <c r="S99" s="0" t="n">
        <v>8</v>
      </c>
    </row>
    <row r="100" customFormat="false" ht="15" hidden="false" customHeight="false" outlineLevel="0" collapsed="false">
      <c r="A100" s="36" t="str">
        <f aca="false">IF(M91=1,"مجموع أيام الأسبوع 8","")</f>
        <v/>
      </c>
      <c r="B100" s="36"/>
      <c r="C100" s="36"/>
      <c r="D100" s="36"/>
      <c r="E100" s="37" t="str">
        <f aca="false">IF(M91=1,SUM(E93:E99),"")</f>
        <v/>
      </c>
      <c r="F100" s="38" t="str">
        <f aca="false">IF(M91=1,SUM(F93:F99),"")</f>
        <v/>
      </c>
      <c r="G100" s="50" t="str">
        <f aca="false">IF(M91=1,SUMIFS(F93:F99,G93:G99,"نعم"),"")</f>
        <v/>
      </c>
      <c r="H100" s="36"/>
      <c r="S100" s="0" t="n">
        <v>8</v>
      </c>
    </row>
    <row r="101" customFormat="false" ht="31.5" hidden="false" customHeight="true" outlineLevel="0" collapsed="false">
      <c r="A101" s="39" t="str">
        <f aca="false">IF(M91=1,"ساعات تحميل الجبسمبورد بهالأسبوع (رقم: 2 أو 1.5) ←","")</f>
        <v/>
      </c>
      <c r="B101" s="39"/>
      <c r="C101" s="39"/>
      <c r="D101" s="39"/>
      <c r="E101" s="40"/>
      <c r="F101" s="42" t="str">
        <f aca="false">IF(M91=1,N(F100)+IF(ROUND_MODE="للأعلى",CEILING(ROUND((N(E101)*($P$91-$N$91)),3),0.25),ROUND((N(E101)*($P$91-$N$91))*4,0)/4)+N(C102),"")</f>
        <v/>
      </c>
      <c r="G101" s="41" t="str">
        <f aca="false">IF(M91=1,"← المستحق النهائي للأسبوع مع الجبسمبورد والإكرامية","")</f>
        <v/>
      </c>
      <c r="H101" s="41"/>
      <c r="S101" s="0" t="n">
        <v>8</v>
      </c>
    </row>
    <row r="102" customFormat="false" ht="25.5" hidden="false" customHeight="true" outlineLevel="0" collapsed="false">
      <c r="A102" s="39" t="str">
        <f aca="false">IF(M91=1,"إكرامية الأسبوع ←","")</f>
        <v/>
      </c>
      <c r="B102" s="39"/>
      <c r="C102" s="44"/>
      <c r="D102" s="39" t="str">
        <f aca="false">IF(M91=1,"المدفوع (التسوية) ←","")</f>
        <v/>
      </c>
      <c r="E102" s="39"/>
      <c r="F102" s="44"/>
      <c r="G102" s="45" t="str">
        <f aca="false">IF(M91=1,IF(N(F102)&gt;0,"✔ انقبض — الأسبوع مقفول","⏳ لسا ما انقبض"),"")</f>
        <v/>
      </c>
      <c r="H102" s="45"/>
      <c r="S102" s="0" t="n">
        <v>8</v>
      </c>
    </row>
    <row r="103" customFormat="false" ht="27.75" hidden="false" customHeight="true" outlineLevel="0" collapsed="false">
      <c r="A103" s="48" t="str">
        <f aca="false">IF(9&lt;=NW,"من السبت "&amp;TEXT(DAY(SAT1+56),"00")&amp;"/"&amp;TEXT(MONTH(SAT1+56),"00")&amp;"/"&amp;YEAR(SAT1+56)&amp;" إلى الجمعة "&amp;TEXT(DAY(SAT1+62),"00")&amp;"/"&amp;TEXT(MONTH(SAT1+62),"00")&amp;"/"&amp;YEAR(SAT1+62)&amp;" · الأسبوع 9"&amp;"  (يوم القبض: الجمعة)"&amp;IF(9&lt;START_Z,"   — قبل أسبوع البداية (ما بينحسب)",""),"ما في أسبوع 9 هالسنة")</f>
        <v>من السبت 21/02/2026 إلى الجمعة 27/02/2026 · الأسبوع 9  (يوم القبض: الجمعة)   — قبل أسبوع البداية (ما بينحسب)</v>
      </c>
      <c r="B103" s="48"/>
      <c r="C103" s="48"/>
      <c r="D103" s="48"/>
      <c r="E103" s="48"/>
      <c r="F103" s="48"/>
      <c r="G103" s="48"/>
      <c r="H103" s="48"/>
      <c r="L103" s="24" t="n">
        <f aca="false">IF(9&lt;=NW,SAT1+62,"")</f>
        <v>46080</v>
      </c>
      <c r="M103" s="25" t="n">
        <f aca="false">IF(AND(9&lt;=NW,9&gt;=START_Z),1,0)</f>
        <v>0</v>
      </c>
      <c r="N103" s="26" t="n">
        <f aca="false">IFERROR(INDEX(RT_AZZ,MATCH(L103,RT_K,1)),INDEX(RT_AZZ,1))</f>
        <v>1</v>
      </c>
      <c r="P103" s="26" t="n">
        <f aca="false">IFERROR(INDEX(RT_GYP,MATCH(L103,RT_K,1)),INDEX(RT_GYP,1))</f>
        <v>2.5</v>
      </c>
      <c r="R103" s="0" t="n">
        <v>9</v>
      </c>
      <c r="S103" s="0" t="n">
        <v>9</v>
      </c>
    </row>
    <row r="104" customFormat="false" ht="25.5" hidden="false" customHeight="true" outlineLevel="0" collapsed="false">
      <c r="A104" s="49" t="s">
        <v>22</v>
      </c>
      <c r="B104" s="49" t="s">
        <v>23</v>
      </c>
      <c r="C104" s="49" t="s">
        <v>24</v>
      </c>
      <c r="D104" s="49" t="s">
        <v>25</v>
      </c>
      <c r="E104" s="49" t="s">
        <v>26</v>
      </c>
      <c r="F104" s="49" t="s">
        <v>33</v>
      </c>
      <c r="G104" s="49" t="s">
        <v>34</v>
      </c>
      <c r="H104" s="49" t="s">
        <v>30</v>
      </c>
      <c r="S104" s="0" t="n">
        <v>9</v>
      </c>
    </row>
    <row r="105" customFormat="false" ht="15" hidden="false" customHeight="false" outlineLevel="0" collapsed="false">
      <c r="A105" s="28" t="n">
        <f aca="false">IF(9&lt;=NW,SAT1+56,"")</f>
        <v>46074</v>
      </c>
      <c r="B105" s="29" t="str">
        <f aca="false">IF(A105="","",CHOOSE(WEEKDAY(A105,1),"الأحد","الاثنين","الثلاثاء","الأربعاء","الخميس","الجمعة","السبت"))</f>
        <v>السبت</v>
      </c>
      <c r="C105" s="30"/>
      <c r="D105" s="30"/>
      <c r="E105" s="31" t="str">
        <f aca="false">IF(OR(M105=0,K105="",L105=""),"",MOD(L105-K105,1))</f>
        <v/>
      </c>
      <c r="F105" s="32" t="str">
        <f aca="false">IF(OR(E105="",M105=0),"",IF(ROUND_MODE="للأعلى",CEILING(ROUND((E105*24*$N$103),3),0.25),ROUND((E105*24*$N$103)*4,0)/4))</f>
        <v/>
      </c>
      <c r="G105" s="30"/>
      <c r="H105" s="30"/>
      <c r="K105" s="33" t="str">
        <f aca="false">IF(OR(M105=0,C105=""),"",IF(ISNUMBER(C105),MOD(C105,1),IFERROR(INDEX(القوائم!$B$1:$B$288,MATCH(TRIM(C105),القوائم!$A$1:$A$288,0)),IFERROR(MOD(TIMEVALUE(C105),1),""))))</f>
        <v/>
      </c>
      <c r="L105" s="33" t="str">
        <f aca="false">IF(OR(M105=0,D105=""),"",IF(ISNUMBER(D105),MOD(D105,1),IFERROR(INDEX(القوائم!$B$1:$B$288,MATCH(TRIM(D105),القوائم!$A$1:$A$288,0)),IFERROR(MOD(TIMEVALUE(D105),1),""))))</f>
        <v/>
      </c>
      <c r="M105" s="25" t="n">
        <f aca="false">M103</f>
        <v>0</v>
      </c>
      <c r="Q105" s="25" t="n">
        <f aca="false">IF(N(F114)&gt;0,1,0)</f>
        <v>0</v>
      </c>
      <c r="S105" s="0" t="n">
        <v>9</v>
      </c>
    </row>
    <row r="106" customFormat="false" ht="15" hidden="false" customHeight="false" outlineLevel="0" collapsed="false">
      <c r="A106" s="28" t="n">
        <f aca="false">IF(9&lt;=NW,SAT1+57,"")</f>
        <v>46075</v>
      </c>
      <c r="B106" s="29" t="str">
        <f aca="false">IF(A106="","",CHOOSE(WEEKDAY(A106,1),"الأحد","الاثنين","الثلاثاء","الأربعاء","الخميس","الجمعة","السبت"))</f>
        <v>الأحد</v>
      </c>
      <c r="C106" s="30"/>
      <c r="D106" s="30"/>
      <c r="E106" s="31" t="str">
        <f aca="false">IF(OR(M106=0,K106="",L106=""),"",MOD(L106-K106,1))</f>
        <v/>
      </c>
      <c r="F106" s="32" t="str">
        <f aca="false">IF(OR(E106="",M106=0),"",IF(ROUND_MODE="للأعلى",CEILING(ROUND((E106*24*$N$103),3),0.25),ROUND((E106*24*$N$103)*4,0)/4))</f>
        <v/>
      </c>
      <c r="G106" s="30"/>
      <c r="H106" s="30"/>
      <c r="K106" s="33" t="str">
        <f aca="false">IF(OR(M106=0,C106=""),"",IF(ISNUMBER(C106),MOD(C106,1),IFERROR(INDEX(القوائم!$B$1:$B$288,MATCH(TRIM(C106),القوائم!$A$1:$A$288,0)),IFERROR(MOD(TIMEVALUE(C106),1),""))))</f>
        <v/>
      </c>
      <c r="L106" s="33" t="str">
        <f aca="false">IF(OR(M106=0,D106=""),"",IF(ISNUMBER(D106),MOD(D106,1),IFERROR(INDEX(القوائم!$B$1:$B$288,MATCH(TRIM(D106),القوائم!$A$1:$A$288,0)),IFERROR(MOD(TIMEVALUE(D106),1),""))))</f>
        <v/>
      </c>
      <c r="M106" s="25" t="n">
        <f aca="false">M103</f>
        <v>0</v>
      </c>
      <c r="Q106" s="25" t="n">
        <f aca="false">IF(N(F114)&gt;0,1,0)</f>
        <v>0</v>
      </c>
      <c r="S106" s="0" t="n">
        <v>9</v>
      </c>
    </row>
    <row r="107" customFormat="false" ht="15" hidden="false" customHeight="false" outlineLevel="0" collapsed="false">
      <c r="A107" s="28" t="n">
        <f aca="false">IF(9&lt;=NW,SAT1+58,"")</f>
        <v>46076</v>
      </c>
      <c r="B107" s="29" t="str">
        <f aca="false">IF(A107="","",CHOOSE(WEEKDAY(A107,1),"الأحد","الاثنين","الثلاثاء","الأربعاء","الخميس","الجمعة","السبت"))</f>
        <v>الاثنين</v>
      </c>
      <c r="C107" s="30"/>
      <c r="D107" s="30"/>
      <c r="E107" s="31" t="str">
        <f aca="false">IF(OR(M107=0,K107="",L107=""),"",MOD(L107-K107,1))</f>
        <v/>
      </c>
      <c r="F107" s="32" t="str">
        <f aca="false">IF(OR(E107="",M107=0),"",IF(ROUND_MODE="للأعلى",CEILING(ROUND((E107*24*$N$103),3),0.25),ROUND((E107*24*$N$103)*4,0)/4))</f>
        <v/>
      </c>
      <c r="G107" s="30"/>
      <c r="H107" s="30"/>
      <c r="K107" s="33" t="str">
        <f aca="false">IF(OR(M107=0,C107=""),"",IF(ISNUMBER(C107),MOD(C107,1),IFERROR(INDEX(القوائم!$B$1:$B$288,MATCH(TRIM(C107),القوائم!$A$1:$A$288,0)),IFERROR(MOD(TIMEVALUE(C107),1),""))))</f>
        <v/>
      </c>
      <c r="L107" s="33" t="str">
        <f aca="false">IF(OR(M107=0,D107=""),"",IF(ISNUMBER(D107),MOD(D107,1),IFERROR(INDEX(القوائم!$B$1:$B$288,MATCH(TRIM(D107),القوائم!$A$1:$A$288,0)),IFERROR(MOD(TIMEVALUE(D107),1),""))))</f>
        <v/>
      </c>
      <c r="M107" s="25" t="n">
        <f aca="false">M103</f>
        <v>0</v>
      </c>
      <c r="Q107" s="25" t="n">
        <f aca="false">IF(N(F114)&gt;0,1,0)</f>
        <v>0</v>
      </c>
      <c r="S107" s="0" t="n">
        <v>9</v>
      </c>
    </row>
    <row r="108" customFormat="false" ht="15" hidden="false" customHeight="false" outlineLevel="0" collapsed="false">
      <c r="A108" s="28" t="n">
        <f aca="false">IF(9&lt;=NW,SAT1+59,"")</f>
        <v>46077</v>
      </c>
      <c r="B108" s="29" t="str">
        <f aca="false">IF(A108="","",CHOOSE(WEEKDAY(A108,1),"الأحد","الاثنين","الثلاثاء","الأربعاء","الخميس","الجمعة","السبت"))</f>
        <v>الثلاثاء</v>
      </c>
      <c r="C108" s="30"/>
      <c r="D108" s="30"/>
      <c r="E108" s="31" t="str">
        <f aca="false">IF(OR(M108=0,K108="",L108=""),"",MOD(L108-K108,1))</f>
        <v/>
      </c>
      <c r="F108" s="32" t="str">
        <f aca="false">IF(OR(E108="",M108=0),"",IF(ROUND_MODE="للأعلى",CEILING(ROUND((E108*24*$N$103),3),0.25),ROUND((E108*24*$N$103)*4,0)/4))</f>
        <v/>
      </c>
      <c r="G108" s="30"/>
      <c r="H108" s="30"/>
      <c r="K108" s="33" t="str">
        <f aca="false">IF(OR(M108=0,C108=""),"",IF(ISNUMBER(C108),MOD(C108,1),IFERROR(INDEX(القوائم!$B$1:$B$288,MATCH(TRIM(C108),القوائم!$A$1:$A$288,0)),IFERROR(MOD(TIMEVALUE(C108),1),""))))</f>
        <v/>
      </c>
      <c r="L108" s="33" t="str">
        <f aca="false">IF(OR(M108=0,D108=""),"",IF(ISNUMBER(D108),MOD(D108,1),IFERROR(INDEX(القوائم!$B$1:$B$288,MATCH(TRIM(D108),القوائم!$A$1:$A$288,0)),IFERROR(MOD(TIMEVALUE(D108),1),""))))</f>
        <v/>
      </c>
      <c r="M108" s="25" t="n">
        <f aca="false">M103</f>
        <v>0</v>
      </c>
      <c r="Q108" s="25" t="n">
        <f aca="false">IF(N(F114)&gt;0,1,0)</f>
        <v>0</v>
      </c>
      <c r="S108" s="0" t="n">
        <v>9</v>
      </c>
    </row>
    <row r="109" customFormat="false" ht="15" hidden="false" customHeight="false" outlineLevel="0" collapsed="false">
      <c r="A109" s="28" t="n">
        <f aca="false">IF(9&lt;=NW,SAT1+60,"")</f>
        <v>46078</v>
      </c>
      <c r="B109" s="29" t="str">
        <f aca="false">IF(A109="","",CHOOSE(WEEKDAY(A109,1),"الأحد","الاثنين","الثلاثاء","الأربعاء","الخميس","الجمعة","السبت"))</f>
        <v>الأربعاء</v>
      </c>
      <c r="C109" s="30"/>
      <c r="D109" s="30"/>
      <c r="E109" s="31" t="str">
        <f aca="false">IF(OR(M109=0,K109="",L109=""),"",MOD(L109-K109,1))</f>
        <v/>
      </c>
      <c r="F109" s="32" t="str">
        <f aca="false">IF(OR(E109="",M109=0),"",IF(ROUND_MODE="للأعلى",CEILING(ROUND((E109*24*$N$103),3),0.25),ROUND((E109*24*$N$103)*4,0)/4))</f>
        <v/>
      </c>
      <c r="G109" s="30"/>
      <c r="H109" s="30"/>
      <c r="K109" s="33" t="str">
        <f aca="false">IF(OR(M109=0,C109=""),"",IF(ISNUMBER(C109),MOD(C109,1),IFERROR(INDEX(القوائم!$B$1:$B$288,MATCH(TRIM(C109),القوائم!$A$1:$A$288,0)),IFERROR(MOD(TIMEVALUE(C109),1),""))))</f>
        <v/>
      </c>
      <c r="L109" s="33" t="str">
        <f aca="false">IF(OR(M109=0,D109=""),"",IF(ISNUMBER(D109),MOD(D109,1),IFERROR(INDEX(القوائم!$B$1:$B$288,MATCH(TRIM(D109),القوائم!$A$1:$A$288,0)),IFERROR(MOD(TIMEVALUE(D109),1),""))))</f>
        <v/>
      </c>
      <c r="M109" s="25" t="n">
        <f aca="false">M103</f>
        <v>0</v>
      </c>
      <c r="Q109" s="25" t="n">
        <f aca="false">IF(N(F114)&gt;0,1,0)</f>
        <v>0</v>
      </c>
      <c r="S109" s="0" t="n">
        <v>9</v>
      </c>
    </row>
    <row r="110" customFormat="false" ht="15" hidden="false" customHeight="false" outlineLevel="0" collapsed="false">
      <c r="A110" s="28" t="n">
        <f aca="false">IF(9&lt;=NW,SAT1+61,"")</f>
        <v>46079</v>
      </c>
      <c r="B110" s="29" t="str">
        <f aca="false">IF(A110="","",CHOOSE(WEEKDAY(A110,1),"الأحد","الاثنين","الثلاثاء","الأربعاء","الخميس","الجمعة","السبت"))</f>
        <v>الخميس</v>
      </c>
      <c r="C110" s="30"/>
      <c r="D110" s="30"/>
      <c r="E110" s="31" t="str">
        <f aca="false">IF(OR(M110=0,K110="",L110=""),"",MOD(L110-K110,1))</f>
        <v/>
      </c>
      <c r="F110" s="32" t="str">
        <f aca="false">IF(OR(E110="",M110=0),"",IF(ROUND_MODE="للأعلى",CEILING(ROUND((E110*24*$N$103),3),0.25),ROUND((E110*24*$N$103)*4,0)/4))</f>
        <v/>
      </c>
      <c r="G110" s="30"/>
      <c r="H110" s="30"/>
      <c r="K110" s="33" t="str">
        <f aca="false">IF(OR(M110=0,C110=""),"",IF(ISNUMBER(C110),MOD(C110,1),IFERROR(INDEX(القوائم!$B$1:$B$288,MATCH(TRIM(C110),القوائم!$A$1:$A$288,0)),IFERROR(MOD(TIMEVALUE(C110),1),""))))</f>
        <v/>
      </c>
      <c r="L110" s="33" t="str">
        <f aca="false">IF(OR(M110=0,D110=""),"",IF(ISNUMBER(D110),MOD(D110,1),IFERROR(INDEX(القوائم!$B$1:$B$288,MATCH(TRIM(D110),القوائم!$A$1:$A$288,0)),IFERROR(MOD(TIMEVALUE(D110),1),""))))</f>
        <v/>
      </c>
      <c r="M110" s="25" t="n">
        <f aca="false">M103</f>
        <v>0</v>
      </c>
      <c r="Q110" s="25" t="n">
        <f aca="false">IF(N(F114)&gt;0,1,0)</f>
        <v>0</v>
      </c>
      <c r="S110" s="0" t="n">
        <v>9</v>
      </c>
    </row>
    <row r="111" customFormat="false" ht="15" hidden="false" customHeight="false" outlineLevel="0" collapsed="false">
      <c r="A111" s="34" t="n">
        <f aca="false">IF(9&lt;=NW,SAT1+62,"")</f>
        <v>46080</v>
      </c>
      <c r="B111" s="35" t="str">
        <f aca="false">IF(A111="","",CHOOSE(WEEKDAY(A111,1),"الأحد","الاثنين","الثلاثاء","الأربعاء","الخميس","الجمعة","السبت"))</f>
        <v>الجمعة</v>
      </c>
      <c r="C111" s="30"/>
      <c r="D111" s="30"/>
      <c r="E111" s="31" t="str">
        <f aca="false">IF(OR(M111=0,K111="",L111=""),"",MOD(L111-K111,1))</f>
        <v/>
      </c>
      <c r="F111" s="32" t="str">
        <f aca="false">IF(OR(E111="",M111=0),"",IF(ROUND_MODE="للأعلى",CEILING(ROUND((E111*24*$N$103),3),0.25),ROUND((E111*24*$N$103)*4,0)/4))</f>
        <v/>
      </c>
      <c r="G111" s="30"/>
      <c r="H111" s="30"/>
      <c r="K111" s="33" t="str">
        <f aca="false">IF(OR(M111=0,C111=""),"",IF(ISNUMBER(C111),MOD(C111,1),IFERROR(INDEX(القوائم!$B$1:$B$288,MATCH(TRIM(C111),القوائم!$A$1:$A$288,0)),IFERROR(MOD(TIMEVALUE(C111),1),""))))</f>
        <v/>
      </c>
      <c r="L111" s="33" t="str">
        <f aca="false">IF(OR(M111=0,D111=""),"",IF(ISNUMBER(D111),MOD(D111,1),IFERROR(INDEX(القوائم!$B$1:$B$288,MATCH(TRIM(D111),القوائم!$A$1:$A$288,0)),IFERROR(MOD(TIMEVALUE(D111),1),""))))</f>
        <v/>
      </c>
      <c r="M111" s="25" t="n">
        <f aca="false">M103</f>
        <v>0</v>
      </c>
      <c r="Q111" s="25" t="n">
        <f aca="false">IF(N(F114)&gt;0,1,0)</f>
        <v>0</v>
      </c>
      <c r="S111" s="0" t="n">
        <v>9</v>
      </c>
    </row>
    <row r="112" customFormat="false" ht="15" hidden="false" customHeight="false" outlineLevel="0" collapsed="false">
      <c r="A112" s="36" t="str">
        <f aca="false">IF(M103=1,"مجموع أيام الأسبوع 9","")</f>
        <v/>
      </c>
      <c r="B112" s="36"/>
      <c r="C112" s="36"/>
      <c r="D112" s="36"/>
      <c r="E112" s="37" t="str">
        <f aca="false">IF(M103=1,SUM(E105:E111),"")</f>
        <v/>
      </c>
      <c r="F112" s="38" t="str">
        <f aca="false">IF(M103=1,SUM(F105:F111),"")</f>
        <v/>
      </c>
      <c r="G112" s="50" t="str">
        <f aca="false">IF(M103=1,SUMIFS(F105:F111,G105:G111,"نعم"),"")</f>
        <v/>
      </c>
      <c r="H112" s="36"/>
      <c r="S112" s="0" t="n">
        <v>9</v>
      </c>
    </row>
    <row r="113" customFormat="false" ht="31.5" hidden="false" customHeight="true" outlineLevel="0" collapsed="false">
      <c r="A113" s="39" t="str">
        <f aca="false">IF(M103=1,"ساعات تحميل الجبسمبورد بهالأسبوع (رقم: 2 أو 1.5) ←","")</f>
        <v/>
      </c>
      <c r="B113" s="39"/>
      <c r="C113" s="39"/>
      <c r="D113" s="39"/>
      <c r="E113" s="40"/>
      <c r="F113" s="42" t="str">
        <f aca="false">IF(M103=1,N(F112)+IF(ROUND_MODE="للأعلى",CEILING(ROUND((N(E113)*($P$103-$N$103)),3),0.25),ROUND((N(E113)*($P$103-$N$103))*4,0)/4)+N(C114),"")</f>
        <v/>
      </c>
      <c r="G113" s="41" t="str">
        <f aca="false">IF(M103=1,"← المستحق النهائي للأسبوع مع الجبسمبورد والإكرامية","")</f>
        <v/>
      </c>
      <c r="H113" s="41"/>
      <c r="S113" s="0" t="n">
        <v>9</v>
      </c>
    </row>
    <row r="114" customFormat="false" ht="25.5" hidden="false" customHeight="true" outlineLevel="0" collapsed="false">
      <c r="A114" s="39" t="str">
        <f aca="false">IF(M103=1,"إكرامية الأسبوع ←","")</f>
        <v/>
      </c>
      <c r="B114" s="39"/>
      <c r="C114" s="44"/>
      <c r="D114" s="39" t="str">
        <f aca="false">IF(M103=1,"المدفوع (التسوية) ←","")</f>
        <v/>
      </c>
      <c r="E114" s="39"/>
      <c r="F114" s="44"/>
      <c r="G114" s="45" t="str">
        <f aca="false">IF(M103=1,IF(N(F114)&gt;0,"✔ انقبض — الأسبوع مقفول","⏳ لسا ما انقبض"),"")</f>
        <v/>
      </c>
      <c r="H114" s="45"/>
      <c r="S114" s="0" t="n">
        <v>9</v>
      </c>
    </row>
    <row r="115" customFormat="false" ht="27.75" hidden="false" customHeight="true" outlineLevel="0" collapsed="false">
      <c r="A115" s="48" t="str">
        <f aca="false">IF(10&lt;=NW,"من السبت "&amp;TEXT(DAY(SAT1+63),"00")&amp;"/"&amp;TEXT(MONTH(SAT1+63),"00")&amp;"/"&amp;YEAR(SAT1+63)&amp;" إلى الجمعة "&amp;TEXT(DAY(SAT1+69),"00")&amp;"/"&amp;TEXT(MONTH(SAT1+69),"00")&amp;"/"&amp;YEAR(SAT1+69)&amp;" · الأسبوع 10"&amp;"  (يوم القبض: الجمعة)"&amp;IF(10&lt;START_Z,"   — قبل أسبوع البداية (ما بينحسب)",""),"ما في أسبوع 10 هالسنة")</f>
        <v>من السبت 28/02/2026 إلى الجمعة 06/03/2026 · الأسبوع 10  (يوم القبض: الجمعة)   — قبل أسبوع البداية (ما بينحسب)</v>
      </c>
      <c r="B115" s="48"/>
      <c r="C115" s="48"/>
      <c r="D115" s="48"/>
      <c r="E115" s="48"/>
      <c r="F115" s="48"/>
      <c r="G115" s="48"/>
      <c r="H115" s="48"/>
      <c r="L115" s="24" t="n">
        <f aca="false">IF(10&lt;=NW,SAT1+69,"")</f>
        <v>46087</v>
      </c>
      <c r="M115" s="25" t="n">
        <f aca="false">IF(AND(10&lt;=NW,10&gt;=START_Z),1,0)</f>
        <v>0</v>
      </c>
      <c r="N115" s="26" t="n">
        <f aca="false">IFERROR(INDEX(RT_AZZ,MATCH(L115,RT_K,1)),INDEX(RT_AZZ,1))</f>
        <v>1</v>
      </c>
      <c r="P115" s="26" t="n">
        <f aca="false">IFERROR(INDEX(RT_GYP,MATCH(L115,RT_K,1)),INDEX(RT_GYP,1))</f>
        <v>2.5</v>
      </c>
      <c r="R115" s="0" t="n">
        <v>10</v>
      </c>
      <c r="S115" s="0" t="n">
        <v>10</v>
      </c>
    </row>
    <row r="116" customFormat="false" ht="25.5" hidden="false" customHeight="true" outlineLevel="0" collapsed="false">
      <c r="A116" s="49" t="s">
        <v>22</v>
      </c>
      <c r="B116" s="49" t="s">
        <v>23</v>
      </c>
      <c r="C116" s="49" t="s">
        <v>24</v>
      </c>
      <c r="D116" s="49" t="s">
        <v>25</v>
      </c>
      <c r="E116" s="49" t="s">
        <v>26</v>
      </c>
      <c r="F116" s="49" t="s">
        <v>33</v>
      </c>
      <c r="G116" s="49" t="s">
        <v>34</v>
      </c>
      <c r="H116" s="49" t="s">
        <v>30</v>
      </c>
      <c r="S116" s="0" t="n">
        <v>10</v>
      </c>
    </row>
    <row r="117" customFormat="false" ht="15" hidden="false" customHeight="false" outlineLevel="0" collapsed="false">
      <c r="A117" s="28" t="n">
        <f aca="false">IF(10&lt;=NW,SAT1+63,"")</f>
        <v>46081</v>
      </c>
      <c r="B117" s="29" t="str">
        <f aca="false">IF(A117="","",CHOOSE(WEEKDAY(A117,1),"الأحد","الاثنين","الثلاثاء","الأربعاء","الخميس","الجمعة","السبت"))</f>
        <v>السبت</v>
      </c>
      <c r="C117" s="30"/>
      <c r="D117" s="30"/>
      <c r="E117" s="31" t="str">
        <f aca="false">IF(OR(M117=0,K117="",L117=""),"",MOD(L117-K117,1))</f>
        <v/>
      </c>
      <c r="F117" s="32" t="str">
        <f aca="false">IF(OR(E117="",M117=0),"",IF(ROUND_MODE="للأعلى",CEILING(ROUND((E117*24*$N$115),3),0.25),ROUND((E117*24*$N$115)*4,0)/4))</f>
        <v/>
      </c>
      <c r="G117" s="30"/>
      <c r="H117" s="30"/>
      <c r="K117" s="33" t="str">
        <f aca="false">IF(OR(M117=0,C117=""),"",IF(ISNUMBER(C117),MOD(C117,1),IFERROR(INDEX(القوائم!$B$1:$B$288,MATCH(TRIM(C117),القوائم!$A$1:$A$288,0)),IFERROR(MOD(TIMEVALUE(C117),1),""))))</f>
        <v/>
      </c>
      <c r="L117" s="33" t="str">
        <f aca="false">IF(OR(M117=0,D117=""),"",IF(ISNUMBER(D117),MOD(D117,1),IFERROR(INDEX(القوائم!$B$1:$B$288,MATCH(TRIM(D117),القوائم!$A$1:$A$288,0)),IFERROR(MOD(TIMEVALUE(D117),1),""))))</f>
        <v/>
      </c>
      <c r="M117" s="25" t="n">
        <f aca="false">M115</f>
        <v>0</v>
      </c>
      <c r="Q117" s="25" t="n">
        <f aca="false">IF(N(F126)&gt;0,1,0)</f>
        <v>0</v>
      </c>
      <c r="S117" s="0" t="n">
        <v>10</v>
      </c>
    </row>
    <row r="118" customFormat="false" ht="15" hidden="false" customHeight="false" outlineLevel="0" collapsed="false">
      <c r="A118" s="28" t="n">
        <f aca="false">IF(10&lt;=NW,SAT1+64,"")</f>
        <v>46082</v>
      </c>
      <c r="B118" s="29" t="str">
        <f aca="false">IF(A118="","",CHOOSE(WEEKDAY(A118,1),"الأحد","الاثنين","الثلاثاء","الأربعاء","الخميس","الجمعة","السبت"))</f>
        <v>الأحد</v>
      </c>
      <c r="C118" s="30"/>
      <c r="D118" s="30"/>
      <c r="E118" s="31" t="str">
        <f aca="false">IF(OR(M118=0,K118="",L118=""),"",MOD(L118-K118,1))</f>
        <v/>
      </c>
      <c r="F118" s="32" t="str">
        <f aca="false">IF(OR(E118="",M118=0),"",IF(ROUND_MODE="للأعلى",CEILING(ROUND((E118*24*$N$115),3),0.25),ROUND((E118*24*$N$115)*4,0)/4))</f>
        <v/>
      </c>
      <c r="G118" s="30"/>
      <c r="H118" s="30"/>
      <c r="K118" s="33" t="str">
        <f aca="false">IF(OR(M118=0,C118=""),"",IF(ISNUMBER(C118),MOD(C118,1),IFERROR(INDEX(القوائم!$B$1:$B$288,MATCH(TRIM(C118),القوائم!$A$1:$A$288,0)),IFERROR(MOD(TIMEVALUE(C118),1),""))))</f>
        <v/>
      </c>
      <c r="L118" s="33" t="str">
        <f aca="false">IF(OR(M118=0,D118=""),"",IF(ISNUMBER(D118),MOD(D118,1),IFERROR(INDEX(القوائم!$B$1:$B$288,MATCH(TRIM(D118),القوائم!$A$1:$A$288,0)),IFERROR(MOD(TIMEVALUE(D118),1),""))))</f>
        <v/>
      </c>
      <c r="M118" s="25" t="n">
        <f aca="false">M115</f>
        <v>0</v>
      </c>
      <c r="Q118" s="25" t="n">
        <f aca="false">IF(N(F126)&gt;0,1,0)</f>
        <v>0</v>
      </c>
      <c r="S118" s="0" t="n">
        <v>10</v>
      </c>
    </row>
    <row r="119" customFormat="false" ht="15" hidden="false" customHeight="false" outlineLevel="0" collapsed="false">
      <c r="A119" s="28" t="n">
        <f aca="false">IF(10&lt;=NW,SAT1+65,"")</f>
        <v>46083</v>
      </c>
      <c r="B119" s="29" t="str">
        <f aca="false">IF(A119="","",CHOOSE(WEEKDAY(A119,1),"الأحد","الاثنين","الثلاثاء","الأربعاء","الخميس","الجمعة","السبت"))</f>
        <v>الاثنين</v>
      </c>
      <c r="C119" s="30"/>
      <c r="D119" s="30"/>
      <c r="E119" s="31" t="str">
        <f aca="false">IF(OR(M119=0,K119="",L119=""),"",MOD(L119-K119,1))</f>
        <v/>
      </c>
      <c r="F119" s="32" t="str">
        <f aca="false">IF(OR(E119="",M119=0),"",IF(ROUND_MODE="للأعلى",CEILING(ROUND((E119*24*$N$115),3),0.25),ROUND((E119*24*$N$115)*4,0)/4))</f>
        <v/>
      </c>
      <c r="G119" s="30"/>
      <c r="H119" s="30"/>
      <c r="K119" s="33" t="str">
        <f aca="false">IF(OR(M119=0,C119=""),"",IF(ISNUMBER(C119),MOD(C119,1),IFERROR(INDEX(القوائم!$B$1:$B$288,MATCH(TRIM(C119),القوائم!$A$1:$A$288,0)),IFERROR(MOD(TIMEVALUE(C119),1),""))))</f>
        <v/>
      </c>
      <c r="L119" s="33" t="str">
        <f aca="false">IF(OR(M119=0,D119=""),"",IF(ISNUMBER(D119),MOD(D119,1),IFERROR(INDEX(القوائم!$B$1:$B$288,MATCH(TRIM(D119),القوائم!$A$1:$A$288,0)),IFERROR(MOD(TIMEVALUE(D119),1),""))))</f>
        <v/>
      </c>
      <c r="M119" s="25" t="n">
        <f aca="false">M115</f>
        <v>0</v>
      </c>
      <c r="Q119" s="25" t="n">
        <f aca="false">IF(N(F126)&gt;0,1,0)</f>
        <v>0</v>
      </c>
      <c r="S119" s="0" t="n">
        <v>10</v>
      </c>
    </row>
    <row r="120" customFormat="false" ht="15" hidden="false" customHeight="false" outlineLevel="0" collapsed="false">
      <c r="A120" s="28" t="n">
        <f aca="false">IF(10&lt;=NW,SAT1+66,"")</f>
        <v>46084</v>
      </c>
      <c r="B120" s="29" t="str">
        <f aca="false">IF(A120="","",CHOOSE(WEEKDAY(A120,1),"الأحد","الاثنين","الثلاثاء","الأربعاء","الخميس","الجمعة","السبت"))</f>
        <v>الثلاثاء</v>
      </c>
      <c r="C120" s="30"/>
      <c r="D120" s="30"/>
      <c r="E120" s="31" t="str">
        <f aca="false">IF(OR(M120=0,K120="",L120=""),"",MOD(L120-K120,1))</f>
        <v/>
      </c>
      <c r="F120" s="32" t="str">
        <f aca="false">IF(OR(E120="",M120=0),"",IF(ROUND_MODE="للأعلى",CEILING(ROUND((E120*24*$N$115),3),0.25),ROUND((E120*24*$N$115)*4,0)/4))</f>
        <v/>
      </c>
      <c r="G120" s="30"/>
      <c r="H120" s="30"/>
      <c r="K120" s="33" t="str">
        <f aca="false">IF(OR(M120=0,C120=""),"",IF(ISNUMBER(C120),MOD(C120,1),IFERROR(INDEX(القوائم!$B$1:$B$288,MATCH(TRIM(C120),القوائم!$A$1:$A$288,0)),IFERROR(MOD(TIMEVALUE(C120),1),""))))</f>
        <v/>
      </c>
      <c r="L120" s="33" t="str">
        <f aca="false">IF(OR(M120=0,D120=""),"",IF(ISNUMBER(D120),MOD(D120,1),IFERROR(INDEX(القوائم!$B$1:$B$288,MATCH(TRIM(D120),القوائم!$A$1:$A$288,0)),IFERROR(MOD(TIMEVALUE(D120),1),""))))</f>
        <v/>
      </c>
      <c r="M120" s="25" t="n">
        <f aca="false">M115</f>
        <v>0</v>
      </c>
      <c r="Q120" s="25" t="n">
        <f aca="false">IF(N(F126)&gt;0,1,0)</f>
        <v>0</v>
      </c>
      <c r="S120" s="0" t="n">
        <v>10</v>
      </c>
    </row>
    <row r="121" customFormat="false" ht="15" hidden="false" customHeight="false" outlineLevel="0" collapsed="false">
      <c r="A121" s="28" t="n">
        <f aca="false">IF(10&lt;=NW,SAT1+67,"")</f>
        <v>46085</v>
      </c>
      <c r="B121" s="29" t="str">
        <f aca="false">IF(A121="","",CHOOSE(WEEKDAY(A121,1),"الأحد","الاثنين","الثلاثاء","الأربعاء","الخميس","الجمعة","السبت"))</f>
        <v>الأربعاء</v>
      </c>
      <c r="C121" s="30"/>
      <c r="D121" s="30"/>
      <c r="E121" s="31" t="str">
        <f aca="false">IF(OR(M121=0,K121="",L121=""),"",MOD(L121-K121,1))</f>
        <v/>
      </c>
      <c r="F121" s="32" t="str">
        <f aca="false">IF(OR(E121="",M121=0),"",IF(ROUND_MODE="للأعلى",CEILING(ROUND((E121*24*$N$115),3),0.25),ROUND((E121*24*$N$115)*4,0)/4))</f>
        <v/>
      </c>
      <c r="G121" s="30"/>
      <c r="H121" s="30"/>
      <c r="K121" s="33" t="str">
        <f aca="false">IF(OR(M121=0,C121=""),"",IF(ISNUMBER(C121),MOD(C121,1),IFERROR(INDEX(القوائم!$B$1:$B$288,MATCH(TRIM(C121),القوائم!$A$1:$A$288,0)),IFERROR(MOD(TIMEVALUE(C121),1),""))))</f>
        <v/>
      </c>
      <c r="L121" s="33" t="str">
        <f aca="false">IF(OR(M121=0,D121=""),"",IF(ISNUMBER(D121),MOD(D121,1),IFERROR(INDEX(القوائم!$B$1:$B$288,MATCH(TRIM(D121),القوائم!$A$1:$A$288,0)),IFERROR(MOD(TIMEVALUE(D121),1),""))))</f>
        <v/>
      </c>
      <c r="M121" s="25" t="n">
        <f aca="false">M115</f>
        <v>0</v>
      </c>
      <c r="Q121" s="25" t="n">
        <f aca="false">IF(N(F126)&gt;0,1,0)</f>
        <v>0</v>
      </c>
      <c r="S121" s="0" t="n">
        <v>10</v>
      </c>
    </row>
    <row r="122" customFormat="false" ht="15" hidden="false" customHeight="false" outlineLevel="0" collapsed="false">
      <c r="A122" s="28" t="n">
        <f aca="false">IF(10&lt;=NW,SAT1+68,"")</f>
        <v>46086</v>
      </c>
      <c r="B122" s="29" t="str">
        <f aca="false">IF(A122="","",CHOOSE(WEEKDAY(A122,1),"الأحد","الاثنين","الثلاثاء","الأربعاء","الخميس","الجمعة","السبت"))</f>
        <v>الخميس</v>
      </c>
      <c r="C122" s="30"/>
      <c r="D122" s="30"/>
      <c r="E122" s="31" t="str">
        <f aca="false">IF(OR(M122=0,K122="",L122=""),"",MOD(L122-K122,1))</f>
        <v/>
      </c>
      <c r="F122" s="32" t="str">
        <f aca="false">IF(OR(E122="",M122=0),"",IF(ROUND_MODE="للأعلى",CEILING(ROUND((E122*24*$N$115),3),0.25),ROUND((E122*24*$N$115)*4,0)/4))</f>
        <v/>
      </c>
      <c r="G122" s="30"/>
      <c r="H122" s="30"/>
      <c r="K122" s="33" t="str">
        <f aca="false">IF(OR(M122=0,C122=""),"",IF(ISNUMBER(C122),MOD(C122,1),IFERROR(INDEX(القوائم!$B$1:$B$288,MATCH(TRIM(C122),القوائم!$A$1:$A$288,0)),IFERROR(MOD(TIMEVALUE(C122),1),""))))</f>
        <v/>
      </c>
      <c r="L122" s="33" t="str">
        <f aca="false">IF(OR(M122=0,D122=""),"",IF(ISNUMBER(D122),MOD(D122,1),IFERROR(INDEX(القوائم!$B$1:$B$288,MATCH(TRIM(D122),القوائم!$A$1:$A$288,0)),IFERROR(MOD(TIMEVALUE(D122),1),""))))</f>
        <v/>
      </c>
      <c r="M122" s="25" t="n">
        <f aca="false">M115</f>
        <v>0</v>
      </c>
      <c r="Q122" s="25" t="n">
        <f aca="false">IF(N(F126)&gt;0,1,0)</f>
        <v>0</v>
      </c>
      <c r="S122" s="0" t="n">
        <v>10</v>
      </c>
    </row>
    <row r="123" customFormat="false" ht="15" hidden="false" customHeight="false" outlineLevel="0" collapsed="false">
      <c r="A123" s="34" t="n">
        <f aca="false">IF(10&lt;=NW,SAT1+69,"")</f>
        <v>46087</v>
      </c>
      <c r="B123" s="35" t="str">
        <f aca="false">IF(A123="","",CHOOSE(WEEKDAY(A123,1),"الأحد","الاثنين","الثلاثاء","الأربعاء","الخميس","الجمعة","السبت"))</f>
        <v>الجمعة</v>
      </c>
      <c r="C123" s="30"/>
      <c r="D123" s="30"/>
      <c r="E123" s="31" t="str">
        <f aca="false">IF(OR(M123=0,K123="",L123=""),"",MOD(L123-K123,1))</f>
        <v/>
      </c>
      <c r="F123" s="32" t="str">
        <f aca="false">IF(OR(E123="",M123=0),"",IF(ROUND_MODE="للأعلى",CEILING(ROUND((E123*24*$N$115),3),0.25),ROUND((E123*24*$N$115)*4,0)/4))</f>
        <v/>
      </c>
      <c r="G123" s="30"/>
      <c r="H123" s="30"/>
      <c r="K123" s="33" t="str">
        <f aca="false">IF(OR(M123=0,C123=""),"",IF(ISNUMBER(C123),MOD(C123,1),IFERROR(INDEX(القوائم!$B$1:$B$288,MATCH(TRIM(C123),القوائم!$A$1:$A$288,0)),IFERROR(MOD(TIMEVALUE(C123),1),""))))</f>
        <v/>
      </c>
      <c r="L123" s="33" t="str">
        <f aca="false">IF(OR(M123=0,D123=""),"",IF(ISNUMBER(D123),MOD(D123,1),IFERROR(INDEX(القوائم!$B$1:$B$288,MATCH(TRIM(D123),القوائم!$A$1:$A$288,0)),IFERROR(MOD(TIMEVALUE(D123),1),""))))</f>
        <v/>
      </c>
      <c r="M123" s="25" t="n">
        <f aca="false">M115</f>
        <v>0</v>
      </c>
      <c r="Q123" s="25" t="n">
        <f aca="false">IF(N(F126)&gt;0,1,0)</f>
        <v>0</v>
      </c>
      <c r="S123" s="0" t="n">
        <v>10</v>
      </c>
    </row>
    <row r="124" customFormat="false" ht="15" hidden="false" customHeight="false" outlineLevel="0" collapsed="false">
      <c r="A124" s="36" t="str">
        <f aca="false">IF(M115=1,"مجموع أيام الأسبوع 10","")</f>
        <v/>
      </c>
      <c r="B124" s="36"/>
      <c r="C124" s="36"/>
      <c r="D124" s="36"/>
      <c r="E124" s="37" t="str">
        <f aca="false">IF(M115=1,SUM(E117:E123),"")</f>
        <v/>
      </c>
      <c r="F124" s="38" t="str">
        <f aca="false">IF(M115=1,SUM(F117:F123),"")</f>
        <v/>
      </c>
      <c r="G124" s="50" t="str">
        <f aca="false">IF(M115=1,SUMIFS(F117:F123,G117:G123,"نعم"),"")</f>
        <v/>
      </c>
      <c r="H124" s="36"/>
      <c r="S124" s="0" t="n">
        <v>10</v>
      </c>
    </row>
    <row r="125" customFormat="false" ht="31.5" hidden="false" customHeight="true" outlineLevel="0" collapsed="false">
      <c r="A125" s="39" t="str">
        <f aca="false">IF(M115=1,"ساعات تحميل الجبسمبورد بهالأسبوع (رقم: 2 أو 1.5) ←","")</f>
        <v/>
      </c>
      <c r="B125" s="39"/>
      <c r="C125" s="39"/>
      <c r="D125" s="39"/>
      <c r="E125" s="40"/>
      <c r="F125" s="42" t="str">
        <f aca="false">IF(M115=1,N(F124)+IF(ROUND_MODE="للأعلى",CEILING(ROUND((N(E125)*($P$115-$N$115)),3),0.25),ROUND((N(E125)*($P$115-$N$115))*4,0)/4)+N(C126),"")</f>
        <v/>
      </c>
      <c r="G125" s="41" t="str">
        <f aca="false">IF(M115=1,"← المستحق النهائي للأسبوع مع الجبسمبورد والإكرامية","")</f>
        <v/>
      </c>
      <c r="H125" s="41"/>
      <c r="S125" s="0" t="n">
        <v>10</v>
      </c>
    </row>
    <row r="126" customFormat="false" ht="25.5" hidden="false" customHeight="true" outlineLevel="0" collapsed="false">
      <c r="A126" s="39" t="str">
        <f aca="false">IF(M115=1,"إكرامية الأسبوع ←","")</f>
        <v/>
      </c>
      <c r="B126" s="39"/>
      <c r="C126" s="44"/>
      <c r="D126" s="39" t="str">
        <f aca="false">IF(M115=1,"المدفوع (التسوية) ←","")</f>
        <v/>
      </c>
      <c r="E126" s="39"/>
      <c r="F126" s="44"/>
      <c r="G126" s="45" t="str">
        <f aca="false">IF(M115=1,IF(N(F126)&gt;0,"✔ انقبض — الأسبوع مقفول","⏳ لسا ما انقبض"),"")</f>
        <v/>
      </c>
      <c r="H126" s="45"/>
      <c r="S126" s="0" t="n">
        <v>10</v>
      </c>
    </row>
    <row r="127" customFormat="false" ht="27.75" hidden="false" customHeight="true" outlineLevel="0" collapsed="false">
      <c r="A127" s="48" t="str">
        <f aca="false">IF(11&lt;=NW,"من السبت "&amp;TEXT(DAY(SAT1+70),"00")&amp;"/"&amp;TEXT(MONTH(SAT1+70),"00")&amp;"/"&amp;YEAR(SAT1+70)&amp;" إلى الجمعة "&amp;TEXT(DAY(SAT1+76),"00")&amp;"/"&amp;TEXT(MONTH(SAT1+76),"00")&amp;"/"&amp;YEAR(SAT1+76)&amp;" · الأسبوع 11"&amp;"  (يوم القبض: الجمعة)"&amp;IF(11&lt;START_Z,"   — قبل أسبوع البداية (ما بينحسب)",""),"ما في أسبوع 11 هالسنة")</f>
        <v>من السبت 07/03/2026 إلى الجمعة 13/03/2026 · الأسبوع 11  (يوم القبض: الجمعة)   — قبل أسبوع البداية (ما بينحسب)</v>
      </c>
      <c r="B127" s="48"/>
      <c r="C127" s="48"/>
      <c r="D127" s="48"/>
      <c r="E127" s="48"/>
      <c r="F127" s="48"/>
      <c r="G127" s="48"/>
      <c r="H127" s="48"/>
      <c r="L127" s="24" t="n">
        <f aca="false">IF(11&lt;=NW,SAT1+76,"")</f>
        <v>46094</v>
      </c>
      <c r="M127" s="25" t="n">
        <f aca="false">IF(AND(11&lt;=NW,11&gt;=START_Z),1,0)</f>
        <v>0</v>
      </c>
      <c r="N127" s="26" t="n">
        <f aca="false">IFERROR(INDEX(RT_AZZ,MATCH(L127,RT_K,1)),INDEX(RT_AZZ,1))</f>
        <v>1</v>
      </c>
      <c r="P127" s="26" t="n">
        <f aca="false">IFERROR(INDEX(RT_GYP,MATCH(L127,RT_K,1)),INDEX(RT_GYP,1))</f>
        <v>2.5</v>
      </c>
      <c r="R127" s="0" t="n">
        <v>11</v>
      </c>
      <c r="S127" s="0" t="n">
        <v>11</v>
      </c>
    </row>
    <row r="128" customFormat="false" ht="25.5" hidden="false" customHeight="true" outlineLevel="0" collapsed="false">
      <c r="A128" s="49" t="s">
        <v>22</v>
      </c>
      <c r="B128" s="49" t="s">
        <v>23</v>
      </c>
      <c r="C128" s="49" t="s">
        <v>24</v>
      </c>
      <c r="D128" s="49" t="s">
        <v>25</v>
      </c>
      <c r="E128" s="49" t="s">
        <v>26</v>
      </c>
      <c r="F128" s="49" t="s">
        <v>33</v>
      </c>
      <c r="G128" s="49" t="s">
        <v>34</v>
      </c>
      <c r="H128" s="49" t="s">
        <v>30</v>
      </c>
      <c r="S128" s="0" t="n">
        <v>11</v>
      </c>
    </row>
    <row r="129" customFormat="false" ht="15" hidden="false" customHeight="false" outlineLevel="0" collapsed="false">
      <c r="A129" s="28" t="n">
        <f aca="false">IF(11&lt;=NW,SAT1+70,"")</f>
        <v>46088</v>
      </c>
      <c r="B129" s="29" t="str">
        <f aca="false">IF(A129="","",CHOOSE(WEEKDAY(A129,1),"الأحد","الاثنين","الثلاثاء","الأربعاء","الخميس","الجمعة","السبت"))</f>
        <v>السبت</v>
      </c>
      <c r="C129" s="30"/>
      <c r="D129" s="30"/>
      <c r="E129" s="31" t="str">
        <f aca="false">IF(OR(M129=0,K129="",L129=""),"",MOD(L129-K129,1))</f>
        <v/>
      </c>
      <c r="F129" s="32" t="str">
        <f aca="false">IF(OR(E129="",M129=0),"",IF(ROUND_MODE="للأعلى",CEILING(ROUND((E129*24*$N$127),3),0.25),ROUND((E129*24*$N$127)*4,0)/4))</f>
        <v/>
      </c>
      <c r="G129" s="30"/>
      <c r="H129" s="30"/>
      <c r="K129" s="33" t="str">
        <f aca="false">IF(OR(M129=0,C129=""),"",IF(ISNUMBER(C129),MOD(C129,1),IFERROR(INDEX(القوائم!$B$1:$B$288,MATCH(TRIM(C129),القوائم!$A$1:$A$288,0)),IFERROR(MOD(TIMEVALUE(C129),1),""))))</f>
        <v/>
      </c>
      <c r="L129" s="33" t="str">
        <f aca="false">IF(OR(M129=0,D129=""),"",IF(ISNUMBER(D129),MOD(D129,1),IFERROR(INDEX(القوائم!$B$1:$B$288,MATCH(TRIM(D129),القوائم!$A$1:$A$288,0)),IFERROR(MOD(TIMEVALUE(D129),1),""))))</f>
        <v/>
      </c>
      <c r="M129" s="25" t="n">
        <f aca="false">M127</f>
        <v>0</v>
      </c>
      <c r="Q129" s="25" t="n">
        <f aca="false">IF(N(F138)&gt;0,1,0)</f>
        <v>0</v>
      </c>
      <c r="S129" s="0" t="n">
        <v>11</v>
      </c>
    </row>
    <row r="130" customFormat="false" ht="15" hidden="false" customHeight="false" outlineLevel="0" collapsed="false">
      <c r="A130" s="28" t="n">
        <f aca="false">IF(11&lt;=NW,SAT1+71,"")</f>
        <v>46089</v>
      </c>
      <c r="B130" s="29" t="str">
        <f aca="false">IF(A130="","",CHOOSE(WEEKDAY(A130,1),"الأحد","الاثنين","الثلاثاء","الأربعاء","الخميس","الجمعة","السبت"))</f>
        <v>الأحد</v>
      </c>
      <c r="C130" s="30"/>
      <c r="D130" s="30"/>
      <c r="E130" s="31" t="str">
        <f aca="false">IF(OR(M130=0,K130="",L130=""),"",MOD(L130-K130,1))</f>
        <v/>
      </c>
      <c r="F130" s="32" t="str">
        <f aca="false">IF(OR(E130="",M130=0),"",IF(ROUND_MODE="للأعلى",CEILING(ROUND((E130*24*$N$127),3),0.25),ROUND((E130*24*$N$127)*4,0)/4))</f>
        <v/>
      </c>
      <c r="G130" s="30"/>
      <c r="H130" s="30"/>
      <c r="K130" s="33" t="str">
        <f aca="false">IF(OR(M130=0,C130=""),"",IF(ISNUMBER(C130),MOD(C130,1),IFERROR(INDEX(القوائم!$B$1:$B$288,MATCH(TRIM(C130),القوائم!$A$1:$A$288,0)),IFERROR(MOD(TIMEVALUE(C130),1),""))))</f>
        <v/>
      </c>
      <c r="L130" s="33" t="str">
        <f aca="false">IF(OR(M130=0,D130=""),"",IF(ISNUMBER(D130),MOD(D130,1),IFERROR(INDEX(القوائم!$B$1:$B$288,MATCH(TRIM(D130),القوائم!$A$1:$A$288,0)),IFERROR(MOD(TIMEVALUE(D130),1),""))))</f>
        <v/>
      </c>
      <c r="M130" s="25" t="n">
        <f aca="false">M127</f>
        <v>0</v>
      </c>
      <c r="Q130" s="25" t="n">
        <f aca="false">IF(N(F138)&gt;0,1,0)</f>
        <v>0</v>
      </c>
      <c r="S130" s="0" t="n">
        <v>11</v>
      </c>
    </row>
    <row r="131" customFormat="false" ht="15" hidden="false" customHeight="false" outlineLevel="0" collapsed="false">
      <c r="A131" s="28" t="n">
        <f aca="false">IF(11&lt;=NW,SAT1+72,"")</f>
        <v>46090</v>
      </c>
      <c r="B131" s="29" t="str">
        <f aca="false">IF(A131="","",CHOOSE(WEEKDAY(A131,1),"الأحد","الاثنين","الثلاثاء","الأربعاء","الخميس","الجمعة","السبت"))</f>
        <v>الاثنين</v>
      </c>
      <c r="C131" s="30"/>
      <c r="D131" s="30"/>
      <c r="E131" s="31" t="str">
        <f aca="false">IF(OR(M131=0,K131="",L131=""),"",MOD(L131-K131,1))</f>
        <v/>
      </c>
      <c r="F131" s="32" t="str">
        <f aca="false">IF(OR(E131="",M131=0),"",IF(ROUND_MODE="للأعلى",CEILING(ROUND((E131*24*$N$127),3),0.25),ROUND((E131*24*$N$127)*4,0)/4))</f>
        <v/>
      </c>
      <c r="G131" s="30"/>
      <c r="H131" s="30"/>
      <c r="K131" s="33" t="str">
        <f aca="false">IF(OR(M131=0,C131=""),"",IF(ISNUMBER(C131),MOD(C131,1),IFERROR(INDEX(القوائم!$B$1:$B$288,MATCH(TRIM(C131),القوائم!$A$1:$A$288,0)),IFERROR(MOD(TIMEVALUE(C131),1),""))))</f>
        <v/>
      </c>
      <c r="L131" s="33" t="str">
        <f aca="false">IF(OR(M131=0,D131=""),"",IF(ISNUMBER(D131),MOD(D131,1),IFERROR(INDEX(القوائم!$B$1:$B$288,MATCH(TRIM(D131),القوائم!$A$1:$A$288,0)),IFERROR(MOD(TIMEVALUE(D131),1),""))))</f>
        <v/>
      </c>
      <c r="M131" s="25" t="n">
        <f aca="false">M127</f>
        <v>0</v>
      </c>
      <c r="Q131" s="25" t="n">
        <f aca="false">IF(N(F138)&gt;0,1,0)</f>
        <v>0</v>
      </c>
      <c r="S131" s="0" t="n">
        <v>11</v>
      </c>
    </row>
    <row r="132" customFormat="false" ht="15" hidden="false" customHeight="false" outlineLevel="0" collapsed="false">
      <c r="A132" s="28" t="n">
        <f aca="false">IF(11&lt;=NW,SAT1+73,"")</f>
        <v>46091</v>
      </c>
      <c r="B132" s="29" t="str">
        <f aca="false">IF(A132="","",CHOOSE(WEEKDAY(A132,1),"الأحد","الاثنين","الثلاثاء","الأربعاء","الخميس","الجمعة","السبت"))</f>
        <v>الثلاثاء</v>
      </c>
      <c r="C132" s="30"/>
      <c r="D132" s="30"/>
      <c r="E132" s="31" t="str">
        <f aca="false">IF(OR(M132=0,K132="",L132=""),"",MOD(L132-K132,1))</f>
        <v/>
      </c>
      <c r="F132" s="32" t="str">
        <f aca="false">IF(OR(E132="",M132=0),"",IF(ROUND_MODE="للأعلى",CEILING(ROUND((E132*24*$N$127),3),0.25),ROUND((E132*24*$N$127)*4,0)/4))</f>
        <v/>
      </c>
      <c r="G132" s="30"/>
      <c r="H132" s="30"/>
      <c r="K132" s="33" t="str">
        <f aca="false">IF(OR(M132=0,C132=""),"",IF(ISNUMBER(C132),MOD(C132,1),IFERROR(INDEX(القوائم!$B$1:$B$288,MATCH(TRIM(C132),القوائم!$A$1:$A$288,0)),IFERROR(MOD(TIMEVALUE(C132),1),""))))</f>
        <v/>
      </c>
      <c r="L132" s="33" t="str">
        <f aca="false">IF(OR(M132=0,D132=""),"",IF(ISNUMBER(D132),MOD(D132,1),IFERROR(INDEX(القوائم!$B$1:$B$288,MATCH(TRIM(D132),القوائم!$A$1:$A$288,0)),IFERROR(MOD(TIMEVALUE(D132),1),""))))</f>
        <v/>
      </c>
      <c r="M132" s="25" t="n">
        <f aca="false">M127</f>
        <v>0</v>
      </c>
      <c r="Q132" s="25" t="n">
        <f aca="false">IF(N(F138)&gt;0,1,0)</f>
        <v>0</v>
      </c>
      <c r="S132" s="0" t="n">
        <v>11</v>
      </c>
    </row>
    <row r="133" customFormat="false" ht="15" hidden="false" customHeight="false" outlineLevel="0" collapsed="false">
      <c r="A133" s="28" t="n">
        <f aca="false">IF(11&lt;=NW,SAT1+74,"")</f>
        <v>46092</v>
      </c>
      <c r="B133" s="29" t="str">
        <f aca="false">IF(A133="","",CHOOSE(WEEKDAY(A133,1),"الأحد","الاثنين","الثلاثاء","الأربعاء","الخميس","الجمعة","السبت"))</f>
        <v>الأربعاء</v>
      </c>
      <c r="C133" s="30"/>
      <c r="D133" s="30"/>
      <c r="E133" s="31" t="str">
        <f aca="false">IF(OR(M133=0,K133="",L133=""),"",MOD(L133-K133,1))</f>
        <v/>
      </c>
      <c r="F133" s="32" t="str">
        <f aca="false">IF(OR(E133="",M133=0),"",IF(ROUND_MODE="للأعلى",CEILING(ROUND((E133*24*$N$127),3),0.25),ROUND((E133*24*$N$127)*4,0)/4))</f>
        <v/>
      </c>
      <c r="G133" s="30"/>
      <c r="H133" s="30"/>
      <c r="K133" s="33" t="str">
        <f aca="false">IF(OR(M133=0,C133=""),"",IF(ISNUMBER(C133),MOD(C133,1),IFERROR(INDEX(القوائم!$B$1:$B$288,MATCH(TRIM(C133),القوائم!$A$1:$A$288,0)),IFERROR(MOD(TIMEVALUE(C133),1),""))))</f>
        <v/>
      </c>
      <c r="L133" s="33" t="str">
        <f aca="false">IF(OR(M133=0,D133=""),"",IF(ISNUMBER(D133),MOD(D133,1),IFERROR(INDEX(القوائم!$B$1:$B$288,MATCH(TRIM(D133),القوائم!$A$1:$A$288,0)),IFERROR(MOD(TIMEVALUE(D133),1),""))))</f>
        <v/>
      </c>
      <c r="M133" s="25" t="n">
        <f aca="false">M127</f>
        <v>0</v>
      </c>
      <c r="Q133" s="25" t="n">
        <f aca="false">IF(N(F138)&gt;0,1,0)</f>
        <v>0</v>
      </c>
      <c r="S133" s="0" t="n">
        <v>11</v>
      </c>
    </row>
    <row r="134" customFormat="false" ht="15" hidden="false" customHeight="false" outlineLevel="0" collapsed="false">
      <c r="A134" s="28" t="n">
        <f aca="false">IF(11&lt;=NW,SAT1+75,"")</f>
        <v>46093</v>
      </c>
      <c r="B134" s="29" t="str">
        <f aca="false">IF(A134="","",CHOOSE(WEEKDAY(A134,1),"الأحد","الاثنين","الثلاثاء","الأربعاء","الخميس","الجمعة","السبت"))</f>
        <v>الخميس</v>
      </c>
      <c r="C134" s="30"/>
      <c r="D134" s="30"/>
      <c r="E134" s="31" t="str">
        <f aca="false">IF(OR(M134=0,K134="",L134=""),"",MOD(L134-K134,1))</f>
        <v/>
      </c>
      <c r="F134" s="32" t="str">
        <f aca="false">IF(OR(E134="",M134=0),"",IF(ROUND_MODE="للأعلى",CEILING(ROUND((E134*24*$N$127),3),0.25),ROUND((E134*24*$N$127)*4,0)/4))</f>
        <v/>
      </c>
      <c r="G134" s="30"/>
      <c r="H134" s="30"/>
      <c r="K134" s="33" t="str">
        <f aca="false">IF(OR(M134=0,C134=""),"",IF(ISNUMBER(C134),MOD(C134,1),IFERROR(INDEX(القوائم!$B$1:$B$288,MATCH(TRIM(C134),القوائم!$A$1:$A$288,0)),IFERROR(MOD(TIMEVALUE(C134),1),""))))</f>
        <v/>
      </c>
      <c r="L134" s="33" t="str">
        <f aca="false">IF(OR(M134=0,D134=""),"",IF(ISNUMBER(D134),MOD(D134,1),IFERROR(INDEX(القوائم!$B$1:$B$288,MATCH(TRIM(D134),القوائم!$A$1:$A$288,0)),IFERROR(MOD(TIMEVALUE(D134),1),""))))</f>
        <v/>
      </c>
      <c r="M134" s="25" t="n">
        <f aca="false">M127</f>
        <v>0</v>
      </c>
      <c r="Q134" s="25" t="n">
        <f aca="false">IF(N(F138)&gt;0,1,0)</f>
        <v>0</v>
      </c>
      <c r="S134" s="0" t="n">
        <v>11</v>
      </c>
    </row>
    <row r="135" customFormat="false" ht="15" hidden="false" customHeight="false" outlineLevel="0" collapsed="false">
      <c r="A135" s="34" t="n">
        <f aca="false">IF(11&lt;=NW,SAT1+76,"")</f>
        <v>46094</v>
      </c>
      <c r="B135" s="35" t="str">
        <f aca="false">IF(A135="","",CHOOSE(WEEKDAY(A135,1),"الأحد","الاثنين","الثلاثاء","الأربعاء","الخميس","الجمعة","السبت"))</f>
        <v>الجمعة</v>
      </c>
      <c r="C135" s="30"/>
      <c r="D135" s="30"/>
      <c r="E135" s="31" t="str">
        <f aca="false">IF(OR(M135=0,K135="",L135=""),"",MOD(L135-K135,1))</f>
        <v/>
      </c>
      <c r="F135" s="32" t="str">
        <f aca="false">IF(OR(E135="",M135=0),"",IF(ROUND_MODE="للأعلى",CEILING(ROUND((E135*24*$N$127),3),0.25),ROUND((E135*24*$N$127)*4,0)/4))</f>
        <v/>
      </c>
      <c r="G135" s="30"/>
      <c r="H135" s="30"/>
      <c r="K135" s="33" t="str">
        <f aca="false">IF(OR(M135=0,C135=""),"",IF(ISNUMBER(C135),MOD(C135,1),IFERROR(INDEX(القوائم!$B$1:$B$288,MATCH(TRIM(C135),القوائم!$A$1:$A$288,0)),IFERROR(MOD(TIMEVALUE(C135),1),""))))</f>
        <v/>
      </c>
      <c r="L135" s="33" t="str">
        <f aca="false">IF(OR(M135=0,D135=""),"",IF(ISNUMBER(D135),MOD(D135,1),IFERROR(INDEX(القوائم!$B$1:$B$288,MATCH(TRIM(D135),القوائم!$A$1:$A$288,0)),IFERROR(MOD(TIMEVALUE(D135),1),""))))</f>
        <v/>
      </c>
      <c r="M135" s="25" t="n">
        <f aca="false">M127</f>
        <v>0</v>
      </c>
      <c r="Q135" s="25" t="n">
        <f aca="false">IF(N(F138)&gt;0,1,0)</f>
        <v>0</v>
      </c>
      <c r="S135" s="0" t="n">
        <v>11</v>
      </c>
    </row>
    <row r="136" customFormat="false" ht="15" hidden="false" customHeight="false" outlineLevel="0" collapsed="false">
      <c r="A136" s="36" t="str">
        <f aca="false">IF(M127=1,"مجموع أيام الأسبوع 11","")</f>
        <v/>
      </c>
      <c r="B136" s="36"/>
      <c r="C136" s="36"/>
      <c r="D136" s="36"/>
      <c r="E136" s="37" t="str">
        <f aca="false">IF(M127=1,SUM(E129:E135),"")</f>
        <v/>
      </c>
      <c r="F136" s="38" t="str">
        <f aca="false">IF(M127=1,SUM(F129:F135),"")</f>
        <v/>
      </c>
      <c r="G136" s="50" t="str">
        <f aca="false">IF(M127=1,SUMIFS(F129:F135,G129:G135,"نعم"),"")</f>
        <v/>
      </c>
      <c r="H136" s="36"/>
      <c r="S136" s="0" t="n">
        <v>11</v>
      </c>
    </row>
    <row r="137" customFormat="false" ht="31.5" hidden="false" customHeight="true" outlineLevel="0" collapsed="false">
      <c r="A137" s="39" t="str">
        <f aca="false">IF(M127=1,"ساعات تحميل الجبسمبورد بهالأسبوع (رقم: 2 أو 1.5) ←","")</f>
        <v/>
      </c>
      <c r="B137" s="39"/>
      <c r="C137" s="39"/>
      <c r="D137" s="39"/>
      <c r="E137" s="40"/>
      <c r="F137" s="42" t="str">
        <f aca="false">IF(M127=1,N(F136)+IF(ROUND_MODE="للأعلى",CEILING(ROUND((N(E137)*($P$127-$N$127)),3),0.25),ROUND((N(E137)*($P$127-$N$127))*4,0)/4)+N(C138),"")</f>
        <v/>
      </c>
      <c r="G137" s="41" t="str">
        <f aca="false">IF(M127=1,"← المستحق النهائي للأسبوع مع الجبسمبورد والإكرامية","")</f>
        <v/>
      </c>
      <c r="H137" s="41"/>
      <c r="S137" s="0" t="n">
        <v>11</v>
      </c>
    </row>
    <row r="138" customFormat="false" ht="25.5" hidden="false" customHeight="true" outlineLevel="0" collapsed="false">
      <c r="A138" s="39" t="str">
        <f aca="false">IF(M127=1,"إكرامية الأسبوع ←","")</f>
        <v/>
      </c>
      <c r="B138" s="39"/>
      <c r="C138" s="44"/>
      <c r="D138" s="39" t="str">
        <f aca="false">IF(M127=1,"المدفوع (التسوية) ←","")</f>
        <v/>
      </c>
      <c r="E138" s="39"/>
      <c r="F138" s="44"/>
      <c r="G138" s="45" t="str">
        <f aca="false">IF(M127=1,IF(N(F138)&gt;0,"✔ انقبض — الأسبوع مقفول","⏳ لسا ما انقبض"),"")</f>
        <v/>
      </c>
      <c r="H138" s="45"/>
      <c r="S138" s="0" t="n">
        <v>11</v>
      </c>
    </row>
    <row r="139" customFormat="false" ht="27.75" hidden="false" customHeight="true" outlineLevel="0" collapsed="false">
      <c r="A139" s="48" t="str">
        <f aca="false">IF(12&lt;=NW,"من السبت "&amp;TEXT(DAY(SAT1+77),"00")&amp;"/"&amp;TEXT(MONTH(SAT1+77),"00")&amp;"/"&amp;YEAR(SAT1+77)&amp;" إلى الجمعة "&amp;TEXT(DAY(SAT1+83),"00")&amp;"/"&amp;TEXT(MONTH(SAT1+83),"00")&amp;"/"&amp;YEAR(SAT1+83)&amp;" · الأسبوع 12"&amp;"  (يوم القبض: الجمعة)"&amp;IF(12&lt;START_Z,"   — قبل أسبوع البداية (ما بينحسب)",""),"ما في أسبوع 12 هالسنة")</f>
        <v>من السبت 14/03/2026 إلى الجمعة 20/03/2026 · الأسبوع 12  (يوم القبض: الجمعة)   — قبل أسبوع البداية (ما بينحسب)</v>
      </c>
      <c r="B139" s="48"/>
      <c r="C139" s="48"/>
      <c r="D139" s="48"/>
      <c r="E139" s="48"/>
      <c r="F139" s="48"/>
      <c r="G139" s="48"/>
      <c r="H139" s="48"/>
      <c r="L139" s="24" t="n">
        <f aca="false">IF(12&lt;=NW,SAT1+83,"")</f>
        <v>46101</v>
      </c>
      <c r="M139" s="25" t="n">
        <f aca="false">IF(AND(12&lt;=NW,12&gt;=START_Z),1,0)</f>
        <v>0</v>
      </c>
      <c r="N139" s="26" t="n">
        <f aca="false">IFERROR(INDEX(RT_AZZ,MATCH(L139,RT_K,1)),INDEX(RT_AZZ,1))</f>
        <v>1</v>
      </c>
      <c r="P139" s="26" t="n">
        <f aca="false">IFERROR(INDEX(RT_GYP,MATCH(L139,RT_K,1)),INDEX(RT_GYP,1))</f>
        <v>2.5</v>
      </c>
      <c r="R139" s="0" t="n">
        <v>12</v>
      </c>
      <c r="S139" s="0" t="n">
        <v>12</v>
      </c>
    </row>
    <row r="140" customFormat="false" ht="25.5" hidden="false" customHeight="true" outlineLevel="0" collapsed="false">
      <c r="A140" s="49" t="s">
        <v>22</v>
      </c>
      <c r="B140" s="49" t="s">
        <v>23</v>
      </c>
      <c r="C140" s="49" t="s">
        <v>24</v>
      </c>
      <c r="D140" s="49" t="s">
        <v>25</v>
      </c>
      <c r="E140" s="49" t="s">
        <v>26</v>
      </c>
      <c r="F140" s="49" t="s">
        <v>33</v>
      </c>
      <c r="G140" s="49" t="s">
        <v>34</v>
      </c>
      <c r="H140" s="49" t="s">
        <v>30</v>
      </c>
      <c r="S140" s="0" t="n">
        <v>12</v>
      </c>
    </row>
    <row r="141" customFormat="false" ht="15" hidden="false" customHeight="false" outlineLevel="0" collapsed="false">
      <c r="A141" s="28" t="n">
        <f aca="false">IF(12&lt;=NW,SAT1+77,"")</f>
        <v>46095</v>
      </c>
      <c r="B141" s="29" t="str">
        <f aca="false">IF(A141="","",CHOOSE(WEEKDAY(A141,1),"الأحد","الاثنين","الثلاثاء","الأربعاء","الخميس","الجمعة","السبت"))</f>
        <v>السبت</v>
      </c>
      <c r="C141" s="30"/>
      <c r="D141" s="30"/>
      <c r="E141" s="31" t="str">
        <f aca="false">IF(OR(M141=0,K141="",L141=""),"",MOD(L141-K141,1))</f>
        <v/>
      </c>
      <c r="F141" s="32" t="str">
        <f aca="false">IF(OR(E141="",M141=0),"",IF(ROUND_MODE="للأعلى",CEILING(ROUND((E141*24*$N$139),3),0.25),ROUND((E141*24*$N$139)*4,0)/4))</f>
        <v/>
      </c>
      <c r="G141" s="30"/>
      <c r="H141" s="30"/>
      <c r="K141" s="33" t="str">
        <f aca="false">IF(OR(M141=0,C141=""),"",IF(ISNUMBER(C141),MOD(C141,1),IFERROR(INDEX(القوائم!$B$1:$B$288,MATCH(TRIM(C141),القوائم!$A$1:$A$288,0)),IFERROR(MOD(TIMEVALUE(C141),1),""))))</f>
        <v/>
      </c>
      <c r="L141" s="33" t="str">
        <f aca="false">IF(OR(M141=0,D141=""),"",IF(ISNUMBER(D141),MOD(D141,1),IFERROR(INDEX(القوائم!$B$1:$B$288,MATCH(TRIM(D141),القوائم!$A$1:$A$288,0)),IFERROR(MOD(TIMEVALUE(D141),1),""))))</f>
        <v/>
      </c>
      <c r="M141" s="25" t="n">
        <f aca="false">M139</f>
        <v>0</v>
      </c>
      <c r="Q141" s="25" t="n">
        <f aca="false">IF(N(F150)&gt;0,1,0)</f>
        <v>0</v>
      </c>
      <c r="S141" s="0" t="n">
        <v>12</v>
      </c>
    </row>
    <row r="142" customFormat="false" ht="15" hidden="false" customHeight="false" outlineLevel="0" collapsed="false">
      <c r="A142" s="28" t="n">
        <f aca="false">IF(12&lt;=NW,SAT1+78,"")</f>
        <v>46096</v>
      </c>
      <c r="B142" s="29" t="str">
        <f aca="false">IF(A142="","",CHOOSE(WEEKDAY(A142,1),"الأحد","الاثنين","الثلاثاء","الأربعاء","الخميس","الجمعة","السبت"))</f>
        <v>الأحد</v>
      </c>
      <c r="C142" s="30"/>
      <c r="D142" s="30"/>
      <c r="E142" s="31" t="str">
        <f aca="false">IF(OR(M142=0,K142="",L142=""),"",MOD(L142-K142,1))</f>
        <v/>
      </c>
      <c r="F142" s="32" t="str">
        <f aca="false">IF(OR(E142="",M142=0),"",IF(ROUND_MODE="للأعلى",CEILING(ROUND((E142*24*$N$139),3),0.25),ROUND((E142*24*$N$139)*4,0)/4))</f>
        <v/>
      </c>
      <c r="G142" s="30"/>
      <c r="H142" s="30"/>
      <c r="K142" s="33" t="str">
        <f aca="false">IF(OR(M142=0,C142=""),"",IF(ISNUMBER(C142),MOD(C142,1),IFERROR(INDEX(القوائم!$B$1:$B$288,MATCH(TRIM(C142),القوائم!$A$1:$A$288,0)),IFERROR(MOD(TIMEVALUE(C142),1),""))))</f>
        <v/>
      </c>
      <c r="L142" s="33" t="str">
        <f aca="false">IF(OR(M142=0,D142=""),"",IF(ISNUMBER(D142),MOD(D142,1),IFERROR(INDEX(القوائم!$B$1:$B$288,MATCH(TRIM(D142),القوائم!$A$1:$A$288,0)),IFERROR(MOD(TIMEVALUE(D142),1),""))))</f>
        <v/>
      </c>
      <c r="M142" s="25" t="n">
        <f aca="false">M139</f>
        <v>0</v>
      </c>
      <c r="Q142" s="25" t="n">
        <f aca="false">IF(N(F150)&gt;0,1,0)</f>
        <v>0</v>
      </c>
      <c r="S142" s="0" t="n">
        <v>12</v>
      </c>
    </row>
    <row r="143" customFormat="false" ht="15" hidden="false" customHeight="false" outlineLevel="0" collapsed="false">
      <c r="A143" s="28" t="n">
        <f aca="false">IF(12&lt;=NW,SAT1+79,"")</f>
        <v>46097</v>
      </c>
      <c r="B143" s="29" t="str">
        <f aca="false">IF(A143="","",CHOOSE(WEEKDAY(A143,1),"الأحد","الاثنين","الثلاثاء","الأربعاء","الخميس","الجمعة","السبت"))</f>
        <v>الاثنين</v>
      </c>
      <c r="C143" s="30"/>
      <c r="D143" s="30"/>
      <c r="E143" s="31" t="str">
        <f aca="false">IF(OR(M143=0,K143="",L143=""),"",MOD(L143-K143,1))</f>
        <v/>
      </c>
      <c r="F143" s="32" t="str">
        <f aca="false">IF(OR(E143="",M143=0),"",IF(ROUND_MODE="للأعلى",CEILING(ROUND((E143*24*$N$139),3),0.25),ROUND((E143*24*$N$139)*4,0)/4))</f>
        <v/>
      </c>
      <c r="G143" s="30"/>
      <c r="H143" s="30"/>
      <c r="K143" s="33" t="str">
        <f aca="false">IF(OR(M143=0,C143=""),"",IF(ISNUMBER(C143),MOD(C143,1),IFERROR(INDEX(القوائم!$B$1:$B$288,MATCH(TRIM(C143),القوائم!$A$1:$A$288,0)),IFERROR(MOD(TIMEVALUE(C143),1),""))))</f>
        <v/>
      </c>
      <c r="L143" s="33" t="str">
        <f aca="false">IF(OR(M143=0,D143=""),"",IF(ISNUMBER(D143),MOD(D143,1),IFERROR(INDEX(القوائم!$B$1:$B$288,MATCH(TRIM(D143),القوائم!$A$1:$A$288,0)),IFERROR(MOD(TIMEVALUE(D143),1),""))))</f>
        <v/>
      </c>
      <c r="M143" s="25" t="n">
        <f aca="false">M139</f>
        <v>0</v>
      </c>
      <c r="Q143" s="25" t="n">
        <f aca="false">IF(N(F150)&gt;0,1,0)</f>
        <v>0</v>
      </c>
      <c r="S143" s="0" t="n">
        <v>12</v>
      </c>
    </row>
    <row r="144" customFormat="false" ht="15" hidden="false" customHeight="false" outlineLevel="0" collapsed="false">
      <c r="A144" s="28" t="n">
        <f aca="false">IF(12&lt;=NW,SAT1+80,"")</f>
        <v>46098</v>
      </c>
      <c r="B144" s="29" t="str">
        <f aca="false">IF(A144="","",CHOOSE(WEEKDAY(A144,1),"الأحد","الاثنين","الثلاثاء","الأربعاء","الخميس","الجمعة","السبت"))</f>
        <v>الثلاثاء</v>
      </c>
      <c r="C144" s="30"/>
      <c r="D144" s="30"/>
      <c r="E144" s="31" t="str">
        <f aca="false">IF(OR(M144=0,K144="",L144=""),"",MOD(L144-K144,1))</f>
        <v/>
      </c>
      <c r="F144" s="32" t="str">
        <f aca="false">IF(OR(E144="",M144=0),"",IF(ROUND_MODE="للأعلى",CEILING(ROUND((E144*24*$N$139),3),0.25),ROUND((E144*24*$N$139)*4,0)/4))</f>
        <v/>
      </c>
      <c r="G144" s="30"/>
      <c r="H144" s="30"/>
      <c r="K144" s="33" t="str">
        <f aca="false">IF(OR(M144=0,C144=""),"",IF(ISNUMBER(C144),MOD(C144,1),IFERROR(INDEX(القوائم!$B$1:$B$288,MATCH(TRIM(C144),القوائم!$A$1:$A$288,0)),IFERROR(MOD(TIMEVALUE(C144),1),""))))</f>
        <v/>
      </c>
      <c r="L144" s="33" t="str">
        <f aca="false">IF(OR(M144=0,D144=""),"",IF(ISNUMBER(D144),MOD(D144,1),IFERROR(INDEX(القوائم!$B$1:$B$288,MATCH(TRIM(D144),القوائم!$A$1:$A$288,0)),IFERROR(MOD(TIMEVALUE(D144),1),""))))</f>
        <v/>
      </c>
      <c r="M144" s="25" t="n">
        <f aca="false">M139</f>
        <v>0</v>
      </c>
      <c r="Q144" s="25" t="n">
        <f aca="false">IF(N(F150)&gt;0,1,0)</f>
        <v>0</v>
      </c>
      <c r="S144" s="0" t="n">
        <v>12</v>
      </c>
    </row>
    <row r="145" customFormat="false" ht="15" hidden="false" customHeight="false" outlineLevel="0" collapsed="false">
      <c r="A145" s="28" t="n">
        <f aca="false">IF(12&lt;=NW,SAT1+81,"")</f>
        <v>46099</v>
      </c>
      <c r="B145" s="29" t="str">
        <f aca="false">IF(A145="","",CHOOSE(WEEKDAY(A145,1),"الأحد","الاثنين","الثلاثاء","الأربعاء","الخميس","الجمعة","السبت"))</f>
        <v>الأربعاء</v>
      </c>
      <c r="C145" s="30"/>
      <c r="D145" s="30"/>
      <c r="E145" s="31" t="str">
        <f aca="false">IF(OR(M145=0,K145="",L145=""),"",MOD(L145-K145,1))</f>
        <v/>
      </c>
      <c r="F145" s="32" t="str">
        <f aca="false">IF(OR(E145="",M145=0),"",IF(ROUND_MODE="للأعلى",CEILING(ROUND((E145*24*$N$139),3),0.25),ROUND((E145*24*$N$139)*4,0)/4))</f>
        <v/>
      </c>
      <c r="G145" s="30"/>
      <c r="H145" s="30"/>
      <c r="K145" s="33" t="str">
        <f aca="false">IF(OR(M145=0,C145=""),"",IF(ISNUMBER(C145),MOD(C145,1),IFERROR(INDEX(القوائم!$B$1:$B$288,MATCH(TRIM(C145),القوائم!$A$1:$A$288,0)),IFERROR(MOD(TIMEVALUE(C145),1),""))))</f>
        <v/>
      </c>
      <c r="L145" s="33" t="str">
        <f aca="false">IF(OR(M145=0,D145=""),"",IF(ISNUMBER(D145),MOD(D145,1),IFERROR(INDEX(القوائم!$B$1:$B$288,MATCH(TRIM(D145),القوائم!$A$1:$A$288,0)),IFERROR(MOD(TIMEVALUE(D145),1),""))))</f>
        <v/>
      </c>
      <c r="M145" s="25" t="n">
        <f aca="false">M139</f>
        <v>0</v>
      </c>
      <c r="Q145" s="25" t="n">
        <f aca="false">IF(N(F150)&gt;0,1,0)</f>
        <v>0</v>
      </c>
      <c r="S145" s="0" t="n">
        <v>12</v>
      </c>
    </row>
    <row r="146" customFormat="false" ht="15" hidden="false" customHeight="false" outlineLevel="0" collapsed="false">
      <c r="A146" s="28" t="n">
        <f aca="false">IF(12&lt;=NW,SAT1+82,"")</f>
        <v>46100</v>
      </c>
      <c r="B146" s="29" t="str">
        <f aca="false">IF(A146="","",CHOOSE(WEEKDAY(A146,1),"الأحد","الاثنين","الثلاثاء","الأربعاء","الخميس","الجمعة","السبت"))</f>
        <v>الخميس</v>
      </c>
      <c r="C146" s="30"/>
      <c r="D146" s="30"/>
      <c r="E146" s="31" t="str">
        <f aca="false">IF(OR(M146=0,K146="",L146=""),"",MOD(L146-K146,1))</f>
        <v/>
      </c>
      <c r="F146" s="32" t="str">
        <f aca="false">IF(OR(E146="",M146=0),"",IF(ROUND_MODE="للأعلى",CEILING(ROUND((E146*24*$N$139),3),0.25),ROUND((E146*24*$N$139)*4,0)/4))</f>
        <v/>
      </c>
      <c r="G146" s="30"/>
      <c r="H146" s="30"/>
      <c r="K146" s="33" t="str">
        <f aca="false">IF(OR(M146=0,C146=""),"",IF(ISNUMBER(C146),MOD(C146,1),IFERROR(INDEX(القوائم!$B$1:$B$288,MATCH(TRIM(C146),القوائم!$A$1:$A$288,0)),IFERROR(MOD(TIMEVALUE(C146),1),""))))</f>
        <v/>
      </c>
      <c r="L146" s="33" t="str">
        <f aca="false">IF(OR(M146=0,D146=""),"",IF(ISNUMBER(D146),MOD(D146,1),IFERROR(INDEX(القوائم!$B$1:$B$288,MATCH(TRIM(D146),القوائم!$A$1:$A$288,0)),IFERROR(MOD(TIMEVALUE(D146),1),""))))</f>
        <v/>
      </c>
      <c r="M146" s="25" t="n">
        <f aca="false">M139</f>
        <v>0</v>
      </c>
      <c r="Q146" s="25" t="n">
        <f aca="false">IF(N(F150)&gt;0,1,0)</f>
        <v>0</v>
      </c>
      <c r="S146" s="0" t="n">
        <v>12</v>
      </c>
    </row>
    <row r="147" customFormat="false" ht="15" hidden="false" customHeight="false" outlineLevel="0" collapsed="false">
      <c r="A147" s="34" t="n">
        <f aca="false">IF(12&lt;=NW,SAT1+83,"")</f>
        <v>46101</v>
      </c>
      <c r="B147" s="35" t="str">
        <f aca="false">IF(A147="","",CHOOSE(WEEKDAY(A147,1),"الأحد","الاثنين","الثلاثاء","الأربعاء","الخميس","الجمعة","السبت"))</f>
        <v>الجمعة</v>
      </c>
      <c r="C147" s="30"/>
      <c r="D147" s="30"/>
      <c r="E147" s="31" t="str">
        <f aca="false">IF(OR(M147=0,K147="",L147=""),"",MOD(L147-K147,1))</f>
        <v/>
      </c>
      <c r="F147" s="32" t="str">
        <f aca="false">IF(OR(E147="",M147=0),"",IF(ROUND_MODE="للأعلى",CEILING(ROUND((E147*24*$N$139),3),0.25),ROUND((E147*24*$N$139)*4,0)/4))</f>
        <v/>
      </c>
      <c r="G147" s="30"/>
      <c r="H147" s="30"/>
      <c r="K147" s="33" t="str">
        <f aca="false">IF(OR(M147=0,C147=""),"",IF(ISNUMBER(C147),MOD(C147,1),IFERROR(INDEX(القوائم!$B$1:$B$288,MATCH(TRIM(C147),القوائم!$A$1:$A$288,0)),IFERROR(MOD(TIMEVALUE(C147),1),""))))</f>
        <v/>
      </c>
      <c r="L147" s="33" t="str">
        <f aca="false">IF(OR(M147=0,D147=""),"",IF(ISNUMBER(D147),MOD(D147,1),IFERROR(INDEX(القوائم!$B$1:$B$288,MATCH(TRIM(D147),القوائم!$A$1:$A$288,0)),IFERROR(MOD(TIMEVALUE(D147),1),""))))</f>
        <v/>
      </c>
      <c r="M147" s="25" t="n">
        <f aca="false">M139</f>
        <v>0</v>
      </c>
      <c r="Q147" s="25" t="n">
        <f aca="false">IF(N(F150)&gt;0,1,0)</f>
        <v>0</v>
      </c>
      <c r="S147" s="0" t="n">
        <v>12</v>
      </c>
    </row>
    <row r="148" customFormat="false" ht="15" hidden="false" customHeight="false" outlineLevel="0" collapsed="false">
      <c r="A148" s="36" t="str">
        <f aca="false">IF(M139=1,"مجموع أيام الأسبوع 12","")</f>
        <v/>
      </c>
      <c r="B148" s="36"/>
      <c r="C148" s="36"/>
      <c r="D148" s="36"/>
      <c r="E148" s="37" t="str">
        <f aca="false">IF(M139=1,SUM(E141:E147),"")</f>
        <v/>
      </c>
      <c r="F148" s="38" t="str">
        <f aca="false">IF(M139=1,SUM(F141:F147),"")</f>
        <v/>
      </c>
      <c r="G148" s="50" t="str">
        <f aca="false">IF(M139=1,SUMIFS(F141:F147,G141:G147,"نعم"),"")</f>
        <v/>
      </c>
      <c r="H148" s="36"/>
      <c r="S148" s="0" t="n">
        <v>12</v>
      </c>
    </row>
    <row r="149" customFormat="false" ht="31.5" hidden="false" customHeight="true" outlineLevel="0" collapsed="false">
      <c r="A149" s="39" t="str">
        <f aca="false">IF(M139=1,"ساعات تحميل الجبسمبورد بهالأسبوع (رقم: 2 أو 1.5) ←","")</f>
        <v/>
      </c>
      <c r="B149" s="39"/>
      <c r="C149" s="39"/>
      <c r="D149" s="39"/>
      <c r="E149" s="40"/>
      <c r="F149" s="42" t="str">
        <f aca="false">IF(M139=1,N(F148)+IF(ROUND_MODE="للأعلى",CEILING(ROUND((N(E149)*($P$139-$N$139)),3),0.25),ROUND((N(E149)*($P$139-$N$139))*4,0)/4)+N(C150),"")</f>
        <v/>
      </c>
      <c r="G149" s="41" t="str">
        <f aca="false">IF(M139=1,"← المستحق النهائي للأسبوع مع الجبسمبورد والإكرامية","")</f>
        <v/>
      </c>
      <c r="H149" s="41"/>
      <c r="S149" s="0" t="n">
        <v>12</v>
      </c>
    </row>
    <row r="150" customFormat="false" ht="25.5" hidden="false" customHeight="true" outlineLevel="0" collapsed="false">
      <c r="A150" s="39" t="str">
        <f aca="false">IF(M139=1,"إكرامية الأسبوع ←","")</f>
        <v/>
      </c>
      <c r="B150" s="39"/>
      <c r="C150" s="44"/>
      <c r="D150" s="39" t="str">
        <f aca="false">IF(M139=1,"المدفوع (التسوية) ←","")</f>
        <v/>
      </c>
      <c r="E150" s="39"/>
      <c r="F150" s="44"/>
      <c r="G150" s="45" t="str">
        <f aca="false">IF(M139=1,IF(N(F150)&gt;0,"✔ انقبض — الأسبوع مقفول","⏳ لسا ما انقبض"),"")</f>
        <v/>
      </c>
      <c r="H150" s="45"/>
      <c r="S150" s="0" t="n">
        <v>12</v>
      </c>
    </row>
    <row r="151" customFormat="false" ht="27.75" hidden="false" customHeight="true" outlineLevel="0" collapsed="false">
      <c r="A151" s="48" t="str">
        <f aca="false">IF(13&lt;=NW,"من السبت "&amp;TEXT(DAY(SAT1+84),"00")&amp;"/"&amp;TEXT(MONTH(SAT1+84),"00")&amp;"/"&amp;YEAR(SAT1+84)&amp;" إلى الجمعة "&amp;TEXT(DAY(SAT1+90),"00")&amp;"/"&amp;TEXT(MONTH(SAT1+90),"00")&amp;"/"&amp;YEAR(SAT1+90)&amp;" · الأسبوع 13"&amp;"  (يوم القبض: الجمعة)"&amp;IF(13&lt;START_Z,"   — قبل أسبوع البداية (ما بينحسب)",""),"ما في أسبوع 13 هالسنة")</f>
        <v>من السبت 21/03/2026 إلى الجمعة 27/03/2026 · الأسبوع 13  (يوم القبض: الجمعة)   — قبل أسبوع البداية (ما بينحسب)</v>
      </c>
      <c r="B151" s="48"/>
      <c r="C151" s="48"/>
      <c r="D151" s="48"/>
      <c r="E151" s="48"/>
      <c r="F151" s="48"/>
      <c r="G151" s="48"/>
      <c r="H151" s="48"/>
      <c r="L151" s="24" t="n">
        <f aca="false">IF(13&lt;=NW,SAT1+90,"")</f>
        <v>46108</v>
      </c>
      <c r="M151" s="25" t="n">
        <f aca="false">IF(AND(13&lt;=NW,13&gt;=START_Z),1,0)</f>
        <v>0</v>
      </c>
      <c r="N151" s="26" t="n">
        <f aca="false">IFERROR(INDEX(RT_AZZ,MATCH(L151,RT_K,1)),INDEX(RT_AZZ,1))</f>
        <v>1</v>
      </c>
      <c r="P151" s="26" t="n">
        <f aca="false">IFERROR(INDEX(RT_GYP,MATCH(L151,RT_K,1)),INDEX(RT_GYP,1))</f>
        <v>2.5</v>
      </c>
      <c r="R151" s="0" t="n">
        <v>13</v>
      </c>
      <c r="S151" s="0" t="n">
        <v>13</v>
      </c>
    </row>
    <row r="152" customFormat="false" ht="25.5" hidden="false" customHeight="true" outlineLevel="0" collapsed="false">
      <c r="A152" s="49" t="s">
        <v>22</v>
      </c>
      <c r="B152" s="49" t="s">
        <v>23</v>
      </c>
      <c r="C152" s="49" t="s">
        <v>24</v>
      </c>
      <c r="D152" s="49" t="s">
        <v>25</v>
      </c>
      <c r="E152" s="49" t="s">
        <v>26</v>
      </c>
      <c r="F152" s="49" t="s">
        <v>33</v>
      </c>
      <c r="G152" s="49" t="s">
        <v>34</v>
      </c>
      <c r="H152" s="49" t="s">
        <v>30</v>
      </c>
      <c r="S152" s="0" t="n">
        <v>13</v>
      </c>
    </row>
    <row r="153" customFormat="false" ht="15" hidden="false" customHeight="false" outlineLevel="0" collapsed="false">
      <c r="A153" s="28" t="n">
        <f aca="false">IF(13&lt;=NW,SAT1+84,"")</f>
        <v>46102</v>
      </c>
      <c r="B153" s="29" t="str">
        <f aca="false">IF(A153="","",CHOOSE(WEEKDAY(A153,1),"الأحد","الاثنين","الثلاثاء","الأربعاء","الخميس","الجمعة","السبت"))</f>
        <v>السبت</v>
      </c>
      <c r="C153" s="30"/>
      <c r="D153" s="30"/>
      <c r="E153" s="31" t="str">
        <f aca="false">IF(OR(M153=0,K153="",L153=""),"",MOD(L153-K153,1))</f>
        <v/>
      </c>
      <c r="F153" s="32" t="str">
        <f aca="false">IF(OR(E153="",M153=0),"",IF(ROUND_MODE="للأعلى",CEILING(ROUND((E153*24*$N$151),3),0.25),ROUND((E153*24*$N$151)*4,0)/4))</f>
        <v/>
      </c>
      <c r="G153" s="30"/>
      <c r="H153" s="30"/>
      <c r="K153" s="33" t="str">
        <f aca="false">IF(OR(M153=0,C153=""),"",IF(ISNUMBER(C153),MOD(C153,1),IFERROR(INDEX(القوائم!$B$1:$B$288,MATCH(TRIM(C153),القوائم!$A$1:$A$288,0)),IFERROR(MOD(TIMEVALUE(C153),1),""))))</f>
        <v/>
      </c>
      <c r="L153" s="33" t="str">
        <f aca="false">IF(OR(M153=0,D153=""),"",IF(ISNUMBER(D153),MOD(D153,1),IFERROR(INDEX(القوائم!$B$1:$B$288,MATCH(TRIM(D153),القوائم!$A$1:$A$288,0)),IFERROR(MOD(TIMEVALUE(D153),1),""))))</f>
        <v/>
      </c>
      <c r="M153" s="25" t="n">
        <f aca="false">M151</f>
        <v>0</v>
      </c>
      <c r="Q153" s="25" t="n">
        <f aca="false">IF(N(F162)&gt;0,1,0)</f>
        <v>0</v>
      </c>
      <c r="S153" s="0" t="n">
        <v>13</v>
      </c>
    </row>
    <row r="154" customFormat="false" ht="15" hidden="false" customHeight="false" outlineLevel="0" collapsed="false">
      <c r="A154" s="28" t="n">
        <f aca="false">IF(13&lt;=NW,SAT1+85,"")</f>
        <v>46103</v>
      </c>
      <c r="B154" s="29" t="str">
        <f aca="false">IF(A154="","",CHOOSE(WEEKDAY(A154,1),"الأحد","الاثنين","الثلاثاء","الأربعاء","الخميس","الجمعة","السبت"))</f>
        <v>الأحد</v>
      </c>
      <c r="C154" s="30"/>
      <c r="D154" s="30"/>
      <c r="E154" s="31" t="str">
        <f aca="false">IF(OR(M154=0,K154="",L154=""),"",MOD(L154-K154,1))</f>
        <v/>
      </c>
      <c r="F154" s="32" t="str">
        <f aca="false">IF(OR(E154="",M154=0),"",IF(ROUND_MODE="للأعلى",CEILING(ROUND((E154*24*$N$151),3),0.25),ROUND((E154*24*$N$151)*4,0)/4))</f>
        <v/>
      </c>
      <c r="G154" s="30"/>
      <c r="H154" s="30"/>
      <c r="K154" s="33" t="str">
        <f aca="false">IF(OR(M154=0,C154=""),"",IF(ISNUMBER(C154),MOD(C154,1),IFERROR(INDEX(القوائم!$B$1:$B$288,MATCH(TRIM(C154),القوائم!$A$1:$A$288,0)),IFERROR(MOD(TIMEVALUE(C154),1),""))))</f>
        <v/>
      </c>
      <c r="L154" s="33" t="str">
        <f aca="false">IF(OR(M154=0,D154=""),"",IF(ISNUMBER(D154),MOD(D154,1),IFERROR(INDEX(القوائم!$B$1:$B$288,MATCH(TRIM(D154),القوائم!$A$1:$A$288,0)),IFERROR(MOD(TIMEVALUE(D154),1),""))))</f>
        <v/>
      </c>
      <c r="M154" s="25" t="n">
        <f aca="false">M151</f>
        <v>0</v>
      </c>
      <c r="Q154" s="25" t="n">
        <f aca="false">IF(N(F162)&gt;0,1,0)</f>
        <v>0</v>
      </c>
      <c r="S154" s="0" t="n">
        <v>13</v>
      </c>
    </row>
    <row r="155" customFormat="false" ht="15" hidden="false" customHeight="false" outlineLevel="0" collapsed="false">
      <c r="A155" s="28" t="n">
        <f aca="false">IF(13&lt;=NW,SAT1+86,"")</f>
        <v>46104</v>
      </c>
      <c r="B155" s="29" t="str">
        <f aca="false">IF(A155="","",CHOOSE(WEEKDAY(A155,1),"الأحد","الاثنين","الثلاثاء","الأربعاء","الخميس","الجمعة","السبت"))</f>
        <v>الاثنين</v>
      </c>
      <c r="C155" s="30"/>
      <c r="D155" s="30"/>
      <c r="E155" s="31" t="str">
        <f aca="false">IF(OR(M155=0,K155="",L155=""),"",MOD(L155-K155,1))</f>
        <v/>
      </c>
      <c r="F155" s="32" t="str">
        <f aca="false">IF(OR(E155="",M155=0),"",IF(ROUND_MODE="للأعلى",CEILING(ROUND((E155*24*$N$151),3),0.25),ROUND((E155*24*$N$151)*4,0)/4))</f>
        <v/>
      </c>
      <c r="G155" s="30"/>
      <c r="H155" s="30"/>
      <c r="K155" s="33" t="str">
        <f aca="false">IF(OR(M155=0,C155=""),"",IF(ISNUMBER(C155),MOD(C155,1),IFERROR(INDEX(القوائم!$B$1:$B$288,MATCH(TRIM(C155),القوائم!$A$1:$A$288,0)),IFERROR(MOD(TIMEVALUE(C155),1),""))))</f>
        <v/>
      </c>
      <c r="L155" s="33" t="str">
        <f aca="false">IF(OR(M155=0,D155=""),"",IF(ISNUMBER(D155),MOD(D155,1),IFERROR(INDEX(القوائم!$B$1:$B$288,MATCH(TRIM(D155),القوائم!$A$1:$A$288,0)),IFERROR(MOD(TIMEVALUE(D155),1),""))))</f>
        <v/>
      </c>
      <c r="M155" s="25" t="n">
        <f aca="false">M151</f>
        <v>0</v>
      </c>
      <c r="Q155" s="25" t="n">
        <f aca="false">IF(N(F162)&gt;0,1,0)</f>
        <v>0</v>
      </c>
      <c r="S155" s="0" t="n">
        <v>13</v>
      </c>
    </row>
    <row r="156" customFormat="false" ht="15" hidden="false" customHeight="false" outlineLevel="0" collapsed="false">
      <c r="A156" s="28" t="n">
        <f aca="false">IF(13&lt;=NW,SAT1+87,"")</f>
        <v>46105</v>
      </c>
      <c r="B156" s="29" t="str">
        <f aca="false">IF(A156="","",CHOOSE(WEEKDAY(A156,1),"الأحد","الاثنين","الثلاثاء","الأربعاء","الخميس","الجمعة","السبت"))</f>
        <v>الثلاثاء</v>
      </c>
      <c r="C156" s="30"/>
      <c r="D156" s="30"/>
      <c r="E156" s="31" t="str">
        <f aca="false">IF(OR(M156=0,K156="",L156=""),"",MOD(L156-K156,1))</f>
        <v/>
      </c>
      <c r="F156" s="32" t="str">
        <f aca="false">IF(OR(E156="",M156=0),"",IF(ROUND_MODE="للأعلى",CEILING(ROUND((E156*24*$N$151),3),0.25),ROUND((E156*24*$N$151)*4,0)/4))</f>
        <v/>
      </c>
      <c r="G156" s="30"/>
      <c r="H156" s="30"/>
      <c r="K156" s="33" t="str">
        <f aca="false">IF(OR(M156=0,C156=""),"",IF(ISNUMBER(C156),MOD(C156,1),IFERROR(INDEX(القوائم!$B$1:$B$288,MATCH(TRIM(C156),القوائم!$A$1:$A$288,0)),IFERROR(MOD(TIMEVALUE(C156),1),""))))</f>
        <v/>
      </c>
      <c r="L156" s="33" t="str">
        <f aca="false">IF(OR(M156=0,D156=""),"",IF(ISNUMBER(D156),MOD(D156,1),IFERROR(INDEX(القوائم!$B$1:$B$288,MATCH(TRIM(D156),القوائم!$A$1:$A$288,0)),IFERROR(MOD(TIMEVALUE(D156),1),""))))</f>
        <v/>
      </c>
      <c r="M156" s="25" t="n">
        <f aca="false">M151</f>
        <v>0</v>
      </c>
      <c r="Q156" s="25" t="n">
        <f aca="false">IF(N(F162)&gt;0,1,0)</f>
        <v>0</v>
      </c>
      <c r="S156" s="0" t="n">
        <v>13</v>
      </c>
    </row>
    <row r="157" customFormat="false" ht="15" hidden="false" customHeight="false" outlineLevel="0" collapsed="false">
      <c r="A157" s="28" t="n">
        <f aca="false">IF(13&lt;=NW,SAT1+88,"")</f>
        <v>46106</v>
      </c>
      <c r="B157" s="29" t="str">
        <f aca="false">IF(A157="","",CHOOSE(WEEKDAY(A157,1),"الأحد","الاثنين","الثلاثاء","الأربعاء","الخميس","الجمعة","السبت"))</f>
        <v>الأربعاء</v>
      </c>
      <c r="C157" s="30"/>
      <c r="D157" s="30"/>
      <c r="E157" s="31" t="str">
        <f aca="false">IF(OR(M157=0,K157="",L157=""),"",MOD(L157-K157,1))</f>
        <v/>
      </c>
      <c r="F157" s="32" t="str">
        <f aca="false">IF(OR(E157="",M157=0),"",IF(ROUND_MODE="للأعلى",CEILING(ROUND((E157*24*$N$151),3),0.25),ROUND((E157*24*$N$151)*4,0)/4))</f>
        <v/>
      </c>
      <c r="G157" s="30"/>
      <c r="H157" s="30"/>
      <c r="K157" s="33" t="str">
        <f aca="false">IF(OR(M157=0,C157=""),"",IF(ISNUMBER(C157),MOD(C157,1),IFERROR(INDEX(القوائم!$B$1:$B$288,MATCH(TRIM(C157),القوائم!$A$1:$A$288,0)),IFERROR(MOD(TIMEVALUE(C157),1),""))))</f>
        <v/>
      </c>
      <c r="L157" s="33" t="str">
        <f aca="false">IF(OR(M157=0,D157=""),"",IF(ISNUMBER(D157),MOD(D157,1),IFERROR(INDEX(القوائم!$B$1:$B$288,MATCH(TRIM(D157),القوائم!$A$1:$A$288,0)),IFERROR(MOD(TIMEVALUE(D157),1),""))))</f>
        <v/>
      </c>
      <c r="M157" s="25" t="n">
        <f aca="false">M151</f>
        <v>0</v>
      </c>
      <c r="Q157" s="25" t="n">
        <f aca="false">IF(N(F162)&gt;0,1,0)</f>
        <v>0</v>
      </c>
      <c r="S157" s="0" t="n">
        <v>13</v>
      </c>
    </row>
    <row r="158" customFormat="false" ht="15" hidden="false" customHeight="false" outlineLevel="0" collapsed="false">
      <c r="A158" s="28" t="n">
        <f aca="false">IF(13&lt;=NW,SAT1+89,"")</f>
        <v>46107</v>
      </c>
      <c r="B158" s="29" t="str">
        <f aca="false">IF(A158="","",CHOOSE(WEEKDAY(A158,1),"الأحد","الاثنين","الثلاثاء","الأربعاء","الخميس","الجمعة","السبت"))</f>
        <v>الخميس</v>
      </c>
      <c r="C158" s="30"/>
      <c r="D158" s="30"/>
      <c r="E158" s="31" t="str">
        <f aca="false">IF(OR(M158=0,K158="",L158=""),"",MOD(L158-K158,1))</f>
        <v/>
      </c>
      <c r="F158" s="32" t="str">
        <f aca="false">IF(OR(E158="",M158=0),"",IF(ROUND_MODE="للأعلى",CEILING(ROUND((E158*24*$N$151),3),0.25),ROUND((E158*24*$N$151)*4,0)/4))</f>
        <v/>
      </c>
      <c r="G158" s="30"/>
      <c r="H158" s="30"/>
      <c r="K158" s="33" t="str">
        <f aca="false">IF(OR(M158=0,C158=""),"",IF(ISNUMBER(C158),MOD(C158,1),IFERROR(INDEX(القوائم!$B$1:$B$288,MATCH(TRIM(C158),القوائم!$A$1:$A$288,0)),IFERROR(MOD(TIMEVALUE(C158),1),""))))</f>
        <v/>
      </c>
      <c r="L158" s="33" t="str">
        <f aca="false">IF(OR(M158=0,D158=""),"",IF(ISNUMBER(D158),MOD(D158,1),IFERROR(INDEX(القوائم!$B$1:$B$288,MATCH(TRIM(D158),القوائم!$A$1:$A$288,0)),IFERROR(MOD(TIMEVALUE(D158),1),""))))</f>
        <v/>
      </c>
      <c r="M158" s="25" t="n">
        <f aca="false">M151</f>
        <v>0</v>
      </c>
      <c r="Q158" s="25" t="n">
        <f aca="false">IF(N(F162)&gt;0,1,0)</f>
        <v>0</v>
      </c>
      <c r="S158" s="0" t="n">
        <v>13</v>
      </c>
    </row>
    <row r="159" customFormat="false" ht="15" hidden="false" customHeight="false" outlineLevel="0" collapsed="false">
      <c r="A159" s="34" t="n">
        <f aca="false">IF(13&lt;=NW,SAT1+90,"")</f>
        <v>46108</v>
      </c>
      <c r="B159" s="35" t="str">
        <f aca="false">IF(A159="","",CHOOSE(WEEKDAY(A159,1),"الأحد","الاثنين","الثلاثاء","الأربعاء","الخميس","الجمعة","السبت"))</f>
        <v>الجمعة</v>
      </c>
      <c r="C159" s="30"/>
      <c r="D159" s="30"/>
      <c r="E159" s="31" t="str">
        <f aca="false">IF(OR(M159=0,K159="",L159=""),"",MOD(L159-K159,1))</f>
        <v/>
      </c>
      <c r="F159" s="32" t="str">
        <f aca="false">IF(OR(E159="",M159=0),"",IF(ROUND_MODE="للأعلى",CEILING(ROUND((E159*24*$N$151),3),0.25),ROUND((E159*24*$N$151)*4,0)/4))</f>
        <v/>
      </c>
      <c r="G159" s="30"/>
      <c r="H159" s="30"/>
      <c r="K159" s="33" t="str">
        <f aca="false">IF(OR(M159=0,C159=""),"",IF(ISNUMBER(C159),MOD(C159,1),IFERROR(INDEX(القوائم!$B$1:$B$288,MATCH(TRIM(C159),القوائم!$A$1:$A$288,0)),IFERROR(MOD(TIMEVALUE(C159),1),""))))</f>
        <v/>
      </c>
      <c r="L159" s="33" t="str">
        <f aca="false">IF(OR(M159=0,D159=""),"",IF(ISNUMBER(D159),MOD(D159,1),IFERROR(INDEX(القوائم!$B$1:$B$288,MATCH(TRIM(D159),القوائم!$A$1:$A$288,0)),IFERROR(MOD(TIMEVALUE(D159),1),""))))</f>
        <v/>
      </c>
      <c r="M159" s="25" t="n">
        <f aca="false">M151</f>
        <v>0</v>
      </c>
      <c r="Q159" s="25" t="n">
        <f aca="false">IF(N(F162)&gt;0,1,0)</f>
        <v>0</v>
      </c>
      <c r="S159" s="0" t="n">
        <v>13</v>
      </c>
    </row>
    <row r="160" customFormat="false" ht="15" hidden="false" customHeight="false" outlineLevel="0" collapsed="false">
      <c r="A160" s="36" t="str">
        <f aca="false">IF(M151=1,"مجموع أيام الأسبوع 13","")</f>
        <v/>
      </c>
      <c r="B160" s="36"/>
      <c r="C160" s="36"/>
      <c r="D160" s="36"/>
      <c r="E160" s="37" t="str">
        <f aca="false">IF(M151=1,SUM(E153:E159),"")</f>
        <v/>
      </c>
      <c r="F160" s="38" t="str">
        <f aca="false">IF(M151=1,SUM(F153:F159),"")</f>
        <v/>
      </c>
      <c r="G160" s="50" t="str">
        <f aca="false">IF(M151=1,SUMIFS(F153:F159,G153:G159,"نعم"),"")</f>
        <v/>
      </c>
      <c r="H160" s="36"/>
      <c r="S160" s="0" t="n">
        <v>13</v>
      </c>
    </row>
    <row r="161" customFormat="false" ht="31.5" hidden="false" customHeight="true" outlineLevel="0" collapsed="false">
      <c r="A161" s="39" t="str">
        <f aca="false">IF(M151=1,"ساعات تحميل الجبسمبورد بهالأسبوع (رقم: 2 أو 1.5) ←","")</f>
        <v/>
      </c>
      <c r="B161" s="39"/>
      <c r="C161" s="39"/>
      <c r="D161" s="39"/>
      <c r="E161" s="40"/>
      <c r="F161" s="42" t="str">
        <f aca="false">IF(M151=1,N(F160)+IF(ROUND_MODE="للأعلى",CEILING(ROUND((N(E161)*($P$151-$N$151)),3),0.25),ROUND((N(E161)*($P$151-$N$151))*4,0)/4)+N(C162),"")</f>
        <v/>
      </c>
      <c r="G161" s="41" t="str">
        <f aca="false">IF(M151=1,"← المستحق النهائي للأسبوع مع الجبسمبورد والإكرامية","")</f>
        <v/>
      </c>
      <c r="H161" s="41"/>
      <c r="S161" s="0" t="n">
        <v>13</v>
      </c>
    </row>
    <row r="162" customFormat="false" ht="25.5" hidden="false" customHeight="true" outlineLevel="0" collapsed="false">
      <c r="A162" s="39" t="str">
        <f aca="false">IF(M151=1,"إكرامية الأسبوع ←","")</f>
        <v/>
      </c>
      <c r="B162" s="39"/>
      <c r="C162" s="44"/>
      <c r="D162" s="39" t="str">
        <f aca="false">IF(M151=1,"المدفوع (التسوية) ←","")</f>
        <v/>
      </c>
      <c r="E162" s="39"/>
      <c r="F162" s="44"/>
      <c r="G162" s="45" t="str">
        <f aca="false">IF(M151=1,IF(N(F162)&gt;0,"✔ انقبض — الأسبوع مقفول","⏳ لسا ما انقبض"),"")</f>
        <v/>
      </c>
      <c r="H162" s="45"/>
      <c r="S162" s="0" t="n">
        <v>13</v>
      </c>
    </row>
    <row r="163" customFormat="false" ht="27.75" hidden="false" customHeight="true" outlineLevel="0" collapsed="false">
      <c r="A163" s="48" t="str">
        <f aca="false">IF(14&lt;=NW,"من السبت "&amp;TEXT(DAY(SAT1+91),"00")&amp;"/"&amp;TEXT(MONTH(SAT1+91),"00")&amp;"/"&amp;YEAR(SAT1+91)&amp;" إلى الجمعة "&amp;TEXT(DAY(SAT1+97),"00")&amp;"/"&amp;TEXT(MONTH(SAT1+97),"00")&amp;"/"&amp;YEAR(SAT1+97)&amp;" · الأسبوع 14"&amp;"  (يوم القبض: الجمعة)"&amp;IF(14&lt;START_Z,"   — قبل أسبوع البداية (ما بينحسب)",""),"ما في أسبوع 14 هالسنة")</f>
        <v>من السبت 28/03/2026 إلى الجمعة 03/04/2026 · الأسبوع 14  (يوم القبض: الجمعة)   — قبل أسبوع البداية (ما بينحسب)</v>
      </c>
      <c r="B163" s="48"/>
      <c r="C163" s="48"/>
      <c r="D163" s="48"/>
      <c r="E163" s="48"/>
      <c r="F163" s="48"/>
      <c r="G163" s="48"/>
      <c r="H163" s="48"/>
      <c r="L163" s="24" t="n">
        <f aca="false">IF(14&lt;=NW,SAT1+97,"")</f>
        <v>46115</v>
      </c>
      <c r="M163" s="25" t="n">
        <f aca="false">IF(AND(14&lt;=NW,14&gt;=START_Z),1,0)</f>
        <v>0</v>
      </c>
      <c r="N163" s="26" t="n">
        <f aca="false">IFERROR(INDEX(RT_AZZ,MATCH(L163,RT_K,1)),INDEX(RT_AZZ,1))</f>
        <v>1</v>
      </c>
      <c r="P163" s="26" t="n">
        <f aca="false">IFERROR(INDEX(RT_GYP,MATCH(L163,RT_K,1)),INDEX(RT_GYP,1))</f>
        <v>2.5</v>
      </c>
      <c r="R163" s="0" t="n">
        <v>14</v>
      </c>
      <c r="S163" s="0" t="n">
        <v>14</v>
      </c>
    </row>
    <row r="164" customFormat="false" ht="25.5" hidden="false" customHeight="true" outlineLevel="0" collapsed="false">
      <c r="A164" s="49" t="s">
        <v>22</v>
      </c>
      <c r="B164" s="49" t="s">
        <v>23</v>
      </c>
      <c r="C164" s="49" t="s">
        <v>24</v>
      </c>
      <c r="D164" s="49" t="s">
        <v>25</v>
      </c>
      <c r="E164" s="49" t="s">
        <v>26</v>
      </c>
      <c r="F164" s="49" t="s">
        <v>33</v>
      </c>
      <c r="G164" s="49" t="s">
        <v>34</v>
      </c>
      <c r="H164" s="49" t="s">
        <v>30</v>
      </c>
      <c r="S164" s="0" t="n">
        <v>14</v>
      </c>
    </row>
    <row r="165" customFormat="false" ht="15" hidden="false" customHeight="false" outlineLevel="0" collapsed="false">
      <c r="A165" s="28" t="n">
        <f aca="false">IF(14&lt;=NW,SAT1+91,"")</f>
        <v>46109</v>
      </c>
      <c r="B165" s="29" t="str">
        <f aca="false">IF(A165="","",CHOOSE(WEEKDAY(A165,1),"الأحد","الاثنين","الثلاثاء","الأربعاء","الخميس","الجمعة","السبت"))</f>
        <v>السبت</v>
      </c>
      <c r="C165" s="30"/>
      <c r="D165" s="30"/>
      <c r="E165" s="31" t="str">
        <f aca="false">IF(OR(M165=0,K165="",L165=""),"",MOD(L165-K165,1))</f>
        <v/>
      </c>
      <c r="F165" s="32" t="str">
        <f aca="false">IF(OR(E165="",M165=0),"",IF(ROUND_MODE="للأعلى",CEILING(ROUND((E165*24*$N$163),3),0.25),ROUND((E165*24*$N$163)*4,0)/4))</f>
        <v/>
      </c>
      <c r="G165" s="30"/>
      <c r="H165" s="30"/>
      <c r="K165" s="33" t="str">
        <f aca="false">IF(OR(M165=0,C165=""),"",IF(ISNUMBER(C165),MOD(C165,1),IFERROR(INDEX(القوائم!$B$1:$B$288,MATCH(TRIM(C165),القوائم!$A$1:$A$288,0)),IFERROR(MOD(TIMEVALUE(C165),1),""))))</f>
        <v/>
      </c>
      <c r="L165" s="33" t="str">
        <f aca="false">IF(OR(M165=0,D165=""),"",IF(ISNUMBER(D165),MOD(D165,1),IFERROR(INDEX(القوائم!$B$1:$B$288,MATCH(TRIM(D165),القوائم!$A$1:$A$288,0)),IFERROR(MOD(TIMEVALUE(D165),1),""))))</f>
        <v/>
      </c>
      <c r="M165" s="25" t="n">
        <f aca="false">M163</f>
        <v>0</v>
      </c>
      <c r="Q165" s="25" t="n">
        <f aca="false">IF(N(F174)&gt;0,1,0)</f>
        <v>0</v>
      </c>
      <c r="S165" s="0" t="n">
        <v>14</v>
      </c>
    </row>
    <row r="166" customFormat="false" ht="15" hidden="false" customHeight="false" outlineLevel="0" collapsed="false">
      <c r="A166" s="28" t="n">
        <f aca="false">IF(14&lt;=NW,SAT1+92,"")</f>
        <v>46110</v>
      </c>
      <c r="B166" s="29" t="str">
        <f aca="false">IF(A166="","",CHOOSE(WEEKDAY(A166,1),"الأحد","الاثنين","الثلاثاء","الأربعاء","الخميس","الجمعة","السبت"))</f>
        <v>الأحد</v>
      </c>
      <c r="C166" s="30"/>
      <c r="D166" s="30"/>
      <c r="E166" s="31" t="str">
        <f aca="false">IF(OR(M166=0,K166="",L166=""),"",MOD(L166-K166,1))</f>
        <v/>
      </c>
      <c r="F166" s="32" t="str">
        <f aca="false">IF(OR(E166="",M166=0),"",IF(ROUND_MODE="للأعلى",CEILING(ROUND((E166*24*$N$163),3),0.25),ROUND((E166*24*$N$163)*4,0)/4))</f>
        <v/>
      </c>
      <c r="G166" s="30"/>
      <c r="H166" s="30"/>
      <c r="K166" s="33" t="str">
        <f aca="false">IF(OR(M166=0,C166=""),"",IF(ISNUMBER(C166),MOD(C166,1),IFERROR(INDEX(القوائم!$B$1:$B$288,MATCH(TRIM(C166),القوائم!$A$1:$A$288,0)),IFERROR(MOD(TIMEVALUE(C166),1),""))))</f>
        <v/>
      </c>
      <c r="L166" s="33" t="str">
        <f aca="false">IF(OR(M166=0,D166=""),"",IF(ISNUMBER(D166),MOD(D166,1),IFERROR(INDEX(القوائم!$B$1:$B$288,MATCH(TRIM(D166),القوائم!$A$1:$A$288,0)),IFERROR(MOD(TIMEVALUE(D166),1),""))))</f>
        <v/>
      </c>
      <c r="M166" s="25" t="n">
        <f aca="false">M163</f>
        <v>0</v>
      </c>
      <c r="Q166" s="25" t="n">
        <f aca="false">IF(N(F174)&gt;0,1,0)</f>
        <v>0</v>
      </c>
      <c r="S166" s="0" t="n">
        <v>14</v>
      </c>
    </row>
    <row r="167" customFormat="false" ht="15" hidden="false" customHeight="false" outlineLevel="0" collapsed="false">
      <c r="A167" s="28" t="n">
        <f aca="false">IF(14&lt;=NW,SAT1+93,"")</f>
        <v>46111</v>
      </c>
      <c r="B167" s="29" t="str">
        <f aca="false">IF(A167="","",CHOOSE(WEEKDAY(A167,1),"الأحد","الاثنين","الثلاثاء","الأربعاء","الخميس","الجمعة","السبت"))</f>
        <v>الاثنين</v>
      </c>
      <c r="C167" s="30"/>
      <c r="D167" s="30"/>
      <c r="E167" s="31" t="str">
        <f aca="false">IF(OR(M167=0,K167="",L167=""),"",MOD(L167-K167,1))</f>
        <v/>
      </c>
      <c r="F167" s="32" t="str">
        <f aca="false">IF(OR(E167="",M167=0),"",IF(ROUND_MODE="للأعلى",CEILING(ROUND((E167*24*$N$163),3),0.25),ROUND((E167*24*$N$163)*4,0)/4))</f>
        <v/>
      </c>
      <c r="G167" s="30"/>
      <c r="H167" s="30"/>
      <c r="K167" s="33" t="str">
        <f aca="false">IF(OR(M167=0,C167=""),"",IF(ISNUMBER(C167),MOD(C167,1),IFERROR(INDEX(القوائم!$B$1:$B$288,MATCH(TRIM(C167),القوائم!$A$1:$A$288,0)),IFERROR(MOD(TIMEVALUE(C167),1),""))))</f>
        <v/>
      </c>
      <c r="L167" s="33" t="str">
        <f aca="false">IF(OR(M167=0,D167=""),"",IF(ISNUMBER(D167),MOD(D167,1),IFERROR(INDEX(القوائم!$B$1:$B$288,MATCH(TRIM(D167),القوائم!$A$1:$A$288,0)),IFERROR(MOD(TIMEVALUE(D167),1),""))))</f>
        <v/>
      </c>
      <c r="M167" s="25" t="n">
        <f aca="false">M163</f>
        <v>0</v>
      </c>
      <c r="Q167" s="25" t="n">
        <f aca="false">IF(N(F174)&gt;0,1,0)</f>
        <v>0</v>
      </c>
      <c r="S167" s="0" t="n">
        <v>14</v>
      </c>
    </row>
    <row r="168" customFormat="false" ht="15" hidden="false" customHeight="false" outlineLevel="0" collapsed="false">
      <c r="A168" s="28" t="n">
        <f aca="false">IF(14&lt;=NW,SAT1+94,"")</f>
        <v>46112</v>
      </c>
      <c r="B168" s="29" t="str">
        <f aca="false">IF(A168="","",CHOOSE(WEEKDAY(A168,1),"الأحد","الاثنين","الثلاثاء","الأربعاء","الخميس","الجمعة","السبت"))</f>
        <v>الثلاثاء</v>
      </c>
      <c r="C168" s="30"/>
      <c r="D168" s="30"/>
      <c r="E168" s="31" t="str">
        <f aca="false">IF(OR(M168=0,K168="",L168=""),"",MOD(L168-K168,1))</f>
        <v/>
      </c>
      <c r="F168" s="32" t="str">
        <f aca="false">IF(OR(E168="",M168=0),"",IF(ROUND_MODE="للأعلى",CEILING(ROUND((E168*24*$N$163),3),0.25),ROUND((E168*24*$N$163)*4,0)/4))</f>
        <v/>
      </c>
      <c r="G168" s="30"/>
      <c r="H168" s="30"/>
      <c r="K168" s="33" t="str">
        <f aca="false">IF(OR(M168=0,C168=""),"",IF(ISNUMBER(C168),MOD(C168,1),IFERROR(INDEX(القوائم!$B$1:$B$288,MATCH(TRIM(C168),القوائم!$A$1:$A$288,0)),IFERROR(MOD(TIMEVALUE(C168),1),""))))</f>
        <v/>
      </c>
      <c r="L168" s="33" t="str">
        <f aca="false">IF(OR(M168=0,D168=""),"",IF(ISNUMBER(D168),MOD(D168,1),IFERROR(INDEX(القوائم!$B$1:$B$288,MATCH(TRIM(D168),القوائم!$A$1:$A$288,0)),IFERROR(MOD(TIMEVALUE(D168),1),""))))</f>
        <v/>
      </c>
      <c r="M168" s="25" t="n">
        <f aca="false">M163</f>
        <v>0</v>
      </c>
      <c r="Q168" s="25" t="n">
        <f aca="false">IF(N(F174)&gt;0,1,0)</f>
        <v>0</v>
      </c>
      <c r="S168" s="0" t="n">
        <v>14</v>
      </c>
    </row>
    <row r="169" customFormat="false" ht="15" hidden="false" customHeight="false" outlineLevel="0" collapsed="false">
      <c r="A169" s="28" t="n">
        <f aca="false">IF(14&lt;=NW,SAT1+95,"")</f>
        <v>46113</v>
      </c>
      <c r="B169" s="29" t="str">
        <f aca="false">IF(A169="","",CHOOSE(WEEKDAY(A169,1),"الأحد","الاثنين","الثلاثاء","الأربعاء","الخميس","الجمعة","السبت"))</f>
        <v>الأربعاء</v>
      </c>
      <c r="C169" s="30"/>
      <c r="D169" s="30"/>
      <c r="E169" s="31" t="str">
        <f aca="false">IF(OR(M169=0,K169="",L169=""),"",MOD(L169-K169,1))</f>
        <v/>
      </c>
      <c r="F169" s="32" t="str">
        <f aca="false">IF(OR(E169="",M169=0),"",IF(ROUND_MODE="للأعلى",CEILING(ROUND((E169*24*$N$163),3),0.25),ROUND((E169*24*$N$163)*4,0)/4))</f>
        <v/>
      </c>
      <c r="G169" s="30"/>
      <c r="H169" s="30"/>
      <c r="K169" s="33" t="str">
        <f aca="false">IF(OR(M169=0,C169=""),"",IF(ISNUMBER(C169),MOD(C169,1),IFERROR(INDEX(القوائم!$B$1:$B$288,MATCH(TRIM(C169),القوائم!$A$1:$A$288,0)),IFERROR(MOD(TIMEVALUE(C169),1),""))))</f>
        <v/>
      </c>
      <c r="L169" s="33" t="str">
        <f aca="false">IF(OR(M169=0,D169=""),"",IF(ISNUMBER(D169),MOD(D169,1),IFERROR(INDEX(القوائم!$B$1:$B$288,MATCH(TRIM(D169),القوائم!$A$1:$A$288,0)),IFERROR(MOD(TIMEVALUE(D169),1),""))))</f>
        <v/>
      </c>
      <c r="M169" s="25" t="n">
        <f aca="false">M163</f>
        <v>0</v>
      </c>
      <c r="Q169" s="25" t="n">
        <f aca="false">IF(N(F174)&gt;0,1,0)</f>
        <v>0</v>
      </c>
      <c r="S169" s="0" t="n">
        <v>14</v>
      </c>
    </row>
    <row r="170" customFormat="false" ht="15" hidden="false" customHeight="false" outlineLevel="0" collapsed="false">
      <c r="A170" s="28" t="n">
        <f aca="false">IF(14&lt;=NW,SAT1+96,"")</f>
        <v>46114</v>
      </c>
      <c r="B170" s="29" t="str">
        <f aca="false">IF(A170="","",CHOOSE(WEEKDAY(A170,1),"الأحد","الاثنين","الثلاثاء","الأربعاء","الخميس","الجمعة","السبت"))</f>
        <v>الخميس</v>
      </c>
      <c r="C170" s="30"/>
      <c r="D170" s="30"/>
      <c r="E170" s="31" t="str">
        <f aca="false">IF(OR(M170=0,K170="",L170=""),"",MOD(L170-K170,1))</f>
        <v/>
      </c>
      <c r="F170" s="32" t="str">
        <f aca="false">IF(OR(E170="",M170=0),"",IF(ROUND_MODE="للأعلى",CEILING(ROUND((E170*24*$N$163),3),0.25),ROUND((E170*24*$N$163)*4,0)/4))</f>
        <v/>
      </c>
      <c r="G170" s="30"/>
      <c r="H170" s="30"/>
      <c r="K170" s="33" t="str">
        <f aca="false">IF(OR(M170=0,C170=""),"",IF(ISNUMBER(C170),MOD(C170,1),IFERROR(INDEX(القوائم!$B$1:$B$288,MATCH(TRIM(C170),القوائم!$A$1:$A$288,0)),IFERROR(MOD(TIMEVALUE(C170),1),""))))</f>
        <v/>
      </c>
      <c r="L170" s="33" t="str">
        <f aca="false">IF(OR(M170=0,D170=""),"",IF(ISNUMBER(D170),MOD(D170,1),IFERROR(INDEX(القوائم!$B$1:$B$288,MATCH(TRIM(D170),القوائم!$A$1:$A$288,0)),IFERROR(MOD(TIMEVALUE(D170),1),""))))</f>
        <v/>
      </c>
      <c r="M170" s="25" t="n">
        <f aca="false">M163</f>
        <v>0</v>
      </c>
      <c r="Q170" s="25" t="n">
        <f aca="false">IF(N(F174)&gt;0,1,0)</f>
        <v>0</v>
      </c>
      <c r="S170" s="0" t="n">
        <v>14</v>
      </c>
    </row>
    <row r="171" customFormat="false" ht="15" hidden="false" customHeight="false" outlineLevel="0" collapsed="false">
      <c r="A171" s="34" t="n">
        <f aca="false">IF(14&lt;=NW,SAT1+97,"")</f>
        <v>46115</v>
      </c>
      <c r="B171" s="35" t="str">
        <f aca="false">IF(A171="","",CHOOSE(WEEKDAY(A171,1),"الأحد","الاثنين","الثلاثاء","الأربعاء","الخميس","الجمعة","السبت"))</f>
        <v>الجمعة</v>
      </c>
      <c r="C171" s="30"/>
      <c r="D171" s="30"/>
      <c r="E171" s="31" t="str">
        <f aca="false">IF(OR(M171=0,K171="",L171=""),"",MOD(L171-K171,1))</f>
        <v/>
      </c>
      <c r="F171" s="32" t="str">
        <f aca="false">IF(OR(E171="",M171=0),"",IF(ROUND_MODE="للأعلى",CEILING(ROUND((E171*24*$N$163),3),0.25),ROUND((E171*24*$N$163)*4,0)/4))</f>
        <v/>
      </c>
      <c r="G171" s="30"/>
      <c r="H171" s="30"/>
      <c r="K171" s="33" t="str">
        <f aca="false">IF(OR(M171=0,C171=""),"",IF(ISNUMBER(C171),MOD(C171,1),IFERROR(INDEX(القوائم!$B$1:$B$288,MATCH(TRIM(C171),القوائم!$A$1:$A$288,0)),IFERROR(MOD(TIMEVALUE(C171),1),""))))</f>
        <v/>
      </c>
      <c r="L171" s="33" t="str">
        <f aca="false">IF(OR(M171=0,D171=""),"",IF(ISNUMBER(D171),MOD(D171,1),IFERROR(INDEX(القوائم!$B$1:$B$288,MATCH(TRIM(D171),القوائم!$A$1:$A$288,0)),IFERROR(MOD(TIMEVALUE(D171),1),""))))</f>
        <v/>
      </c>
      <c r="M171" s="25" t="n">
        <f aca="false">M163</f>
        <v>0</v>
      </c>
      <c r="Q171" s="25" t="n">
        <f aca="false">IF(N(F174)&gt;0,1,0)</f>
        <v>0</v>
      </c>
      <c r="S171" s="0" t="n">
        <v>14</v>
      </c>
    </row>
    <row r="172" customFormat="false" ht="15" hidden="false" customHeight="false" outlineLevel="0" collapsed="false">
      <c r="A172" s="36" t="str">
        <f aca="false">IF(M163=1,"مجموع أيام الأسبوع 14","")</f>
        <v/>
      </c>
      <c r="B172" s="36"/>
      <c r="C172" s="36"/>
      <c r="D172" s="36"/>
      <c r="E172" s="37" t="str">
        <f aca="false">IF(M163=1,SUM(E165:E171),"")</f>
        <v/>
      </c>
      <c r="F172" s="38" t="str">
        <f aca="false">IF(M163=1,SUM(F165:F171),"")</f>
        <v/>
      </c>
      <c r="G172" s="50" t="str">
        <f aca="false">IF(M163=1,SUMIFS(F165:F171,G165:G171,"نعم"),"")</f>
        <v/>
      </c>
      <c r="H172" s="36"/>
      <c r="S172" s="0" t="n">
        <v>14</v>
      </c>
    </row>
    <row r="173" customFormat="false" ht="31.5" hidden="false" customHeight="true" outlineLevel="0" collapsed="false">
      <c r="A173" s="39" t="str">
        <f aca="false">IF(M163=1,"ساعات تحميل الجبسمبورد بهالأسبوع (رقم: 2 أو 1.5) ←","")</f>
        <v/>
      </c>
      <c r="B173" s="39"/>
      <c r="C173" s="39"/>
      <c r="D173" s="39"/>
      <c r="E173" s="40"/>
      <c r="F173" s="42" t="str">
        <f aca="false">IF(M163=1,N(F172)+IF(ROUND_MODE="للأعلى",CEILING(ROUND((N(E173)*($P$163-$N$163)),3),0.25),ROUND((N(E173)*($P$163-$N$163))*4,0)/4)+N(C174),"")</f>
        <v/>
      </c>
      <c r="G173" s="41" t="str">
        <f aca="false">IF(M163=1,"← المستحق النهائي للأسبوع مع الجبسمبورد والإكرامية","")</f>
        <v/>
      </c>
      <c r="H173" s="41"/>
      <c r="S173" s="0" t="n">
        <v>14</v>
      </c>
    </row>
    <row r="174" customFormat="false" ht="25.5" hidden="false" customHeight="true" outlineLevel="0" collapsed="false">
      <c r="A174" s="39" t="str">
        <f aca="false">IF(M163=1,"إكرامية الأسبوع ←","")</f>
        <v/>
      </c>
      <c r="B174" s="39"/>
      <c r="C174" s="44"/>
      <c r="D174" s="39" t="str">
        <f aca="false">IF(M163=1,"المدفوع (التسوية) ←","")</f>
        <v/>
      </c>
      <c r="E174" s="39"/>
      <c r="F174" s="44"/>
      <c r="G174" s="45" t="str">
        <f aca="false">IF(M163=1,IF(N(F174)&gt;0,"✔ انقبض — الأسبوع مقفول","⏳ لسا ما انقبض"),"")</f>
        <v/>
      </c>
      <c r="H174" s="45"/>
      <c r="S174" s="0" t="n">
        <v>14</v>
      </c>
    </row>
    <row r="175" customFormat="false" ht="27.75" hidden="false" customHeight="true" outlineLevel="0" collapsed="false">
      <c r="A175" s="48" t="str">
        <f aca="false">IF(15&lt;=NW,"من السبت "&amp;TEXT(DAY(SAT1+98),"00")&amp;"/"&amp;TEXT(MONTH(SAT1+98),"00")&amp;"/"&amp;YEAR(SAT1+98)&amp;" إلى الجمعة "&amp;TEXT(DAY(SAT1+104),"00")&amp;"/"&amp;TEXT(MONTH(SAT1+104),"00")&amp;"/"&amp;YEAR(SAT1+104)&amp;" · الأسبوع 15"&amp;"  (يوم القبض: الجمعة)"&amp;IF(15&lt;START_Z,"   — قبل أسبوع البداية (ما بينحسب)",""),"ما في أسبوع 15 هالسنة")</f>
        <v>من السبت 04/04/2026 إلى الجمعة 10/04/2026 · الأسبوع 15  (يوم القبض: الجمعة)   — قبل أسبوع البداية (ما بينحسب)</v>
      </c>
      <c r="B175" s="48"/>
      <c r="C175" s="48"/>
      <c r="D175" s="48"/>
      <c r="E175" s="48"/>
      <c r="F175" s="48"/>
      <c r="G175" s="48"/>
      <c r="H175" s="48"/>
      <c r="L175" s="24" t="n">
        <f aca="false">IF(15&lt;=NW,SAT1+104,"")</f>
        <v>46122</v>
      </c>
      <c r="M175" s="25" t="n">
        <f aca="false">IF(AND(15&lt;=NW,15&gt;=START_Z),1,0)</f>
        <v>0</v>
      </c>
      <c r="N175" s="26" t="n">
        <f aca="false">IFERROR(INDEX(RT_AZZ,MATCH(L175,RT_K,1)),INDEX(RT_AZZ,1))</f>
        <v>1</v>
      </c>
      <c r="P175" s="26" t="n">
        <f aca="false">IFERROR(INDEX(RT_GYP,MATCH(L175,RT_K,1)),INDEX(RT_GYP,1))</f>
        <v>2.5</v>
      </c>
      <c r="R175" s="0" t="n">
        <v>15</v>
      </c>
      <c r="S175" s="0" t="n">
        <v>15</v>
      </c>
    </row>
    <row r="176" customFormat="false" ht="25.5" hidden="false" customHeight="true" outlineLevel="0" collapsed="false">
      <c r="A176" s="49" t="s">
        <v>22</v>
      </c>
      <c r="B176" s="49" t="s">
        <v>23</v>
      </c>
      <c r="C176" s="49" t="s">
        <v>24</v>
      </c>
      <c r="D176" s="49" t="s">
        <v>25</v>
      </c>
      <c r="E176" s="49" t="s">
        <v>26</v>
      </c>
      <c r="F176" s="49" t="s">
        <v>33</v>
      </c>
      <c r="G176" s="49" t="s">
        <v>34</v>
      </c>
      <c r="H176" s="49" t="s">
        <v>30</v>
      </c>
      <c r="S176" s="0" t="n">
        <v>15</v>
      </c>
    </row>
    <row r="177" customFormat="false" ht="15" hidden="false" customHeight="false" outlineLevel="0" collapsed="false">
      <c r="A177" s="28" t="n">
        <f aca="false">IF(15&lt;=NW,SAT1+98,"")</f>
        <v>46116</v>
      </c>
      <c r="B177" s="29" t="str">
        <f aca="false">IF(A177="","",CHOOSE(WEEKDAY(A177,1),"الأحد","الاثنين","الثلاثاء","الأربعاء","الخميس","الجمعة","السبت"))</f>
        <v>السبت</v>
      </c>
      <c r="C177" s="30"/>
      <c r="D177" s="30"/>
      <c r="E177" s="31" t="str">
        <f aca="false">IF(OR(M177=0,K177="",L177=""),"",MOD(L177-K177,1))</f>
        <v/>
      </c>
      <c r="F177" s="32" t="str">
        <f aca="false">IF(OR(E177="",M177=0),"",IF(ROUND_MODE="للأعلى",CEILING(ROUND((E177*24*$N$175),3),0.25),ROUND((E177*24*$N$175)*4,0)/4))</f>
        <v/>
      </c>
      <c r="G177" s="30"/>
      <c r="H177" s="30"/>
      <c r="K177" s="33" t="str">
        <f aca="false">IF(OR(M177=0,C177=""),"",IF(ISNUMBER(C177),MOD(C177,1),IFERROR(INDEX(القوائم!$B$1:$B$288,MATCH(TRIM(C177),القوائم!$A$1:$A$288,0)),IFERROR(MOD(TIMEVALUE(C177),1),""))))</f>
        <v/>
      </c>
      <c r="L177" s="33" t="str">
        <f aca="false">IF(OR(M177=0,D177=""),"",IF(ISNUMBER(D177),MOD(D177,1),IFERROR(INDEX(القوائم!$B$1:$B$288,MATCH(TRIM(D177),القوائم!$A$1:$A$288,0)),IFERROR(MOD(TIMEVALUE(D177),1),""))))</f>
        <v/>
      </c>
      <c r="M177" s="25" t="n">
        <f aca="false">M175</f>
        <v>0</v>
      </c>
      <c r="Q177" s="25" t="n">
        <f aca="false">IF(N(F186)&gt;0,1,0)</f>
        <v>0</v>
      </c>
      <c r="S177" s="0" t="n">
        <v>15</v>
      </c>
    </row>
    <row r="178" customFormat="false" ht="15" hidden="false" customHeight="false" outlineLevel="0" collapsed="false">
      <c r="A178" s="28" t="n">
        <f aca="false">IF(15&lt;=NW,SAT1+99,"")</f>
        <v>46117</v>
      </c>
      <c r="B178" s="29" t="str">
        <f aca="false">IF(A178="","",CHOOSE(WEEKDAY(A178,1),"الأحد","الاثنين","الثلاثاء","الأربعاء","الخميس","الجمعة","السبت"))</f>
        <v>الأحد</v>
      </c>
      <c r="C178" s="30"/>
      <c r="D178" s="30"/>
      <c r="E178" s="31" t="str">
        <f aca="false">IF(OR(M178=0,K178="",L178=""),"",MOD(L178-K178,1))</f>
        <v/>
      </c>
      <c r="F178" s="32" t="str">
        <f aca="false">IF(OR(E178="",M178=0),"",IF(ROUND_MODE="للأعلى",CEILING(ROUND((E178*24*$N$175),3),0.25),ROUND((E178*24*$N$175)*4,0)/4))</f>
        <v/>
      </c>
      <c r="G178" s="30"/>
      <c r="H178" s="30"/>
      <c r="K178" s="33" t="str">
        <f aca="false">IF(OR(M178=0,C178=""),"",IF(ISNUMBER(C178),MOD(C178,1),IFERROR(INDEX(القوائم!$B$1:$B$288,MATCH(TRIM(C178),القوائم!$A$1:$A$288,0)),IFERROR(MOD(TIMEVALUE(C178),1),""))))</f>
        <v/>
      </c>
      <c r="L178" s="33" t="str">
        <f aca="false">IF(OR(M178=0,D178=""),"",IF(ISNUMBER(D178),MOD(D178,1),IFERROR(INDEX(القوائم!$B$1:$B$288,MATCH(TRIM(D178),القوائم!$A$1:$A$288,0)),IFERROR(MOD(TIMEVALUE(D178),1),""))))</f>
        <v/>
      </c>
      <c r="M178" s="25" t="n">
        <f aca="false">M175</f>
        <v>0</v>
      </c>
      <c r="Q178" s="25" t="n">
        <f aca="false">IF(N(F186)&gt;0,1,0)</f>
        <v>0</v>
      </c>
      <c r="S178" s="0" t="n">
        <v>15</v>
      </c>
    </row>
    <row r="179" customFormat="false" ht="15" hidden="false" customHeight="false" outlineLevel="0" collapsed="false">
      <c r="A179" s="28" t="n">
        <f aca="false">IF(15&lt;=NW,SAT1+100,"")</f>
        <v>46118</v>
      </c>
      <c r="B179" s="29" t="str">
        <f aca="false">IF(A179="","",CHOOSE(WEEKDAY(A179,1),"الأحد","الاثنين","الثلاثاء","الأربعاء","الخميس","الجمعة","السبت"))</f>
        <v>الاثنين</v>
      </c>
      <c r="C179" s="30"/>
      <c r="D179" s="30"/>
      <c r="E179" s="31" t="str">
        <f aca="false">IF(OR(M179=0,K179="",L179=""),"",MOD(L179-K179,1))</f>
        <v/>
      </c>
      <c r="F179" s="32" t="str">
        <f aca="false">IF(OR(E179="",M179=0),"",IF(ROUND_MODE="للأعلى",CEILING(ROUND((E179*24*$N$175),3),0.25),ROUND((E179*24*$N$175)*4,0)/4))</f>
        <v/>
      </c>
      <c r="G179" s="30"/>
      <c r="H179" s="30"/>
      <c r="K179" s="33" t="str">
        <f aca="false">IF(OR(M179=0,C179=""),"",IF(ISNUMBER(C179),MOD(C179,1),IFERROR(INDEX(القوائم!$B$1:$B$288,MATCH(TRIM(C179),القوائم!$A$1:$A$288,0)),IFERROR(MOD(TIMEVALUE(C179),1),""))))</f>
        <v/>
      </c>
      <c r="L179" s="33" t="str">
        <f aca="false">IF(OR(M179=0,D179=""),"",IF(ISNUMBER(D179),MOD(D179,1),IFERROR(INDEX(القوائم!$B$1:$B$288,MATCH(TRIM(D179),القوائم!$A$1:$A$288,0)),IFERROR(MOD(TIMEVALUE(D179),1),""))))</f>
        <v/>
      </c>
      <c r="M179" s="25" t="n">
        <f aca="false">M175</f>
        <v>0</v>
      </c>
      <c r="Q179" s="25" t="n">
        <f aca="false">IF(N(F186)&gt;0,1,0)</f>
        <v>0</v>
      </c>
      <c r="S179" s="0" t="n">
        <v>15</v>
      </c>
    </row>
    <row r="180" customFormat="false" ht="15" hidden="false" customHeight="false" outlineLevel="0" collapsed="false">
      <c r="A180" s="28" t="n">
        <f aca="false">IF(15&lt;=NW,SAT1+101,"")</f>
        <v>46119</v>
      </c>
      <c r="B180" s="29" t="str">
        <f aca="false">IF(A180="","",CHOOSE(WEEKDAY(A180,1),"الأحد","الاثنين","الثلاثاء","الأربعاء","الخميس","الجمعة","السبت"))</f>
        <v>الثلاثاء</v>
      </c>
      <c r="C180" s="30"/>
      <c r="D180" s="30"/>
      <c r="E180" s="31" t="str">
        <f aca="false">IF(OR(M180=0,K180="",L180=""),"",MOD(L180-K180,1))</f>
        <v/>
      </c>
      <c r="F180" s="32" t="str">
        <f aca="false">IF(OR(E180="",M180=0),"",IF(ROUND_MODE="للأعلى",CEILING(ROUND((E180*24*$N$175),3),0.25),ROUND((E180*24*$N$175)*4,0)/4))</f>
        <v/>
      </c>
      <c r="G180" s="30"/>
      <c r="H180" s="30"/>
      <c r="K180" s="33" t="str">
        <f aca="false">IF(OR(M180=0,C180=""),"",IF(ISNUMBER(C180),MOD(C180,1),IFERROR(INDEX(القوائم!$B$1:$B$288,MATCH(TRIM(C180),القوائم!$A$1:$A$288,0)),IFERROR(MOD(TIMEVALUE(C180),1),""))))</f>
        <v/>
      </c>
      <c r="L180" s="33" t="str">
        <f aca="false">IF(OR(M180=0,D180=""),"",IF(ISNUMBER(D180),MOD(D180,1),IFERROR(INDEX(القوائم!$B$1:$B$288,MATCH(TRIM(D180),القوائم!$A$1:$A$288,0)),IFERROR(MOD(TIMEVALUE(D180),1),""))))</f>
        <v/>
      </c>
      <c r="M180" s="25" t="n">
        <f aca="false">M175</f>
        <v>0</v>
      </c>
      <c r="Q180" s="25" t="n">
        <f aca="false">IF(N(F186)&gt;0,1,0)</f>
        <v>0</v>
      </c>
      <c r="S180" s="0" t="n">
        <v>15</v>
      </c>
    </row>
    <row r="181" customFormat="false" ht="15" hidden="false" customHeight="false" outlineLevel="0" collapsed="false">
      <c r="A181" s="28" t="n">
        <f aca="false">IF(15&lt;=NW,SAT1+102,"")</f>
        <v>46120</v>
      </c>
      <c r="B181" s="29" t="str">
        <f aca="false">IF(A181="","",CHOOSE(WEEKDAY(A181,1),"الأحد","الاثنين","الثلاثاء","الأربعاء","الخميس","الجمعة","السبت"))</f>
        <v>الأربعاء</v>
      </c>
      <c r="C181" s="30"/>
      <c r="D181" s="30"/>
      <c r="E181" s="31" t="str">
        <f aca="false">IF(OR(M181=0,K181="",L181=""),"",MOD(L181-K181,1))</f>
        <v/>
      </c>
      <c r="F181" s="32" t="str">
        <f aca="false">IF(OR(E181="",M181=0),"",IF(ROUND_MODE="للأعلى",CEILING(ROUND((E181*24*$N$175),3),0.25),ROUND((E181*24*$N$175)*4,0)/4))</f>
        <v/>
      </c>
      <c r="G181" s="30"/>
      <c r="H181" s="30"/>
      <c r="K181" s="33" t="str">
        <f aca="false">IF(OR(M181=0,C181=""),"",IF(ISNUMBER(C181),MOD(C181,1),IFERROR(INDEX(القوائم!$B$1:$B$288,MATCH(TRIM(C181),القوائم!$A$1:$A$288,0)),IFERROR(MOD(TIMEVALUE(C181),1),""))))</f>
        <v/>
      </c>
      <c r="L181" s="33" t="str">
        <f aca="false">IF(OR(M181=0,D181=""),"",IF(ISNUMBER(D181),MOD(D181,1),IFERROR(INDEX(القوائم!$B$1:$B$288,MATCH(TRIM(D181),القوائم!$A$1:$A$288,0)),IFERROR(MOD(TIMEVALUE(D181),1),""))))</f>
        <v/>
      </c>
      <c r="M181" s="25" t="n">
        <f aca="false">M175</f>
        <v>0</v>
      </c>
      <c r="Q181" s="25" t="n">
        <f aca="false">IF(N(F186)&gt;0,1,0)</f>
        <v>0</v>
      </c>
      <c r="S181" s="0" t="n">
        <v>15</v>
      </c>
    </row>
    <row r="182" customFormat="false" ht="15" hidden="false" customHeight="false" outlineLevel="0" collapsed="false">
      <c r="A182" s="28" t="n">
        <f aca="false">IF(15&lt;=NW,SAT1+103,"")</f>
        <v>46121</v>
      </c>
      <c r="B182" s="29" t="str">
        <f aca="false">IF(A182="","",CHOOSE(WEEKDAY(A182,1),"الأحد","الاثنين","الثلاثاء","الأربعاء","الخميس","الجمعة","السبت"))</f>
        <v>الخميس</v>
      </c>
      <c r="C182" s="30"/>
      <c r="D182" s="30"/>
      <c r="E182" s="31" t="str">
        <f aca="false">IF(OR(M182=0,K182="",L182=""),"",MOD(L182-K182,1))</f>
        <v/>
      </c>
      <c r="F182" s="32" t="str">
        <f aca="false">IF(OR(E182="",M182=0),"",IF(ROUND_MODE="للأعلى",CEILING(ROUND((E182*24*$N$175),3),0.25),ROUND((E182*24*$N$175)*4,0)/4))</f>
        <v/>
      </c>
      <c r="G182" s="30"/>
      <c r="H182" s="30"/>
      <c r="K182" s="33" t="str">
        <f aca="false">IF(OR(M182=0,C182=""),"",IF(ISNUMBER(C182),MOD(C182,1),IFERROR(INDEX(القوائم!$B$1:$B$288,MATCH(TRIM(C182),القوائم!$A$1:$A$288,0)),IFERROR(MOD(TIMEVALUE(C182),1),""))))</f>
        <v/>
      </c>
      <c r="L182" s="33" t="str">
        <f aca="false">IF(OR(M182=0,D182=""),"",IF(ISNUMBER(D182),MOD(D182,1),IFERROR(INDEX(القوائم!$B$1:$B$288,MATCH(TRIM(D182),القوائم!$A$1:$A$288,0)),IFERROR(MOD(TIMEVALUE(D182),1),""))))</f>
        <v/>
      </c>
      <c r="M182" s="25" t="n">
        <f aca="false">M175</f>
        <v>0</v>
      </c>
      <c r="Q182" s="25" t="n">
        <f aca="false">IF(N(F186)&gt;0,1,0)</f>
        <v>0</v>
      </c>
      <c r="S182" s="0" t="n">
        <v>15</v>
      </c>
    </row>
    <row r="183" customFormat="false" ht="15" hidden="false" customHeight="false" outlineLevel="0" collapsed="false">
      <c r="A183" s="34" t="n">
        <f aca="false">IF(15&lt;=NW,SAT1+104,"")</f>
        <v>46122</v>
      </c>
      <c r="B183" s="35" t="str">
        <f aca="false">IF(A183="","",CHOOSE(WEEKDAY(A183,1),"الأحد","الاثنين","الثلاثاء","الأربعاء","الخميس","الجمعة","السبت"))</f>
        <v>الجمعة</v>
      </c>
      <c r="C183" s="30"/>
      <c r="D183" s="30"/>
      <c r="E183" s="31" t="str">
        <f aca="false">IF(OR(M183=0,K183="",L183=""),"",MOD(L183-K183,1))</f>
        <v/>
      </c>
      <c r="F183" s="32" t="str">
        <f aca="false">IF(OR(E183="",M183=0),"",IF(ROUND_MODE="للأعلى",CEILING(ROUND((E183*24*$N$175),3),0.25),ROUND((E183*24*$N$175)*4,0)/4))</f>
        <v/>
      </c>
      <c r="G183" s="30"/>
      <c r="H183" s="30"/>
      <c r="K183" s="33" t="str">
        <f aca="false">IF(OR(M183=0,C183=""),"",IF(ISNUMBER(C183),MOD(C183,1),IFERROR(INDEX(القوائم!$B$1:$B$288,MATCH(TRIM(C183),القوائم!$A$1:$A$288,0)),IFERROR(MOD(TIMEVALUE(C183),1),""))))</f>
        <v/>
      </c>
      <c r="L183" s="33" t="str">
        <f aca="false">IF(OR(M183=0,D183=""),"",IF(ISNUMBER(D183),MOD(D183,1),IFERROR(INDEX(القوائم!$B$1:$B$288,MATCH(TRIM(D183),القوائم!$A$1:$A$288,0)),IFERROR(MOD(TIMEVALUE(D183),1),""))))</f>
        <v/>
      </c>
      <c r="M183" s="25" t="n">
        <f aca="false">M175</f>
        <v>0</v>
      </c>
      <c r="Q183" s="25" t="n">
        <f aca="false">IF(N(F186)&gt;0,1,0)</f>
        <v>0</v>
      </c>
      <c r="S183" s="0" t="n">
        <v>15</v>
      </c>
    </row>
    <row r="184" customFormat="false" ht="15" hidden="false" customHeight="false" outlineLevel="0" collapsed="false">
      <c r="A184" s="36" t="str">
        <f aca="false">IF(M175=1,"مجموع أيام الأسبوع 15","")</f>
        <v/>
      </c>
      <c r="B184" s="36"/>
      <c r="C184" s="36"/>
      <c r="D184" s="36"/>
      <c r="E184" s="37" t="str">
        <f aca="false">IF(M175=1,SUM(E177:E183),"")</f>
        <v/>
      </c>
      <c r="F184" s="38" t="str">
        <f aca="false">IF(M175=1,SUM(F177:F183),"")</f>
        <v/>
      </c>
      <c r="G184" s="50" t="str">
        <f aca="false">IF(M175=1,SUMIFS(F177:F183,G177:G183,"نعم"),"")</f>
        <v/>
      </c>
      <c r="H184" s="36"/>
      <c r="S184" s="0" t="n">
        <v>15</v>
      </c>
    </row>
    <row r="185" customFormat="false" ht="31.5" hidden="false" customHeight="true" outlineLevel="0" collapsed="false">
      <c r="A185" s="39" t="str">
        <f aca="false">IF(M175=1,"ساعات تحميل الجبسمبورد بهالأسبوع (رقم: 2 أو 1.5) ←","")</f>
        <v/>
      </c>
      <c r="B185" s="39"/>
      <c r="C185" s="39"/>
      <c r="D185" s="39"/>
      <c r="E185" s="40"/>
      <c r="F185" s="42" t="str">
        <f aca="false">IF(M175=1,N(F184)+IF(ROUND_MODE="للأعلى",CEILING(ROUND((N(E185)*($P$175-$N$175)),3),0.25),ROUND((N(E185)*($P$175-$N$175))*4,0)/4)+N(C186),"")</f>
        <v/>
      </c>
      <c r="G185" s="41" t="str">
        <f aca="false">IF(M175=1,"← المستحق النهائي للأسبوع مع الجبسمبورد والإكرامية","")</f>
        <v/>
      </c>
      <c r="H185" s="41"/>
      <c r="S185" s="0" t="n">
        <v>15</v>
      </c>
    </row>
    <row r="186" customFormat="false" ht="25.5" hidden="false" customHeight="true" outlineLevel="0" collapsed="false">
      <c r="A186" s="39" t="str">
        <f aca="false">IF(M175=1,"إكرامية الأسبوع ←","")</f>
        <v/>
      </c>
      <c r="B186" s="39"/>
      <c r="C186" s="44"/>
      <c r="D186" s="39" t="str">
        <f aca="false">IF(M175=1,"المدفوع (التسوية) ←","")</f>
        <v/>
      </c>
      <c r="E186" s="39"/>
      <c r="F186" s="44"/>
      <c r="G186" s="45" t="str">
        <f aca="false">IF(M175=1,IF(N(F186)&gt;0,"✔ انقبض — الأسبوع مقفول","⏳ لسا ما انقبض"),"")</f>
        <v/>
      </c>
      <c r="H186" s="45"/>
      <c r="S186" s="0" t="n">
        <v>15</v>
      </c>
    </row>
    <row r="187" customFormat="false" ht="27.75" hidden="false" customHeight="true" outlineLevel="0" collapsed="false">
      <c r="A187" s="48" t="str">
        <f aca="false">IF(16&lt;=NW,"من السبت "&amp;TEXT(DAY(SAT1+105),"00")&amp;"/"&amp;TEXT(MONTH(SAT1+105),"00")&amp;"/"&amp;YEAR(SAT1+105)&amp;" إلى الجمعة "&amp;TEXT(DAY(SAT1+111),"00")&amp;"/"&amp;TEXT(MONTH(SAT1+111),"00")&amp;"/"&amp;YEAR(SAT1+111)&amp;" · الأسبوع 16"&amp;"  (يوم القبض: الجمعة)"&amp;IF(16&lt;START_Z,"   — قبل أسبوع البداية (ما بينحسب)",""),"ما في أسبوع 16 هالسنة")</f>
        <v>من السبت 11/04/2026 إلى الجمعة 17/04/2026 · الأسبوع 16  (يوم القبض: الجمعة)   — قبل أسبوع البداية (ما بينحسب)</v>
      </c>
      <c r="B187" s="48"/>
      <c r="C187" s="48"/>
      <c r="D187" s="48"/>
      <c r="E187" s="48"/>
      <c r="F187" s="48"/>
      <c r="G187" s="48"/>
      <c r="H187" s="48"/>
      <c r="L187" s="24" t="n">
        <f aca="false">IF(16&lt;=NW,SAT1+111,"")</f>
        <v>46129</v>
      </c>
      <c r="M187" s="25" t="n">
        <f aca="false">IF(AND(16&lt;=NW,16&gt;=START_Z),1,0)</f>
        <v>0</v>
      </c>
      <c r="N187" s="26" t="n">
        <f aca="false">IFERROR(INDEX(RT_AZZ,MATCH(L187,RT_K,1)),INDEX(RT_AZZ,1))</f>
        <v>1</v>
      </c>
      <c r="P187" s="26" t="n">
        <f aca="false">IFERROR(INDEX(RT_GYP,MATCH(L187,RT_K,1)),INDEX(RT_GYP,1))</f>
        <v>2.5</v>
      </c>
      <c r="R187" s="0" t="n">
        <v>16</v>
      </c>
      <c r="S187" s="0" t="n">
        <v>16</v>
      </c>
    </row>
    <row r="188" customFormat="false" ht="25.5" hidden="false" customHeight="true" outlineLevel="0" collapsed="false">
      <c r="A188" s="49" t="s">
        <v>22</v>
      </c>
      <c r="B188" s="49" t="s">
        <v>23</v>
      </c>
      <c r="C188" s="49" t="s">
        <v>24</v>
      </c>
      <c r="D188" s="49" t="s">
        <v>25</v>
      </c>
      <c r="E188" s="49" t="s">
        <v>26</v>
      </c>
      <c r="F188" s="49" t="s">
        <v>33</v>
      </c>
      <c r="G188" s="49" t="s">
        <v>34</v>
      </c>
      <c r="H188" s="49" t="s">
        <v>30</v>
      </c>
      <c r="S188" s="0" t="n">
        <v>16</v>
      </c>
    </row>
    <row r="189" customFormat="false" ht="15" hidden="false" customHeight="false" outlineLevel="0" collapsed="false">
      <c r="A189" s="28" t="n">
        <f aca="false">IF(16&lt;=NW,SAT1+105,"")</f>
        <v>46123</v>
      </c>
      <c r="B189" s="29" t="str">
        <f aca="false">IF(A189="","",CHOOSE(WEEKDAY(A189,1),"الأحد","الاثنين","الثلاثاء","الأربعاء","الخميس","الجمعة","السبت"))</f>
        <v>السبت</v>
      </c>
      <c r="C189" s="30"/>
      <c r="D189" s="30"/>
      <c r="E189" s="31" t="str">
        <f aca="false">IF(OR(M189=0,K189="",L189=""),"",MOD(L189-K189,1))</f>
        <v/>
      </c>
      <c r="F189" s="32" t="str">
        <f aca="false">IF(OR(E189="",M189=0),"",IF(ROUND_MODE="للأعلى",CEILING(ROUND((E189*24*$N$187),3),0.25),ROUND((E189*24*$N$187)*4,0)/4))</f>
        <v/>
      </c>
      <c r="G189" s="30"/>
      <c r="H189" s="30"/>
      <c r="K189" s="33" t="str">
        <f aca="false">IF(OR(M189=0,C189=""),"",IF(ISNUMBER(C189),MOD(C189,1),IFERROR(INDEX(القوائم!$B$1:$B$288,MATCH(TRIM(C189),القوائم!$A$1:$A$288,0)),IFERROR(MOD(TIMEVALUE(C189),1),""))))</f>
        <v/>
      </c>
      <c r="L189" s="33" t="str">
        <f aca="false">IF(OR(M189=0,D189=""),"",IF(ISNUMBER(D189),MOD(D189,1),IFERROR(INDEX(القوائم!$B$1:$B$288,MATCH(TRIM(D189),القوائم!$A$1:$A$288,0)),IFERROR(MOD(TIMEVALUE(D189),1),""))))</f>
        <v/>
      </c>
      <c r="M189" s="25" t="n">
        <f aca="false">M187</f>
        <v>0</v>
      </c>
      <c r="Q189" s="25" t="n">
        <f aca="false">IF(N(F198)&gt;0,1,0)</f>
        <v>0</v>
      </c>
      <c r="S189" s="0" t="n">
        <v>16</v>
      </c>
    </row>
    <row r="190" customFormat="false" ht="15" hidden="false" customHeight="false" outlineLevel="0" collapsed="false">
      <c r="A190" s="28" t="n">
        <f aca="false">IF(16&lt;=NW,SAT1+106,"")</f>
        <v>46124</v>
      </c>
      <c r="B190" s="29" t="str">
        <f aca="false">IF(A190="","",CHOOSE(WEEKDAY(A190,1),"الأحد","الاثنين","الثلاثاء","الأربعاء","الخميس","الجمعة","السبت"))</f>
        <v>الأحد</v>
      </c>
      <c r="C190" s="30"/>
      <c r="D190" s="30"/>
      <c r="E190" s="31" t="str">
        <f aca="false">IF(OR(M190=0,K190="",L190=""),"",MOD(L190-K190,1))</f>
        <v/>
      </c>
      <c r="F190" s="32" t="str">
        <f aca="false">IF(OR(E190="",M190=0),"",IF(ROUND_MODE="للأعلى",CEILING(ROUND((E190*24*$N$187),3),0.25),ROUND((E190*24*$N$187)*4,0)/4))</f>
        <v/>
      </c>
      <c r="G190" s="30"/>
      <c r="H190" s="30"/>
      <c r="K190" s="33" t="str">
        <f aca="false">IF(OR(M190=0,C190=""),"",IF(ISNUMBER(C190),MOD(C190,1),IFERROR(INDEX(القوائم!$B$1:$B$288,MATCH(TRIM(C190),القوائم!$A$1:$A$288,0)),IFERROR(MOD(TIMEVALUE(C190),1),""))))</f>
        <v/>
      </c>
      <c r="L190" s="33" t="str">
        <f aca="false">IF(OR(M190=0,D190=""),"",IF(ISNUMBER(D190),MOD(D190,1),IFERROR(INDEX(القوائم!$B$1:$B$288,MATCH(TRIM(D190),القوائم!$A$1:$A$288,0)),IFERROR(MOD(TIMEVALUE(D190),1),""))))</f>
        <v/>
      </c>
      <c r="M190" s="25" t="n">
        <f aca="false">M187</f>
        <v>0</v>
      </c>
      <c r="Q190" s="25" t="n">
        <f aca="false">IF(N(F198)&gt;0,1,0)</f>
        <v>0</v>
      </c>
      <c r="S190" s="0" t="n">
        <v>16</v>
      </c>
    </row>
    <row r="191" customFormat="false" ht="15" hidden="false" customHeight="false" outlineLevel="0" collapsed="false">
      <c r="A191" s="28" t="n">
        <f aca="false">IF(16&lt;=NW,SAT1+107,"")</f>
        <v>46125</v>
      </c>
      <c r="B191" s="29" t="str">
        <f aca="false">IF(A191="","",CHOOSE(WEEKDAY(A191,1),"الأحد","الاثنين","الثلاثاء","الأربعاء","الخميس","الجمعة","السبت"))</f>
        <v>الاثنين</v>
      </c>
      <c r="C191" s="30"/>
      <c r="D191" s="30"/>
      <c r="E191" s="31" t="str">
        <f aca="false">IF(OR(M191=0,K191="",L191=""),"",MOD(L191-K191,1))</f>
        <v/>
      </c>
      <c r="F191" s="32" t="str">
        <f aca="false">IF(OR(E191="",M191=0),"",IF(ROUND_MODE="للأعلى",CEILING(ROUND((E191*24*$N$187),3),0.25),ROUND((E191*24*$N$187)*4,0)/4))</f>
        <v/>
      </c>
      <c r="G191" s="30"/>
      <c r="H191" s="30"/>
      <c r="K191" s="33" t="str">
        <f aca="false">IF(OR(M191=0,C191=""),"",IF(ISNUMBER(C191),MOD(C191,1),IFERROR(INDEX(القوائم!$B$1:$B$288,MATCH(TRIM(C191),القوائم!$A$1:$A$288,0)),IFERROR(MOD(TIMEVALUE(C191),1),""))))</f>
        <v/>
      </c>
      <c r="L191" s="33" t="str">
        <f aca="false">IF(OR(M191=0,D191=""),"",IF(ISNUMBER(D191),MOD(D191,1),IFERROR(INDEX(القوائم!$B$1:$B$288,MATCH(TRIM(D191),القوائم!$A$1:$A$288,0)),IFERROR(MOD(TIMEVALUE(D191),1),""))))</f>
        <v/>
      </c>
      <c r="M191" s="25" t="n">
        <f aca="false">M187</f>
        <v>0</v>
      </c>
      <c r="Q191" s="25" t="n">
        <f aca="false">IF(N(F198)&gt;0,1,0)</f>
        <v>0</v>
      </c>
      <c r="S191" s="0" t="n">
        <v>16</v>
      </c>
    </row>
    <row r="192" customFormat="false" ht="15" hidden="false" customHeight="false" outlineLevel="0" collapsed="false">
      <c r="A192" s="28" t="n">
        <f aca="false">IF(16&lt;=NW,SAT1+108,"")</f>
        <v>46126</v>
      </c>
      <c r="B192" s="29" t="str">
        <f aca="false">IF(A192="","",CHOOSE(WEEKDAY(A192,1),"الأحد","الاثنين","الثلاثاء","الأربعاء","الخميس","الجمعة","السبت"))</f>
        <v>الثلاثاء</v>
      </c>
      <c r="C192" s="30"/>
      <c r="D192" s="30"/>
      <c r="E192" s="31" t="str">
        <f aca="false">IF(OR(M192=0,K192="",L192=""),"",MOD(L192-K192,1))</f>
        <v/>
      </c>
      <c r="F192" s="32" t="str">
        <f aca="false">IF(OR(E192="",M192=0),"",IF(ROUND_MODE="للأعلى",CEILING(ROUND((E192*24*$N$187),3),0.25),ROUND((E192*24*$N$187)*4,0)/4))</f>
        <v/>
      </c>
      <c r="G192" s="30"/>
      <c r="H192" s="30"/>
      <c r="K192" s="33" t="str">
        <f aca="false">IF(OR(M192=0,C192=""),"",IF(ISNUMBER(C192),MOD(C192,1),IFERROR(INDEX(القوائم!$B$1:$B$288,MATCH(TRIM(C192),القوائم!$A$1:$A$288,0)),IFERROR(MOD(TIMEVALUE(C192),1),""))))</f>
        <v/>
      </c>
      <c r="L192" s="33" t="str">
        <f aca="false">IF(OR(M192=0,D192=""),"",IF(ISNUMBER(D192),MOD(D192,1),IFERROR(INDEX(القوائم!$B$1:$B$288,MATCH(TRIM(D192),القوائم!$A$1:$A$288,0)),IFERROR(MOD(TIMEVALUE(D192),1),""))))</f>
        <v/>
      </c>
      <c r="M192" s="25" t="n">
        <f aca="false">M187</f>
        <v>0</v>
      </c>
      <c r="Q192" s="25" t="n">
        <f aca="false">IF(N(F198)&gt;0,1,0)</f>
        <v>0</v>
      </c>
      <c r="S192" s="0" t="n">
        <v>16</v>
      </c>
    </row>
    <row r="193" customFormat="false" ht="15" hidden="false" customHeight="false" outlineLevel="0" collapsed="false">
      <c r="A193" s="28" t="n">
        <f aca="false">IF(16&lt;=NW,SAT1+109,"")</f>
        <v>46127</v>
      </c>
      <c r="B193" s="29" t="str">
        <f aca="false">IF(A193="","",CHOOSE(WEEKDAY(A193,1),"الأحد","الاثنين","الثلاثاء","الأربعاء","الخميس","الجمعة","السبت"))</f>
        <v>الأربعاء</v>
      </c>
      <c r="C193" s="30"/>
      <c r="D193" s="30"/>
      <c r="E193" s="31" t="str">
        <f aca="false">IF(OR(M193=0,K193="",L193=""),"",MOD(L193-K193,1))</f>
        <v/>
      </c>
      <c r="F193" s="32" t="str">
        <f aca="false">IF(OR(E193="",M193=0),"",IF(ROUND_MODE="للأعلى",CEILING(ROUND((E193*24*$N$187),3),0.25),ROUND((E193*24*$N$187)*4,0)/4))</f>
        <v/>
      </c>
      <c r="G193" s="30"/>
      <c r="H193" s="30"/>
      <c r="K193" s="33" t="str">
        <f aca="false">IF(OR(M193=0,C193=""),"",IF(ISNUMBER(C193),MOD(C193,1),IFERROR(INDEX(القوائم!$B$1:$B$288,MATCH(TRIM(C193),القوائم!$A$1:$A$288,0)),IFERROR(MOD(TIMEVALUE(C193),1),""))))</f>
        <v/>
      </c>
      <c r="L193" s="33" t="str">
        <f aca="false">IF(OR(M193=0,D193=""),"",IF(ISNUMBER(D193),MOD(D193,1),IFERROR(INDEX(القوائم!$B$1:$B$288,MATCH(TRIM(D193),القوائم!$A$1:$A$288,0)),IFERROR(MOD(TIMEVALUE(D193),1),""))))</f>
        <v/>
      </c>
      <c r="M193" s="25" t="n">
        <f aca="false">M187</f>
        <v>0</v>
      </c>
      <c r="Q193" s="25" t="n">
        <f aca="false">IF(N(F198)&gt;0,1,0)</f>
        <v>0</v>
      </c>
      <c r="S193" s="0" t="n">
        <v>16</v>
      </c>
    </row>
    <row r="194" customFormat="false" ht="15" hidden="false" customHeight="false" outlineLevel="0" collapsed="false">
      <c r="A194" s="28" t="n">
        <f aca="false">IF(16&lt;=NW,SAT1+110,"")</f>
        <v>46128</v>
      </c>
      <c r="B194" s="29" t="str">
        <f aca="false">IF(A194="","",CHOOSE(WEEKDAY(A194,1),"الأحد","الاثنين","الثلاثاء","الأربعاء","الخميس","الجمعة","السبت"))</f>
        <v>الخميس</v>
      </c>
      <c r="C194" s="30"/>
      <c r="D194" s="30"/>
      <c r="E194" s="31" t="str">
        <f aca="false">IF(OR(M194=0,K194="",L194=""),"",MOD(L194-K194,1))</f>
        <v/>
      </c>
      <c r="F194" s="32" t="str">
        <f aca="false">IF(OR(E194="",M194=0),"",IF(ROUND_MODE="للأعلى",CEILING(ROUND((E194*24*$N$187),3),0.25),ROUND((E194*24*$N$187)*4,0)/4))</f>
        <v/>
      </c>
      <c r="G194" s="30"/>
      <c r="H194" s="30"/>
      <c r="K194" s="33" t="str">
        <f aca="false">IF(OR(M194=0,C194=""),"",IF(ISNUMBER(C194),MOD(C194,1),IFERROR(INDEX(القوائم!$B$1:$B$288,MATCH(TRIM(C194),القوائم!$A$1:$A$288,0)),IFERROR(MOD(TIMEVALUE(C194),1),""))))</f>
        <v/>
      </c>
      <c r="L194" s="33" t="str">
        <f aca="false">IF(OR(M194=0,D194=""),"",IF(ISNUMBER(D194),MOD(D194,1),IFERROR(INDEX(القوائم!$B$1:$B$288,MATCH(TRIM(D194),القوائم!$A$1:$A$288,0)),IFERROR(MOD(TIMEVALUE(D194),1),""))))</f>
        <v/>
      </c>
      <c r="M194" s="25" t="n">
        <f aca="false">M187</f>
        <v>0</v>
      </c>
      <c r="Q194" s="25" t="n">
        <f aca="false">IF(N(F198)&gt;0,1,0)</f>
        <v>0</v>
      </c>
      <c r="S194" s="0" t="n">
        <v>16</v>
      </c>
    </row>
    <row r="195" customFormat="false" ht="15" hidden="false" customHeight="false" outlineLevel="0" collapsed="false">
      <c r="A195" s="34" t="n">
        <f aca="false">IF(16&lt;=NW,SAT1+111,"")</f>
        <v>46129</v>
      </c>
      <c r="B195" s="35" t="str">
        <f aca="false">IF(A195="","",CHOOSE(WEEKDAY(A195,1),"الأحد","الاثنين","الثلاثاء","الأربعاء","الخميس","الجمعة","السبت"))</f>
        <v>الجمعة</v>
      </c>
      <c r="C195" s="30"/>
      <c r="D195" s="30"/>
      <c r="E195" s="31" t="str">
        <f aca="false">IF(OR(M195=0,K195="",L195=""),"",MOD(L195-K195,1))</f>
        <v/>
      </c>
      <c r="F195" s="32" t="str">
        <f aca="false">IF(OR(E195="",M195=0),"",IF(ROUND_MODE="للأعلى",CEILING(ROUND((E195*24*$N$187),3),0.25),ROUND((E195*24*$N$187)*4,0)/4))</f>
        <v/>
      </c>
      <c r="G195" s="30"/>
      <c r="H195" s="30"/>
      <c r="K195" s="33" t="str">
        <f aca="false">IF(OR(M195=0,C195=""),"",IF(ISNUMBER(C195),MOD(C195,1),IFERROR(INDEX(القوائم!$B$1:$B$288,MATCH(TRIM(C195),القوائم!$A$1:$A$288,0)),IFERROR(MOD(TIMEVALUE(C195),1),""))))</f>
        <v/>
      </c>
      <c r="L195" s="33" t="str">
        <f aca="false">IF(OR(M195=0,D195=""),"",IF(ISNUMBER(D195),MOD(D195,1),IFERROR(INDEX(القوائم!$B$1:$B$288,MATCH(TRIM(D195),القوائم!$A$1:$A$288,0)),IFERROR(MOD(TIMEVALUE(D195),1),""))))</f>
        <v/>
      </c>
      <c r="M195" s="25" t="n">
        <f aca="false">M187</f>
        <v>0</v>
      </c>
      <c r="Q195" s="25" t="n">
        <f aca="false">IF(N(F198)&gt;0,1,0)</f>
        <v>0</v>
      </c>
      <c r="S195" s="0" t="n">
        <v>16</v>
      </c>
    </row>
    <row r="196" customFormat="false" ht="15" hidden="false" customHeight="false" outlineLevel="0" collapsed="false">
      <c r="A196" s="36" t="str">
        <f aca="false">IF(M187=1,"مجموع أيام الأسبوع 16","")</f>
        <v/>
      </c>
      <c r="B196" s="36"/>
      <c r="C196" s="36"/>
      <c r="D196" s="36"/>
      <c r="E196" s="37" t="str">
        <f aca="false">IF(M187=1,SUM(E189:E195),"")</f>
        <v/>
      </c>
      <c r="F196" s="38" t="str">
        <f aca="false">IF(M187=1,SUM(F189:F195),"")</f>
        <v/>
      </c>
      <c r="G196" s="50" t="str">
        <f aca="false">IF(M187=1,SUMIFS(F189:F195,G189:G195,"نعم"),"")</f>
        <v/>
      </c>
      <c r="H196" s="36"/>
      <c r="S196" s="0" t="n">
        <v>16</v>
      </c>
    </row>
    <row r="197" customFormat="false" ht="31.5" hidden="false" customHeight="true" outlineLevel="0" collapsed="false">
      <c r="A197" s="39" t="str">
        <f aca="false">IF(M187=1,"ساعات تحميل الجبسمبورد بهالأسبوع (رقم: 2 أو 1.5) ←","")</f>
        <v/>
      </c>
      <c r="B197" s="39"/>
      <c r="C197" s="39"/>
      <c r="D197" s="39"/>
      <c r="E197" s="40"/>
      <c r="F197" s="42" t="str">
        <f aca="false">IF(M187=1,N(F196)+IF(ROUND_MODE="للأعلى",CEILING(ROUND((N(E197)*($P$187-$N$187)),3),0.25),ROUND((N(E197)*($P$187-$N$187))*4,0)/4)+N(C198),"")</f>
        <v/>
      </c>
      <c r="G197" s="41" t="str">
        <f aca="false">IF(M187=1,"← المستحق النهائي للأسبوع مع الجبسمبورد والإكرامية","")</f>
        <v/>
      </c>
      <c r="H197" s="41"/>
      <c r="S197" s="0" t="n">
        <v>16</v>
      </c>
    </row>
    <row r="198" customFormat="false" ht="25.5" hidden="false" customHeight="true" outlineLevel="0" collapsed="false">
      <c r="A198" s="39" t="str">
        <f aca="false">IF(M187=1,"إكرامية الأسبوع ←","")</f>
        <v/>
      </c>
      <c r="B198" s="39"/>
      <c r="C198" s="44"/>
      <c r="D198" s="39" t="str">
        <f aca="false">IF(M187=1,"المدفوع (التسوية) ←","")</f>
        <v/>
      </c>
      <c r="E198" s="39"/>
      <c r="F198" s="44"/>
      <c r="G198" s="45" t="str">
        <f aca="false">IF(M187=1,IF(N(F198)&gt;0,"✔ انقبض — الأسبوع مقفول","⏳ لسا ما انقبض"),"")</f>
        <v/>
      </c>
      <c r="H198" s="45"/>
      <c r="S198" s="0" t="n">
        <v>16</v>
      </c>
    </row>
    <row r="199" customFormat="false" ht="27.75" hidden="false" customHeight="true" outlineLevel="0" collapsed="false">
      <c r="A199" s="48" t="str">
        <f aca="false">IF(17&lt;=NW,"من السبت "&amp;TEXT(DAY(SAT1+112),"00")&amp;"/"&amp;TEXT(MONTH(SAT1+112),"00")&amp;"/"&amp;YEAR(SAT1+112)&amp;" إلى الجمعة "&amp;TEXT(DAY(SAT1+118),"00")&amp;"/"&amp;TEXT(MONTH(SAT1+118),"00")&amp;"/"&amp;YEAR(SAT1+118)&amp;" · الأسبوع 17"&amp;"  (يوم القبض: الجمعة)"&amp;IF(17&lt;START_Z,"   — قبل أسبوع البداية (ما بينحسب)",""),"ما في أسبوع 17 هالسنة")</f>
        <v>من السبت 18/04/2026 إلى الجمعة 24/04/2026 · الأسبوع 17  (يوم القبض: الجمعة)   — قبل أسبوع البداية (ما بينحسب)</v>
      </c>
      <c r="B199" s="48"/>
      <c r="C199" s="48"/>
      <c r="D199" s="48"/>
      <c r="E199" s="48"/>
      <c r="F199" s="48"/>
      <c r="G199" s="48"/>
      <c r="H199" s="48"/>
      <c r="L199" s="24" t="n">
        <f aca="false">IF(17&lt;=NW,SAT1+118,"")</f>
        <v>46136</v>
      </c>
      <c r="M199" s="25" t="n">
        <f aca="false">IF(AND(17&lt;=NW,17&gt;=START_Z),1,0)</f>
        <v>0</v>
      </c>
      <c r="N199" s="26" t="n">
        <f aca="false">IFERROR(INDEX(RT_AZZ,MATCH(L199,RT_K,1)),INDEX(RT_AZZ,1))</f>
        <v>1</v>
      </c>
      <c r="P199" s="26" t="n">
        <f aca="false">IFERROR(INDEX(RT_GYP,MATCH(L199,RT_K,1)),INDEX(RT_GYP,1))</f>
        <v>2.5</v>
      </c>
      <c r="R199" s="0" t="n">
        <v>17</v>
      </c>
      <c r="S199" s="0" t="n">
        <v>17</v>
      </c>
    </row>
    <row r="200" customFormat="false" ht="25.5" hidden="false" customHeight="true" outlineLevel="0" collapsed="false">
      <c r="A200" s="49" t="s">
        <v>22</v>
      </c>
      <c r="B200" s="49" t="s">
        <v>23</v>
      </c>
      <c r="C200" s="49" t="s">
        <v>24</v>
      </c>
      <c r="D200" s="49" t="s">
        <v>25</v>
      </c>
      <c r="E200" s="49" t="s">
        <v>26</v>
      </c>
      <c r="F200" s="49" t="s">
        <v>33</v>
      </c>
      <c r="G200" s="49" t="s">
        <v>34</v>
      </c>
      <c r="H200" s="49" t="s">
        <v>30</v>
      </c>
      <c r="S200" s="0" t="n">
        <v>17</v>
      </c>
    </row>
    <row r="201" customFormat="false" ht="15" hidden="false" customHeight="false" outlineLevel="0" collapsed="false">
      <c r="A201" s="28" t="n">
        <f aca="false">IF(17&lt;=NW,SAT1+112,"")</f>
        <v>46130</v>
      </c>
      <c r="B201" s="29" t="str">
        <f aca="false">IF(A201="","",CHOOSE(WEEKDAY(A201,1),"الأحد","الاثنين","الثلاثاء","الأربعاء","الخميس","الجمعة","السبت"))</f>
        <v>السبت</v>
      </c>
      <c r="C201" s="30"/>
      <c r="D201" s="30"/>
      <c r="E201" s="31" t="str">
        <f aca="false">IF(OR(M201=0,K201="",L201=""),"",MOD(L201-K201,1))</f>
        <v/>
      </c>
      <c r="F201" s="32" t="str">
        <f aca="false">IF(OR(E201="",M201=0),"",IF(ROUND_MODE="للأعلى",CEILING(ROUND((E201*24*$N$199),3),0.25),ROUND((E201*24*$N$199)*4,0)/4))</f>
        <v/>
      </c>
      <c r="G201" s="30"/>
      <c r="H201" s="30"/>
      <c r="K201" s="33" t="str">
        <f aca="false">IF(OR(M201=0,C201=""),"",IF(ISNUMBER(C201),MOD(C201,1),IFERROR(INDEX(القوائم!$B$1:$B$288,MATCH(TRIM(C201),القوائم!$A$1:$A$288,0)),IFERROR(MOD(TIMEVALUE(C201),1),""))))</f>
        <v/>
      </c>
      <c r="L201" s="33" t="str">
        <f aca="false">IF(OR(M201=0,D201=""),"",IF(ISNUMBER(D201),MOD(D201,1),IFERROR(INDEX(القوائم!$B$1:$B$288,MATCH(TRIM(D201),القوائم!$A$1:$A$288,0)),IFERROR(MOD(TIMEVALUE(D201),1),""))))</f>
        <v/>
      </c>
      <c r="M201" s="25" t="n">
        <f aca="false">M199</f>
        <v>0</v>
      </c>
      <c r="Q201" s="25" t="n">
        <f aca="false">IF(N(F210)&gt;0,1,0)</f>
        <v>0</v>
      </c>
      <c r="S201" s="0" t="n">
        <v>17</v>
      </c>
    </row>
    <row r="202" customFormat="false" ht="15" hidden="false" customHeight="false" outlineLevel="0" collapsed="false">
      <c r="A202" s="28" t="n">
        <f aca="false">IF(17&lt;=NW,SAT1+113,"")</f>
        <v>46131</v>
      </c>
      <c r="B202" s="29" t="str">
        <f aca="false">IF(A202="","",CHOOSE(WEEKDAY(A202,1),"الأحد","الاثنين","الثلاثاء","الأربعاء","الخميس","الجمعة","السبت"))</f>
        <v>الأحد</v>
      </c>
      <c r="C202" s="30"/>
      <c r="D202" s="30"/>
      <c r="E202" s="31" t="str">
        <f aca="false">IF(OR(M202=0,K202="",L202=""),"",MOD(L202-K202,1))</f>
        <v/>
      </c>
      <c r="F202" s="32" t="str">
        <f aca="false">IF(OR(E202="",M202=0),"",IF(ROUND_MODE="للأعلى",CEILING(ROUND((E202*24*$N$199),3),0.25),ROUND((E202*24*$N$199)*4,0)/4))</f>
        <v/>
      </c>
      <c r="G202" s="30"/>
      <c r="H202" s="30"/>
      <c r="K202" s="33" t="str">
        <f aca="false">IF(OR(M202=0,C202=""),"",IF(ISNUMBER(C202),MOD(C202,1),IFERROR(INDEX(القوائم!$B$1:$B$288,MATCH(TRIM(C202),القوائم!$A$1:$A$288,0)),IFERROR(MOD(TIMEVALUE(C202),1),""))))</f>
        <v/>
      </c>
      <c r="L202" s="33" t="str">
        <f aca="false">IF(OR(M202=0,D202=""),"",IF(ISNUMBER(D202),MOD(D202,1),IFERROR(INDEX(القوائم!$B$1:$B$288,MATCH(TRIM(D202),القوائم!$A$1:$A$288,0)),IFERROR(MOD(TIMEVALUE(D202),1),""))))</f>
        <v/>
      </c>
      <c r="M202" s="25" t="n">
        <f aca="false">M199</f>
        <v>0</v>
      </c>
      <c r="Q202" s="25" t="n">
        <f aca="false">IF(N(F210)&gt;0,1,0)</f>
        <v>0</v>
      </c>
      <c r="S202" s="0" t="n">
        <v>17</v>
      </c>
    </row>
    <row r="203" customFormat="false" ht="15" hidden="false" customHeight="false" outlineLevel="0" collapsed="false">
      <c r="A203" s="28" t="n">
        <f aca="false">IF(17&lt;=NW,SAT1+114,"")</f>
        <v>46132</v>
      </c>
      <c r="B203" s="29" t="str">
        <f aca="false">IF(A203="","",CHOOSE(WEEKDAY(A203,1),"الأحد","الاثنين","الثلاثاء","الأربعاء","الخميس","الجمعة","السبت"))</f>
        <v>الاثنين</v>
      </c>
      <c r="C203" s="30"/>
      <c r="D203" s="30"/>
      <c r="E203" s="31" t="str">
        <f aca="false">IF(OR(M203=0,K203="",L203=""),"",MOD(L203-K203,1))</f>
        <v/>
      </c>
      <c r="F203" s="32" t="str">
        <f aca="false">IF(OR(E203="",M203=0),"",IF(ROUND_MODE="للأعلى",CEILING(ROUND((E203*24*$N$199),3),0.25),ROUND((E203*24*$N$199)*4,0)/4))</f>
        <v/>
      </c>
      <c r="G203" s="30"/>
      <c r="H203" s="30"/>
      <c r="K203" s="33" t="str">
        <f aca="false">IF(OR(M203=0,C203=""),"",IF(ISNUMBER(C203),MOD(C203,1),IFERROR(INDEX(القوائم!$B$1:$B$288,MATCH(TRIM(C203),القوائم!$A$1:$A$288,0)),IFERROR(MOD(TIMEVALUE(C203),1),""))))</f>
        <v/>
      </c>
      <c r="L203" s="33" t="str">
        <f aca="false">IF(OR(M203=0,D203=""),"",IF(ISNUMBER(D203),MOD(D203,1),IFERROR(INDEX(القوائم!$B$1:$B$288,MATCH(TRIM(D203),القوائم!$A$1:$A$288,0)),IFERROR(MOD(TIMEVALUE(D203),1),""))))</f>
        <v/>
      </c>
      <c r="M203" s="25" t="n">
        <f aca="false">M199</f>
        <v>0</v>
      </c>
      <c r="Q203" s="25" t="n">
        <f aca="false">IF(N(F210)&gt;0,1,0)</f>
        <v>0</v>
      </c>
      <c r="S203" s="0" t="n">
        <v>17</v>
      </c>
    </row>
    <row r="204" customFormat="false" ht="15" hidden="false" customHeight="false" outlineLevel="0" collapsed="false">
      <c r="A204" s="28" t="n">
        <f aca="false">IF(17&lt;=NW,SAT1+115,"")</f>
        <v>46133</v>
      </c>
      <c r="B204" s="29" t="str">
        <f aca="false">IF(A204="","",CHOOSE(WEEKDAY(A204,1),"الأحد","الاثنين","الثلاثاء","الأربعاء","الخميس","الجمعة","السبت"))</f>
        <v>الثلاثاء</v>
      </c>
      <c r="C204" s="30"/>
      <c r="D204" s="30"/>
      <c r="E204" s="31" t="str">
        <f aca="false">IF(OR(M204=0,K204="",L204=""),"",MOD(L204-K204,1))</f>
        <v/>
      </c>
      <c r="F204" s="32" t="str">
        <f aca="false">IF(OR(E204="",M204=0),"",IF(ROUND_MODE="للأعلى",CEILING(ROUND((E204*24*$N$199),3),0.25),ROUND((E204*24*$N$199)*4,0)/4))</f>
        <v/>
      </c>
      <c r="G204" s="30"/>
      <c r="H204" s="30"/>
      <c r="K204" s="33" t="str">
        <f aca="false">IF(OR(M204=0,C204=""),"",IF(ISNUMBER(C204),MOD(C204,1),IFERROR(INDEX(القوائم!$B$1:$B$288,MATCH(TRIM(C204),القوائم!$A$1:$A$288,0)),IFERROR(MOD(TIMEVALUE(C204),1),""))))</f>
        <v/>
      </c>
      <c r="L204" s="33" t="str">
        <f aca="false">IF(OR(M204=0,D204=""),"",IF(ISNUMBER(D204),MOD(D204,1),IFERROR(INDEX(القوائم!$B$1:$B$288,MATCH(TRIM(D204),القوائم!$A$1:$A$288,0)),IFERROR(MOD(TIMEVALUE(D204),1),""))))</f>
        <v/>
      </c>
      <c r="M204" s="25" t="n">
        <f aca="false">M199</f>
        <v>0</v>
      </c>
      <c r="Q204" s="25" t="n">
        <f aca="false">IF(N(F210)&gt;0,1,0)</f>
        <v>0</v>
      </c>
      <c r="S204" s="0" t="n">
        <v>17</v>
      </c>
    </row>
    <row r="205" customFormat="false" ht="15" hidden="false" customHeight="false" outlineLevel="0" collapsed="false">
      <c r="A205" s="28" t="n">
        <f aca="false">IF(17&lt;=NW,SAT1+116,"")</f>
        <v>46134</v>
      </c>
      <c r="B205" s="29" t="str">
        <f aca="false">IF(A205="","",CHOOSE(WEEKDAY(A205,1),"الأحد","الاثنين","الثلاثاء","الأربعاء","الخميس","الجمعة","السبت"))</f>
        <v>الأربعاء</v>
      </c>
      <c r="C205" s="30"/>
      <c r="D205" s="30"/>
      <c r="E205" s="31" t="str">
        <f aca="false">IF(OR(M205=0,K205="",L205=""),"",MOD(L205-K205,1))</f>
        <v/>
      </c>
      <c r="F205" s="32" t="str">
        <f aca="false">IF(OR(E205="",M205=0),"",IF(ROUND_MODE="للأعلى",CEILING(ROUND((E205*24*$N$199),3),0.25),ROUND((E205*24*$N$199)*4,0)/4))</f>
        <v/>
      </c>
      <c r="G205" s="30"/>
      <c r="H205" s="30"/>
      <c r="K205" s="33" t="str">
        <f aca="false">IF(OR(M205=0,C205=""),"",IF(ISNUMBER(C205),MOD(C205,1),IFERROR(INDEX(القوائم!$B$1:$B$288,MATCH(TRIM(C205),القوائم!$A$1:$A$288,0)),IFERROR(MOD(TIMEVALUE(C205),1),""))))</f>
        <v/>
      </c>
      <c r="L205" s="33" t="str">
        <f aca="false">IF(OR(M205=0,D205=""),"",IF(ISNUMBER(D205),MOD(D205,1),IFERROR(INDEX(القوائم!$B$1:$B$288,MATCH(TRIM(D205),القوائم!$A$1:$A$288,0)),IFERROR(MOD(TIMEVALUE(D205),1),""))))</f>
        <v/>
      </c>
      <c r="M205" s="25" t="n">
        <f aca="false">M199</f>
        <v>0</v>
      </c>
      <c r="Q205" s="25" t="n">
        <f aca="false">IF(N(F210)&gt;0,1,0)</f>
        <v>0</v>
      </c>
      <c r="S205" s="0" t="n">
        <v>17</v>
      </c>
    </row>
    <row r="206" customFormat="false" ht="15" hidden="false" customHeight="false" outlineLevel="0" collapsed="false">
      <c r="A206" s="28" t="n">
        <f aca="false">IF(17&lt;=NW,SAT1+117,"")</f>
        <v>46135</v>
      </c>
      <c r="B206" s="29" t="str">
        <f aca="false">IF(A206="","",CHOOSE(WEEKDAY(A206,1),"الأحد","الاثنين","الثلاثاء","الأربعاء","الخميس","الجمعة","السبت"))</f>
        <v>الخميس</v>
      </c>
      <c r="C206" s="30"/>
      <c r="D206" s="30"/>
      <c r="E206" s="31" t="str">
        <f aca="false">IF(OR(M206=0,K206="",L206=""),"",MOD(L206-K206,1))</f>
        <v/>
      </c>
      <c r="F206" s="32" t="str">
        <f aca="false">IF(OR(E206="",M206=0),"",IF(ROUND_MODE="للأعلى",CEILING(ROUND((E206*24*$N$199),3),0.25),ROUND((E206*24*$N$199)*4,0)/4))</f>
        <v/>
      </c>
      <c r="G206" s="30"/>
      <c r="H206" s="30"/>
      <c r="K206" s="33" t="str">
        <f aca="false">IF(OR(M206=0,C206=""),"",IF(ISNUMBER(C206),MOD(C206,1),IFERROR(INDEX(القوائم!$B$1:$B$288,MATCH(TRIM(C206),القوائم!$A$1:$A$288,0)),IFERROR(MOD(TIMEVALUE(C206),1),""))))</f>
        <v/>
      </c>
      <c r="L206" s="33" t="str">
        <f aca="false">IF(OR(M206=0,D206=""),"",IF(ISNUMBER(D206),MOD(D206,1),IFERROR(INDEX(القوائم!$B$1:$B$288,MATCH(TRIM(D206),القوائم!$A$1:$A$288,0)),IFERROR(MOD(TIMEVALUE(D206),1),""))))</f>
        <v/>
      </c>
      <c r="M206" s="25" t="n">
        <f aca="false">M199</f>
        <v>0</v>
      </c>
      <c r="Q206" s="25" t="n">
        <f aca="false">IF(N(F210)&gt;0,1,0)</f>
        <v>0</v>
      </c>
      <c r="S206" s="0" t="n">
        <v>17</v>
      </c>
    </row>
    <row r="207" customFormat="false" ht="15" hidden="false" customHeight="false" outlineLevel="0" collapsed="false">
      <c r="A207" s="34" t="n">
        <f aca="false">IF(17&lt;=NW,SAT1+118,"")</f>
        <v>46136</v>
      </c>
      <c r="B207" s="35" t="str">
        <f aca="false">IF(A207="","",CHOOSE(WEEKDAY(A207,1),"الأحد","الاثنين","الثلاثاء","الأربعاء","الخميس","الجمعة","السبت"))</f>
        <v>الجمعة</v>
      </c>
      <c r="C207" s="30"/>
      <c r="D207" s="30"/>
      <c r="E207" s="31" t="str">
        <f aca="false">IF(OR(M207=0,K207="",L207=""),"",MOD(L207-K207,1))</f>
        <v/>
      </c>
      <c r="F207" s="32" t="str">
        <f aca="false">IF(OR(E207="",M207=0),"",IF(ROUND_MODE="للأعلى",CEILING(ROUND((E207*24*$N$199),3),0.25),ROUND((E207*24*$N$199)*4,0)/4))</f>
        <v/>
      </c>
      <c r="G207" s="30"/>
      <c r="H207" s="30"/>
      <c r="K207" s="33" t="str">
        <f aca="false">IF(OR(M207=0,C207=""),"",IF(ISNUMBER(C207),MOD(C207,1),IFERROR(INDEX(القوائم!$B$1:$B$288,MATCH(TRIM(C207),القوائم!$A$1:$A$288,0)),IFERROR(MOD(TIMEVALUE(C207),1),""))))</f>
        <v/>
      </c>
      <c r="L207" s="33" t="str">
        <f aca="false">IF(OR(M207=0,D207=""),"",IF(ISNUMBER(D207),MOD(D207,1),IFERROR(INDEX(القوائم!$B$1:$B$288,MATCH(TRIM(D207),القوائم!$A$1:$A$288,0)),IFERROR(MOD(TIMEVALUE(D207),1),""))))</f>
        <v/>
      </c>
      <c r="M207" s="25" t="n">
        <f aca="false">M199</f>
        <v>0</v>
      </c>
      <c r="Q207" s="25" t="n">
        <f aca="false">IF(N(F210)&gt;0,1,0)</f>
        <v>0</v>
      </c>
      <c r="S207" s="0" t="n">
        <v>17</v>
      </c>
    </row>
    <row r="208" customFormat="false" ht="15" hidden="false" customHeight="false" outlineLevel="0" collapsed="false">
      <c r="A208" s="36" t="str">
        <f aca="false">IF(M199=1,"مجموع أيام الأسبوع 17","")</f>
        <v/>
      </c>
      <c r="B208" s="36"/>
      <c r="C208" s="36"/>
      <c r="D208" s="36"/>
      <c r="E208" s="37" t="str">
        <f aca="false">IF(M199=1,SUM(E201:E207),"")</f>
        <v/>
      </c>
      <c r="F208" s="38" t="str">
        <f aca="false">IF(M199=1,SUM(F201:F207),"")</f>
        <v/>
      </c>
      <c r="G208" s="50" t="str">
        <f aca="false">IF(M199=1,SUMIFS(F201:F207,G201:G207,"نعم"),"")</f>
        <v/>
      </c>
      <c r="H208" s="36"/>
      <c r="S208" s="0" t="n">
        <v>17</v>
      </c>
    </row>
    <row r="209" customFormat="false" ht="31.5" hidden="false" customHeight="true" outlineLevel="0" collapsed="false">
      <c r="A209" s="39" t="str">
        <f aca="false">IF(M199=1,"ساعات تحميل الجبسمبورد بهالأسبوع (رقم: 2 أو 1.5) ←","")</f>
        <v/>
      </c>
      <c r="B209" s="39"/>
      <c r="C209" s="39"/>
      <c r="D209" s="39"/>
      <c r="E209" s="40"/>
      <c r="F209" s="42" t="str">
        <f aca="false">IF(M199=1,N(F208)+IF(ROUND_MODE="للأعلى",CEILING(ROUND((N(E209)*($P$199-$N$199)),3),0.25),ROUND((N(E209)*($P$199-$N$199))*4,0)/4)+N(C210),"")</f>
        <v/>
      </c>
      <c r="G209" s="41" t="str">
        <f aca="false">IF(M199=1,"← المستحق النهائي للأسبوع مع الجبسمبورد والإكرامية","")</f>
        <v/>
      </c>
      <c r="H209" s="41"/>
      <c r="S209" s="0" t="n">
        <v>17</v>
      </c>
    </row>
    <row r="210" customFormat="false" ht="25.5" hidden="false" customHeight="true" outlineLevel="0" collapsed="false">
      <c r="A210" s="39" t="str">
        <f aca="false">IF(M199=1,"إكرامية الأسبوع ←","")</f>
        <v/>
      </c>
      <c r="B210" s="39"/>
      <c r="C210" s="44"/>
      <c r="D210" s="39" t="str">
        <f aca="false">IF(M199=1,"المدفوع (التسوية) ←","")</f>
        <v/>
      </c>
      <c r="E210" s="39"/>
      <c r="F210" s="44"/>
      <c r="G210" s="45" t="str">
        <f aca="false">IF(M199=1,IF(N(F210)&gt;0,"✔ انقبض — الأسبوع مقفول","⏳ لسا ما انقبض"),"")</f>
        <v/>
      </c>
      <c r="H210" s="45"/>
      <c r="S210" s="0" t="n">
        <v>17</v>
      </c>
    </row>
    <row r="211" customFormat="false" ht="27.75" hidden="false" customHeight="true" outlineLevel="0" collapsed="false">
      <c r="A211" s="48" t="str">
        <f aca="false">IF(18&lt;=NW,"من السبت "&amp;TEXT(DAY(SAT1+119),"00")&amp;"/"&amp;TEXT(MONTH(SAT1+119),"00")&amp;"/"&amp;YEAR(SAT1+119)&amp;" إلى الجمعة "&amp;TEXT(DAY(SAT1+125),"00")&amp;"/"&amp;TEXT(MONTH(SAT1+125),"00")&amp;"/"&amp;YEAR(SAT1+125)&amp;" · الأسبوع 18"&amp;"  (يوم القبض: الجمعة)"&amp;IF(18&lt;START_Z,"   — قبل أسبوع البداية (ما بينحسب)",""),"ما في أسبوع 18 هالسنة")</f>
        <v>من السبت 25/04/2026 إلى الجمعة 01/05/2026 · الأسبوع 18  (يوم القبض: الجمعة)   — قبل أسبوع البداية (ما بينحسب)</v>
      </c>
      <c r="B211" s="48"/>
      <c r="C211" s="48"/>
      <c r="D211" s="48"/>
      <c r="E211" s="48"/>
      <c r="F211" s="48"/>
      <c r="G211" s="48"/>
      <c r="H211" s="48"/>
      <c r="L211" s="24" t="n">
        <f aca="false">IF(18&lt;=NW,SAT1+125,"")</f>
        <v>46143</v>
      </c>
      <c r="M211" s="25" t="n">
        <f aca="false">IF(AND(18&lt;=NW,18&gt;=START_Z),1,0)</f>
        <v>0</v>
      </c>
      <c r="N211" s="26" t="n">
        <f aca="false">IFERROR(INDEX(RT_AZZ,MATCH(L211,RT_K,1)),INDEX(RT_AZZ,1))</f>
        <v>1</v>
      </c>
      <c r="P211" s="26" t="n">
        <f aca="false">IFERROR(INDEX(RT_GYP,MATCH(L211,RT_K,1)),INDEX(RT_GYP,1))</f>
        <v>2.5</v>
      </c>
      <c r="R211" s="0" t="n">
        <v>18</v>
      </c>
      <c r="S211" s="0" t="n">
        <v>18</v>
      </c>
    </row>
    <row r="212" customFormat="false" ht="25.5" hidden="false" customHeight="true" outlineLevel="0" collapsed="false">
      <c r="A212" s="49" t="s">
        <v>22</v>
      </c>
      <c r="B212" s="49" t="s">
        <v>23</v>
      </c>
      <c r="C212" s="49" t="s">
        <v>24</v>
      </c>
      <c r="D212" s="49" t="s">
        <v>25</v>
      </c>
      <c r="E212" s="49" t="s">
        <v>26</v>
      </c>
      <c r="F212" s="49" t="s">
        <v>33</v>
      </c>
      <c r="G212" s="49" t="s">
        <v>34</v>
      </c>
      <c r="H212" s="49" t="s">
        <v>30</v>
      </c>
      <c r="S212" s="0" t="n">
        <v>18</v>
      </c>
    </row>
    <row r="213" customFormat="false" ht="15" hidden="false" customHeight="false" outlineLevel="0" collapsed="false">
      <c r="A213" s="28" t="n">
        <f aca="false">IF(18&lt;=NW,SAT1+119,"")</f>
        <v>46137</v>
      </c>
      <c r="B213" s="29" t="str">
        <f aca="false">IF(A213="","",CHOOSE(WEEKDAY(A213,1),"الأحد","الاثنين","الثلاثاء","الأربعاء","الخميس","الجمعة","السبت"))</f>
        <v>السبت</v>
      </c>
      <c r="C213" s="30"/>
      <c r="D213" s="30"/>
      <c r="E213" s="31" t="str">
        <f aca="false">IF(OR(M213=0,K213="",L213=""),"",MOD(L213-K213,1))</f>
        <v/>
      </c>
      <c r="F213" s="32" t="str">
        <f aca="false">IF(OR(E213="",M213=0),"",IF(ROUND_MODE="للأعلى",CEILING(ROUND((E213*24*$N$211),3),0.25),ROUND((E213*24*$N$211)*4,0)/4))</f>
        <v/>
      </c>
      <c r="G213" s="30"/>
      <c r="H213" s="30"/>
      <c r="K213" s="33" t="str">
        <f aca="false">IF(OR(M213=0,C213=""),"",IF(ISNUMBER(C213),MOD(C213,1),IFERROR(INDEX(القوائم!$B$1:$B$288,MATCH(TRIM(C213),القوائم!$A$1:$A$288,0)),IFERROR(MOD(TIMEVALUE(C213),1),""))))</f>
        <v/>
      </c>
      <c r="L213" s="33" t="str">
        <f aca="false">IF(OR(M213=0,D213=""),"",IF(ISNUMBER(D213),MOD(D213,1),IFERROR(INDEX(القوائم!$B$1:$B$288,MATCH(TRIM(D213),القوائم!$A$1:$A$288,0)),IFERROR(MOD(TIMEVALUE(D213),1),""))))</f>
        <v/>
      </c>
      <c r="M213" s="25" t="n">
        <f aca="false">M211</f>
        <v>0</v>
      </c>
      <c r="Q213" s="25" t="n">
        <f aca="false">IF(N(F222)&gt;0,1,0)</f>
        <v>0</v>
      </c>
      <c r="S213" s="0" t="n">
        <v>18</v>
      </c>
    </row>
    <row r="214" customFormat="false" ht="15" hidden="false" customHeight="false" outlineLevel="0" collapsed="false">
      <c r="A214" s="28" t="n">
        <f aca="false">IF(18&lt;=NW,SAT1+120,"")</f>
        <v>46138</v>
      </c>
      <c r="B214" s="29" t="str">
        <f aca="false">IF(A214="","",CHOOSE(WEEKDAY(A214,1),"الأحد","الاثنين","الثلاثاء","الأربعاء","الخميس","الجمعة","السبت"))</f>
        <v>الأحد</v>
      </c>
      <c r="C214" s="30"/>
      <c r="D214" s="30"/>
      <c r="E214" s="31" t="str">
        <f aca="false">IF(OR(M214=0,K214="",L214=""),"",MOD(L214-K214,1))</f>
        <v/>
      </c>
      <c r="F214" s="32" t="str">
        <f aca="false">IF(OR(E214="",M214=0),"",IF(ROUND_MODE="للأعلى",CEILING(ROUND((E214*24*$N$211),3),0.25),ROUND((E214*24*$N$211)*4,0)/4))</f>
        <v/>
      </c>
      <c r="G214" s="30"/>
      <c r="H214" s="30"/>
      <c r="K214" s="33" t="str">
        <f aca="false">IF(OR(M214=0,C214=""),"",IF(ISNUMBER(C214),MOD(C214,1),IFERROR(INDEX(القوائم!$B$1:$B$288,MATCH(TRIM(C214),القوائم!$A$1:$A$288,0)),IFERROR(MOD(TIMEVALUE(C214),1),""))))</f>
        <v/>
      </c>
      <c r="L214" s="33" t="str">
        <f aca="false">IF(OR(M214=0,D214=""),"",IF(ISNUMBER(D214),MOD(D214,1),IFERROR(INDEX(القوائم!$B$1:$B$288,MATCH(TRIM(D214),القوائم!$A$1:$A$288,0)),IFERROR(MOD(TIMEVALUE(D214),1),""))))</f>
        <v/>
      </c>
      <c r="M214" s="25" t="n">
        <f aca="false">M211</f>
        <v>0</v>
      </c>
      <c r="Q214" s="25" t="n">
        <f aca="false">IF(N(F222)&gt;0,1,0)</f>
        <v>0</v>
      </c>
      <c r="S214" s="0" t="n">
        <v>18</v>
      </c>
    </row>
    <row r="215" customFormat="false" ht="15" hidden="false" customHeight="false" outlineLevel="0" collapsed="false">
      <c r="A215" s="28" t="n">
        <f aca="false">IF(18&lt;=NW,SAT1+121,"")</f>
        <v>46139</v>
      </c>
      <c r="B215" s="29" t="str">
        <f aca="false">IF(A215="","",CHOOSE(WEEKDAY(A215,1),"الأحد","الاثنين","الثلاثاء","الأربعاء","الخميس","الجمعة","السبت"))</f>
        <v>الاثنين</v>
      </c>
      <c r="C215" s="30"/>
      <c r="D215" s="30"/>
      <c r="E215" s="31" t="str">
        <f aca="false">IF(OR(M215=0,K215="",L215=""),"",MOD(L215-K215,1))</f>
        <v/>
      </c>
      <c r="F215" s="32" t="str">
        <f aca="false">IF(OR(E215="",M215=0),"",IF(ROUND_MODE="للأعلى",CEILING(ROUND((E215*24*$N$211),3),0.25),ROUND((E215*24*$N$211)*4,0)/4))</f>
        <v/>
      </c>
      <c r="G215" s="30"/>
      <c r="H215" s="30"/>
      <c r="K215" s="33" t="str">
        <f aca="false">IF(OR(M215=0,C215=""),"",IF(ISNUMBER(C215),MOD(C215,1),IFERROR(INDEX(القوائم!$B$1:$B$288,MATCH(TRIM(C215),القوائم!$A$1:$A$288,0)),IFERROR(MOD(TIMEVALUE(C215),1),""))))</f>
        <v/>
      </c>
      <c r="L215" s="33" t="str">
        <f aca="false">IF(OR(M215=0,D215=""),"",IF(ISNUMBER(D215),MOD(D215,1),IFERROR(INDEX(القوائم!$B$1:$B$288,MATCH(TRIM(D215),القوائم!$A$1:$A$288,0)),IFERROR(MOD(TIMEVALUE(D215),1),""))))</f>
        <v/>
      </c>
      <c r="M215" s="25" t="n">
        <f aca="false">M211</f>
        <v>0</v>
      </c>
      <c r="Q215" s="25" t="n">
        <f aca="false">IF(N(F222)&gt;0,1,0)</f>
        <v>0</v>
      </c>
      <c r="S215" s="0" t="n">
        <v>18</v>
      </c>
    </row>
    <row r="216" customFormat="false" ht="15" hidden="false" customHeight="false" outlineLevel="0" collapsed="false">
      <c r="A216" s="28" t="n">
        <f aca="false">IF(18&lt;=NW,SAT1+122,"")</f>
        <v>46140</v>
      </c>
      <c r="B216" s="29" t="str">
        <f aca="false">IF(A216="","",CHOOSE(WEEKDAY(A216,1),"الأحد","الاثنين","الثلاثاء","الأربعاء","الخميس","الجمعة","السبت"))</f>
        <v>الثلاثاء</v>
      </c>
      <c r="C216" s="30"/>
      <c r="D216" s="30"/>
      <c r="E216" s="31" t="str">
        <f aca="false">IF(OR(M216=0,K216="",L216=""),"",MOD(L216-K216,1))</f>
        <v/>
      </c>
      <c r="F216" s="32" t="str">
        <f aca="false">IF(OR(E216="",M216=0),"",IF(ROUND_MODE="للأعلى",CEILING(ROUND((E216*24*$N$211),3),0.25),ROUND((E216*24*$N$211)*4,0)/4))</f>
        <v/>
      </c>
      <c r="G216" s="30"/>
      <c r="H216" s="30"/>
      <c r="K216" s="33" t="str">
        <f aca="false">IF(OR(M216=0,C216=""),"",IF(ISNUMBER(C216),MOD(C216,1),IFERROR(INDEX(القوائم!$B$1:$B$288,MATCH(TRIM(C216),القوائم!$A$1:$A$288,0)),IFERROR(MOD(TIMEVALUE(C216),1),""))))</f>
        <v/>
      </c>
      <c r="L216" s="33" t="str">
        <f aca="false">IF(OR(M216=0,D216=""),"",IF(ISNUMBER(D216),MOD(D216,1),IFERROR(INDEX(القوائم!$B$1:$B$288,MATCH(TRIM(D216),القوائم!$A$1:$A$288,0)),IFERROR(MOD(TIMEVALUE(D216),1),""))))</f>
        <v/>
      </c>
      <c r="M216" s="25" t="n">
        <f aca="false">M211</f>
        <v>0</v>
      </c>
      <c r="Q216" s="25" t="n">
        <f aca="false">IF(N(F222)&gt;0,1,0)</f>
        <v>0</v>
      </c>
      <c r="S216" s="0" t="n">
        <v>18</v>
      </c>
    </row>
    <row r="217" customFormat="false" ht="15" hidden="false" customHeight="false" outlineLevel="0" collapsed="false">
      <c r="A217" s="28" t="n">
        <f aca="false">IF(18&lt;=NW,SAT1+123,"")</f>
        <v>46141</v>
      </c>
      <c r="B217" s="29" t="str">
        <f aca="false">IF(A217="","",CHOOSE(WEEKDAY(A217,1),"الأحد","الاثنين","الثلاثاء","الأربعاء","الخميس","الجمعة","السبت"))</f>
        <v>الأربعاء</v>
      </c>
      <c r="C217" s="30"/>
      <c r="D217" s="30"/>
      <c r="E217" s="31" t="str">
        <f aca="false">IF(OR(M217=0,K217="",L217=""),"",MOD(L217-K217,1))</f>
        <v/>
      </c>
      <c r="F217" s="32" t="str">
        <f aca="false">IF(OR(E217="",M217=0),"",IF(ROUND_MODE="للأعلى",CEILING(ROUND((E217*24*$N$211),3),0.25),ROUND((E217*24*$N$211)*4,0)/4))</f>
        <v/>
      </c>
      <c r="G217" s="30"/>
      <c r="H217" s="30"/>
      <c r="K217" s="33" t="str">
        <f aca="false">IF(OR(M217=0,C217=""),"",IF(ISNUMBER(C217),MOD(C217,1),IFERROR(INDEX(القوائم!$B$1:$B$288,MATCH(TRIM(C217),القوائم!$A$1:$A$288,0)),IFERROR(MOD(TIMEVALUE(C217),1),""))))</f>
        <v/>
      </c>
      <c r="L217" s="33" t="str">
        <f aca="false">IF(OR(M217=0,D217=""),"",IF(ISNUMBER(D217),MOD(D217,1),IFERROR(INDEX(القوائم!$B$1:$B$288,MATCH(TRIM(D217),القوائم!$A$1:$A$288,0)),IFERROR(MOD(TIMEVALUE(D217),1),""))))</f>
        <v/>
      </c>
      <c r="M217" s="25" t="n">
        <f aca="false">M211</f>
        <v>0</v>
      </c>
      <c r="Q217" s="25" t="n">
        <f aca="false">IF(N(F222)&gt;0,1,0)</f>
        <v>0</v>
      </c>
      <c r="S217" s="0" t="n">
        <v>18</v>
      </c>
    </row>
    <row r="218" customFormat="false" ht="15" hidden="false" customHeight="false" outlineLevel="0" collapsed="false">
      <c r="A218" s="28" t="n">
        <f aca="false">IF(18&lt;=NW,SAT1+124,"")</f>
        <v>46142</v>
      </c>
      <c r="B218" s="29" t="str">
        <f aca="false">IF(A218="","",CHOOSE(WEEKDAY(A218,1),"الأحد","الاثنين","الثلاثاء","الأربعاء","الخميس","الجمعة","السبت"))</f>
        <v>الخميس</v>
      </c>
      <c r="C218" s="30"/>
      <c r="D218" s="30"/>
      <c r="E218" s="31" t="str">
        <f aca="false">IF(OR(M218=0,K218="",L218=""),"",MOD(L218-K218,1))</f>
        <v/>
      </c>
      <c r="F218" s="32" t="str">
        <f aca="false">IF(OR(E218="",M218=0),"",IF(ROUND_MODE="للأعلى",CEILING(ROUND((E218*24*$N$211),3),0.25),ROUND((E218*24*$N$211)*4,0)/4))</f>
        <v/>
      </c>
      <c r="G218" s="30"/>
      <c r="H218" s="30"/>
      <c r="K218" s="33" t="str">
        <f aca="false">IF(OR(M218=0,C218=""),"",IF(ISNUMBER(C218),MOD(C218,1),IFERROR(INDEX(القوائم!$B$1:$B$288,MATCH(TRIM(C218),القوائم!$A$1:$A$288,0)),IFERROR(MOD(TIMEVALUE(C218),1),""))))</f>
        <v/>
      </c>
      <c r="L218" s="33" t="str">
        <f aca="false">IF(OR(M218=0,D218=""),"",IF(ISNUMBER(D218),MOD(D218,1),IFERROR(INDEX(القوائم!$B$1:$B$288,MATCH(TRIM(D218),القوائم!$A$1:$A$288,0)),IFERROR(MOD(TIMEVALUE(D218),1),""))))</f>
        <v/>
      </c>
      <c r="M218" s="25" t="n">
        <f aca="false">M211</f>
        <v>0</v>
      </c>
      <c r="Q218" s="25" t="n">
        <f aca="false">IF(N(F222)&gt;0,1,0)</f>
        <v>0</v>
      </c>
      <c r="S218" s="0" t="n">
        <v>18</v>
      </c>
    </row>
    <row r="219" customFormat="false" ht="15" hidden="false" customHeight="false" outlineLevel="0" collapsed="false">
      <c r="A219" s="34" t="n">
        <f aca="false">IF(18&lt;=NW,SAT1+125,"")</f>
        <v>46143</v>
      </c>
      <c r="B219" s="35" t="str">
        <f aca="false">IF(A219="","",CHOOSE(WEEKDAY(A219,1),"الأحد","الاثنين","الثلاثاء","الأربعاء","الخميس","الجمعة","السبت"))</f>
        <v>الجمعة</v>
      </c>
      <c r="C219" s="30"/>
      <c r="D219" s="30"/>
      <c r="E219" s="31" t="str">
        <f aca="false">IF(OR(M219=0,K219="",L219=""),"",MOD(L219-K219,1))</f>
        <v/>
      </c>
      <c r="F219" s="32" t="str">
        <f aca="false">IF(OR(E219="",M219=0),"",IF(ROUND_MODE="للأعلى",CEILING(ROUND((E219*24*$N$211),3),0.25),ROUND((E219*24*$N$211)*4,0)/4))</f>
        <v/>
      </c>
      <c r="G219" s="30"/>
      <c r="H219" s="30"/>
      <c r="K219" s="33" t="str">
        <f aca="false">IF(OR(M219=0,C219=""),"",IF(ISNUMBER(C219),MOD(C219,1),IFERROR(INDEX(القوائم!$B$1:$B$288,MATCH(TRIM(C219),القوائم!$A$1:$A$288,0)),IFERROR(MOD(TIMEVALUE(C219),1),""))))</f>
        <v/>
      </c>
      <c r="L219" s="33" t="str">
        <f aca="false">IF(OR(M219=0,D219=""),"",IF(ISNUMBER(D219),MOD(D219,1),IFERROR(INDEX(القوائم!$B$1:$B$288,MATCH(TRIM(D219),القوائم!$A$1:$A$288,0)),IFERROR(MOD(TIMEVALUE(D219),1),""))))</f>
        <v/>
      </c>
      <c r="M219" s="25" t="n">
        <f aca="false">M211</f>
        <v>0</v>
      </c>
      <c r="Q219" s="25" t="n">
        <f aca="false">IF(N(F222)&gt;0,1,0)</f>
        <v>0</v>
      </c>
      <c r="S219" s="0" t="n">
        <v>18</v>
      </c>
    </row>
    <row r="220" customFormat="false" ht="15" hidden="false" customHeight="false" outlineLevel="0" collapsed="false">
      <c r="A220" s="36" t="str">
        <f aca="false">IF(M211=1,"مجموع أيام الأسبوع 18","")</f>
        <v/>
      </c>
      <c r="B220" s="36"/>
      <c r="C220" s="36"/>
      <c r="D220" s="36"/>
      <c r="E220" s="37" t="str">
        <f aca="false">IF(M211=1,SUM(E213:E219),"")</f>
        <v/>
      </c>
      <c r="F220" s="38" t="str">
        <f aca="false">IF(M211=1,SUM(F213:F219),"")</f>
        <v/>
      </c>
      <c r="G220" s="50" t="str">
        <f aca="false">IF(M211=1,SUMIFS(F213:F219,G213:G219,"نعم"),"")</f>
        <v/>
      </c>
      <c r="H220" s="36"/>
      <c r="S220" s="0" t="n">
        <v>18</v>
      </c>
    </row>
    <row r="221" customFormat="false" ht="31.5" hidden="false" customHeight="true" outlineLevel="0" collapsed="false">
      <c r="A221" s="39" t="str">
        <f aca="false">IF(M211=1,"ساعات تحميل الجبسمبورد بهالأسبوع (رقم: 2 أو 1.5) ←","")</f>
        <v/>
      </c>
      <c r="B221" s="39"/>
      <c r="C221" s="39"/>
      <c r="D221" s="39"/>
      <c r="E221" s="40"/>
      <c r="F221" s="42" t="str">
        <f aca="false">IF(M211=1,N(F220)+IF(ROUND_MODE="للأعلى",CEILING(ROUND((N(E221)*($P$211-$N$211)),3),0.25),ROUND((N(E221)*($P$211-$N$211))*4,0)/4)+N(C222),"")</f>
        <v/>
      </c>
      <c r="G221" s="41" t="str">
        <f aca="false">IF(M211=1,"← المستحق النهائي للأسبوع مع الجبسمبورد والإكرامية","")</f>
        <v/>
      </c>
      <c r="H221" s="41"/>
      <c r="S221" s="0" t="n">
        <v>18</v>
      </c>
    </row>
    <row r="222" customFormat="false" ht="25.5" hidden="false" customHeight="true" outlineLevel="0" collapsed="false">
      <c r="A222" s="39" t="str">
        <f aca="false">IF(M211=1,"إكرامية الأسبوع ←","")</f>
        <v/>
      </c>
      <c r="B222" s="39"/>
      <c r="C222" s="44"/>
      <c r="D222" s="39" t="str">
        <f aca="false">IF(M211=1,"المدفوع (التسوية) ←","")</f>
        <v/>
      </c>
      <c r="E222" s="39"/>
      <c r="F222" s="44"/>
      <c r="G222" s="45" t="str">
        <f aca="false">IF(M211=1,IF(N(F222)&gt;0,"✔ انقبض — الأسبوع مقفول","⏳ لسا ما انقبض"),"")</f>
        <v/>
      </c>
      <c r="H222" s="45"/>
      <c r="S222" s="0" t="n">
        <v>18</v>
      </c>
    </row>
    <row r="223" customFormat="false" ht="27.75" hidden="false" customHeight="true" outlineLevel="0" collapsed="false">
      <c r="A223" s="48" t="str">
        <f aca="false">IF(19&lt;=NW,"من السبت "&amp;TEXT(DAY(SAT1+126),"00")&amp;"/"&amp;TEXT(MONTH(SAT1+126),"00")&amp;"/"&amp;YEAR(SAT1+126)&amp;" إلى الجمعة "&amp;TEXT(DAY(SAT1+132),"00")&amp;"/"&amp;TEXT(MONTH(SAT1+132),"00")&amp;"/"&amp;YEAR(SAT1+132)&amp;" · الأسبوع 19"&amp;"  (يوم القبض: الجمعة)"&amp;IF(19&lt;START_Z,"   — قبل أسبوع البداية (ما بينحسب)",""),"ما في أسبوع 19 هالسنة")</f>
        <v>من السبت 02/05/2026 إلى الجمعة 08/05/2026 · الأسبوع 19  (يوم القبض: الجمعة)   — قبل أسبوع البداية (ما بينحسب)</v>
      </c>
      <c r="B223" s="48"/>
      <c r="C223" s="48"/>
      <c r="D223" s="48"/>
      <c r="E223" s="48"/>
      <c r="F223" s="48"/>
      <c r="G223" s="48"/>
      <c r="H223" s="48"/>
      <c r="L223" s="24" t="n">
        <f aca="false">IF(19&lt;=NW,SAT1+132,"")</f>
        <v>46150</v>
      </c>
      <c r="M223" s="25" t="n">
        <f aca="false">IF(AND(19&lt;=NW,19&gt;=START_Z),1,0)</f>
        <v>0</v>
      </c>
      <c r="N223" s="26" t="n">
        <f aca="false">IFERROR(INDEX(RT_AZZ,MATCH(L223,RT_K,1)),INDEX(RT_AZZ,1))</f>
        <v>1</v>
      </c>
      <c r="P223" s="26" t="n">
        <f aca="false">IFERROR(INDEX(RT_GYP,MATCH(L223,RT_K,1)),INDEX(RT_GYP,1))</f>
        <v>2.5</v>
      </c>
      <c r="R223" s="0" t="n">
        <v>19</v>
      </c>
      <c r="S223" s="0" t="n">
        <v>19</v>
      </c>
    </row>
    <row r="224" customFormat="false" ht="25.5" hidden="false" customHeight="true" outlineLevel="0" collapsed="false">
      <c r="A224" s="49" t="s">
        <v>22</v>
      </c>
      <c r="B224" s="49" t="s">
        <v>23</v>
      </c>
      <c r="C224" s="49" t="s">
        <v>24</v>
      </c>
      <c r="D224" s="49" t="s">
        <v>25</v>
      </c>
      <c r="E224" s="49" t="s">
        <v>26</v>
      </c>
      <c r="F224" s="49" t="s">
        <v>33</v>
      </c>
      <c r="G224" s="49" t="s">
        <v>34</v>
      </c>
      <c r="H224" s="49" t="s">
        <v>30</v>
      </c>
      <c r="S224" s="0" t="n">
        <v>19</v>
      </c>
    </row>
    <row r="225" customFormat="false" ht="15" hidden="false" customHeight="false" outlineLevel="0" collapsed="false">
      <c r="A225" s="28" t="n">
        <f aca="false">IF(19&lt;=NW,SAT1+126,"")</f>
        <v>46144</v>
      </c>
      <c r="B225" s="29" t="str">
        <f aca="false">IF(A225="","",CHOOSE(WEEKDAY(A225,1),"الأحد","الاثنين","الثلاثاء","الأربعاء","الخميس","الجمعة","السبت"))</f>
        <v>السبت</v>
      </c>
      <c r="C225" s="30"/>
      <c r="D225" s="30"/>
      <c r="E225" s="31" t="str">
        <f aca="false">IF(OR(M225=0,K225="",L225=""),"",MOD(L225-K225,1))</f>
        <v/>
      </c>
      <c r="F225" s="32" t="str">
        <f aca="false">IF(OR(E225="",M225=0),"",IF(ROUND_MODE="للأعلى",CEILING(ROUND((E225*24*$N$223),3),0.25),ROUND((E225*24*$N$223)*4,0)/4))</f>
        <v/>
      </c>
      <c r="G225" s="30"/>
      <c r="H225" s="30"/>
      <c r="K225" s="33" t="str">
        <f aca="false">IF(OR(M225=0,C225=""),"",IF(ISNUMBER(C225),MOD(C225,1),IFERROR(INDEX(القوائم!$B$1:$B$288,MATCH(TRIM(C225),القوائم!$A$1:$A$288,0)),IFERROR(MOD(TIMEVALUE(C225),1),""))))</f>
        <v/>
      </c>
      <c r="L225" s="33" t="str">
        <f aca="false">IF(OR(M225=0,D225=""),"",IF(ISNUMBER(D225),MOD(D225,1),IFERROR(INDEX(القوائم!$B$1:$B$288,MATCH(TRIM(D225),القوائم!$A$1:$A$288,0)),IFERROR(MOD(TIMEVALUE(D225),1),""))))</f>
        <v/>
      </c>
      <c r="M225" s="25" t="n">
        <f aca="false">M223</f>
        <v>0</v>
      </c>
      <c r="Q225" s="25" t="n">
        <f aca="false">IF(N(F234)&gt;0,1,0)</f>
        <v>0</v>
      </c>
      <c r="S225" s="0" t="n">
        <v>19</v>
      </c>
    </row>
    <row r="226" customFormat="false" ht="15" hidden="false" customHeight="false" outlineLevel="0" collapsed="false">
      <c r="A226" s="28" t="n">
        <f aca="false">IF(19&lt;=NW,SAT1+127,"")</f>
        <v>46145</v>
      </c>
      <c r="B226" s="29" t="str">
        <f aca="false">IF(A226="","",CHOOSE(WEEKDAY(A226,1),"الأحد","الاثنين","الثلاثاء","الأربعاء","الخميس","الجمعة","السبت"))</f>
        <v>الأحد</v>
      </c>
      <c r="C226" s="30"/>
      <c r="D226" s="30"/>
      <c r="E226" s="31" t="str">
        <f aca="false">IF(OR(M226=0,K226="",L226=""),"",MOD(L226-K226,1))</f>
        <v/>
      </c>
      <c r="F226" s="32" t="str">
        <f aca="false">IF(OR(E226="",M226=0),"",IF(ROUND_MODE="للأعلى",CEILING(ROUND((E226*24*$N$223),3),0.25),ROUND((E226*24*$N$223)*4,0)/4))</f>
        <v/>
      </c>
      <c r="G226" s="30"/>
      <c r="H226" s="30"/>
      <c r="K226" s="33" t="str">
        <f aca="false">IF(OR(M226=0,C226=""),"",IF(ISNUMBER(C226),MOD(C226,1),IFERROR(INDEX(القوائم!$B$1:$B$288,MATCH(TRIM(C226),القوائم!$A$1:$A$288,0)),IFERROR(MOD(TIMEVALUE(C226),1),""))))</f>
        <v/>
      </c>
      <c r="L226" s="33" t="str">
        <f aca="false">IF(OR(M226=0,D226=""),"",IF(ISNUMBER(D226),MOD(D226,1),IFERROR(INDEX(القوائم!$B$1:$B$288,MATCH(TRIM(D226),القوائم!$A$1:$A$288,0)),IFERROR(MOD(TIMEVALUE(D226),1),""))))</f>
        <v/>
      </c>
      <c r="M226" s="25" t="n">
        <f aca="false">M223</f>
        <v>0</v>
      </c>
      <c r="Q226" s="25" t="n">
        <f aca="false">IF(N(F234)&gt;0,1,0)</f>
        <v>0</v>
      </c>
      <c r="S226" s="0" t="n">
        <v>19</v>
      </c>
    </row>
    <row r="227" customFormat="false" ht="15" hidden="false" customHeight="false" outlineLevel="0" collapsed="false">
      <c r="A227" s="28" t="n">
        <f aca="false">IF(19&lt;=NW,SAT1+128,"")</f>
        <v>46146</v>
      </c>
      <c r="B227" s="29" t="str">
        <f aca="false">IF(A227="","",CHOOSE(WEEKDAY(A227,1),"الأحد","الاثنين","الثلاثاء","الأربعاء","الخميس","الجمعة","السبت"))</f>
        <v>الاثنين</v>
      </c>
      <c r="C227" s="30"/>
      <c r="D227" s="30"/>
      <c r="E227" s="31" t="str">
        <f aca="false">IF(OR(M227=0,K227="",L227=""),"",MOD(L227-K227,1))</f>
        <v/>
      </c>
      <c r="F227" s="32" t="str">
        <f aca="false">IF(OR(E227="",M227=0),"",IF(ROUND_MODE="للأعلى",CEILING(ROUND((E227*24*$N$223),3),0.25),ROUND((E227*24*$N$223)*4,0)/4))</f>
        <v/>
      </c>
      <c r="G227" s="30"/>
      <c r="H227" s="30"/>
      <c r="K227" s="33" t="str">
        <f aca="false">IF(OR(M227=0,C227=""),"",IF(ISNUMBER(C227),MOD(C227,1),IFERROR(INDEX(القوائم!$B$1:$B$288,MATCH(TRIM(C227),القوائم!$A$1:$A$288,0)),IFERROR(MOD(TIMEVALUE(C227),1),""))))</f>
        <v/>
      </c>
      <c r="L227" s="33" t="str">
        <f aca="false">IF(OR(M227=0,D227=""),"",IF(ISNUMBER(D227),MOD(D227,1),IFERROR(INDEX(القوائم!$B$1:$B$288,MATCH(TRIM(D227),القوائم!$A$1:$A$288,0)),IFERROR(MOD(TIMEVALUE(D227),1),""))))</f>
        <v/>
      </c>
      <c r="M227" s="25" t="n">
        <f aca="false">M223</f>
        <v>0</v>
      </c>
      <c r="Q227" s="25" t="n">
        <f aca="false">IF(N(F234)&gt;0,1,0)</f>
        <v>0</v>
      </c>
      <c r="S227" s="0" t="n">
        <v>19</v>
      </c>
    </row>
    <row r="228" customFormat="false" ht="15" hidden="false" customHeight="false" outlineLevel="0" collapsed="false">
      <c r="A228" s="28" t="n">
        <f aca="false">IF(19&lt;=NW,SAT1+129,"")</f>
        <v>46147</v>
      </c>
      <c r="B228" s="29" t="str">
        <f aca="false">IF(A228="","",CHOOSE(WEEKDAY(A228,1),"الأحد","الاثنين","الثلاثاء","الأربعاء","الخميس","الجمعة","السبت"))</f>
        <v>الثلاثاء</v>
      </c>
      <c r="C228" s="30"/>
      <c r="D228" s="30"/>
      <c r="E228" s="31" t="str">
        <f aca="false">IF(OR(M228=0,K228="",L228=""),"",MOD(L228-K228,1))</f>
        <v/>
      </c>
      <c r="F228" s="32" t="str">
        <f aca="false">IF(OR(E228="",M228=0),"",IF(ROUND_MODE="للأعلى",CEILING(ROUND((E228*24*$N$223),3),0.25),ROUND((E228*24*$N$223)*4,0)/4))</f>
        <v/>
      </c>
      <c r="G228" s="30"/>
      <c r="H228" s="30"/>
      <c r="K228" s="33" t="str">
        <f aca="false">IF(OR(M228=0,C228=""),"",IF(ISNUMBER(C228),MOD(C228,1),IFERROR(INDEX(القوائم!$B$1:$B$288,MATCH(TRIM(C228),القوائم!$A$1:$A$288,0)),IFERROR(MOD(TIMEVALUE(C228),1),""))))</f>
        <v/>
      </c>
      <c r="L228" s="33" t="str">
        <f aca="false">IF(OR(M228=0,D228=""),"",IF(ISNUMBER(D228),MOD(D228,1),IFERROR(INDEX(القوائم!$B$1:$B$288,MATCH(TRIM(D228),القوائم!$A$1:$A$288,0)),IFERROR(MOD(TIMEVALUE(D228),1),""))))</f>
        <v/>
      </c>
      <c r="M228" s="25" t="n">
        <f aca="false">M223</f>
        <v>0</v>
      </c>
      <c r="Q228" s="25" t="n">
        <f aca="false">IF(N(F234)&gt;0,1,0)</f>
        <v>0</v>
      </c>
      <c r="S228" s="0" t="n">
        <v>19</v>
      </c>
    </row>
    <row r="229" customFormat="false" ht="15" hidden="false" customHeight="false" outlineLevel="0" collapsed="false">
      <c r="A229" s="28" t="n">
        <f aca="false">IF(19&lt;=NW,SAT1+130,"")</f>
        <v>46148</v>
      </c>
      <c r="B229" s="29" t="str">
        <f aca="false">IF(A229="","",CHOOSE(WEEKDAY(A229,1),"الأحد","الاثنين","الثلاثاء","الأربعاء","الخميس","الجمعة","السبت"))</f>
        <v>الأربعاء</v>
      </c>
      <c r="C229" s="30"/>
      <c r="D229" s="30"/>
      <c r="E229" s="31" t="str">
        <f aca="false">IF(OR(M229=0,K229="",L229=""),"",MOD(L229-K229,1))</f>
        <v/>
      </c>
      <c r="F229" s="32" t="str">
        <f aca="false">IF(OR(E229="",M229=0),"",IF(ROUND_MODE="للأعلى",CEILING(ROUND((E229*24*$N$223),3),0.25),ROUND((E229*24*$N$223)*4,0)/4))</f>
        <v/>
      </c>
      <c r="G229" s="30"/>
      <c r="H229" s="30"/>
      <c r="K229" s="33" t="str">
        <f aca="false">IF(OR(M229=0,C229=""),"",IF(ISNUMBER(C229),MOD(C229,1),IFERROR(INDEX(القوائم!$B$1:$B$288,MATCH(TRIM(C229),القوائم!$A$1:$A$288,0)),IFERROR(MOD(TIMEVALUE(C229),1),""))))</f>
        <v/>
      </c>
      <c r="L229" s="33" t="str">
        <f aca="false">IF(OR(M229=0,D229=""),"",IF(ISNUMBER(D229),MOD(D229,1),IFERROR(INDEX(القوائم!$B$1:$B$288,MATCH(TRIM(D229),القوائم!$A$1:$A$288,0)),IFERROR(MOD(TIMEVALUE(D229),1),""))))</f>
        <v/>
      </c>
      <c r="M229" s="25" t="n">
        <f aca="false">M223</f>
        <v>0</v>
      </c>
      <c r="Q229" s="25" t="n">
        <f aca="false">IF(N(F234)&gt;0,1,0)</f>
        <v>0</v>
      </c>
      <c r="S229" s="0" t="n">
        <v>19</v>
      </c>
    </row>
    <row r="230" customFormat="false" ht="15" hidden="false" customHeight="false" outlineLevel="0" collapsed="false">
      <c r="A230" s="28" t="n">
        <f aca="false">IF(19&lt;=NW,SAT1+131,"")</f>
        <v>46149</v>
      </c>
      <c r="B230" s="29" t="str">
        <f aca="false">IF(A230="","",CHOOSE(WEEKDAY(A230,1),"الأحد","الاثنين","الثلاثاء","الأربعاء","الخميس","الجمعة","السبت"))</f>
        <v>الخميس</v>
      </c>
      <c r="C230" s="30"/>
      <c r="D230" s="30"/>
      <c r="E230" s="31" t="str">
        <f aca="false">IF(OR(M230=0,K230="",L230=""),"",MOD(L230-K230,1))</f>
        <v/>
      </c>
      <c r="F230" s="32" t="str">
        <f aca="false">IF(OR(E230="",M230=0),"",IF(ROUND_MODE="للأعلى",CEILING(ROUND((E230*24*$N$223),3),0.25),ROUND((E230*24*$N$223)*4,0)/4))</f>
        <v/>
      </c>
      <c r="G230" s="30"/>
      <c r="H230" s="30"/>
      <c r="K230" s="33" t="str">
        <f aca="false">IF(OR(M230=0,C230=""),"",IF(ISNUMBER(C230),MOD(C230,1),IFERROR(INDEX(القوائم!$B$1:$B$288,MATCH(TRIM(C230),القوائم!$A$1:$A$288,0)),IFERROR(MOD(TIMEVALUE(C230),1),""))))</f>
        <v/>
      </c>
      <c r="L230" s="33" t="str">
        <f aca="false">IF(OR(M230=0,D230=""),"",IF(ISNUMBER(D230),MOD(D230,1),IFERROR(INDEX(القوائم!$B$1:$B$288,MATCH(TRIM(D230),القوائم!$A$1:$A$288,0)),IFERROR(MOD(TIMEVALUE(D230),1),""))))</f>
        <v/>
      </c>
      <c r="M230" s="25" t="n">
        <f aca="false">M223</f>
        <v>0</v>
      </c>
      <c r="Q230" s="25" t="n">
        <f aca="false">IF(N(F234)&gt;0,1,0)</f>
        <v>0</v>
      </c>
      <c r="S230" s="0" t="n">
        <v>19</v>
      </c>
    </row>
    <row r="231" customFormat="false" ht="15" hidden="false" customHeight="false" outlineLevel="0" collapsed="false">
      <c r="A231" s="34" t="n">
        <f aca="false">IF(19&lt;=NW,SAT1+132,"")</f>
        <v>46150</v>
      </c>
      <c r="B231" s="35" t="str">
        <f aca="false">IF(A231="","",CHOOSE(WEEKDAY(A231,1),"الأحد","الاثنين","الثلاثاء","الأربعاء","الخميس","الجمعة","السبت"))</f>
        <v>الجمعة</v>
      </c>
      <c r="C231" s="30"/>
      <c r="D231" s="30"/>
      <c r="E231" s="31" t="str">
        <f aca="false">IF(OR(M231=0,K231="",L231=""),"",MOD(L231-K231,1))</f>
        <v/>
      </c>
      <c r="F231" s="32" t="str">
        <f aca="false">IF(OR(E231="",M231=0),"",IF(ROUND_MODE="للأعلى",CEILING(ROUND((E231*24*$N$223),3),0.25),ROUND((E231*24*$N$223)*4,0)/4))</f>
        <v/>
      </c>
      <c r="G231" s="30"/>
      <c r="H231" s="30"/>
      <c r="K231" s="33" t="str">
        <f aca="false">IF(OR(M231=0,C231=""),"",IF(ISNUMBER(C231),MOD(C231,1),IFERROR(INDEX(القوائم!$B$1:$B$288,MATCH(TRIM(C231),القوائم!$A$1:$A$288,0)),IFERROR(MOD(TIMEVALUE(C231),1),""))))</f>
        <v/>
      </c>
      <c r="L231" s="33" t="str">
        <f aca="false">IF(OR(M231=0,D231=""),"",IF(ISNUMBER(D231),MOD(D231,1),IFERROR(INDEX(القوائم!$B$1:$B$288,MATCH(TRIM(D231),القوائم!$A$1:$A$288,0)),IFERROR(MOD(TIMEVALUE(D231),1),""))))</f>
        <v/>
      </c>
      <c r="M231" s="25" t="n">
        <f aca="false">M223</f>
        <v>0</v>
      </c>
      <c r="Q231" s="25" t="n">
        <f aca="false">IF(N(F234)&gt;0,1,0)</f>
        <v>0</v>
      </c>
      <c r="S231" s="0" t="n">
        <v>19</v>
      </c>
    </row>
    <row r="232" customFormat="false" ht="15" hidden="false" customHeight="false" outlineLevel="0" collapsed="false">
      <c r="A232" s="36" t="str">
        <f aca="false">IF(M223=1,"مجموع أيام الأسبوع 19","")</f>
        <v/>
      </c>
      <c r="B232" s="36"/>
      <c r="C232" s="36"/>
      <c r="D232" s="36"/>
      <c r="E232" s="37" t="str">
        <f aca="false">IF(M223=1,SUM(E225:E231),"")</f>
        <v/>
      </c>
      <c r="F232" s="38" t="str">
        <f aca="false">IF(M223=1,SUM(F225:F231),"")</f>
        <v/>
      </c>
      <c r="G232" s="50" t="str">
        <f aca="false">IF(M223=1,SUMIFS(F225:F231,G225:G231,"نعم"),"")</f>
        <v/>
      </c>
      <c r="H232" s="36"/>
      <c r="S232" s="0" t="n">
        <v>19</v>
      </c>
    </row>
    <row r="233" customFormat="false" ht="31.5" hidden="false" customHeight="true" outlineLevel="0" collapsed="false">
      <c r="A233" s="39" t="str">
        <f aca="false">IF(M223=1,"ساعات تحميل الجبسمبورد بهالأسبوع (رقم: 2 أو 1.5) ←","")</f>
        <v/>
      </c>
      <c r="B233" s="39"/>
      <c r="C233" s="39"/>
      <c r="D233" s="39"/>
      <c r="E233" s="40"/>
      <c r="F233" s="42" t="str">
        <f aca="false">IF(M223=1,N(F232)+IF(ROUND_MODE="للأعلى",CEILING(ROUND((N(E233)*($P$223-$N$223)),3),0.25),ROUND((N(E233)*($P$223-$N$223))*4,0)/4)+N(C234),"")</f>
        <v/>
      </c>
      <c r="G233" s="41" t="str">
        <f aca="false">IF(M223=1,"← المستحق النهائي للأسبوع مع الجبسمبورد والإكرامية","")</f>
        <v/>
      </c>
      <c r="H233" s="41"/>
      <c r="S233" s="0" t="n">
        <v>19</v>
      </c>
    </row>
    <row r="234" customFormat="false" ht="25.5" hidden="false" customHeight="true" outlineLevel="0" collapsed="false">
      <c r="A234" s="39" t="str">
        <f aca="false">IF(M223=1,"إكرامية الأسبوع ←","")</f>
        <v/>
      </c>
      <c r="B234" s="39"/>
      <c r="C234" s="44"/>
      <c r="D234" s="39" t="str">
        <f aca="false">IF(M223=1,"المدفوع (التسوية) ←","")</f>
        <v/>
      </c>
      <c r="E234" s="39"/>
      <c r="F234" s="44"/>
      <c r="G234" s="45" t="str">
        <f aca="false">IF(M223=1,IF(N(F234)&gt;0,"✔ انقبض — الأسبوع مقفول","⏳ لسا ما انقبض"),"")</f>
        <v/>
      </c>
      <c r="H234" s="45"/>
      <c r="S234" s="0" t="n">
        <v>19</v>
      </c>
    </row>
    <row r="235" customFormat="false" ht="27.75" hidden="false" customHeight="true" outlineLevel="0" collapsed="false">
      <c r="A235" s="48" t="str">
        <f aca="false">IF(20&lt;=NW,"من السبت "&amp;TEXT(DAY(SAT1+133),"00")&amp;"/"&amp;TEXT(MONTH(SAT1+133),"00")&amp;"/"&amp;YEAR(SAT1+133)&amp;" إلى الجمعة "&amp;TEXT(DAY(SAT1+139),"00")&amp;"/"&amp;TEXT(MONTH(SAT1+139),"00")&amp;"/"&amp;YEAR(SAT1+139)&amp;" · الأسبوع 20"&amp;"  (يوم القبض: الجمعة)"&amp;IF(20&lt;START_Z,"   — قبل أسبوع البداية (ما بينحسب)",""),"ما في أسبوع 20 هالسنة")</f>
        <v>من السبت 09/05/2026 إلى الجمعة 15/05/2026 · الأسبوع 20  (يوم القبض: الجمعة)   — قبل أسبوع البداية (ما بينحسب)</v>
      </c>
      <c r="B235" s="48"/>
      <c r="C235" s="48"/>
      <c r="D235" s="48"/>
      <c r="E235" s="48"/>
      <c r="F235" s="48"/>
      <c r="G235" s="48"/>
      <c r="H235" s="48"/>
      <c r="L235" s="24" t="n">
        <f aca="false">IF(20&lt;=NW,SAT1+139,"")</f>
        <v>46157</v>
      </c>
      <c r="M235" s="25" t="n">
        <f aca="false">IF(AND(20&lt;=NW,20&gt;=START_Z),1,0)</f>
        <v>0</v>
      </c>
      <c r="N235" s="26" t="n">
        <f aca="false">IFERROR(INDEX(RT_AZZ,MATCH(L235,RT_K,1)),INDEX(RT_AZZ,1))</f>
        <v>1</v>
      </c>
      <c r="P235" s="26" t="n">
        <f aca="false">IFERROR(INDEX(RT_GYP,MATCH(L235,RT_K,1)),INDEX(RT_GYP,1))</f>
        <v>2.5</v>
      </c>
      <c r="R235" s="0" t="n">
        <v>20</v>
      </c>
      <c r="S235" s="0" t="n">
        <v>20</v>
      </c>
    </row>
    <row r="236" customFormat="false" ht="25.5" hidden="false" customHeight="true" outlineLevel="0" collapsed="false">
      <c r="A236" s="49" t="s">
        <v>22</v>
      </c>
      <c r="B236" s="49" t="s">
        <v>23</v>
      </c>
      <c r="C236" s="49" t="s">
        <v>24</v>
      </c>
      <c r="D236" s="49" t="s">
        <v>25</v>
      </c>
      <c r="E236" s="49" t="s">
        <v>26</v>
      </c>
      <c r="F236" s="49" t="s">
        <v>33</v>
      </c>
      <c r="G236" s="49" t="s">
        <v>34</v>
      </c>
      <c r="H236" s="49" t="s">
        <v>30</v>
      </c>
      <c r="S236" s="0" t="n">
        <v>20</v>
      </c>
    </row>
    <row r="237" customFormat="false" ht="15" hidden="false" customHeight="false" outlineLevel="0" collapsed="false">
      <c r="A237" s="28" t="n">
        <f aca="false">IF(20&lt;=NW,SAT1+133,"")</f>
        <v>46151</v>
      </c>
      <c r="B237" s="29" t="str">
        <f aca="false">IF(A237="","",CHOOSE(WEEKDAY(A237,1),"الأحد","الاثنين","الثلاثاء","الأربعاء","الخميس","الجمعة","السبت"))</f>
        <v>السبت</v>
      </c>
      <c r="C237" s="30"/>
      <c r="D237" s="30"/>
      <c r="E237" s="31" t="str">
        <f aca="false">IF(OR(M237=0,K237="",L237=""),"",MOD(L237-K237,1))</f>
        <v/>
      </c>
      <c r="F237" s="32" t="str">
        <f aca="false">IF(OR(E237="",M237=0),"",IF(ROUND_MODE="للأعلى",CEILING(ROUND((E237*24*$N$235),3),0.25),ROUND((E237*24*$N$235)*4,0)/4))</f>
        <v/>
      </c>
      <c r="G237" s="30"/>
      <c r="H237" s="30"/>
      <c r="K237" s="33" t="str">
        <f aca="false">IF(OR(M237=0,C237=""),"",IF(ISNUMBER(C237),MOD(C237,1),IFERROR(INDEX(القوائم!$B$1:$B$288,MATCH(TRIM(C237),القوائم!$A$1:$A$288,0)),IFERROR(MOD(TIMEVALUE(C237),1),""))))</f>
        <v/>
      </c>
      <c r="L237" s="33" t="str">
        <f aca="false">IF(OR(M237=0,D237=""),"",IF(ISNUMBER(D237),MOD(D237,1),IFERROR(INDEX(القوائم!$B$1:$B$288,MATCH(TRIM(D237),القوائم!$A$1:$A$288,0)),IFERROR(MOD(TIMEVALUE(D237),1),""))))</f>
        <v/>
      </c>
      <c r="M237" s="25" t="n">
        <f aca="false">M235</f>
        <v>0</v>
      </c>
      <c r="Q237" s="25" t="n">
        <f aca="false">IF(N(F246)&gt;0,1,0)</f>
        <v>0</v>
      </c>
      <c r="S237" s="0" t="n">
        <v>20</v>
      </c>
    </row>
    <row r="238" customFormat="false" ht="15" hidden="false" customHeight="false" outlineLevel="0" collapsed="false">
      <c r="A238" s="28" t="n">
        <f aca="false">IF(20&lt;=NW,SAT1+134,"")</f>
        <v>46152</v>
      </c>
      <c r="B238" s="29" t="str">
        <f aca="false">IF(A238="","",CHOOSE(WEEKDAY(A238,1),"الأحد","الاثنين","الثلاثاء","الأربعاء","الخميس","الجمعة","السبت"))</f>
        <v>الأحد</v>
      </c>
      <c r="C238" s="30"/>
      <c r="D238" s="30"/>
      <c r="E238" s="31" t="str">
        <f aca="false">IF(OR(M238=0,K238="",L238=""),"",MOD(L238-K238,1))</f>
        <v/>
      </c>
      <c r="F238" s="32" t="str">
        <f aca="false">IF(OR(E238="",M238=0),"",IF(ROUND_MODE="للأعلى",CEILING(ROUND((E238*24*$N$235),3),0.25),ROUND((E238*24*$N$235)*4,0)/4))</f>
        <v/>
      </c>
      <c r="G238" s="30"/>
      <c r="H238" s="30"/>
      <c r="K238" s="33" t="str">
        <f aca="false">IF(OR(M238=0,C238=""),"",IF(ISNUMBER(C238),MOD(C238,1),IFERROR(INDEX(القوائم!$B$1:$B$288,MATCH(TRIM(C238),القوائم!$A$1:$A$288,0)),IFERROR(MOD(TIMEVALUE(C238),1),""))))</f>
        <v/>
      </c>
      <c r="L238" s="33" t="str">
        <f aca="false">IF(OR(M238=0,D238=""),"",IF(ISNUMBER(D238),MOD(D238,1),IFERROR(INDEX(القوائم!$B$1:$B$288,MATCH(TRIM(D238),القوائم!$A$1:$A$288,0)),IFERROR(MOD(TIMEVALUE(D238),1),""))))</f>
        <v/>
      </c>
      <c r="M238" s="25" t="n">
        <f aca="false">M235</f>
        <v>0</v>
      </c>
      <c r="Q238" s="25" t="n">
        <f aca="false">IF(N(F246)&gt;0,1,0)</f>
        <v>0</v>
      </c>
      <c r="S238" s="0" t="n">
        <v>20</v>
      </c>
    </row>
    <row r="239" customFormat="false" ht="15" hidden="false" customHeight="false" outlineLevel="0" collapsed="false">
      <c r="A239" s="28" t="n">
        <f aca="false">IF(20&lt;=NW,SAT1+135,"")</f>
        <v>46153</v>
      </c>
      <c r="B239" s="29" t="str">
        <f aca="false">IF(A239="","",CHOOSE(WEEKDAY(A239,1),"الأحد","الاثنين","الثلاثاء","الأربعاء","الخميس","الجمعة","السبت"))</f>
        <v>الاثنين</v>
      </c>
      <c r="C239" s="30"/>
      <c r="D239" s="30"/>
      <c r="E239" s="31" t="str">
        <f aca="false">IF(OR(M239=0,K239="",L239=""),"",MOD(L239-K239,1))</f>
        <v/>
      </c>
      <c r="F239" s="32" t="str">
        <f aca="false">IF(OR(E239="",M239=0),"",IF(ROUND_MODE="للأعلى",CEILING(ROUND((E239*24*$N$235),3),0.25),ROUND((E239*24*$N$235)*4,0)/4))</f>
        <v/>
      </c>
      <c r="G239" s="30"/>
      <c r="H239" s="30"/>
      <c r="K239" s="33" t="str">
        <f aca="false">IF(OR(M239=0,C239=""),"",IF(ISNUMBER(C239),MOD(C239,1),IFERROR(INDEX(القوائم!$B$1:$B$288,MATCH(TRIM(C239),القوائم!$A$1:$A$288,0)),IFERROR(MOD(TIMEVALUE(C239),1),""))))</f>
        <v/>
      </c>
      <c r="L239" s="33" t="str">
        <f aca="false">IF(OR(M239=0,D239=""),"",IF(ISNUMBER(D239),MOD(D239,1),IFERROR(INDEX(القوائم!$B$1:$B$288,MATCH(TRIM(D239),القوائم!$A$1:$A$288,0)),IFERROR(MOD(TIMEVALUE(D239),1),""))))</f>
        <v/>
      </c>
      <c r="M239" s="25" t="n">
        <f aca="false">M235</f>
        <v>0</v>
      </c>
      <c r="Q239" s="25" t="n">
        <f aca="false">IF(N(F246)&gt;0,1,0)</f>
        <v>0</v>
      </c>
      <c r="S239" s="0" t="n">
        <v>20</v>
      </c>
    </row>
    <row r="240" customFormat="false" ht="15" hidden="false" customHeight="false" outlineLevel="0" collapsed="false">
      <c r="A240" s="28" t="n">
        <f aca="false">IF(20&lt;=NW,SAT1+136,"")</f>
        <v>46154</v>
      </c>
      <c r="B240" s="29" t="str">
        <f aca="false">IF(A240="","",CHOOSE(WEEKDAY(A240,1),"الأحد","الاثنين","الثلاثاء","الأربعاء","الخميس","الجمعة","السبت"))</f>
        <v>الثلاثاء</v>
      </c>
      <c r="C240" s="30"/>
      <c r="D240" s="30"/>
      <c r="E240" s="31" t="str">
        <f aca="false">IF(OR(M240=0,K240="",L240=""),"",MOD(L240-K240,1))</f>
        <v/>
      </c>
      <c r="F240" s="32" t="str">
        <f aca="false">IF(OR(E240="",M240=0),"",IF(ROUND_MODE="للأعلى",CEILING(ROUND((E240*24*$N$235),3),0.25),ROUND((E240*24*$N$235)*4,0)/4))</f>
        <v/>
      </c>
      <c r="G240" s="30"/>
      <c r="H240" s="30"/>
      <c r="K240" s="33" t="str">
        <f aca="false">IF(OR(M240=0,C240=""),"",IF(ISNUMBER(C240),MOD(C240,1),IFERROR(INDEX(القوائم!$B$1:$B$288,MATCH(TRIM(C240),القوائم!$A$1:$A$288,0)),IFERROR(MOD(TIMEVALUE(C240),1),""))))</f>
        <v/>
      </c>
      <c r="L240" s="33" t="str">
        <f aca="false">IF(OR(M240=0,D240=""),"",IF(ISNUMBER(D240),MOD(D240,1),IFERROR(INDEX(القوائم!$B$1:$B$288,MATCH(TRIM(D240),القوائم!$A$1:$A$288,0)),IFERROR(MOD(TIMEVALUE(D240),1),""))))</f>
        <v/>
      </c>
      <c r="M240" s="25" t="n">
        <f aca="false">M235</f>
        <v>0</v>
      </c>
      <c r="Q240" s="25" t="n">
        <f aca="false">IF(N(F246)&gt;0,1,0)</f>
        <v>0</v>
      </c>
      <c r="S240" s="0" t="n">
        <v>20</v>
      </c>
    </row>
    <row r="241" customFormat="false" ht="15" hidden="false" customHeight="false" outlineLevel="0" collapsed="false">
      <c r="A241" s="28" t="n">
        <f aca="false">IF(20&lt;=NW,SAT1+137,"")</f>
        <v>46155</v>
      </c>
      <c r="B241" s="29" t="str">
        <f aca="false">IF(A241="","",CHOOSE(WEEKDAY(A241,1),"الأحد","الاثنين","الثلاثاء","الأربعاء","الخميس","الجمعة","السبت"))</f>
        <v>الأربعاء</v>
      </c>
      <c r="C241" s="30"/>
      <c r="D241" s="30"/>
      <c r="E241" s="31" t="str">
        <f aca="false">IF(OR(M241=0,K241="",L241=""),"",MOD(L241-K241,1))</f>
        <v/>
      </c>
      <c r="F241" s="32" t="str">
        <f aca="false">IF(OR(E241="",M241=0),"",IF(ROUND_MODE="للأعلى",CEILING(ROUND((E241*24*$N$235),3),0.25),ROUND((E241*24*$N$235)*4,0)/4))</f>
        <v/>
      </c>
      <c r="G241" s="30"/>
      <c r="H241" s="30"/>
      <c r="K241" s="33" t="str">
        <f aca="false">IF(OR(M241=0,C241=""),"",IF(ISNUMBER(C241),MOD(C241,1),IFERROR(INDEX(القوائم!$B$1:$B$288,MATCH(TRIM(C241),القوائم!$A$1:$A$288,0)),IFERROR(MOD(TIMEVALUE(C241),1),""))))</f>
        <v/>
      </c>
      <c r="L241" s="33" t="str">
        <f aca="false">IF(OR(M241=0,D241=""),"",IF(ISNUMBER(D241),MOD(D241,1),IFERROR(INDEX(القوائم!$B$1:$B$288,MATCH(TRIM(D241),القوائم!$A$1:$A$288,0)),IFERROR(MOD(TIMEVALUE(D241),1),""))))</f>
        <v/>
      </c>
      <c r="M241" s="25" t="n">
        <f aca="false">M235</f>
        <v>0</v>
      </c>
      <c r="Q241" s="25" t="n">
        <f aca="false">IF(N(F246)&gt;0,1,0)</f>
        <v>0</v>
      </c>
      <c r="S241" s="0" t="n">
        <v>20</v>
      </c>
    </row>
    <row r="242" customFormat="false" ht="15" hidden="false" customHeight="false" outlineLevel="0" collapsed="false">
      <c r="A242" s="28" t="n">
        <f aca="false">IF(20&lt;=NW,SAT1+138,"")</f>
        <v>46156</v>
      </c>
      <c r="B242" s="29" t="str">
        <f aca="false">IF(A242="","",CHOOSE(WEEKDAY(A242,1),"الأحد","الاثنين","الثلاثاء","الأربعاء","الخميس","الجمعة","السبت"))</f>
        <v>الخميس</v>
      </c>
      <c r="C242" s="30"/>
      <c r="D242" s="30"/>
      <c r="E242" s="31" t="str">
        <f aca="false">IF(OR(M242=0,K242="",L242=""),"",MOD(L242-K242,1))</f>
        <v/>
      </c>
      <c r="F242" s="32" t="str">
        <f aca="false">IF(OR(E242="",M242=0),"",IF(ROUND_MODE="للأعلى",CEILING(ROUND((E242*24*$N$235),3),0.25),ROUND((E242*24*$N$235)*4,0)/4))</f>
        <v/>
      </c>
      <c r="G242" s="30"/>
      <c r="H242" s="30"/>
      <c r="K242" s="33" t="str">
        <f aca="false">IF(OR(M242=0,C242=""),"",IF(ISNUMBER(C242),MOD(C242,1),IFERROR(INDEX(القوائم!$B$1:$B$288,MATCH(TRIM(C242),القوائم!$A$1:$A$288,0)),IFERROR(MOD(TIMEVALUE(C242),1),""))))</f>
        <v/>
      </c>
      <c r="L242" s="33" t="str">
        <f aca="false">IF(OR(M242=0,D242=""),"",IF(ISNUMBER(D242),MOD(D242,1),IFERROR(INDEX(القوائم!$B$1:$B$288,MATCH(TRIM(D242),القوائم!$A$1:$A$288,0)),IFERROR(MOD(TIMEVALUE(D242),1),""))))</f>
        <v/>
      </c>
      <c r="M242" s="25" t="n">
        <f aca="false">M235</f>
        <v>0</v>
      </c>
      <c r="Q242" s="25" t="n">
        <f aca="false">IF(N(F246)&gt;0,1,0)</f>
        <v>0</v>
      </c>
      <c r="S242" s="0" t="n">
        <v>20</v>
      </c>
    </row>
    <row r="243" customFormat="false" ht="15" hidden="false" customHeight="false" outlineLevel="0" collapsed="false">
      <c r="A243" s="34" t="n">
        <f aca="false">IF(20&lt;=NW,SAT1+139,"")</f>
        <v>46157</v>
      </c>
      <c r="B243" s="35" t="str">
        <f aca="false">IF(A243="","",CHOOSE(WEEKDAY(A243,1),"الأحد","الاثنين","الثلاثاء","الأربعاء","الخميس","الجمعة","السبت"))</f>
        <v>الجمعة</v>
      </c>
      <c r="C243" s="30"/>
      <c r="D243" s="30"/>
      <c r="E243" s="31" t="str">
        <f aca="false">IF(OR(M243=0,K243="",L243=""),"",MOD(L243-K243,1))</f>
        <v/>
      </c>
      <c r="F243" s="32" t="str">
        <f aca="false">IF(OR(E243="",M243=0),"",IF(ROUND_MODE="للأعلى",CEILING(ROUND((E243*24*$N$235),3),0.25),ROUND((E243*24*$N$235)*4,0)/4))</f>
        <v/>
      </c>
      <c r="G243" s="30"/>
      <c r="H243" s="30"/>
      <c r="K243" s="33" t="str">
        <f aca="false">IF(OR(M243=0,C243=""),"",IF(ISNUMBER(C243),MOD(C243,1),IFERROR(INDEX(القوائم!$B$1:$B$288,MATCH(TRIM(C243),القوائم!$A$1:$A$288,0)),IFERROR(MOD(TIMEVALUE(C243),1),""))))</f>
        <v/>
      </c>
      <c r="L243" s="33" t="str">
        <f aca="false">IF(OR(M243=0,D243=""),"",IF(ISNUMBER(D243),MOD(D243,1),IFERROR(INDEX(القوائم!$B$1:$B$288,MATCH(TRIM(D243),القوائم!$A$1:$A$288,0)),IFERROR(MOD(TIMEVALUE(D243),1),""))))</f>
        <v/>
      </c>
      <c r="M243" s="25" t="n">
        <f aca="false">M235</f>
        <v>0</v>
      </c>
      <c r="Q243" s="25" t="n">
        <f aca="false">IF(N(F246)&gt;0,1,0)</f>
        <v>0</v>
      </c>
      <c r="S243" s="0" t="n">
        <v>20</v>
      </c>
    </row>
    <row r="244" customFormat="false" ht="15" hidden="false" customHeight="false" outlineLevel="0" collapsed="false">
      <c r="A244" s="36" t="str">
        <f aca="false">IF(M235=1,"مجموع أيام الأسبوع 20","")</f>
        <v/>
      </c>
      <c r="B244" s="36"/>
      <c r="C244" s="36"/>
      <c r="D244" s="36"/>
      <c r="E244" s="37" t="str">
        <f aca="false">IF(M235=1,SUM(E237:E243),"")</f>
        <v/>
      </c>
      <c r="F244" s="38" t="str">
        <f aca="false">IF(M235=1,SUM(F237:F243),"")</f>
        <v/>
      </c>
      <c r="G244" s="50" t="str">
        <f aca="false">IF(M235=1,SUMIFS(F237:F243,G237:G243,"نعم"),"")</f>
        <v/>
      </c>
      <c r="H244" s="36"/>
      <c r="S244" s="0" t="n">
        <v>20</v>
      </c>
    </row>
    <row r="245" customFormat="false" ht="31.5" hidden="false" customHeight="true" outlineLevel="0" collapsed="false">
      <c r="A245" s="39" t="str">
        <f aca="false">IF(M235=1,"ساعات تحميل الجبسمبورد بهالأسبوع (رقم: 2 أو 1.5) ←","")</f>
        <v/>
      </c>
      <c r="B245" s="39"/>
      <c r="C245" s="39"/>
      <c r="D245" s="39"/>
      <c r="E245" s="40"/>
      <c r="F245" s="42" t="str">
        <f aca="false">IF(M235=1,N(F244)+IF(ROUND_MODE="للأعلى",CEILING(ROUND((N(E245)*($P$235-$N$235)),3),0.25),ROUND((N(E245)*($P$235-$N$235))*4,0)/4)+N(C246),"")</f>
        <v/>
      </c>
      <c r="G245" s="41" t="str">
        <f aca="false">IF(M235=1,"← المستحق النهائي للأسبوع مع الجبسمبورد والإكرامية","")</f>
        <v/>
      </c>
      <c r="H245" s="41"/>
      <c r="S245" s="0" t="n">
        <v>20</v>
      </c>
    </row>
    <row r="246" customFormat="false" ht="25.5" hidden="false" customHeight="true" outlineLevel="0" collapsed="false">
      <c r="A246" s="39" t="str">
        <f aca="false">IF(M235=1,"إكرامية الأسبوع ←","")</f>
        <v/>
      </c>
      <c r="B246" s="39"/>
      <c r="C246" s="44"/>
      <c r="D246" s="39" t="str">
        <f aca="false">IF(M235=1,"المدفوع (التسوية) ←","")</f>
        <v/>
      </c>
      <c r="E246" s="39"/>
      <c r="F246" s="44"/>
      <c r="G246" s="45" t="str">
        <f aca="false">IF(M235=1,IF(N(F246)&gt;0,"✔ انقبض — الأسبوع مقفول","⏳ لسا ما انقبض"),"")</f>
        <v/>
      </c>
      <c r="H246" s="45"/>
      <c r="S246" s="0" t="n">
        <v>20</v>
      </c>
    </row>
    <row r="247" customFormat="false" ht="27.75" hidden="false" customHeight="true" outlineLevel="0" collapsed="false">
      <c r="A247" s="48" t="str">
        <f aca="false">IF(21&lt;=NW,"من السبت "&amp;TEXT(DAY(SAT1+140),"00")&amp;"/"&amp;TEXT(MONTH(SAT1+140),"00")&amp;"/"&amp;YEAR(SAT1+140)&amp;" إلى الجمعة "&amp;TEXT(DAY(SAT1+146),"00")&amp;"/"&amp;TEXT(MONTH(SAT1+146),"00")&amp;"/"&amp;YEAR(SAT1+146)&amp;" · الأسبوع 21"&amp;"  (يوم القبض: الجمعة)"&amp;IF(21&lt;START_Z,"   — قبل أسبوع البداية (ما بينحسب)",""),"ما في أسبوع 21 هالسنة")</f>
        <v>من السبت 16/05/2026 إلى الجمعة 22/05/2026 · الأسبوع 21  (يوم القبض: الجمعة)   — قبل أسبوع البداية (ما بينحسب)</v>
      </c>
      <c r="B247" s="48"/>
      <c r="C247" s="48"/>
      <c r="D247" s="48"/>
      <c r="E247" s="48"/>
      <c r="F247" s="48"/>
      <c r="G247" s="48"/>
      <c r="H247" s="48"/>
      <c r="L247" s="24" t="n">
        <f aca="false">IF(21&lt;=NW,SAT1+146,"")</f>
        <v>46164</v>
      </c>
      <c r="M247" s="25" t="n">
        <f aca="false">IF(AND(21&lt;=NW,21&gt;=START_Z),1,0)</f>
        <v>0</v>
      </c>
      <c r="N247" s="26" t="n">
        <f aca="false">IFERROR(INDEX(RT_AZZ,MATCH(L247,RT_K,1)),INDEX(RT_AZZ,1))</f>
        <v>1</v>
      </c>
      <c r="P247" s="26" t="n">
        <f aca="false">IFERROR(INDEX(RT_GYP,MATCH(L247,RT_K,1)),INDEX(RT_GYP,1))</f>
        <v>2.5</v>
      </c>
      <c r="R247" s="0" t="n">
        <v>21</v>
      </c>
      <c r="S247" s="0" t="n">
        <v>21</v>
      </c>
    </row>
    <row r="248" customFormat="false" ht="25.5" hidden="false" customHeight="true" outlineLevel="0" collapsed="false">
      <c r="A248" s="49" t="s">
        <v>22</v>
      </c>
      <c r="B248" s="49" t="s">
        <v>23</v>
      </c>
      <c r="C248" s="49" t="s">
        <v>24</v>
      </c>
      <c r="D248" s="49" t="s">
        <v>25</v>
      </c>
      <c r="E248" s="49" t="s">
        <v>26</v>
      </c>
      <c r="F248" s="49" t="s">
        <v>33</v>
      </c>
      <c r="G248" s="49" t="s">
        <v>34</v>
      </c>
      <c r="H248" s="49" t="s">
        <v>30</v>
      </c>
      <c r="S248" s="0" t="n">
        <v>21</v>
      </c>
    </row>
    <row r="249" customFormat="false" ht="15" hidden="false" customHeight="false" outlineLevel="0" collapsed="false">
      <c r="A249" s="28" t="n">
        <f aca="false">IF(21&lt;=NW,SAT1+140,"")</f>
        <v>46158</v>
      </c>
      <c r="B249" s="29" t="str">
        <f aca="false">IF(A249="","",CHOOSE(WEEKDAY(A249,1),"الأحد","الاثنين","الثلاثاء","الأربعاء","الخميس","الجمعة","السبت"))</f>
        <v>السبت</v>
      </c>
      <c r="C249" s="30"/>
      <c r="D249" s="30"/>
      <c r="E249" s="31" t="str">
        <f aca="false">IF(OR(M249=0,K249="",L249=""),"",MOD(L249-K249,1))</f>
        <v/>
      </c>
      <c r="F249" s="32" t="str">
        <f aca="false">IF(OR(E249="",M249=0),"",IF(ROUND_MODE="للأعلى",CEILING(ROUND((E249*24*$N$247),3),0.25),ROUND((E249*24*$N$247)*4,0)/4))</f>
        <v/>
      </c>
      <c r="G249" s="30"/>
      <c r="H249" s="30"/>
      <c r="K249" s="33" t="str">
        <f aca="false">IF(OR(M249=0,C249=""),"",IF(ISNUMBER(C249),MOD(C249,1),IFERROR(INDEX(القوائم!$B$1:$B$288,MATCH(TRIM(C249),القوائم!$A$1:$A$288,0)),IFERROR(MOD(TIMEVALUE(C249),1),""))))</f>
        <v/>
      </c>
      <c r="L249" s="33" t="str">
        <f aca="false">IF(OR(M249=0,D249=""),"",IF(ISNUMBER(D249),MOD(D249,1),IFERROR(INDEX(القوائم!$B$1:$B$288,MATCH(TRIM(D249),القوائم!$A$1:$A$288,0)),IFERROR(MOD(TIMEVALUE(D249),1),""))))</f>
        <v/>
      </c>
      <c r="M249" s="25" t="n">
        <f aca="false">M247</f>
        <v>0</v>
      </c>
      <c r="Q249" s="25" t="n">
        <f aca="false">IF(N(F258)&gt;0,1,0)</f>
        <v>0</v>
      </c>
      <c r="S249" s="0" t="n">
        <v>21</v>
      </c>
    </row>
    <row r="250" customFormat="false" ht="15" hidden="false" customHeight="false" outlineLevel="0" collapsed="false">
      <c r="A250" s="28" t="n">
        <f aca="false">IF(21&lt;=NW,SAT1+141,"")</f>
        <v>46159</v>
      </c>
      <c r="B250" s="29" t="str">
        <f aca="false">IF(A250="","",CHOOSE(WEEKDAY(A250,1),"الأحد","الاثنين","الثلاثاء","الأربعاء","الخميس","الجمعة","السبت"))</f>
        <v>الأحد</v>
      </c>
      <c r="C250" s="30"/>
      <c r="D250" s="30"/>
      <c r="E250" s="31" t="str">
        <f aca="false">IF(OR(M250=0,K250="",L250=""),"",MOD(L250-K250,1))</f>
        <v/>
      </c>
      <c r="F250" s="32" t="str">
        <f aca="false">IF(OR(E250="",M250=0),"",IF(ROUND_MODE="للأعلى",CEILING(ROUND((E250*24*$N$247),3),0.25),ROUND((E250*24*$N$247)*4,0)/4))</f>
        <v/>
      </c>
      <c r="G250" s="30"/>
      <c r="H250" s="30"/>
      <c r="K250" s="33" t="str">
        <f aca="false">IF(OR(M250=0,C250=""),"",IF(ISNUMBER(C250),MOD(C250,1),IFERROR(INDEX(القوائم!$B$1:$B$288,MATCH(TRIM(C250),القوائم!$A$1:$A$288,0)),IFERROR(MOD(TIMEVALUE(C250),1),""))))</f>
        <v/>
      </c>
      <c r="L250" s="33" t="str">
        <f aca="false">IF(OR(M250=0,D250=""),"",IF(ISNUMBER(D250),MOD(D250,1),IFERROR(INDEX(القوائم!$B$1:$B$288,MATCH(TRIM(D250),القوائم!$A$1:$A$288,0)),IFERROR(MOD(TIMEVALUE(D250),1),""))))</f>
        <v/>
      </c>
      <c r="M250" s="25" t="n">
        <f aca="false">M247</f>
        <v>0</v>
      </c>
      <c r="Q250" s="25" t="n">
        <f aca="false">IF(N(F258)&gt;0,1,0)</f>
        <v>0</v>
      </c>
      <c r="S250" s="0" t="n">
        <v>21</v>
      </c>
    </row>
    <row r="251" customFormat="false" ht="15" hidden="false" customHeight="false" outlineLevel="0" collapsed="false">
      <c r="A251" s="28" t="n">
        <f aca="false">IF(21&lt;=NW,SAT1+142,"")</f>
        <v>46160</v>
      </c>
      <c r="B251" s="29" t="str">
        <f aca="false">IF(A251="","",CHOOSE(WEEKDAY(A251,1),"الأحد","الاثنين","الثلاثاء","الأربعاء","الخميس","الجمعة","السبت"))</f>
        <v>الاثنين</v>
      </c>
      <c r="C251" s="30"/>
      <c r="D251" s="30"/>
      <c r="E251" s="31" t="str">
        <f aca="false">IF(OR(M251=0,K251="",L251=""),"",MOD(L251-K251,1))</f>
        <v/>
      </c>
      <c r="F251" s="32" t="str">
        <f aca="false">IF(OR(E251="",M251=0),"",IF(ROUND_MODE="للأعلى",CEILING(ROUND((E251*24*$N$247),3),0.25),ROUND((E251*24*$N$247)*4,0)/4))</f>
        <v/>
      </c>
      <c r="G251" s="30"/>
      <c r="H251" s="30"/>
      <c r="K251" s="33" t="str">
        <f aca="false">IF(OR(M251=0,C251=""),"",IF(ISNUMBER(C251),MOD(C251,1),IFERROR(INDEX(القوائم!$B$1:$B$288,MATCH(TRIM(C251),القوائم!$A$1:$A$288,0)),IFERROR(MOD(TIMEVALUE(C251),1),""))))</f>
        <v/>
      </c>
      <c r="L251" s="33" t="str">
        <f aca="false">IF(OR(M251=0,D251=""),"",IF(ISNUMBER(D251),MOD(D251,1),IFERROR(INDEX(القوائم!$B$1:$B$288,MATCH(TRIM(D251),القوائم!$A$1:$A$288,0)),IFERROR(MOD(TIMEVALUE(D251),1),""))))</f>
        <v/>
      </c>
      <c r="M251" s="25" t="n">
        <f aca="false">M247</f>
        <v>0</v>
      </c>
      <c r="Q251" s="25" t="n">
        <f aca="false">IF(N(F258)&gt;0,1,0)</f>
        <v>0</v>
      </c>
      <c r="S251" s="0" t="n">
        <v>21</v>
      </c>
    </row>
    <row r="252" customFormat="false" ht="15" hidden="false" customHeight="false" outlineLevel="0" collapsed="false">
      <c r="A252" s="28" t="n">
        <f aca="false">IF(21&lt;=NW,SAT1+143,"")</f>
        <v>46161</v>
      </c>
      <c r="B252" s="29" t="str">
        <f aca="false">IF(A252="","",CHOOSE(WEEKDAY(A252,1),"الأحد","الاثنين","الثلاثاء","الأربعاء","الخميس","الجمعة","السبت"))</f>
        <v>الثلاثاء</v>
      </c>
      <c r="C252" s="30"/>
      <c r="D252" s="30"/>
      <c r="E252" s="31" t="str">
        <f aca="false">IF(OR(M252=0,K252="",L252=""),"",MOD(L252-K252,1))</f>
        <v/>
      </c>
      <c r="F252" s="32" t="str">
        <f aca="false">IF(OR(E252="",M252=0),"",IF(ROUND_MODE="للأعلى",CEILING(ROUND((E252*24*$N$247),3),0.25),ROUND((E252*24*$N$247)*4,0)/4))</f>
        <v/>
      </c>
      <c r="G252" s="30"/>
      <c r="H252" s="30"/>
      <c r="K252" s="33" t="str">
        <f aca="false">IF(OR(M252=0,C252=""),"",IF(ISNUMBER(C252),MOD(C252,1),IFERROR(INDEX(القوائم!$B$1:$B$288,MATCH(TRIM(C252),القوائم!$A$1:$A$288,0)),IFERROR(MOD(TIMEVALUE(C252),1),""))))</f>
        <v/>
      </c>
      <c r="L252" s="33" t="str">
        <f aca="false">IF(OR(M252=0,D252=""),"",IF(ISNUMBER(D252),MOD(D252,1),IFERROR(INDEX(القوائم!$B$1:$B$288,MATCH(TRIM(D252),القوائم!$A$1:$A$288,0)),IFERROR(MOD(TIMEVALUE(D252),1),""))))</f>
        <v/>
      </c>
      <c r="M252" s="25" t="n">
        <f aca="false">M247</f>
        <v>0</v>
      </c>
      <c r="Q252" s="25" t="n">
        <f aca="false">IF(N(F258)&gt;0,1,0)</f>
        <v>0</v>
      </c>
      <c r="S252" s="0" t="n">
        <v>21</v>
      </c>
    </row>
    <row r="253" customFormat="false" ht="15" hidden="false" customHeight="false" outlineLevel="0" collapsed="false">
      <c r="A253" s="28" t="n">
        <f aca="false">IF(21&lt;=NW,SAT1+144,"")</f>
        <v>46162</v>
      </c>
      <c r="B253" s="29" t="str">
        <f aca="false">IF(A253="","",CHOOSE(WEEKDAY(A253,1),"الأحد","الاثنين","الثلاثاء","الأربعاء","الخميس","الجمعة","السبت"))</f>
        <v>الأربعاء</v>
      </c>
      <c r="C253" s="30"/>
      <c r="D253" s="30"/>
      <c r="E253" s="31" t="str">
        <f aca="false">IF(OR(M253=0,K253="",L253=""),"",MOD(L253-K253,1))</f>
        <v/>
      </c>
      <c r="F253" s="32" t="str">
        <f aca="false">IF(OR(E253="",M253=0),"",IF(ROUND_MODE="للأعلى",CEILING(ROUND((E253*24*$N$247),3),0.25),ROUND((E253*24*$N$247)*4,0)/4))</f>
        <v/>
      </c>
      <c r="G253" s="30"/>
      <c r="H253" s="30"/>
      <c r="K253" s="33" t="str">
        <f aca="false">IF(OR(M253=0,C253=""),"",IF(ISNUMBER(C253),MOD(C253,1),IFERROR(INDEX(القوائم!$B$1:$B$288,MATCH(TRIM(C253),القوائم!$A$1:$A$288,0)),IFERROR(MOD(TIMEVALUE(C253),1),""))))</f>
        <v/>
      </c>
      <c r="L253" s="33" t="str">
        <f aca="false">IF(OR(M253=0,D253=""),"",IF(ISNUMBER(D253),MOD(D253,1),IFERROR(INDEX(القوائم!$B$1:$B$288,MATCH(TRIM(D253),القوائم!$A$1:$A$288,0)),IFERROR(MOD(TIMEVALUE(D253),1),""))))</f>
        <v/>
      </c>
      <c r="M253" s="25" t="n">
        <f aca="false">M247</f>
        <v>0</v>
      </c>
      <c r="Q253" s="25" t="n">
        <f aca="false">IF(N(F258)&gt;0,1,0)</f>
        <v>0</v>
      </c>
      <c r="S253" s="0" t="n">
        <v>21</v>
      </c>
    </row>
    <row r="254" customFormat="false" ht="15" hidden="false" customHeight="false" outlineLevel="0" collapsed="false">
      <c r="A254" s="28" t="n">
        <f aca="false">IF(21&lt;=NW,SAT1+145,"")</f>
        <v>46163</v>
      </c>
      <c r="B254" s="29" t="str">
        <f aca="false">IF(A254="","",CHOOSE(WEEKDAY(A254,1),"الأحد","الاثنين","الثلاثاء","الأربعاء","الخميس","الجمعة","السبت"))</f>
        <v>الخميس</v>
      </c>
      <c r="C254" s="30"/>
      <c r="D254" s="30"/>
      <c r="E254" s="31" t="str">
        <f aca="false">IF(OR(M254=0,K254="",L254=""),"",MOD(L254-K254,1))</f>
        <v/>
      </c>
      <c r="F254" s="32" t="str">
        <f aca="false">IF(OR(E254="",M254=0),"",IF(ROUND_MODE="للأعلى",CEILING(ROUND((E254*24*$N$247),3),0.25),ROUND((E254*24*$N$247)*4,0)/4))</f>
        <v/>
      </c>
      <c r="G254" s="30"/>
      <c r="H254" s="30"/>
      <c r="K254" s="33" t="str">
        <f aca="false">IF(OR(M254=0,C254=""),"",IF(ISNUMBER(C254),MOD(C254,1),IFERROR(INDEX(القوائم!$B$1:$B$288,MATCH(TRIM(C254),القوائم!$A$1:$A$288,0)),IFERROR(MOD(TIMEVALUE(C254),1),""))))</f>
        <v/>
      </c>
      <c r="L254" s="33" t="str">
        <f aca="false">IF(OR(M254=0,D254=""),"",IF(ISNUMBER(D254),MOD(D254,1),IFERROR(INDEX(القوائم!$B$1:$B$288,MATCH(TRIM(D254),القوائم!$A$1:$A$288,0)),IFERROR(MOD(TIMEVALUE(D254),1),""))))</f>
        <v/>
      </c>
      <c r="M254" s="25" t="n">
        <f aca="false">M247</f>
        <v>0</v>
      </c>
      <c r="Q254" s="25" t="n">
        <f aca="false">IF(N(F258)&gt;0,1,0)</f>
        <v>0</v>
      </c>
      <c r="S254" s="0" t="n">
        <v>21</v>
      </c>
    </row>
    <row r="255" customFormat="false" ht="15" hidden="false" customHeight="false" outlineLevel="0" collapsed="false">
      <c r="A255" s="34" t="n">
        <f aca="false">IF(21&lt;=NW,SAT1+146,"")</f>
        <v>46164</v>
      </c>
      <c r="B255" s="35" t="str">
        <f aca="false">IF(A255="","",CHOOSE(WEEKDAY(A255,1),"الأحد","الاثنين","الثلاثاء","الأربعاء","الخميس","الجمعة","السبت"))</f>
        <v>الجمعة</v>
      </c>
      <c r="C255" s="30"/>
      <c r="D255" s="30"/>
      <c r="E255" s="31" t="str">
        <f aca="false">IF(OR(M255=0,K255="",L255=""),"",MOD(L255-K255,1))</f>
        <v/>
      </c>
      <c r="F255" s="32" t="str">
        <f aca="false">IF(OR(E255="",M255=0),"",IF(ROUND_MODE="للأعلى",CEILING(ROUND((E255*24*$N$247),3),0.25),ROUND((E255*24*$N$247)*4,0)/4))</f>
        <v/>
      </c>
      <c r="G255" s="30"/>
      <c r="H255" s="30"/>
      <c r="K255" s="33" t="str">
        <f aca="false">IF(OR(M255=0,C255=""),"",IF(ISNUMBER(C255),MOD(C255,1),IFERROR(INDEX(القوائم!$B$1:$B$288,MATCH(TRIM(C255),القوائم!$A$1:$A$288,0)),IFERROR(MOD(TIMEVALUE(C255),1),""))))</f>
        <v/>
      </c>
      <c r="L255" s="33" t="str">
        <f aca="false">IF(OR(M255=0,D255=""),"",IF(ISNUMBER(D255),MOD(D255,1),IFERROR(INDEX(القوائم!$B$1:$B$288,MATCH(TRIM(D255),القوائم!$A$1:$A$288,0)),IFERROR(MOD(TIMEVALUE(D255),1),""))))</f>
        <v/>
      </c>
      <c r="M255" s="25" t="n">
        <f aca="false">M247</f>
        <v>0</v>
      </c>
      <c r="Q255" s="25" t="n">
        <f aca="false">IF(N(F258)&gt;0,1,0)</f>
        <v>0</v>
      </c>
      <c r="S255" s="0" t="n">
        <v>21</v>
      </c>
    </row>
    <row r="256" customFormat="false" ht="15" hidden="false" customHeight="false" outlineLevel="0" collapsed="false">
      <c r="A256" s="36" t="str">
        <f aca="false">IF(M247=1,"مجموع أيام الأسبوع 21","")</f>
        <v/>
      </c>
      <c r="B256" s="36"/>
      <c r="C256" s="36"/>
      <c r="D256" s="36"/>
      <c r="E256" s="37" t="str">
        <f aca="false">IF(M247=1,SUM(E249:E255),"")</f>
        <v/>
      </c>
      <c r="F256" s="38" t="str">
        <f aca="false">IF(M247=1,SUM(F249:F255),"")</f>
        <v/>
      </c>
      <c r="G256" s="50" t="str">
        <f aca="false">IF(M247=1,SUMIFS(F249:F255,G249:G255,"نعم"),"")</f>
        <v/>
      </c>
      <c r="H256" s="36"/>
      <c r="S256" s="0" t="n">
        <v>21</v>
      </c>
    </row>
    <row r="257" customFormat="false" ht="31.5" hidden="false" customHeight="true" outlineLevel="0" collapsed="false">
      <c r="A257" s="39" t="str">
        <f aca="false">IF(M247=1,"ساعات تحميل الجبسمبورد بهالأسبوع (رقم: 2 أو 1.5) ←","")</f>
        <v/>
      </c>
      <c r="B257" s="39"/>
      <c r="C257" s="39"/>
      <c r="D257" s="39"/>
      <c r="E257" s="40"/>
      <c r="F257" s="42" t="str">
        <f aca="false">IF(M247=1,N(F256)+IF(ROUND_MODE="للأعلى",CEILING(ROUND((N(E257)*($P$247-$N$247)),3),0.25),ROUND((N(E257)*($P$247-$N$247))*4,0)/4)+N(C258),"")</f>
        <v/>
      </c>
      <c r="G257" s="41" t="str">
        <f aca="false">IF(M247=1,"← المستحق النهائي للأسبوع مع الجبسمبورد والإكرامية","")</f>
        <v/>
      </c>
      <c r="H257" s="41"/>
      <c r="S257" s="0" t="n">
        <v>21</v>
      </c>
    </row>
    <row r="258" customFormat="false" ht="25.5" hidden="false" customHeight="true" outlineLevel="0" collapsed="false">
      <c r="A258" s="39" t="str">
        <f aca="false">IF(M247=1,"إكرامية الأسبوع ←","")</f>
        <v/>
      </c>
      <c r="B258" s="39"/>
      <c r="C258" s="44"/>
      <c r="D258" s="39" t="str">
        <f aca="false">IF(M247=1,"المدفوع (التسوية) ←","")</f>
        <v/>
      </c>
      <c r="E258" s="39"/>
      <c r="F258" s="44"/>
      <c r="G258" s="45" t="str">
        <f aca="false">IF(M247=1,IF(N(F258)&gt;0,"✔ انقبض — الأسبوع مقفول","⏳ لسا ما انقبض"),"")</f>
        <v/>
      </c>
      <c r="H258" s="45"/>
      <c r="S258" s="0" t="n">
        <v>21</v>
      </c>
    </row>
    <row r="259" customFormat="false" ht="27.75" hidden="false" customHeight="true" outlineLevel="0" collapsed="false">
      <c r="A259" s="48" t="str">
        <f aca="false">IF(22&lt;=NW,"من السبت "&amp;TEXT(DAY(SAT1+147),"00")&amp;"/"&amp;TEXT(MONTH(SAT1+147),"00")&amp;"/"&amp;YEAR(SAT1+147)&amp;" إلى الجمعة "&amp;TEXT(DAY(SAT1+153),"00")&amp;"/"&amp;TEXT(MONTH(SAT1+153),"00")&amp;"/"&amp;YEAR(SAT1+153)&amp;" · الأسبوع 22"&amp;"  (يوم القبض: الجمعة)"&amp;IF(22&lt;START_Z,"   — قبل أسبوع البداية (ما بينحسب)",""),"ما في أسبوع 22 هالسنة")</f>
        <v>من السبت 23/05/2026 إلى الجمعة 29/05/2026 · الأسبوع 22  (يوم القبض: الجمعة)   — قبل أسبوع البداية (ما بينحسب)</v>
      </c>
      <c r="B259" s="48"/>
      <c r="C259" s="48"/>
      <c r="D259" s="48"/>
      <c r="E259" s="48"/>
      <c r="F259" s="48"/>
      <c r="G259" s="48"/>
      <c r="H259" s="48"/>
      <c r="L259" s="24" t="n">
        <f aca="false">IF(22&lt;=NW,SAT1+153,"")</f>
        <v>46171</v>
      </c>
      <c r="M259" s="25" t="n">
        <f aca="false">IF(AND(22&lt;=NW,22&gt;=START_Z),1,0)</f>
        <v>0</v>
      </c>
      <c r="N259" s="26" t="n">
        <f aca="false">IFERROR(INDEX(RT_AZZ,MATCH(L259,RT_K,1)),INDEX(RT_AZZ,1))</f>
        <v>1</v>
      </c>
      <c r="P259" s="26" t="n">
        <f aca="false">IFERROR(INDEX(RT_GYP,MATCH(L259,RT_K,1)),INDEX(RT_GYP,1))</f>
        <v>2.5</v>
      </c>
      <c r="R259" s="0" t="n">
        <v>22</v>
      </c>
      <c r="S259" s="0" t="n">
        <v>22</v>
      </c>
    </row>
    <row r="260" customFormat="false" ht="25.5" hidden="false" customHeight="true" outlineLevel="0" collapsed="false">
      <c r="A260" s="49" t="s">
        <v>22</v>
      </c>
      <c r="B260" s="49" t="s">
        <v>23</v>
      </c>
      <c r="C260" s="49" t="s">
        <v>24</v>
      </c>
      <c r="D260" s="49" t="s">
        <v>25</v>
      </c>
      <c r="E260" s="49" t="s">
        <v>26</v>
      </c>
      <c r="F260" s="49" t="s">
        <v>33</v>
      </c>
      <c r="G260" s="49" t="s">
        <v>34</v>
      </c>
      <c r="H260" s="49" t="s">
        <v>30</v>
      </c>
      <c r="S260" s="0" t="n">
        <v>22</v>
      </c>
    </row>
    <row r="261" customFormat="false" ht="15" hidden="false" customHeight="false" outlineLevel="0" collapsed="false">
      <c r="A261" s="28" t="n">
        <f aca="false">IF(22&lt;=NW,SAT1+147,"")</f>
        <v>46165</v>
      </c>
      <c r="B261" s="29" t="str">
        <f aca="false">IF(A261="","",CHOOSE(WEEKDAY(A261,1),"الأحد","الاثنين","الثلاثاء","الأربعاء","الخميس","الجمعة","السبت"))</f>
        <v>السبت</v>
      </c>
      <c r="C261" s="30"/>
      <c r="D261" s="30"/>
      <c r="E261" s="31" t="str">
        <f aca="false">IF(OR(M261=0,K261="",L261=""),"",MOD(L261-K261,1))</f>
        <v/>
      </c>
      <c r="F261" s="32" t="str">
        <f aca="false">IF(OR(E261="",M261=0),"",IF(ROUND_MODE="للأعلى",CEILING(ROUND((E261*24*$N$259),3),0.25),ROUND((E261*24*$N$259)*4,0)/4))</f>
        <v/>
      </c>
      <c r="G261" s="30"/>
      <c r="H261" s="30"/>
      <c r="K261" s="33" t="str">
        <f aca="false">IF(OR(M261=0,C261=""),"",IF(ISNUMBER(C261),MOD(C261,1),IFERROR(INDEX(القوائم!$B$1:$B$288,MATCH(TRIM(C261),القوائم!$A$1:$A$288,0)),IFERROR(MOD(TIMEVALUE(C261),1),""))))</f>
        <v/>
      </c>
      <c r="L261" s="33" t="str">
        <f aca="false">IF(OR(M261=0,D261=""),"",IF(ISNUMBER(D261),MOD(D261,1),IFERROR(INDEX(القوائم!$B$1:$B$288,MATCH(TRIM(D261),القوائم!$A$1:$A$288,0)),IFERROR(MOD(TIMEVALUE(D261),1),""))))</f>
        <v/>
      </c>
      <c r="M261" s="25" t="n">
        <f aca="false">M259</f>
        <v>0</v>
      </c>
      <c r="Q261" s="25" t="n">
        <f aca="false">IF(N(F270)&gt;0,1,0)</f>
        <v>0</v>
      </c>
      <c r="S261" s="0" t="n">
        <v>22</v>
      </c>
    </row>
    <row r="262" customFormat="false" ht="15" hidden="false" customHeight="false" outlineLevel="0" collapsed="false">
      <c r="A262" s="28" t="n">
        <f aca="false">IF(22&lt;=NW,SAT1+148,"")</f>
        <v>46166</v>
      </c>
      <c r="B262" s="29" t="str">
        <f aca="false">IF(A262="","",CHOOSE(WEEKDAY(A262,1),"الأحد","الاثنين","الثلاثاء","الأربعاء","الخميس","الجمعة","السبت"))</f>
        <v>الأحد</v>
      </c>
      <c r="C262" s="30"/>
      <c r="D262" s="30"/>
      <c r="E262" s="31" t="str">
        <f aca="false">IF(OR(M262=0,K262="",L262=""),"",MOD(L262-K262,1))</f>
        <v/>
      </c>
      <c r="F262" s="32" t="str">
        <f aca="false">IF(OR(E262="",M262=0),"",IF(ROUND_MODE="للأعلى",CEILING(ROUND((E262*24*$N$259),3),0.25),ROUND((E262*24*$N$259)*4,0)/4))</f>
        <v/>
      </c>
      <c r="G262" s="30"/>
      <c r="H262" s="30"/>
      <c r="K262" s="33" t="str">
        <f aca="false">IF(OR(M262=0,C262=""),"",IF(ISNUMBER(C262),MOD(C262,1),IFERROR(INDEX(القوائم!$B$1:$B$288,MATCH(TRIM(C262),القوائم!$A$1:$A$288,0)),IFERROR(MOD(TIMEVALUE(C262),1),""))))</f>
        <v/>
      </c>
      <c r="L262" s="33" t="str">
        <f aca="false">IF(OR(M262=0,D262=""),"",IF(ISNUMBER(D262),MOD(D262,1),IFERROR(INDEX(القوائم!$B$1:$B$288,MATCH(TRIM(D262),القوائم!$A$1:$A$288,0)),IFERROR(MOD(TIMEVALUE(D262),1),""))))</f>
        <v/>
      </c>
      <c r="M262" s="25" t="n">
        <f aca="false">M259</f>
        <v>0</v>
      </c>
      <c r="Q262" s="25" t="n">
        <f aca="false">IF(N(F270)&gt;0,1,0)</f>
        <v>0</v>
      </c>
      <c r="S262" s="0" t="n">
        <v>22</v>
      </c>
    </row>
    <row r="263" customFormat="false" ht="15" hidden="false" customHeight="false" outlineLevel="0" collapsed="false">
      <c r="A263" s="28" t="n">
        <f aca="false">IF(22&lt;=NW,SAT1+149,"")</f>
        <v>46167</v>
      </c>
      <c r="B263" s="29" t="str">
        <f aca="false">IF(A263="","",CHOOSE(WEEKDAY(A263,1),"الأحد","الاثنين","الثلاثاء","الأربعاء","الخميس","الجمعة","السبت"))</f>
        <v>الاثنين</v>
      </c>
      <c r="C263" s="30"/>
      <c r="D263" s="30"/>
      <c r="E263" s="31" t="str">
        <f aca="false">IF(OR(M263=0,K263="",L263=""),"",MOD(L263-K263,1))</f>
        <v/>
      </c>
      <c r="F263" s="32" t="str">
        <f aca="false">IF(OR(E263="",M263=0),"",IF(ROUND_MODE="للأعلى",CEILING(ROUND((E263*24*$N$259),3),0.25),ROUND((E263*24*$N$259)*4,0)/4))</f>
        <v/>
      </c>
      <c r="G263" s="30"/>
      <c r="H263" s="30"/>
      <c r="K263" s="33" t="str">
        <f aca="false">IF(OR(M263=0,C263=""),"",IF(ISNUMBER(C263),MOD(C263,1),IFERROR(INDEX(القوائم!$B$1:$B$288,MATCH(TRIM(C263),القوائم!$A$1:$A$288,0)),IFERROR(MOD(TIMEVALUE(C263),1),""))))</f>
        <v/>
      </c>
      <c r="L263" s="33" t="str">
        <f aca="false">IF(OR(M263=0,D263=""),"",IF(ISNUMBER(D263),MOD(D263,1),IFERROR(INDEX(القوائم!$B$1:$B$288,MATCH(TRIM(D263),القوائم!$A$1:$A$288,0)),IFERROR(MOD(TIMEVALUE(D263),1),""))))</f>
        <v/>
      </c>
      <c r="M263" s="25" t="n">
        <f aca="false">M259</f>
        <v>0</v>
      </c>
      <c r="Q263" s="25" t="n">
        <f aca="false">IF(N(F270)&gt;0,1,0)</f>
        <v>0</v>
      </c>
      <c r="S263" s="0" t="n">
        <v>22</v>
      </c>
    </row>
    <row r="264" customFormat="false" ht="15" hidden="false" customHeight="false" outlineLevel="0" collapsed="false">
      <c r="A264" s="28" t="n">
        <f aca="false">IF(22&lt;=NW,SAT1+150,"")</f>
        <v>46168</v>
      </c>
      <c r="B264" s="29" t="str">
        <f aca="false">IF(A264="","",CHOOSE(WEEKDAY(A264,1),"الأحد","الاثنين","الثلاثاء","الأربعاء","الخميس","الجمعة","السبت"))</f>
        <v>الثلاثاء</v>
      </c>
      <c r="C264" s="30"/>
      <c r="D264" s="30"/>
      <c r="E264" s="31" t="str">
        <f aca="false">IF(OR(M264=0,K264="",L264=""),"",MOD(L264-K264,1))</f>
        <v/>
      </c>
      <c r="F264" s="32" t="str">
        <f aca="false">IF(OR(E264="",M264=0),"",IF(ROUND_MODE="للأعلى",CEILING(ROUND((E264*24*$N$259),3),0.25),ROUND((E264*24*$N$259)*4,0)/4))</f>
        <v/>
      </c>
      <c r="G264" s="30"/>
      <c r="H264" s="30"/>
      <c r="K264" s="33" t="str">
        <f aca="false">IF(OR(M264=0,C264=""),"",IF(ISNUMBER(C264),MOD(C264,1),IFERROR(INDEX(القوائم!$B$1:$B$288,MATCH(TRIM(C264),القوائم!$A$1:$A$288,0)),IFERROR(MOD(TIMEVALUE(C264),1),""))))</f>
        <v/>
      </c>
      <c r="L264" s="33" t="str">
        <f aca="false">IF(OR(M264=0,D264=""),"",IF(ISNUMBER(D264),MOD(D264,1),IFERROR(INDEX(القوائم!$B$1:$B$288,MATCH(TRIM(D264),القوائم!$A$1:$A$288,0)),IFERROR(MOD(TIMEVALUE(D264),1),""))))</f>
        <v/>
      </c>
      <c r="M264" s="25" t="n">
        <f aca="false">M259</f>
        <v>0</v>
      </c>
      <c r="Q264" s="25" t="n">
        <f aca="false">IF(N(F270)&gt;0,1,0)</f>
        <v>0</v>
      </c>
      <c r="S264" s="0" t="n">
        <v>22</v>
      </c>
    </row>
    <row r="265" customFormat="false" ht="15" hidden="false" customHeight="false" outlineLevel="0" collapsed="false">
      <c r="A265" s="28" t="n">
        <f aca="false">IF(22&lt;=NW,SAT1+151,"")</f>
        <v>46169</v>
      </c>
      <c r="B265" s="29" t="str">
        <f aca="false">IF(A265="","",CHOOSE(WEEKDAY(A265,1),"الأحد","الاثنين","الثلاثاء","الأربعاء","الخميس","الجمعة","السبت"))</f>
        <v>الأربعاء</v>
      </c>
      <c r="C265" s="30"/>
      <c r="D265" s="30"/>
      <c r="E265" s="31" t="str">
        <f aca="false">IF(OR(M265=0,K265="",L265=""),"",MOD(L265-K265,1))</f>
        <v/>
      </c>
      <c r="F265" s="32" t="str">
        <f aca="false">IF(OR(E265="",M265=0),"",IF(ROUND_MODE="للأعلى",CEILING(ROUND((E265*24*$N$259),3),0.25),ROUND((E265*24*$N$259)*4,0)/4))</f>
        <v/>
      </c>
      <c r="G265" s="30"/>
      <c r="H265" s="30"/>
      <c r="K265" s="33" t="str">
        <f aca="false">IF(OR(M265=0,C265=""),"",IF(ISNUMBER(C265),MOD(C265,1),IFERROR(INDEX(القوائم!$B$1:$B$288,MATCH(TRIM(C265),القوائم!$A$1:$A$288,0)),IFERROR(MOD(TIMEVALUE(C265),1),""))))</f>
        <v/>
      </c>
      <c r="L265" s="33" t="str">
        <f aca="false">IF(OR(M265=0,D265=""),"",IF(ISNUMBER(D265),MOD(D265,1),IFERROR(INDEX(القوائم!$B$1:$B$288,MATCH(TRIM(D265),القوائم!$A$1:$A$288,0)),IFERROR(MOD(TIMEVALUE(D265),1),""))))</f>
        <v/>
      </c>
      <c r="M265" s="25" t="n">
        <f aca="false">M259</f>
        <v>0</v>
      </c>
      <c r="Q265" s="25" t="n">
        <f aca="false">IF(N(F270)&gt;0,1,0)</f>
        <v>0</v>
      </c>
      <c r="S265" s="0" t="n">
        <v>22</v>
      </c>
    </row>
    <row r="266" customFormat="false" ht="15" hidden="false" customHeight="false" outlineLevel="0" collapsed="false">
      <c r="A266" s="28" t="n">
        <f aca="false">IF(22&lt;=NW,SAT1+152,"")</f>
        <v>46170</v>
      </c>
      <c r="B266" s="29" t="str">
        <f aca="false">IF(A266="","",CHOOSE(WEEKDAY(A266,1),"الأحد","الاثنين","الثلاثاء","الأربعاء","الخميس","الجمعة","السبت"))</f>
        <v>الخميس</v>
      </c>
      <c r="C266" s="30"/>
      <c r="D266" s="30"/>
      <c r="E266" s="31" t="str">
        <f aca="false">IF(OR(M266=0,K266="",L266=""),"",MOD(L266-K266,1))</f>
        <v/>
      </c>
      <c r="F266" s="32" t="str">
        <f aca="false">IF(OR(E266="",M266=0),"",IF(ROUND_MODE="للأعلى",CEILING(ROUND((E266*24*$N$259),3),0.25),ROUND((E266*24*$N$259)*4,0)/4))</f>
        <v/>
      </c>
      <c r="G266" s="30"/>
      <c r="H266" s="30"/>
      <c r="K266" s="33" t="str">
        <f aca="false">IF(OR(M266=0,C266=""),"",IF(ISNUMBER(C266),MOD(C266,1),IFERROR(INDEX(القوائم!$B$1:$B$288,MATCH(TRIM(C266),القوائم!$A$1:$A$288,0)),IFERROR(MOD(TIMEVALUE(C266),1),""))))</f>
        <v/>
      </c>
      <c r="L266" s="33" t="str">
        <f aca="false">IF(OR(M266=0,D266=""),"",IF(ISNUMBER(D266),MOD(D266,1),IFERROR(INDEX(القوائم!$B$1:$B$288,MATCH(TRIM(D266),القوائم!$A$1:$A$288,0)),IFERROR(MOD(TIMEVALUE(D266),1),""))))</f>
        <v/>
      </c>
      <c r="M266" s="25" t="n">
        <f aca="false">M259</f>
        <v>0</v>
      </c>
      <c r="Q266" s="25" t="n">
        <f aca="false">IF(N(F270)&gt;0,1,0)</f>
        <v>0</v>
      </c>
      <c r="S266" s="0" t="n">
        <v>22</v>
      </c>
    </row>
    <row r="267" customFormat="false" ht="15" hidden="false" customHeight="false" outlineLevel="0" collapsed="false">
      <c r="A267" s="34" t="n">
        <f aca="false">IF(22&lt;=NW,SAT1+153,"")</f>
        <v>46171</v>
      </c>
      <c r="B267" s="35" t="str">
        <f aca="false">IF(A267="","",CHOOSE(WEEKDAY(A267,1),"الأحد","الاثنين","الثلاثاء","الأربعاء","الخميس","الجمعة","السبت"))</f>
        <v>الجمعة</v>
      </c>
      <c r="C267" s="30"/>
      <c r="D267" s="30"/>
      <c r="E267" s="31" t="str">
        <f aca="false">IF(OR(M267=0,K267="",L267=""),"",MOD(L267-K267,1))</f>
        <v/>
      </c>
      <c r="F267" s="32" t="str">
        <f aca="false">IF(OR(E267="",M267=0),"",IF(ROUND_MODE="للأعلى",CEILING(ROUND((E267*24*$N$259),3),0.25),ROUND((E267*24*$N$259)*4,0)/4))</f>
        <v/>
      </c>
      <c r="G267" s="30"/>
      <c r="H267" s="30"/>
      <c r="K267" s="33" t="str">
        <f aca="false">IF(OR(M267=0,C267=""),"",IF(ISNUMBER(C267),MOD(C267,1),IFERROR(INDEX(القوائم!$B$1:$B$288,MATCH(TRIM(C267),القوائم!$A$1:$A$288,0)),IFERROR(MOD(TIMEVALUE(C267),1),""))))</f>
        <v/>
      </c>
      <c r="L267" s="33" t="str">
        <f aca="false">IF(OR(M267=0,D267=""),"",IF(ISNUMBER(D267),MOD(D267,1),IFERROR(INDEX(القوائم!$B$1:$B$288,MATCH(TRIM(D267),القوائم!$A$1:$A$288,0)),IFERROR(MOD(TIMEVALUE(D267),1),""))))</f>
        <v/>
      </c>
      <c r="M267" s="25" t="n">
        <f aca="false">M259</f>
        <v>0</v>
      </c>
      <c r="Q267" s="25" t="n">
        <f aca="false">IF(N(F270)&gt;0,1,0)</f>
        <v>0</v>
      </c>
      <c r="S267" s="0" t="n">
        <v>22</v>
      </c>
    </row>
    <row r="268" customFormat="false" ht="15" hidden="false" customHeight="false" outlineLevel="0" collapsed="false">
      <c r="A268" s="36" t="str">
        <f aca="false">IF(M259=1,"مجموع أيام الأسبوع 22","")</f>
        <v/>
      </c>
      <c r="B268" s="36"/>
      <c r="C268" s="36"/>
      <c r="D268" s="36"/>
      <c r="E268" s="37" t="str">
        <f aca="false">IF(M259=1,SUM(E261:E267),"")</f>
        <v/>
      </c>
      <c r="F268" s="38" t="str">
        <f aca="false">IF(M259=1,SUM(F261:F267),"")</f>
        <v/>
      </c>
      <c r="G268" s="50" t="str">
        <f aca="false">IF(M259=1,SUMIFS(F261:F267,G261:G267,"نعم"),"")</f>
        <v/>
      </c>
      <c r="H268" s="36"/>
      <c r="S268" s="0" t="n">
        <v>22</v>
      </c>
    </row>
    <row r="269" customFormat="false" ht="31.5" hidden="false" customHeight="true" outlineLevel="0" collapsed="false">
      <c r="A269" s="39" t="str">
        <f aca="false">IF(M259=1,"ساعات تحميل الجبسمبورد بهالأسبوع (رقم: 2 أو 1.5) ←","")</f>
        <v/>
      </c>
      <c r="B269" s="39"/>
      <c r="C269" s="39"/>
      <c r="D269" s="39"/>
      <c r="E269" s="40"/>
      <c r="F269" s="42" t="str">
        <f aca="false">IF(M259=1,N(F268)+IF(ROUND_MODE="للأعلى",CEILING(ROUND((N(E269)*($P$259-$N$259)),3),0.25),ROUND((N(E269)*($P$259-$N$259))*4,0)/4)+N(C270),"")</f>
        <v/>
      </c>
      <c r="G269" s="41" t="str">
        <f aca="false">IF(M259=1,"← المستحق النهائي للأسبوع مع الجبسمبورد والإكرامية","")</f>
        <v/>
      </c>
      <c r="H269" s="41"/>
      <c r="S269" s="0" t="n">
        <v>22</v>
      </c>
    </row>
    <row r="270" customFormat="false" ht="25.5" hidden="false" customHeight="true" outlineLevel="0" collapsed="false">
      <c r="A270" s="39" t="str">
        <f aca="false">IF(M259=1,"إكرامية الأسبوع ←","")</f>
        <v/>
      </c>
      <c r="B270" s="39"/>
      <c r="C270" s="44"/>
      <c r="D270" s="39" t="str">
        <f aca="false">IF(M259=1,"المدفوع (التسوية) ←","")</f>
        <v/>
      </c>
      <c r="E270" s="39"/>
      <c r="F270" s="44"/>
      <c r="G270" s="45" t="str">
        <f aca="false">IF(M259=1,IF(N(F270)&gt;0,"✔ انقبض — الأسبوع مقفول","⏳ لسا ما انقبض"),"")</f>
        <v/>
      </c>
      <c r="H270" s="45"/>
      <c r="S270" s="0" t="n">
        <v>22</v>
      </c>
    </row>
    <row r="271" customFormat="false" ht="27.75" hidden="false" customHeight="true" outlineLevel="0" collapsed="false">
      <c r="A271" s="48" t="str">
        <f aca="false">IF(23&lt;=NW,"من السبت "&amp;TEXT(DAY(SAT1+154),"00")&amp;"/"&amp;TEXT(MONTH(SAT1+154),"00")&amp;"/"&amp;YEAR(SAT1+154)&amp;" إلى الجمعة "&amp;TEXT(DAY(SAT1+160),"00")&amp;"/"&amp;TEXT(MONTH(SAT1+160),"00")&amp;"/"&amp;YEAR(SAT1+160)&amp;" · الأسبوع 23"&amp;"  (يوم القبض: الجمعة)"&amp;IF(23&lt;START_Z,"   — قبل أسبوع البداية (ما بينحسب)",""),"ما في أسبوع 23 هالسنة")</f>
        <v>من السبت 30/05/2026 إلى الجمعة 05/06/2026 · الأسبوع 23  (يوم القبض: الجمعة)   — قبل أسبوع البداية (ما بينحسب)</v>
      </c>
      <c r="B271" s="48"/>
      <c r="C271" s="48"/>
      <c r="D271" s="48"/>
      <c r="E271" s="48"/>
      <c r="F271" s="48"/>
      <c r="G271" s="48"/>
      <c r="H271" s="48"/>
      <c r="L271" s="24" t="n">
        <f aca="false">IF(23&lt;=NW,SAT1+160,"")</f>
        <v>46178</v>
      </c>
      <c r="M271" s="25" t="n">
        <f aca="false">IF(AND(23&lt;=NW,23&gt;=START_Z),1,0)</f>
        <v>0</v>
      </c>
      <c r="N271" s="26" t="n">
        <f aca="false">IFERROR(INDEX(RT_AZZ,MATCH(L271,RT_K,1)),INDEX(RT_AZZ,1))</f>
        <v>1</v>
      </c>
      <c r="P271" s="26" t="n">
        <f aca="false">IFERROR(INDEX(RT_GYP,MATCH(L271,RT_K,1)),INDEX(RT_GYP,1))</f>
        <v>2.5</v>
      </c>
      <c r="R271" s="0" t="n">
        <v>23</v>
      </c>
      <c r="S271" s="0" t="n">
        <v>23</v>
      </c>
    </row>
    <row r="272" customFormat="false" ht="25.5" hidden="false" customHeight="true" outlineLevel="0" collapsed="false">
      <c r="A272" s="49" t="s">
        <v>22</v>
      </c>
      <c r="B272" s="49" t="s">
        <v>23</v>
      </c>
      <c r="C272" s="49" t="s">
        <v>24</v>
      </c>
      <c r="D272" s="49" t="s">
        <v>25</v>
      </c>
      <c r="E272" s="49" t="s">
        <v>26</v>
      </c>
      <c r="F272" s="49" t="s">
        <v>33</v>
      </c>
      <c r="G272" s="49" t="s">
        <v>34</v>
      </c>
      <c r="H272" s="49" t="s">
        <v>30</v>
      </c>
      <c r="S272" s="0" t="n">
        <v>23</v>
      </c>
    </row>
    <row r="273" customFormat="false" ht="15" hidden="false" customHeight="false" outlineLevel="0" collapsed="false">
      <c r="A273" s="28" t="n">
        <f aca="false">IF(23&lt;=NW,SAT1+154,"")</f>
        <v>46172</v>
      </c>
      <c r="B273" s="29" t="str">
        <f aca="false">IF(A273="","",CHOOSE(WEEKDAY(A273,1),"الأحد","الاثنين","الثلاثاء","الأربعاء","الخميس","الجمعة","السبت"))</f>
        <v>السبت</v>
      </c>
      <c r="C273" s="30"/>
      <c r="D273" s="30"/>
      <c r="E273" s="31" t="str">
        <f aca="false">IF(OR(M273=0,K273="",L273=""),"",MOD(L273-K273,1))</f>
        <v/>
      </c>
      <c r="F273" s="32" t="str">
        <f aca="false">IF(OR(E273="",M273=0),"",IF(ROUND_MODE="للأعلى",CEILING(ROUND((E273*24*$N$271),3),0.25),ROUND((E273*24*$N$271)*4,0)/4))</f>
        <v/>
      </c>
      <c r="G273" s="30"/>
      <c r="H273" s="30"/>
      <c r="K273" s="33" t="str">
        <f aca="false">IF(OR(M273=0,C273=""),"",IF(ISNUMBER(C273),MOD(C273,1),IFERROR(INDEX(القوائم!$B$1:$B$288,MATCH(TRIM(C273),القوائم!$A$1:$A$288,0)),IFERROR(MOD(TIMEVALUE(C273),1),""))))</f>
        <v/>
      </c>
      <c r="L273" s="33" t="str">
        <f aca="false">IF(OR(M273=0,D273=""),"",IF(ISNUMBER(D273),MOD(D273,1),IFERROR(INDEX(القوائم!$B$1:$B$288,MATCH(TRIM(D273),القوائم!$A$1:$A$288,0)),IFERROR(MOD(TIMEVALUE(D273),1),""))))</f>
        <v/>
      </c>
      <c r="M273" s="25" t="n">
        <f aca="false">M271</f>
        <v>0</v>
      </c>
      <c r="Q273" s="25" t="n">
        <f aca="false">IF(N(F282)&gt;0,1,0)</f>
        <v>0</v>
      </c>
      <c r="S273" s="0" t="n">
        <v>23</v>
      </c>
    </row>
    <row r="274" customFormat="false" ht="15" hidden="false" customHeight="false" outlineLevel="0" collapsed="false">
      <c r="A274" s="28" t="n">
        <f aca="false">IF(23&lt;=NW,SAT1+155,"")</f>
        <v>46173</v>
      </c>
      <c r="B274" s="29" t="str">
        <f aca="false">IF(A274="","",CHOOSE(WEEKDAY(A274,1),"الأحد","الاثنين","الثلاثاء","الأربعاء","الخميس","الجمعة","السبت"))</f>
        <v>الأحد</v>
      </c>
      <c r="C274" s="30"/>
      <c r="D274" s="30"/>
      <c r="E274" s="31" t="str">
        <f aca="false">IF(OR(M274=0,K274="",L274=""),"",MOD(L274-K274,1))</f>
        <v/>
      </c>
      <c r="F274" s="32" t="str">
        <f aca="false">IF(OR(E274="",M274=0),"",IF(ROUND_MODE="للأعلى",CEILING(ROUND((E274*24*$N$271),3),0.25),ROUND((E274*24*$N$271)*4,0)/4))</f>
        <v/>
      </c>
      <c r="G274" s="30"/>
      <c r="H274" s="30"/>
      <c r="K274" s="33" t="str">
        <f aca="false">IF(OR(M274=0,C274=""),"",IF(ISNUMBER(C274),MOD(C274,1),IFERROR(INDEX(القوائم!$B$1:$B$288,MATCH(TRIM(C274),القوائم!$A$1:$A$288,0)),IFERROR(MOD(TIMEVALUE(C274),1),""))))</f>
        <v/>
      </c>
      <c r="L274" s="33" t="str">
        <f aca="false">IF(OR(M274=0,D274=""),"",IF(ISNUMBER(D274),MOD(D274,1),IFERROR(INDEX(القوائم!$B$1:$B$288,MATCH(TRIM(D274),القوائم!$A$1:$A$288,0)),IFERROR(MOD(TIMEVALUE(D274),1),""))))</f>
        <v/>
      </c>
      <c r="M274" s="25" t="n">
        <f aca="false">M271</f>
        <v>0</v>
      </c>
      <c r="Q274" s="25" t="n">
        <f aca="false">IF(N(F282)&gt;0,1,0)</f>
        <v>0</v>
      </c>
      <c r="S274" s="0" t="n">
        <v>23</v>
      </c>
    </row>
    <row r="275" customFormat="false" ht="15" hidden="false" customHeight="false" outlineLevel="0" collapsed="false">
      <c r="A275" s="28" t="n">
        <f aca="false">IF(23&lt;=NW,SAT1+156,"")</f>
        <v>46174</v>
      </c>
      <c r="B275" s="29" t="str">
        <f aca="false">IF(A275="","",CHOOSE(WEEKDAY(A275,1),"الأحد","الاثنين","الثلاثاء","الأربعاء","الخميس","الجمعة","السبت"))</f>
        <v>الاثنين</v>
      </c>
      <c r="C275" s="30"/>
      <c r="D275" s="30"/>
      <c r="E275" s="31" t="str">
        <f aca="false">IF(OR(M275=0,K275="",L275=""),"",MOD(L275-K275,1))</f>
        <v/>
      </c>
      <c r="F275" s="32" t="str">
        <f aca="false">IF(OR(E275="",M275=0),"",IF(ROUND_MODE="للأعلى",CEILING(ROUND((E275*24*$N$271),3),0.25),ROUND((E275*24*$N$271)*4,0)/4))</f>
        <v/>
      </c>
      <c r="G275" s="30"/>
      <c r="H275" s="30"/>
      <c r="K275" s="33" t="str">
        <f aca="false">IF(OR(M275=0,C275=""),"",IF(ISNUMBER(C275),MOD(C275,1),IFERROR(INDEX(القوائم!$B$1:$B$288,MATCH(TRIM(C275),القوائم!$A$1:$A$288,0)),IFERROR(MOD(TIMEVALUE(C275),1),""))))</f>
        <v/>
      </c>
      <c r="L275" s="33" t="str">
        <f aca="false">IF(OR(M275=0,D275=""),"",IF(ISNUMBER(D275),MOD(D275,1),IFERROR(INDEX(القوائم!$B$1:$B$288,MATCH(TRIM(D275),القوائم!$A$1:$A$288,0)),IFERROR(MOD(TIMEVALUE(D275),1),""))))</f>
        <v/>
      </c>
      <c r="M275" s="25" t="n">
        <f aca="false">M271</f>
        <v>0</v>
      </c>
      <c r="Q275" s="25" t="n">
        <f aca="false">IF(N(F282)&gt;0,1,0)</f>
        <v>0</v>
      </c>
      <c r="S275" s="0" t="n">
        <v>23</v>
      </c>
    </row>
    <row r="276" customFormat="false" ht="15" hidden="false" customHeight="false" outlineLevel="0" collapsed="false">
      <c r="A276" s="28" t="n">
        <f aca="false">IF(23&lt;=NW,SAT1+157,"")</f>
        <v>46175</v>
      </c>
      <c r="B276" s="29" t="str">
        <f aca="false">IF(A276="","",CHOOSE(WEEKDAY(A276,1),"الأحد","الاثنين","الثلاثاء","الأربعاء","الخميس","الجمعة","السبت"))</f>
        <v>الثلاثاء</v>
      </c>
      <c r="C276" s="30"/>
      <c r="D276" s="30"/>
      <c r="E276" s="31" t="str">
        <f aca="false">IF(OR(M276=0,K276="",L276=""),"",MOD(L276-K276,1))</f>
        <v/>
      </c>
      <c r="F276" s="32" t="str">
        <f aca="false">IF(OR(E276="",M276=0),"",IF(ROUND_MODE="للأعلى",CEILING(ROUND((E276*24*$N$271),3),0.25),ROUND((E276*24*$N$271)*4,0)/4))</f>
        <v/>
      </c>
      <c r="G276" s="30"/>
      <c r="H276" s="30"/>
      <c r="K276" s="33" t="str">
        <f aca="false">IF(OR(M276=0,C276=""),"",IF(ISNUMBER(C276),MOD(C276,1),IFERROR(INDEX(القوائم!$B$1:$B$288,MATCH(TRIM(C276),القوائم!$A$1:$A$288,0)),IFERROR(MOD(TIMEVALUE(C276),1),""))))</f>
        <v/>
      </c>
      <c r="L276" s="33" t="str">
        <f aca="false">IF(OR(M276=0,D276=""),"",IF(ISNUMBER(D276),MOD(D276,1),IFERROR(INDEX(القوائم!$B$1:$B$288,MATCH(TRIM(D276),القوائم!$A$1:$A$288,0)),IFERROR(MOD(TIMEVALUE(D276),1),""))))</f>
        <v/>
      </c>
      <c r="M276" s="25" t="n">
        <f aca="false">M271</f>
        <v>0</v>
      </c>
      <c r="Q276" s="25" t="n">
        <f aca="false">IF(N(F282)&gt;0,1,0)</f>
        <v>0</v>
      </c>
      <c r="S276" s="0" t="n">
        <v>23</v>
      </c>
    </row>
    <row r="277" customFormat="false" ht="15" hidden="false" customHeight="false" outlineLevel="0" collapsed="false">
      <c r="A277" s="28" t="n">
        <f aca="false">IF(23&lt;=NW,SAT1+158,"")</f>
        <v>46176</v>
      </c>
      <c r="B277" s="29" t="str">
        <f aca="false">IF(A277="","",CHOOSE(WEEKDAY(A277,1),"الأحد","الاثنين","الثلاثاء","الأربعاء","الخميس","الجمعة","السبت"))</f>
        <v>الأربعاء</v>
      </c>
      <c r="C277" s="30"/>
      <c r="D277" s="30"/>
      <c r="E277" s="31" t="str">
        <f aca="false">IF(OR(M277=0,K277="",L277=""),"",MOD(L277-K277,1))</f>
        <v/>
      </c>
      <c r="F277" s="32" t="str">
        <f aca="false">IF(OR(E277="",M277=0),"",IF(ROUND_MODE="للأعلى",CEILING(ROUND((E277*24*$N$271),3),0.25),ROUND((E277*24*$N$271)*4,0)/4))</f>
        <v/>
      </c>
      <c r="G277" s="30"/>
      <c r="H277" s="30"/>
      <c r="K277" s="33" t="str">
        <f aca="false">IF(OR(M277=0,C277=""),"",IF(ISNUMBER(C277),MOD(C277,1),IFERROR(INDEX(القوائم!$B$1:$B$288,MATCH(TRIM(C277),القوائم!$A$1:$A$288,0)),IFERROR(MOD(TIMEVALUE(C277),1),""))))</f>
        <v/>
      </c>
      <c r="L277" s="33" t="str">
        <f aca="false">IF(OR(M277=0,D277=""),"",IF(ISNUMBER(D277),MOD(D277,1),IFERROR(INDEX(القوائم!$B$1:$B$288,MATCH(TRIM(D277),القوائم!$A$1:$A$288,0)),IFERROR(MOD(TIMEVALUE(D277),1),""))))</f>
        <v/>
      </c>
      <c r="M277" s="25" t="n">
        <f aca="false">M271</f>
        <v>0</v>
      </c>
      <c r="Q277" s="25" t="n">
        <f aca="false">IF(N(F282)&gt;0,1,0)</f>
        <v>0</v>
      </c>
      <c r="S277" s="0" t="n">
        <v>23</v>
      </c>
    </row>
    <row r="278" customFormat="false" ht="15" hidden="false" customHeight="false" outlineLevel="0" collapsed="false">
      <c r="A278" s="28" t="n">
        <f aca="false">IF(23&lt;=NW,SAT1+159,"")</f>
        <v>46177</v>
      </c>
      <c r="B278" s="29" t="str">
        <f aca="false">IF(A278="","",CHOOSE(WEEKDAY(A278,1),"الأحد","الاثنين","الثلاثاء","الأربعاء","الخميس","الجمعة","السبت"))</f>
        <v>الخميس</v>
      </c>
      <c r="C278" s="30"/>
      <c r="D278" s="30"/>
      <c r="E278" s="31" t="str">
        <f aca="false">IF(OR(M278=0,K278="",L278=""),"",MOD(L278-K278,1))</f>
        <v/>
      </c>
      <c r="F278" s="32" t="str">
        <f aca="false">IF(OR(E278="",M278=0),"",IF(ROUND_MODE="للأعلى",CEILING(ROUND((E278*24*$N$271),3),0.25),ROUND((E278*24*$N$271)*4,0)/4))</f>
        <v/>
      </c>
      <c r="G278" s="30"/>
      <c r="H278" s="30"/>
      <c r="K278" s="33" t="str">
        <f aca="false">IF(OR(M278=0,C278=""),"",IF(ISNUMBER(C278),MOD(C278,1),IFERROR(INDEX(القوائم!$B$1:$B$288,MATCH(TRIM(C278),القوائم!$A$1:$A$288,0)),IFERROR(MOD(TIMEVALUE(C278),1),""))))</f>
        <v/>
      </c>
      <c r="L278" s="33" t="str">
        <f aca="false">IF(OR(M278=0,D278=""),"",IF(ISNUMBER(D278),MOD(D278,1),IFERROR(INDEX(القوائم!$B$1:$B$288,MATCH(TRIM(D278),القوائم!$A$1:$A$288,0)),IFERROR(MOD(TIMEVALUE(D278),1),""))))</f>
        <v/>
      </c>
      <c r="M278" s="25" t="n">
        <f aca="false">M271</f>
        <v>0</v>
      </c>
      <c r="Q278" s="25" t="n">
        <f aca="false">IF(N(F282)&gt;0,1,0)</f>
        <v>0</v>
      </c>
      <c r="S278" s="0" t="n">
        <v>23</v>
      </c>
    </row>
    <row r="279" customFormat="false" ht="15" hidden="false" customHeight="false" outlineLevel="0" collapsed="false">
      <c r="A279" s="34" t="n">
        <f aca="false">IF(23&lt;=NW,SAT1+160,"")</f>
        <v>46178</v>
      </c>
      <c r="B279" s="35" t="str">
        <f aca="false">IF(A279="","",CHOOSE(WEEKDAY(A279,1),"الأحد","الاثنين","الثلاثاء","الأربعاء","الخميس","الجمعة","السبت"))</f>
        <v>الجمعة</v>
      </c>
      <c r="C279" s="30"/>
      <c r="D279" s="30"/>
      <c r="E279" s="31" t="str">
        <f aca="false">IF(OR(M279=0,K279="",L279=""),"",MOD(L279-K279,1))</f>
        <v/>
      </c>
      <c r="F279" s="32" t="str">
        <f aca="false">IF(OR(E279="",M279=0),"",IF(ROUND_MODE="للأعلى",CEILING(ROUND((E279*24*$N$271),3),0.25),ROUND((E279*24*$N$271)*4,0)/4))</f>
        <v/>
      </c>
      <c r="G279" s="30"/>
      <c r="H279" s="30"/>
      <c r="K279" s="33" t="str">
        <f aca="false">IF(OR(M279=0,C279=""),"",IF(ISNUMBER(C279),MOD(C279,1),IFERROR(INDEX(القوائم!$B$1:$B$288,MATCH(TRIM(C279),القوائم!$A$1:$A$288,0)),IFERROR(MOD(TIMEVALUE(C279),1),""))))</f>
        <v/>
      </c>
      <c r="L279" s="33" t="str">
        <f aca="false">IF(OR(M279=0,D279=""),"",IF(ISNUMBER(D279),MOD(D279,1),IFERROR(INDEX(القوائم!$B$1:$B$288,MATCH(TRIM(D279),القوائم!$A$1:$A$288,0)),IFERROR(MOD(TIMEVALUE(D279),1),""))))</f>
        <v/>
      </c>
      <c r="M279" s="25" t="n">
        <f aca="false">M271</f>
        <v>0</v>
      </c>
      <c r="Q279" s="25" t="n">
        <f aca="false">IF(N(F282)&gt;0,1,0)</f>
        <v>0</v>
      </c>
      <c r="S279" s="0" t="n">
        <v>23</v>
      </c>
    </row>
    <row r="280" customFormat="false" ht="15" hidden="false" customHeight="false" outlineLevel="0" collapsed="false">
      <c r="A280" s="36" t="str">
        <f aca="false">IF(M271=1,"مجموع أيام الأسبوع 23","")</f>
        <v/>
      </c>
      <c r="B280" s="36"/>
      <c r="C280" s="36"/>
      <c r="D280" s="36"/>
      <c r="E280" s="37" t="str">
        <f aca="false">IF(M271=1,SUM(E273:E279),"")</f>
        <v/>
      </c>
      <c r="F280" s="38" t="str">
        <f aca="false">IF(M271=1,SUM(F273:F279),"")</f>
        <v/>
      </c>
      <c r="G280" s="50" t="str">
        <f aca="false">IF(M271=1,SUMIFS(F273:F279,G273:G279,"نعم"),"")</f>
        <v/>
      </c>
      <c r="H280" s="36"/>
      <c r="S280" s="0" t="n">
        <v>23</v>
      </c>
    </row>
    <row r="281" customFormat="false" ht="31.5" hidden="false" customHeight="true" outlineLevel="0" collapsed="false">
      <c r="A281" s="39" t="str">
        <f aca="false">IF(M271=1,"ساعات تحميل الجبسمبورد بهالأسبوع (رقم: 2 أو 1.5) ←","")</f>
        <v/>
      </c>
      <c r="B281" s="39"/>
      <c r="C281" s="39"/>
      <c r="D281" s="39"/>
      <c r="E281" s="40"/>
      <c r="F281" s="42" t="str">
        <f aca="false">IF(M271=1,N(F280)+IF(ROUND_MODE="للأعلى",CEILING(ROUND((N(E281)*($P$271-$N$271)),3),0.25),ROUND((N(E281)*($P$271-$N$271))*4,0)/4)+N(C282),"")</f>
        <v/>
      </c>
      <c r="G281" s="41" t="str">
        <f aca="false">IF(M271=1,"← المستحق النهائي للأسبوع مع الجبسمبورد والإكرامية","")</f>
        <v/>
      </c>
      <c r="H281" s="41"/>
      <c r="S281" s="0" t="n">
        <v>23</v>
      </c>
    </row>
    <row r="282" customFormat="false" ht="25.5" hidden="false" customHeight="true" outlineLevel="0" collapsed="false">
      <c r="A282" s="39" t="str">
        <f aca="false">IF(M271=1,"إكرامية الأسبوع ←","")</f>
        <v/>
      </c>
      <c r="B282" s="39"/>
      <c r="C282" s="44"/>
      <c r="D282" s="39" t="str">
        <f aca="false">IF(M271=1,"المدفوع (التسوية) ←","")</f>
        <v/>
      </c>
      <c r="E282" s="39"/>
      <c r="F282" s="44"/>
      <c r="G282" s="45" t="str">
        <f aca="false">IF(M271=1,IF(N(F282)&gt;0,"✔ انقبض — الأسبوع مقفول","⏳ لسا ما انقبض"),"")</f>
        <v/>
      </c>
      <c r="H282" s="45"/>
      <c r="S282" s="0" t="n">
        <v>23</v>
      </c>
    </row>
    <row r="283" customFormat="false" ht="27.75" hidden="false" customHeight="true" outlineLevel="0" collapsed="false">
      <c r="A283" s="48" t="str">
        <f aca="false">IF(24&lt;=NW,"من السبت "&amp;TEXT(DAY(SAT1+161),"00")&amp;"/"&amp;TEXT(MONTH(SAT1+161),"00")&amp;"/"&amp;YEAR(SAT1+161)&amp;" إلى الجمعة "&amp;TEXT(DAY(SAT1+167),"00")&amp;"/"&amp;TEXT(MONTH(SAT1+167),"00")&amp;"/"&amp;YEAR(SAT1+167)&amp;" · الأسبوع 24"&amp;"  (يوم القبض: الجمعة)"&amp;IF(24&lt;START_Z,"   — قبل أسبوع البداية (ما بينحسب)",""),"ما في أسبوع 24 هالسنة")</f>
        <v>من السبت 06/06/2026 إلى الجمعة 12/06/2026 · الأسبوع 24  (يوم القبض: الجمعة)   — قبل أسبوع البداية (ما بينحسب)</v>
      </c>
      <c r="B283" s="48"/>
      <c r="C283" s="48"/>
      <c r="D283" s="48"/>
      <c r="E283" s="48"/>
      <c r="F283" s="48"/>
      <c r="G283" s="48"/>
      <c r="H283" s="48"/>
      <c r="L283" s="24" t="n">
        <f aca="false">IF(24&lt;=NW,SAT1+167,"")</f>
        <v>46185</v>
      </c>
      <c r="M283" s="25" t="n">
        <f aca="false">IF(AND(24&lt;=NW,24&gt;=START_Z),1,0)</f>
        <v>0</v>
      </c>
      <c r="N283" s="26" t="n">
        <f aca="false">IFERROR(INDEX(RT_AZZ,MATCH(L283,RT_K,1)),INDEX(RT_AZZ,1))</f>
        <v>1</v>
      </c>
      <c r="P283" s="26" t="n">
        <f aca="false">IFERROR(INDEX(RT_GYP,MATCH(L283,RT_K,1)),INDEX(RT_GYP,1))</f>
        <v>2.5</v>
      </c>
      <c r="R283" s="0" t="n">
        <v>24</v>
      </c>
      <c r="S283" s="0" t="n">
        <v>24</v>
      </c>
    </row>
    <row r="284" customFormat="false" ht="25.5" hidden="false" customHeight="true" outlineLevel="0" collapsed="false">
      <c r="A284" s="49" t="s">
        <v>22</v>
      </c>
      <c r="B284" s="49" t="s">
        <v>23</v>
      </c>
      <c r="C284" s="49" t="s">
        <v>24</v>
      </c>
      <c r="D284" s="49" t="s">
        <v>25</v>
      </c>
      <c r="E284" s="49" t="s">
        <v>26</v>
      </c>
      <c r="F284" s="49" t="s">
        <v>33</v>
      </c>
      <c r="G284" s="49" t="s">
        <v>34</v>
      </c>
      <c r="H284" s="49" t="s">
        <v>30</v>
      </c>
      <c r="S284" s="0" t="n">
        <v>24</v>
      </c>
    </row>
    <row r="285" customFormat="false" ht="15" hidden="false" customHeight="false" outlineLevel="0" collapsed="false">
      <c r="A285" s="28" t="n">
        <f aca="false">IF(24&lt;=NW,SAT1+161,"")</f>
        <v>46179</v>
      </c>
      <c r="B285" s="29" t="str">
        <f aca="false">IF(A285="","",CHOOSE(WEEKDAY(A285,1),"الأحد","الاثنين","الثلاثاء","الأربعاء","الخميس","الجمعة","السبت"))</f>
        <v>السبت</v>
      </c>
      <c r="C285" s="30"/>
      <c r="D285" s="30"/>
      <c r="E285" s="31" t="str">
        <f aca="false">IF(OR(M285=0,K285="",L285=""),"",MOD(L285-K285,1))</f>
        <v/>
      </c>
      <c r="F285" s="32" t="str">
        <f aca="false">IF(OR(E285="",M285=0),"",IF(ROUND_MODE="للأعلى",CEILING(ROUND((E285*24*$N$283),3),0.25),ROUND((E285*24*$N$283)*4,0)/4))</f>
        <v/>
      </c>
      <c r="G285" s="30"/>
      <c r="H285" s="30"/>
      <c r="K285" s="33" t="str">
        <f aca="false">IF(OR(M285=0,C285=""),"",IF(ISNUMBER(C285),MOD(C285,1),IFERROR(INDEX(القوائم!$B$1:$B$288,MATCH(TRIM(C285),القوائم!$A$1:$A$288,0)),IFERROR(MOD(TIMEVALUE(C285),1),""))))</f>
        <v/>
      </c>
      <c r="L285" s="33" t="str">
        <f aca="false">IF(OR(M285=0,D285=""),"",IF(ISNUMBER(D285),MOD(D285,1),IFERROR(INDEX(القوائم!$B$1:$B$288,MATCH(TRIM(D285),القوائم!$A$1:$A$288,0)),IFERROR(MOD(TIMEVALUE(D285),1),""))))</f>
        <v/>
      </c>
      <c r="M285" s="25" t="n">
        <f aca="false">M283</f>
        <v>0</v>
      </c>
      <c r="Q285" s="25" t="n">
        <f aca="false">IF(N(F294)&gt;0,1,0)</f>
        <v>0</v>
      </c>
      <c r="S285" s="0" t="n">
        <v>24</v>
      </c>
    </row>
    <row r="286" customFormat="false" ht="15" hidden="false" customHeight="false" outlineLevel="0" collapsed="false">
      <c r="A286" s="28" t="n">
        <f aca="false">IF(24&lt;=NW,SAT1+162,"")</f>
        <v>46180</v>
      </c>
      <c r="B286" s="29" t="str">
        <f aca="false">IF(A286="","",CHOOSE(WEEKDAY(A286,1),"الأحد","الاثنين","الثلاثاء","الأربعاء","الخميس","الجمعة","السبت"))</f>
        <v>الأحد</v>
      </c>
      <c r="C286" s="30"/>
      <c r="D286" s="30"/>
      <c r="E286" s="31" t="str">
        <f aca="false">IF(OR(M286=0,K286="",L286=""),"",MOD(L286-K286,1))</f>
        <v/>
      </c>
      <c r="F286" s="32" t="str">
        <f aca="false">IF(OR(E286="",M286=0),"",IF(ROUND_MODE="للأعلى",CEILING(ROUND((E286*24*$N$283),3),0.25),ROUND((E286*24*$N$283)*4,0)/4))</f>
        <v/>
      </c>
      <c r="G286" s="30"/>
      <c r="H286" s="30"/>
      <c r="K286" s="33" t="str">
        <f aca="false">IF(OR(M286=0,C286=""),"",IF(ISNUMBER(C286),MOD(C286,1),IFERROR(INDEX(القوائم!$B$1:$B$288,MATCH(TRIM(C286),القوائم!$A$1:$A$288,0)),IFERROR(MOD(TIMEVALUE(C286),1),""))))</f>
        <v/>
      </c>
      <c r="L286" s="33" t="str">
        <f aca="false">IF(OR(M286=0,D286=""),"",IF(ISNUMBER(D286),MOD(D286,1),IFERROR(INDEX(القوائم!$B$1:$B$288,MATCH(TRIM(D286),القوائم!$A$1:$A$288,0)),IFERROR(MOD(TIMEVALUE(D286),1),""))))</f>
        <v/>
      </c>
      <c r="M286" s="25" t="n">
        <f aca="false">M283</f>
        <v>0</v>
      </c>
      <c r="Q286" s="25" t="n">
        <f aca="false">IF(N(F294)&gt;0,1,0)</f>
        <v>0</v>
      </c>
      <c r="S286" s="0" t="n">
        <v>24</v>
      </c>
    </row>
    <row r="287" customFormat="false" ht="15" hidden="false" customHeight="false" outlineLevel="0" collapsed="false">
      <c r="A287" s="28" t="n">
        <f aca="false">IF(24&lt;=NW,SAT1+163,"")</f>
        <v>46181</v>
      </c>
      <c r="B287" s="29" t="str">
        <f aca="false">IF(A287="","",CHOOSE(WEEKDAY(A287,1),"الأحد","الاثنين","الثلاثاء","الأربعاء","الخميس","الجمعة","السبت"))</f>
        <v>الاثنين</v>
      </c>
      <c r="C287" s="30"/>
      <c r="D287" s="30"/>
      <c r="E287" s="31" t="str">
        <f aca="false">IF(OR(M287=0,K287="",L287=""),"",MOD(L287-K287,1))</f>
        <v/>
      </c>
      <c r="F287" s="32" t="str">
        <f aca="false">IF(OR(E287="",M287=0),"",IF(ROUND_MODE="للأعلى",CEILING(ROUND((E287*24*$N$283),3),0.25),ROUND((E287*24*$N$283)*4,0)/4))</f>
        <v/>
      </c>
      <c r="G287" s="30"/>
      <c r="H287" s="30"/>
      <c r="K287" s="33" t="str">
        <f aca="false">IF(OR(M287=0,C287=""),"",IF(ISNUMBER(C287),MOD(C287,1),IFERROR(INDEX(القوائم!$B$1:$B$288,MATCH(TRIM(C287),القوائم!$A$1:$A$288,0)),IFERROR(MOD(TIMEVALUE(C287),1),""))))</f>
        <v/>
      </c>
      <c r="L287" s="33" t="str">
        <f aca="false">IF(OR(M287=0,D287=""),"",IF(ISNUMBER(D287),MOD(D287,1),IFERROR(INDEX(القوائم!$B$1:$B$288,MATCH(TRIM(D287),القوائم!$A$1:$A$288,0)),IFERROR(MOD(TIMEVALUE(D287),1),""))))</f>
        <v/>
      </c>
      <c r="M287" s="25" t="n">
        <f aca="false">M283</f>
        <v>0</v>
      </c>
      <c r="Q287" s="25" t="n">
        <f aca="false">IF(N(F294)&gt;0,1,0)</f>
        <v>0</v>
      </c>
      <c r="S287" s="0" t="n">
        <v>24</v>
      </c>
    </row>
    <row r="288" customFormat="false" ht="15" hidden="false" customHeight="false" outlineLevel="0" collapsed="false">
      <c r="A288" s="28" t="n">
        <f aca="false">IF(24&lt;=NW,SAT1+164,"")</f>
        <v>46182</v>
      </c>
      <c r="B288" s="29" t="str">
        <f aca="false">IF(A288="","",CHOOSE(WEEKDAY(A288,1),"الأحد","الاثنين","الثلاثاء","الأربعاء","الخميس","الجمعة","السبت"))</f>
        <v>الثلاثاء</v>
      </c>
      <c r="C288" s="30"/>
      <c r="D288" s="30"/>
      <c r="E288" s="31" t="str">
        <f aca="false">IF(OR(M288=0,K288="",L288=""),"",MOD(L288-K288,1))</f>
        <v/>
      </c>
      <c r="F288" s="32" t="str">
        <f aca="false">IF(OR(E288="",M288=0),"",IF(ROUND_MODE="للأعلى",CEILING(ROUND((E288*24*$N$283),3),0.25),ROUND((E288*24*$N$283)*4,0)/4))</f>
        <v/>
      </c>
      <c r="G288" s="30"/>
      <c r="H288" s="30"/>
      <c r="K288" s="33" t="str">
        <f aca="false">IF(OR(M288=0,C288=""),"",IF(ISNUMBER(C288),MOD(C288,1),IFERROR(INDEX(القوائم!$B$1:$B$288,MATCH(TRIM(C288),القوائم!$A$1:$A$288,0)),IFERROR(MOD(TIMEVALUE(C288),1),""))))</f>
        <v/>
      </c>
      <c r="L288" s="33" t="str">
        <f aca="false">IF(OR(M288=0,D288=""),"",IF(ISNUMBER(D288),MOD(D288,1),IFERROR(INDEX(القوائم!$B$1:$B$288,MATCH(TRIM(D288),القوائم!$A$1:$A$288,0)),IFERROR(MOD(TIMEVALUE(D288),1),""))))</f>
        <v/>
      </c>
      <c r="M288" s="25" t="n">
        <f aca="false">M283</f>
        <v>0</v>
      </c>
      <c r="Q288" s="25" t="n">
        <f aca="false">IF(N(F294)&gt;0,1,0)</f>
        <v>0</v>
      </c>
      <c r="S288" s="0" t="n">
        <v>24</v>
      </c>
    </row>
    <row r="289" customFormat="false" ht="15" hidden="false" customHeight="false" outlineLevel="0" collapsed="false">
      <c r="A289" s="28" t="n">
        <f aca="false">IF(24&lt;=NW,SAT1+165,"")</f>
        <v>46183</v>
      </c>
      <c r="B289" s="29" t="str">
        <f aca="false">IF(A289="","",CHOOSE(WEEKDAY(A289,1),"الأحد","الاثنين","الثلاثاء","الأربعاء","الخميس","الجمعة","السبت"))</f>
        <v>الأربعاء</v>
      </c>
      <c r="C289" s="30"/>
      <c r="D289" s="30"/>
      <c r="E289" s="31" t="str">
        <f aca="false">IF(OR(M289=0,K289="",L289=""),"",MOD(L289-K289,1))</f>
        <v/>
      </c>
      <c r="F289" s="32" t="str">
        <f aca="false">IF(OR(E289="",M289=0),"",IF(ROUND_MODE="للأعلى",CEILING(ROUND((E289*24*$N$283),3),0.25),ROUND((E289*24*$N$283)*4,0)/4))</f>
        <v/>
      </c>
      <c r="G289" s="30"/>
      <c r="H289" s="30"/>
      <c r="K289" s="33" t="str">
        <f aca="false">IF(OR(M289=0,C289=""),"",IF(ISNUMBER(C289),MOD(C289,1),IFERROR(INDEX(القوائم!$B$1:$B$288,MATCH(TRIM(C289),القوائم!$A$1:$A$288,0)),IFERROR(MOD(TIMEVALUE(C289),1),""))))</f>
        <v/>
      </c>
      <c r="L289" s="33" t="str">
        <f aca="false">IF(OR(M289=0,D289=""),"",IF(ISNUMBER(D289),MOD(D289,1),IFERROR(INDEX(القوائم!$B$1:$B$288,MATCH(TRIM(D289),القوائم!$A$1:$A$288,0)),IFERROR(MOD(TIMEVALUE(D289),1),""))))</f>
        <v/>
      </c>
      <c r="M289" s="25" t="n">
        <f aca="false">M283</f>
        <v>0</v>
      </c>
      <c r="Q289" s="25" t="n">
        <f aca="false">IF(N(F294)&gt;0,1,0)</f>
        <v>0</v>
      </c>
      <c r="S289" s="0" t="n">
        <v>24</v>
      </c>
    </row>
    <row r="290" customFormat="false" ht="15" hidden="false" customHeight="false" outlineLevel="0" collapsed="false">
      <c r="A290" s="28" t="n">
        <f aca="false">IF(24&lt;=NW,SAT1+166,"")</f>
        <v>46184</v>
      </c>
      <c r="B290" s="29" t="str">
        <f aca="false">IF(A290="","",CHOOSE(WEEKDAY(A290,1),"الأحد","الاثنين","الثلاثاء","الأربعاء","الخميس","الجمعة","السبت"))</f>
        <v>الخميس</v>
      </c>
      <c r="C290" s="30"/>
      <c r="D290" s="30"/>
      <c r="E290" s="31" t="str">
        <f aca="false">IF(OR(M290=0,K290="",L290=""),"",MOD(L290-K290,1))</f>
        <v/>
      </c>
      <c r="F290" s="32" t="str">
        <f aca="false">IF(OR(E290="",M290=0),"",IF(ROUND_MODE="للأعلى",CEILING(ROUND((E290*24*$N$283),3),0.25),ROUND((E290*24*$N$283)*4,0)/4))</f>
        <v/>
      </c>
      <c r="G290" s="30"/>
      <c r="H290" s="30"/>
      <c r="K290" s="33" t="str">
        <f aca="false">IF(OR(M290=0,C290=""),"",IF(ISNUMBER(C290),MOD(C290,1),IFERROR(INDEX(القوائم!$B$1:$B$288,MATCH(TRIM(C290),القوائم!$A$1:$A$288,0)),IFERROR(MOD(TIMEVALUE(C290),1),""))))</f>
        <v/>
      </c>
      <c r="L290" s="33" t="str">
        <f aca="false">IF(OR(M290=0,D290=""),"",IF(ISNUMBER(D290),MOD(D290,1),IFERROR(INDEX(القوائم!$B$1:$B$288,MATCH(TRIM(D290),القوائم!$A$1:$A$288,0)),IFERROR(MOD(TIMEVALUE(D290),1),""))))</f>
        <v/>
      </c>
      <c r="M290" s="25" t="n">
        <f aca="false">M283</f>
        <v>0</v>
      </c>
      <c r="Q290" s="25" t="n">
        <f aca="false">IF(N(F294)&gt;0,1,0)</f>
        <v>0</v>
      </c>
      <c r="S290" s="0" t="n">
        <v>24</v>
      </c>
    </row>
    <row r="291" customFormat="false" ht="15" hidden="false" customHeight="false" outlineLevel="0" collapsed="false">
      <c r="A291" s="34" t="n">
        <f aca="false">IF(24&lt;=NW,SAT1+167,"")</f>
        <v>46185</v>
      </c>
      <c r="B291" s="35" t="str">
        <f aca="false">IF(A291="","",CHOOSE(WEEKDAY(A291,1),"الأحد","الاثنين","الثلاثاء","الأربعاء","الخميس","الجمعة","السبت"))</f>
        <v>الجمعة</v>
      </c>
      <c r="C291" s="30"/>
      <c r="D291" s="30"/>
      <c r="E291" s="31" t="str">
        <f aca="false">IF(OR(M291=0,K291="",L291=""),"",MOD(L291-K291,1))</f>
        <v/>
      </c>
      <c r="F291" s="32" t="str">
        <f aca="false">IF(OR(E291="",M291=0),"",IF(ROUND_MODE="للأعلى",CEILING(ROUND((E291*24*$N$283),3),0.25),ROUND((E291*24*$N$283)*4,0)/4))</f>
        <v/>
      </c>
      <c r="G291" s="30"/>
      <c r="H291" s="30"/>
      <c r="K291" s="33" t="str">
        <f aca="false">IF(OR(M291=0,C291=""),"",IF(ISNUMBER(C291),MOD(C291,1),IFERROR(INDEX(القوائم!$B$1:$B$288,MATCH(TRIM(C291),القوائم!$A$1:$A$288,0)),IFERROR(MOD(TIMEVALUE(C291),1),""))))</f>
        <v/>
      </c>
      <c r="L291" s="33" t="str">
        <f aca="false">IF(OR(M291=0,D291=""),"",IF(ISNUMBER(D291),MOD(D291,1),IFERROR(INDEX(القوائم!$B$1:$B$288,MATCH(TRIM(D291),القوائم!$A$1:$A$288,0)),IFERROR(MOD(TIMEVALUE(D291),1),""))))</f>
        <v/>
      </c>
      <c r="M291" s="25" t="n">
        <f aca="false">M283</f>
        <v>0</v>
      </c>
      <c r="Q291" s="25" t="n">
        <f aca="false">IF(N(F294)&gt;0,1,0)</f>
        <v>0</v>
      </c>
      <c r="S291" s="0" t="n">
        <v>24</v>
      </c>
    </row>
    <row r="292" customFormat="false" ht="15" hidden="false" customHeight="false" outlineLevel="0" collapsed="false">
      <c r="A292" s="36" t="str">
        <f aca="false">IF(M283=1,"مجموع أيام الأسبوع 24","")</f>
        <v/>
      </c>
      <c r="B292" s="36"/>
      <c r="C292" s="36"/>
      <c r="D292" s="36"/>
      <c r="E292" s="37" t="str">
        <f aca="false">IF(M283=1,SUM(E285:E291),"")</f>
        <v/>
      </c>
      <c r="F292" s="38" t="str">
        <f aca="false">IF(M283=1,SUM(F285:F291),"")</f>
        <v/>
      </c>
      <c r="G292" s="50" t="str">
        <f aca="false">IF(M283=1,SUMIFS(F285:F291,G285:G291,"نعم"),"")</f>
        <v/>
      </c>
      <c r="H292" s="36"/>
      <c r="S292" s="0" t="n">
        <v>24</v>
      </c>
    </row>
    <row r="293" customFormat="false" ht="31.5" hidden="false" customHeight="true" outlineLevel="0" collapsed="false">
      <c r="A293" s="39" t="str">
        <f aca="false">IF(M283=1,"ساعات تحميل الجبسمبورد بهالأسبوع (رقم: 2 أو 1.5) ←","")</f>
        <v/>
      </c>
      <c r="B293" s="39"/>
      <c r="C293" s="39"/>
      <c r="D293" s="39"/>
      <c r="E293" s="40"/>
      <c r="F293" s="42" t="str">
        <f aca="false">IF(M283=1,N(F292)+IF(ROUND_MODE="للأعلى",CEILING(ROUND((N(E293)*($P$283-$N$283)),3),0.25),ROUND((N(E293)*($P$283-$N$283))*4,0)/4)+N(C294),"")</f>
        <v/>
      </c>
      <c r="G293" s="41" t="str">
        <f aca="false">IF(M283=1,"← المستحق النهائي للأسبوع مع الجبسمبورد والإكرامية","")</f>
        <v/>
      </c>
      <c r="H293" s="41"/>
      <c r="S293" s="0" t="n">
        <v>24</v>
      </c>
    </row>
    <row r="294" customFormat="false" ht="25.5" hidden="false" customHeight="true" outlineLevel="0" collapsed="false">
      <c r="A294" s="39" t="str">
        <f aca="false">IF(M283=1,"إكرامية الأسبوع ←","")</f>
        <v/>
      </c>
      <c r="B294" s="39"/>
      <c r="C294" s="44"/>
      <c r="D294" s="39" t="str">
        <f aca="false">IF(M283=1,"المدفوع (التسوية) ←","")</f>
        <v/>
      </c>
      <c r="E294" s="39"/>
      <c r="F294" s="44"/>
      <c r="G294" s="45" t="str">
        <f aca="false">IF(M283=1,IF(N(F294)&gt;0,"✔ انقبض — الأسبوع مقفول","⏳ لسا ما انقبض"),"")</f>
        <v/>
      </c>
      <c r="H294" s="45"/>
      <c r="S294" s="0" t="n">
        <v>24</v>
      </c>
    </row>
    <row r="295" customFormat="false" ht="27.75" hidden="false" customHeight="true" outlineLevel="0" collapsed="false">
      <c r="A295" s="48" t="str">
        <f aca="false">IF(25&lt;=NW,"من السبت "&amp;TEXT(DAY(SAT1+168),"00")&amp;"/"&amp;TEXT(MONTH(SAT1+168),"00")&amp;"/"&amp;YEAR(SAT1+168)&amp;" إلى الجمعة "&amp;TEXT(DAY(SAT1+174),"00")&amp;"/"&amp;TEXT(MONTH(SAT1+174),"00")&amp;"/"&amp;YEAR(SAT1+174)&amp;" · الأسبوع 25"&amp;"  (يوم القبض: الجمعة)"&amp;IF(25&lt;START_Z,"   — قبل أسبوع البداية (ما بينحسب)",""),"ما في أسبوع 25 هالسنة")</f>
        <v>من السبت 13/06/2026 إلى الجمعة 19/06/2026 · الأسبوع 25  (يوم القبض: الجمعة)   — قبل أسبوع البداية (ما بينحسب)</v>
      </c>
      <c r="B295" s="48"/>
      <c r="C295" s="48"/>
      <c r="D295" s="48"/>
      <c r="E295" s="48"/>
      <c r="F295" s="48"/>
      <c r="G295" s="48"/>
      <c r="H295" s="48"/>
      <c r="L295" s="24" t="n">
        <f aca="false">IF(25&lt;=NW,SAT1+174,"")</f>
        <v>46192</v>
      </c>
      <c r="M295" s="25" t="n">
        <f aca="false">IF(AND(25&lt;=NW,25&gt;=START_Z),1,0)</f>
        <v>0</v>
      </c>
      <c r="N295" s="26" t="n">
        <f aca="false">IFERROR(INDEX(RT_AZZ,MATCH(L295,RT_K,1)),INDEX(RT_AZZ,1))</f>
        <v>1</v>
      </c>
      <c r="P295" s="26" t="n">
        <f aca="false">IFERROR(INDEX(RT_GYP,MATCH(L295,RT_K,1)),INDEX(RT_GYP,1))</f>
        <v>2.5</v>
      </c>
      <c r="R295" s="0" t="n">
        <v>25</v>
      </c>
      <c r="S295" s="0" t="n">
        <v>25</v>
      </c>
    </row>
    <row r="296" customFormat="false" ht="25.5" hidden="false" customHeight="true" outlineLevel="0" collapsed="false">
      <c r="A296" s="49" t="s">
        <v>22</v>
      </c>
      <c r="B296" s="49" t="s">
        <v>23</v>
      </c>
      <c r="C296" s="49" t="s">
        <v>24</v>
      </c>
      <c r="D296" s="49" t="s">
        <v>25</v>
      </c>
      <c r="E296" s="49" t="s">
        <v>26</v>
      </c>
      <c r="F296" s="49" t="s">
        <v>33</v>
      </c>
      <c r="G296" s="49" t="s">
        <v>34</v>
      </c>
      <c r="H296" s="49" t="s">
        <v>30</v>
      </c>
      <c r="S296" s="0" t="n">
        <v>25</v>
      </c>
    </row>
    <row r="297" customFormat="false" ht="15" hidden="false" customHeight="false" outlineLevel="0" collapsed="false">
      <c r="A297" s="28" t="n">
        <f aca="false">IF(25&lt;=NW,SAT1+168,"")</f>
        <v>46186</v>
      </c>
      <c r="B297" s="29" t="str">
        <f aca="false">IF(A297="","",CHOOSE(WEEKDAY(A297,1),"الأحد","الاثنين","الثلاثاء","الأربعاء","الخميس","الجمعة","السبت"))</f>
        <v>السبت</v>
      </c>
      <c r="C297" s="30"/>
      <c r="D297" s="30"/>
      <c r="E297" s="31" t="str">
        <f aca="false">IF(OR(M297=0,K297="",L297=""),"",MOD(L297-K297,1))</f>
        <v/>
      </c>
      <c r="F297" s="32" t="str">
        <f aca="false">IF(OR(E297="",M297=0),"",IF(ROUND_MODE="للأعلى",CEILING(ROUND((E297*24*$N$295),3),0.25),ROUND((E297*24*$N$295)*4,0)/4))</f>
        <v/>
      </c>
      <c r="G297" s="30"/>
      <c r="H297" s="30"/>
      <c r="K297" s="33" t="str">
        <f aca="false">IF(OR(M297=0,C297=""),"",IF(ISNUMBER(C297),MOD(C297,1),IFERROR(INDEX(القوائم!$B$1:$B$288,MATCH(TRIM(C297),القوائم!$A$1:$A$288,0)),IFERROR(MOD(TIMEVALUE(C297),1),""))))</f>
        <v/>
      </c>
      <c r="L297" s="33" t="str">
        <f aca="false">IF(OR(M297=0,D297=""),"",IF(ISNUMBER(D297),MOD(D297,1),IFERROR(INDEX(القوائم!$B$1:$B$288,MATCH(TRIM(D297),القوائم!$A$1:$A$288,0)),IFERROR(MOD(TIMEVALUE(D297),1),""))))</f>
        <v/>
      </c>
      <c r="M297" s="25" t="n">
        <f aca="false">M295</f>
        <v>0</v>
      </c>
      <c r="Q297" s="25" t="n">
        <f aca="false">IF(N(F306)&gt;0,1,0)</f>
        <v>0</v>
      </c>
      <c r="S297" s="0" t="n">
        <v>25</v>
      </c>
    </row>
    <row r="298" customFormat="false" ht="15" hidden="false" customHeight="false" outlineLevel="0" collapsed="false">
      <c r="A298" s="28" t="n">
        <f aca="false">IF(25&lt;=NW,SAT1+169,"")</f>
        <v>46187</v>
      </c>
      <c r="B298" s="29" t="str">
        <f aca="false">IF(A298="","",CHOOSE(WEEKDAY(A298,1),"الأحد","الاثنين","الثلاثاء","الأربعاء","الخميس","الجمعة","السبت"))</f>
        <v>الأحد</v>
      </c>
      <c r="C298" s="30"/>
      <c r="D298" s="30"/>
      <c r="E298" s="31" t="str">
        <f aca="false">IF(OR(M298=0,K298="",L298=""),"",MOD(L298-K298,1))</f>
        <v/>
      </c>
      <c r="F298" s="32" t="str">
        <f aca="false">IF(OR(E298="",M298=0),"",IF(ROUND_MODE="للأعلى",CEILING(ROUND((E298*24*$N$295),3),0.25),ROUND((E298*24*$N$295)*4,0)/4))</f>
        <v/>
      </c>
      <c r="G298" s="30"/>
      <c r="H298" s="30"/>
      <c r="K298" s="33" t="str">
        <f aca="false">IF(OR(M298=0,C298=""),"",IF(ISNUMBER(C298),MOD(C298,1),IFERROR(INDEX(القوائم!$B$1:$B$288,MATCH(TRIM(C298),القوائم!$A$1:$A$288,0)),IFERROR(MOD(TIMEVALUE(C298),1),""))))</f>
        <v/>
      </c>
      <c r="L298" s="33" t="str">
        <f aca="false">IF(OR(M298=0,D298=""),"",IF(ISNUMBER(D298),MOD(D298,1),IFERROR(INDEX(القوائم!$B$1:$B$288,MATCH(TRIM(D298),القوائم!$A$1:$A$288,0)),IFERROR(MOD(TIMEVALUE(D298),1),""))))</f>
        <v/>
      </c>
      <c r="M298" s="25" t="n">
        <f aca="false">M295</f>
        <v>0</v>
      </c>
      <c r="Q298" s="25" t="n">
        <f aca="false">IF(N(F306)&gt;0,1,0)</f>
        <v>0</v>
      </c>
      <c r="S298" s="0" t="n">
        <v>25</v>
      </c>
    </row>
    <row r="299" customFormat="false" ht="15" hidden="false" customHeight="false" outlineLevel="0" collapsed="false">
      <c r="A299" s="28" t="n">
        <f aca="false">IF(25&lt;=NW,SAT1+170,"")</f>
        <v>46188</v>
      </c>
      <c r="B299" s="29" t="str">
        <f aca="false">IF(A299="","",CHOOSE(WEEKDAY(A299,1),"الأحد","الاثنين","الثلاثاء","الأربعاء","الخميس","الجمعة","السبت"))</f>
        <v>الاثنين</v>
      </c>
      <c r="C299" s="30"/>
      <c r="D299" s="30"/>
      <c r="E299" s="31" t="str">
        <f aca="false">IF(OR(M299=0,K299="",L299=""),"",MOD(L299-K299,1))</f>
        <v/>
      </c>
      <c r="F299" s="32" t="str">
        <f aca="false">IF(OR(E299="",M299=0),"",IF(ROUND_MODE="للأعلى",CEILING(ROUND((E299*24*$N$295),3),0.25),ROUND((E299*24*$N$295)*4,0)/4))</f>
        <v/>
      </c>
      <c r="G299" s="30"/>
      <c r="H299" s="30"/>
      <c r="K299" s="33" t="str">
        <f aca="false">IF(OR(M299=0,C299=""),"",IF(ISNUMBER(C299),MOD(C299,1),IFERROR(INDEX(القوائم!$B$1:$B$288,MATCH(TRIM(C299),القوائم!$A$1:$A$288,0)),IFERROR(MOD(TIMEVALUE(C299),1),""))))</f>
        <v/>
      </c>
      <c r="L299" s="33" t="str">
        <f aca="false">IF(OR(M299=0,D299=""),"",IF(ISNUMBER(D299),MOD(D299,1),IFERROR(INDEX(القوائم!$B$1:$B$288,MATCH(TRIM(D299),القوائم!$A$1:$A$288,0)),IFERROR(MOD(TIMEVALUE(D299),1),""))))</f>
        <v/>
      </c>
      <c r="M299" s="25" t="n">
        <f aca="false">M295</f>
        <v>0</v>
      </c>
      <c r="Q299" s="25" t="n">
        <f aca="false">IF(N(F306)&gt;0,1,0)</f>
        <v>0</v>
      </c>
      <c r="S299" s="0" t="n">
        <v>25</v>
      </c>
    </row>
    <row r="300" customFormat="false" ht="15" hidden="false" customHeight="false" outlineLevel="0" collapsed="false">
      <c r="A300" s="28" t="n">
        <f aca="false">IF(25&lt;=NW,SAT1+171,"")</f>
        <v>46189</v>
      </c>
      <c r="B300" s="29" t="str">
        <f aca="false">IF(A300="","",CHOOSE(WEEKDAY(A300,1),"الأحد","الاثنين","الثلاثاء","الأربعاء","الخميس","الجمعة","السبت"))</f>
        <v>الثلاثاء</v>
      </c>
      <c r="C300" s="30"/>
      <c r="D300" s="30"/>
      <c r="E300" s="31" t="str">
        <f aca="false">IF(OR(M300=0,K300="",L300=""),"",MOD(L300-K300,1))</f>
        <v/>
      </c>
      <c r="F300" s="32" t="str">
        <f aca="false">IF(OR(E300="",M300=0),"",IF(ROUND_MODE="للأعلى",CEILING(ROUND((E300*24*$N$295),3),0.25),ROUND((E300*24*$N$295)*4,0)/4))</f>
        <v/>
      </c>
      <c r="G300" s="30"/>
      <c r="H300" s="30"/>
      <c r="K300" s="33" t="str">
        <f aca="false">IF(OR(M300=0,C300=""),"",IF(ISNUMBER(C300),MOD(C300,1),IFERROR(INDEX(القوائم!$B$1:$B$288,MATCH(TRIM(C300),القوائم!$A$1:$A$288,0)),IFERROR(MOD(TIMEVALUE(C300),1),""))))</f>
        <v/>
      </c>
      <c r="L300" s="33" t="str">
        <f aca="false">IF(OR(M300=0,D300=""),"",IF(ISNUMBER(D300),MOD(D300,1),IFERROR(INDEX(القوائم!$B$1:$B$288,MATCH(TRIM(D300),القوائم!$A$1:$A$288,0)),IFERROR(MOD(TIMEVALUE(D300),1),""))))</f>
        <v/>
      </c>
      <c r="M300" s="25" t="n">
        <f aca="false">M295</f>
        <v>0</v>
      </c>
      <c r="Q300" s="25" t="n">
        <f aca="false">IF(N(F306)&gt;0,1,0)</f>
        <v>0</v>
      </c>
      <c r="S300" s="0" t="n">
        <v>25</v>
      </c>
    </row>
    <row r="301" customFormat="false" ht="15" hidden="false" customHeight="false" outlineLevel="0" collapsed="false">
      <c r="A301" s="28" t="n">
        <f aca="false">IF(25&lt;=NW,SAT1+172,"")</f>
        <v>46190</v>
      </c>
      <c r="B301" s="29" t="str">
        <f aca="false">IF(A301="","",CHOOSE(WEEKDAY(A301,1),"الأحد","الاثنين","الثلاثاء","الأربعاء","الخميس","الجمعة","السبت"))</f>
        <v>الأربعاء</v>
      </c>
      <c r="C301" s="30"/>
      <c r="D301" s="30"/>
      <c r="E301" s="31" t="str">
        <f aca="false">IF(OR(M301=0,K301="",L301=""),"",MOD(L301-K301,1))</f>
        <v/>
      </c>
      <c r="F301" s="32" t="str">
        <f aca="false">IF(OR(E301="",M301=0),"",IF(ROUND_MODE="للأعلى",CEILING(ROUND((E301*24*$N$295),3),0.25),ROUND((E301*24*$N$295)*4,0)/4))</f>
        <v/>
      </c>
      <c r="G301" s="30"/>
      <c r="H301" s="30"/>
      <c r="K301" s="33" t="str">
        <f aca="false">IF(OR(M301=0,C301=""),"",IF(ISNUMBER(C301),MOD(C301,1),IFERROR(INDEX(القوائم!$B$1:$B$288,MATCH(TRIM(C301),القوائم!$A$1:$A$288,0)),IFERROR(MOD(TIMEVALUE(C301),1),""))))</f>
        <v/>
      </c>
      <c r="L301" s="33" t="str">
        <f aca="false">IF(OR(M301=0,D301=""),"",IF(ISNUMBER(D301),MOD(D301,1),IFERROR(INDEX(القوائم!$B$1:$B$288,MATCH(TRIM(D301),القوائم!$A$1:$A$288,0)),IFERROR(MOD(TIMEVALUE(D301),1),""))))</f>
        <v/>
      </c>
      <c r="M301" s="25" t="n">
        <f aca="false">M295</f>
        <v>0</v>
      </c>
      <c r="Q301" s="25" t="n">
        <f aca="false">IF(N(F306)&gt;0,1,0)</f>
        <v>0</v>
      </c>
      <c r="S301" s="0" t="n">
        <v>25</v>
      </c>
    </row>
    <row r="302" customFormat="false" ht="15" hidden="false" customHeight="false" outlineLevel="0" collapsed="false">
      <c r="A302" s="28" t="n">
        <f aca="false">IF(25&lt;=NW,SAT1+173,"")</f>
        <v>46191</v>
      </c>
      <c r="B302" s="29" t="str">
        <f aca="false">IF(A302="","",CHOOSE(WEEKDAY(A302,1),"الأحد","الاثنين","الثلاثاء","الأربعاء","الخميس","الجمعة","السبت"))</f>
        <v>الخميس</v>
      </c>
      <c r="C302" s="30"/>
      <c r="D302" s="30"/>
      <c r="E302" s="31" t="str">
        <f aca="false">IF(OR(M302=0,K302="",L302=""),"",MOD(L302-K302,1))</f>
        <v/>
      </c>
      <c r="F302" s="32" t="str">
        <f aca="false">IF(OR(E302="",M302=0),"",IF(ROUND_MODE="للأعلى",CEILING(ROUND((E302*24*$N$295),3),0.25),ROUND((E302*24*$N$295)*4,0)/4))</f>
        <v/>
      </c>
      <c r="G302" s="30"/>
      <c r="H302" s="30"/>
      <c r="K302" s="33" t="str">
        <f aca="false">IF(OR(M302=0,C302=""),"",IF(ISNUMBER(C302),MOD(C302,1),IFERROR(INDEX(القوائم!$B$1:$B$288,MATCH(TRIM(C302),القوائم!$A$1:$A$288,0)),IFERROR(MOD(TIMEVALUE(C302),1),""))))</f>
        <v/>
      </c>
      <c r="L302" s="33" t="str">
        <f aca="false">IF(OR(M302=0,D302=""),"",IF(ISNUMBER(D302),MOD(D302,1),IFERROR(INDEX(القوائم!$B$1:$B$288,MATCH(TRIM(D302),القوائم!$A$1:$A$288,0)),IFERROR(MOD(TIMEVALUE(D302),1),""))))</f>
        <v/>
      </c>
      <c r="M302" s="25" t="n">
        <f aca="false">M295</f>
        <v>0</v>
      </c>
      <c r="Q302" s="25" t="n">
        <f aca="false">IF(N(F306)&gt;0,1,0)</f>
        <v>0</v>
      </c>
      <c r="S302" s="0" t="n">
        <v>25</v>
      </c>
    </row>
    <row r="303" customFormat="false" ht="15" hidden="false" customHeight="false" outlineLevel="0" collapsed="false">
      <c r="A303" s="34" t="n">
        <f aca="false">IF(25&lt;=NW,SAT1+174,"")</f>
        <v>46192</v>
      </c>
      <c r="B303" s="35" t="str">
        <f aca="false">IF(A303="","",CHOOSE(WEEKDAY(A303,1),"الأحد","الاثنين","الثلاثاء","الأربعاء","الخميس","الجمعة","السبت"))</f>
        <v>الجمعة</v>
      </c>
      <c r="C303" s="30"/>
      <c r="D303" s="30"/>
      <c r="E303" s="31" t="str">
        <f aca="false">IF(OR(M303=0,K303="",L303=""),"",MOD(L303-K303,1))</f>
        <v/>
      </c>
      <c r="F303" s="32" t="str">
        <f aca="false">IF(OR(E303="",M303=0),"",IF(ROUND_MODE="للأعلى",CEILING(ROUND((E303*24*$N$295),3),0.25),ROUND((E303*24*$N$295)*4,0)/4))</f>
        <v/>
      </c>
      <c r="G303" s="30"/>
      <c r="H303" s="30"/>
      <c r="K303" s="33" t="str">
        <f aca="false">IF(OR(M303=0,C303=""),"",IF(ISNUMBER(C303),MOD(C303,1),IFERROR(INDEX(القوائم!$B$1:$B$288,MATCH(TRIM(C303),القوائم!$A$1:$A$288,0)),IFERROR(MOD(TIMEVALUE(C303),1),""))))</f>
        <v/>
      </c>
      <c r="L303" s="33" t="str">
        <f aca="false">IF(OR(M303=0,D303=""),"",IF(ISNUMBER(D303),MOD(D303,1),IFERROR(INDEX(القوائم!$B$1:$B$288,MATCH(TRIM(D303),القوائم!$A$1:$A$288,0)),IFERROR(MOD(TIMEVALUE(D303),1),""))))</f>
        <v/>
      </c>
      <c r="M303" s="25" t="n">
        <f aca="false">M295</f>
        <v>0</v>
      </c>
      <c r="Q303" s="25" t="n">
        <f aca="false">IF(N(F306)&gt;0,1,0)</f>
        <v>0</v>
      </c>
      <c r="S303" s="0" t="n">
        <v>25</v>
      </c>
    </row>
    <row r="304" customFormat="false" ht="15" hidden="false" customHeight="false" outlineLevel="0" collapsed="false">
      <c r="A304" s="36" t="str">
        <f aca="false">IF(M295=1,"مجموع أيام الأسبوع 25","")</f>
        <v/>
      </c>
      <c r="B304" s="36"/>
      <c r="C304" s="36"/>
      <c r="D304" s="36"/>
      <c r="E304" s="37" t="str">
        <f aca="false">IF(M295=1,SUM(E297:E303),"")</f>
        <v/>
      </c>
      <c r="F304" s="38" t="str">
        <f aca="false">IF(M295=1,SUM(F297:F303),"")</f>
        <v/>
      </c>
      <c r="G304" s="50" t="str">
        <f aca="false">IF(M295=1,SUMIFS(F297:F303,G297:G303,"نعم"),"")</f>
        <v/>
      </c>
      <c r="H304" s="36"/>
      <c r="S304" s="0" t="n">
        <v>25</v>
      </c>
    </row>
    <row r="305" customFormat="false" ht="31.5" hidden="false" customHeight="true" outlineLevel="0" collapsed="false">
      <c r="A305" s="39" t="str">
        <f aca="false">IF(M295=1,"ساعات تحميل الجبسمبورد بهالأسبوع (رقم: 2 أو 1.5) ←","")</f>
        <v/>
      </c>
      <c r="B305" s="39"/>
      <c r="C305" s="39"/>
      <c r="D305" s="39"/>
      <c r="E305" s="40"/>
      <c r="F305" s="42" t="str">
        <f aca="false">IF(M295=1,N(F304)+IF(ROUND_MODE="للأعلى",CEILING(ROUND((N(E305)*($P$295-$N$295)),3),0.25),ROUND((N(E305)*($P$295-$N$295))*4,0)/4)+N(C306),"")</f>
        <v/>
      </c>
      <c r="G305" s="41" t="str">
        <f aca="false">IF(M295=1,"← المستحق النهائي للأسبوع مع الجبسمبورد والإكرامية","")</f>
        <v/>
      </c>
      <c r="H305" s="41"/>
      <c r="S305" s="0" t="n">
        <v>25</v>
      </c>
    </row>
    <row r="306" customFormat="false" ht="25.5" hidden="false" customHeight="true" outlineLevel="0" collapsed="false">
      <c r="A306" s="39" t="str">
        <f aca="false">IF(M295=1,"إكرامية الأسبوع ←","")</f>
        <v/>
      </c>
      <c r="B306" s="39"/>
      <c r="C306" s="44"/>
      <c r="D306" s="39" t="str">
        <f aca="false">IF(M295=1,"المدفوع (التسوية) ←","")</f>
        <v/>
      </c>
      <c r="E306" s="39"/>
      <c r="F306" s="44"/>
      <c r="G306" s="45" t="str">
        <f aca="false">IF(M295=1,IF(N(F306)&gt;0,"✔ انقبض — الأسبوع مقفول","⏳ لسا ما انقبض"),"")</f>
        <v/>
      </c>
      <c r="H306" s="45"/>
      <c r="S306" s="0" t="n">
        <v>25</v>
      </c>
    </row>
    <row r="307" customFormat="false" ht="27.75" hidden="false" customHeight="true" outlineLevel="0" collapsed="false">
      <c r="A307" s="48" t="str">
        <f aca="false">IF(26&lt;=NW,"من السبت "&amp;TEXT(DAY(SAT1+175),"00")&amp;"/"&amp;TEXT(MONTH(SAT1+175),"00")&amp;"/"&amp;YEAR(SAT1+175)&amp;" إلى الجمعة "&amp;TEXT(DAY(SAT1+181),"00")&amp;"/"&amp;TEXT(MONTH(SAT1+181),"00")&amp;"/"&amp;YEAR(SAT1+181)&amp;" · الأسبوع 26"&amp;"  (يوم القبض: الجمعة)"&amp;IF(26&lt;START_Z,"   — قبل أسبوع البداية (ما بينحسب)",""),"ما في أسبوع 26 هالسنة")</f>
        <v>من السبت 20/06/2026 إلى الجمعة 26/06/2026 · الأسبوع 26  (يوم القبض: الجمعة)   — قبل أسبوع البداية (ما بينحسب)</v>
      </c>
      <c r="B307" s="48"/>
      <c r="C307" s="48"/>
      <c r="D307" s="48"/>
      <c r="E307" s="48"/>
      <c r="F307" s="48"/>
      <c r="G307" s="48"/>
      <c r="H307" s="48"/>
      <c r="L307" s="24" t="n">
        <f aca="false">IF(26&lt;=NW,SAT1+181,"")</f>
        <v>46199</v>
      </c>
      <c r="M307" s="25" t="n">
        <f aca="false">IF(AND(26&lt;=NW,26&gt;=START_Z),1,0)</f>
        <v>0</v>
      </c>
      <c r="N307" s="26" t="n">
        <f aca="false">IFERROR(INDEX(RT_AZZ,MATCH(L307,RT_K,1)),INDEX(RT_AZZ,1))</f>
        <v>1</v>
      </c>
      <c r="P307" s="26" t="n">
        <f aca="false">IFERROR(INDEX(RT_GYP,MATCH(L307,RT_K,1)),INDEX(RT_GYP,1))</f>
        <v>2.5</v>
      </c>
      <c r="R307" s="0" t="n">
        <v>26</v>
      </c>
      <c r="S307" s="0" t="n">
        <v>26</v>
      </c>
    </row>
    <row r="308" customFormat="false" ht="25.5" hidden="false" customHeight="true" outlineLevel="0" collapsed="false">
      <c r="A308" s="49" t="s">
        <v>22</v>
      </c>
      <c r="B308" s="49" t="s">
        <v>23</v>
      </c>
      <c r="C308" s="49" t="s">
        <v>24</v>
      </c>
      <c r="D308" s="49" t="s">
        <v>25</v>
      </c>
      <c r="E308" s="49" t="s">
        <v>26</v>
      </c>
      <c r="F308" s="49" t="s">
        <v>33</v>
      </c>
      <c r="G308" s="49" t="s">
        <v>34</v>
      </c>
      <c r="H308" s="49" t="s">
        <v>30</v>
      </c>
      <c r="S308" s="0" t="n">
        <v>26</v>
      </c>
    </row>
    <row r="309" customFormat="false" ht="15" hidden="false" customHeight="false" outlineLevel="0" collapsed="false">
      <c r="A309" s="28" t="n">
        <f aca="false">IF(26&lt;=NW,SAT1+175,"")</f>
        <v>46193</v>
      </c>
      <c r="B309" s="29" t="str">
        <f aca="false">IF(A309="","",CHOOSE(WEEKDAY(A309,1),"الأحد","الاثنين","الثلاثاء","الأربعاء","الخميس","الجمعة","السبت"))</f>
        <v>السبت</v>
      </c>
      <c r="C309" s="30"/>
      <c r="D309" s="30"/>
      <c r="E309" s="31" t="str">
        <f aca="false">IF(OR(M309=0,K309="",L309=""),"",MOD(L309-K309,1))</f>
        <v/>
      </c>
      <c r="F309" s="32" t="str">
        <f aca="false">IF(OR(E309="",M309=0),"",IF(ROUND_MODE="للأعلى",CEILING(ROUND((E309*24*$N$307),3),0.25),ROUND((E309*24*$N$307)*4,0)/4))</f>
        <v/>
      </c>
      <c r="G309" s="30"/>
      <c r="H309" s="30"/>
      <c r="K309" s="33" t="str">
        <f aca="false">IF(OR(M309=0,C309=""),"",IF(ISNUMBER(C309),MOD(C309,1),IFERROR(INDEX(القوائم!$B$1:$B$288,MATCH(TRIM(C309),القوائم!$A$1:$A$288,0)),IFERROR(MOD(TIMEVALUE(C309),1),""))))</f>
        <v/>
      </c>
      <c r="L309" s="33" t="str">
        <f aca="false">IF(OR(M309=0,D309=""),"",IF(ISNUMBER(D309),MOD(D309,1),IFERROR(INDEX(القوائم!$B$1:$B$288,MATCH(TRIM(D309),القوائم!$A$1:$A$288,0)),IFERROR(MOD(TIMEVALUE(D309),1),""))))</f>
        <v/>
      </c>
      <c r="M309" s="25" t="n">
        <f aca="false">M307</f>
        <v>0</v>
      </c>
      <c r="Q309" s="25" t="n">
        <f aca="false">IF(N(F318)&gt;0,1,0)</f>
        <v>0</v>
      </c>
      <c r="S309" s="0" t="n">
        <v>26</v>
      </c>
    </row>
    <row r="310" customFormat="false" ht="15" hidden="false" customHeight="false" outlineLevel="0" collapsed="false">
      <c r="A310" s="28" t="n">
        <f aca="false">IF(26&lt;=NW,SAT1+176,"")</f>
        <v>46194</v>
      </c>
      <c r="B310" s="29" t="str">
        <f aca="false">IF(A310="","",CHOOSE(WEEKDAY(A310,1),"الأحد","الاثنين","الثلاثاء","الأربعاء","الخميس","الجمعة","السبت"))</f>
        <v>الأحد</v>
      </c>
      <c r="C310" s="30"/>
      <c r="D310" s="30"/>
      <c r="E310" s="31" t="str">
        <f aca="false">IF(OR(M310=0,K310="",L310=""),"",MOD(L310-K310,1))</f>
        <v/>
      </c>
      <c r="F310" s="32" t="str">
        <f aca="false">IF(OR(E310="",M310=0),"",IF(ROUND_MODE="للأعلى",CEILING(ROUND((E310*24*$N$307),3),0.25),ROUND((E310*24*$N$307)*4,0)/4))</f>
        <v/>
      </c>
      <c r="G310" s="30"/>
      <c r="H310" s="30"/>
      <c r="K310" s="33" t="str">
        <f aca="false">IF(OR(M310=0,C310=""),"",IF(ISNUMBER(C310),MOD(C310,1),IFERROR(INDEX(القوائم!$B$1:$B$288,MATCH(TRIM(C310),القوائم!$A$1:$A$288,0)),IFERROR(MOD(TIMEVALUE(C310),1),""))))</f>
        <v/>
      </c>
      <c r="L310" s="33" t="str">
        <f aca="false">IF(OR(M310=0,D310=""),"",IF(ISNUMBER(D310),MOD(D310,1),IFERROR(INDEX(القوائم!$B$1:$B$288,MATCH(TRIM(D310),القوائم!$A$1:$A$288,0)),IFERROR(MOD(TIMEVALUE(D310),1),""))))</f>
        <v/>
      </c>
      <c r="M310" s="25" t="n">
        <f aca="false">M307</f>
        <v>0</v>
      </c>
      <c r="Q310" s="25" t="n">
        <f aca="false">IF(N(F318)&gt;0,1,0)</f>
        <v>0</v>
      </c>
      <c r="S310" s="0" t="n">
        <v>26</v>
      </c>
    </row>
    <row r="311" customFormat="false" ht="15" hidden="false" customHeight="false" outlineLevel="0" collapsed="false">
      <c r="A311" s="28" t="n">
        <f aca="false">IF(26&lt;=NW,SAT1+177,"")</f>
        <v>46195</v>
      </c>
      <c r="B311" s="29" t="str">
        <f aca="false">IF(A311="","",CHOOSE(WEEKDAY(A311,1),"الأحد","الاثنين","الثلاثاء","الأربعاء","الخميس","الجمعة","السبت"))</f>
        <v>الاثنين</v>
      </c>
      <c r="C311" s="30"/>
      <c r="D311" s="30"/>
      <c r="E311" s="31" t="str">
        <f aca="false">IF(OR(M311=0,K311="",L311=""),"",MOD(L311-K311,1))</f>
        <v/>
      </c>
      <c r="F311" s="32" t="str">
        <f aca="false">IF(OR(E311="",M311=0),"",IF(ROUND_MODE="للأعلى",CEILING(ROUND((E311*24*$N$307),3),0.25),ROUND((E311*24*$N$307)*4,0)/4))</f>
        <v/>
      </c>
      <c r="G311" s="30"/>
      <c r="H311" s="30"/>
      <c r="K311" s="33" t="str">
        <f aca="false">IF(OR(M311=0,C311=""),"",IF(ISNUMBER(C311),MOD(C311,1),IFERROR(INDEX(القوائم!$B$1:$B$288,MATCH(TRIM(C311),القوائم!$A$1:$A$288,0)),IFERROR(MOD(TIMEVALUE(C311),1),""))))</f>
        <v/>
      </c>
      <c r="L311" s="33" t="str">
        <f aca="false">IF(OR(M311=0,D311=""),"",IF(ISNUMBER(D311),MOD(D311,1),IFERROR(INDEX(القوائم!$B$1:$B$288,MATCH(TRIM(D311),القوائم!$A$1:$A$288,0)),IFERROR(MOD(TIMEVALUE(D311),1),""))))</f>
        <v/>
      </c>
      <c r="M311" s="25" t="n">
        <f aca="false">M307</f>
        <v>0</v>
      </c>
      <c r="Q311" s="25" t="n">
        <f aca="false">IF(N(F318)&gt;0,1,0)</f>
        <v>0</v>
      </c>
      <c r="S311" s="0" t="n">
        <v>26</v>
      </c>
    </row>
    <row r="312" customFormat="false" ht="15" hidden="false" customHeight="false" outlineLevel="0" collapsed="false">
      <c r="A312" s="28" t="n">
        <f aca="false">IF(26&lt;=NW,SAT1+178,"")</f>
        <v>46196</v>
      </c>
      <c r="B312" s="29" t="str">
        <f aca="false">IF(A312="","",CHOOSE(WEEKDAY(A312,1),"الأحد","الاثنين","الثلاثاء","الأربعاء","الخميس","الجمعة","السبت"))</f>
        <v>الثلاثاء</v>
      </c>
      <c r="C312" s="30"/>
      <c r="D312" s="30"/>
      <c r="E312" s="31" t="str">
        <f aca="false">IF(OR(M312=0,K312="",L312=""),"",MOD(L312-K312,1))</f>
        <v/>
      </c>
      <c r="F312" s="32" t="str">
        <f aca="false">IF(OR(E312="",M312=0),"",IF(ROUND_MODE="للأعلى",CEILING(ROUND((E312*24*$N$307),3),0.25),ROUND((E312*24*$N$307)*4,0)/4))</f>
        <v/>
      </c>
      <c r="G312" s="30"/>
      <c r="H312" s="30"/>
      <c r="K312" s="33" t="str">
        <f aca="false">IF(OR(M312=0,C312=""),"",IF(ISNUMBER(C312),MOD(C312,1),IFERROR(INDEX(القوائم!$B$1:$B$288,MATCH(TRIM(C312),القوائم!$A$1:$A$288,0)),IFERROR(MOD(TIMEVALUE(C312),1),""))))</f>
        <v/>
      </c>
      <c r="L312" s="33" t="str">
        <f aca="false">IF(OR(M312=0,D312=""),"",IF(ISNUMBER(D312),MOD(D312,1),IFERROR(INDEX(القوائم!$B$1:$B$288,MATCH(TRIM(D312),القوائم!$A$1:$A$288,0)),IFERROR(MOD(TIMEVALUE(D312),1),""))))</f>
        <v/>
      </c>
      <c r="M312" s="25" t="n">
        <f aca="false">M307</f>
        <v>0</v>
      </c>
      <c r="Q312" s="25" t="n">
        <f aca="false">IF(N(F318)&gt;0,1,0)</f>
        <v>0</v>
      </c>
      <c r="S312" s="0" t="n">
        <v>26</v>
      </c>
    </row>
    <row r="313" customFormat="false" ht="15" hidden="false" customHeight="false" outlineLevel="0" collapsed="false">
      <c r="A313" s="28" t="n">
        <f aca="false">IF(26&lt;=NW,SAT1+179,"")</f>
        <v>46197</v>
      </c>
      <c r="B313" s="29" t="str">
        <f aca="false">IF(A313="","",CHOOSE(WEEKDAY(A313,1),"الأحد","الاثنين","الثلاثاء","الأربعاء","الخميس","الجمعة","السبت"))</f>
        <v>الأربعاء</v>
      </c>
      <c r="C313" s="30"/>
      <c r="D313" s="30"/>
      <c r="E313" s="31" t="str">
        <f aca="false">IF(OR(M313=0,K313="",L313=""),"",MOD(L313-K313,1))</f>
        <v/>
      </c>
      <c r="F313" s="32" t="str">
        <f aca="false">IF(OR(E313="",M313=0),"",IF(ROUND_MODE="للأعلى",CEILING(ROUND((E313*24*$N$307),3),0.25),ROUND((E313*24*$N$307)*4,0)/4))</f>
        <v/>
      </c>
      <c r="G313" s="30"/>
      <c r="H313" s="30"/>
      <c r="K313" s="33" t="str">
        <f aca="false">IF(OR(M313=0,C313=""),"",IF(ISNUMBER(C313),MOD(C313,1),IFERROR(INDEX(القوائم!$B$1:$B$288,MATCH(TRIM(C313),القوائم!$A$1:$A$288,0)),IFERROR(MOD(TIMEVALUE(C313),1),""))))</f>
        <v/>
      </c>
      <c r="L313" s="33" t="str">
        <f aca="false">IF(OR(M313=0,D313=""),"",IF(ISNUMBER(D313),MOD(D313,1),IFERROR(INDEX(القوائم!$B$1:$B$288,MATCH(TRIM(D313),القوائم!$A$1:$A$288,0)),IFERROR(MOD(TIMEVALUE(D313),1),""))))</f>
        <v/>
      </c>
      <c r="M313" s="25" t="n">
        <f aca="false">M307</f>
        <v>0</v>
      </c>
      <c r="Q313" s="25" t="n">
        <f aca="false">IF(N(F318)&gt;0,1,0)</f>
        <v>0</v>
      </c>
      <c r="S313" s="0" t="n">
        <v>26</v>
      </c>
    </row>
    <row r="314" customFormat="false" ht="15" hidden="false" customHeight="false" outlineLevel="0" collapsed="false">
      <c r="A314" s="28" t="n">
        <f aca="false">IF(26&lt;=NW,SAT1+180,"")</f>
        <v>46198</v>
      </c>
      <c r="B314" s="29" t="str">
        <f aca="false">IF(A314="","",CHOOSE(WEEKDAY(A314,1),"الأحد","الاثنين","الثلاثاء","الأربعاء","الخميس","الجمعة","السبت"))</f>
        <v>الخميس</v>
      </c>
      <c r="C314" s="30"/>
      <c r="D314" s="30"/>
      <c r="E314" s="31" t="str">
        <f aca="false">IF(OR(M314=0,K314="",L314=""),"",MOD(L314-K314,1))</f>
        <v/>
      </c>
      <c r="F314" s="32" t="str">
        <f aca="false">IF(OR(E314="",M314=0),"",IF(ROUND_MODE="للأعلى",CEILING(ROUND((E314*24*$N$307),3),0.25),ROUND((E314*24*$N$307)*4,0)/4))</f>
        <v/>
      </c>
      <c r="G314" s="30"/>
      <c r="H314" s="30"/>
      <c r="K314" s="33" t="str">
        <f aca="false">IF(OR(M314=0,C314=""),"",IF(ISNUMBER(C314),MOD(C314,1),IFERROR(INDEX(القوائم!$B$1:$B$288,MATCH(TRIM(C314),القوائم!$A$1:$A$288,0)),IFERROR(MOD(TIMEVALUE(C314),1),""))))</f>
        <v/>
      </c>
      <c r="L314" s="33" t="str">
        <f aca="false">IF(OR(M314=0,D314=""),"",IF(ISNUMBER(D314),MOD(D314,1),IFERROR(INDEX(القوائم!$B$1:$B$288,MATCH(TRIM(D314),القوائم!$A$1:$A$288,0)),IFERROR(MOD(TIMEVALUE(D314),1),""))))</f>
        <v/>
      </c>
      <c r="M314" s="25" t="n">
        <f aca="false">M307</f>
        <v>0</v>
      </c>
      <c r="Q314" s="25" t="n">
        <f aca="false">IF(N(F318)&gt;0,1,0)</f>
        <v>0</v>
      </c>
      <c r="S314" s="0" t="n">
        <v>26</v>
      </c>
    </row>
    <row r="315" customFormat="false" ht="15" hidden="false" customHeight="false" outlineLevel="0" collapsed="false">
      <c r="A315" s="34" t="n">
        <f aca="false">IF(26&lt;=NW,SAT1+181,"")</f>
        <v>46199</v>
      </c>
      <c r="B315" s="35" t="str">
        <f aca="false">IF(A315="","",CHOOSE(WEEKDAY(A315,1),"الأحد","الاثنين","الثلاثاء","الأربعاء","الخميس","الجمعة","السبت"))</f>
        <v>الجمعة</v>
      </c>
      <c r="C315" s="30"/>
      <c r="D315" s="30"/>
      <c r="E315" s="31" t="str">
        <f aca="false">IF(OR(M315=0,K315="",L315=""),"",MOD(L315-K315,1))</f>
        <v/>
      </c>
      <c r="F315" s="32" t="str">
        <f aca="false">IF(OR(E315="",M315=0),"",IF(ROUND_MODE="للأعلى",CEILING(ROUND((E315*24*$N$307),3),0.25),ROUND((E315*24*$N$307)*4,0)/4))</f>
        <v/>
      </c>
      <c r="G315" s="30"/>
      <c r="H315" s="30"/>
      <c r="K315" s="33" t="str">
        <f aca="false">IF(OR(M315=0,C315=""),"",IF(ISNUMBER(C315),MOD(C315,1),IFERROR(INDEX(القوائم!$B$1:$B$288,MATCH(TRIM(C315),القوائم!$A$1:$A$288,0)),IFERROR(MOD(TIMEVALUE(C315),1),""))))</f>
        <v/>
      </c>
      <c r="L315" s="33" t="str">
        <f aca="false">IF(OR(M315=0,D315=""),"",IF(ISNUMBER(D315),MOD(D315,1),IFERROR(INDEX(القوائم!$B$1:$B$288,MATCH(TRIM(D315),القوائم!$A$1:$A$288,0)),IFERROR(MOD(TIMEVALUE(D315),1),""))))</f>
        <v/>
      </c>
      <c r="M315" s="25" t="n">
        <f aca="false">M307</f>
        <v>0</v>
      </c>
      <c r="Q315" s="25" t="n">
        <f aca="false">IF(N(F318)&gt;0,1,0)</f>
        <v>0</v>
      </c>
      <c r="S315" s="0" t="n">
        <v>26</v>
      </c>
    </row>
    <row r="316" customFormat="false" ht="15" hidden="false" customHeight="false" outlineLevel="0" collapsed="false">
      <c r="A316" s="36" t="str">
        <f aca="false">IF(M307=1,"مجموع أيام الأسبوع 26","")</f>
        <v/>
      </c>
      <c r="B316" s="36"/>
      <c r="C316" s="36"/>
      <c r="D316" s="36"/>
      <c r="E316" s="37" t="str">
        <f aca="false">IF(M307=1,SUM(E309:E315),"")</f>
        <v/>
      </c>
      <c r="F316" s="38" t="str">
        <f aca="false">IF(M307=1,SUM(F309:F315),"")</f>
        <v/>
      </c>
      <c r="G316" s="50" t="str">
        <f aca="false">IF(M307=1,SUMIFS(F309:F315,G309:G315,"نعم"),"")</f>
        <v/>
      </c>
      <c r="H316" s="36"/>
      <c r="S316" s="0" t="n">
        <v>26</v>
      </c>
    </row>
    <row r="317" customFormat="false" ht="31.5" hidden="false" customHeight="true" outlineLevel="0" collapsed="false">
      <c r="A317" s="39" t="str">
        <f aca="false">IF(M307=1,"ساعات تحميل الجبسمبورد بهالأسبوع (رقم: 2 أو 1.5) ←","")</f>
        <v/>
      </c>
      <c r="B317" s="39"/>
      <c r="C317" s="39"/>
      <c r="D317" s="39"/>
      <c r="E317" s="40"/>
      <c r="F317" s="42" t="str">
        <f aca="false">IF(M307=1,N(F316)+IF(ROUND_MODE="للأعلى",CEILING(ROUND((N(E317)*($P$307-$N$307)),3),0.25),ROUND((N(E317)*($P$307-$N$307))*4,0)/4)+N(C318),"")</f>
        <v/>
      </c>
      <c r="G317" s="41" t="str">
        <f aca="false">IF(M307=1,"← المستحق النهائي للأسبوع مع الجبسمبورد والإكرامية","")</f>
        <v/>
      </c>
      <c r="H317" s="41"/>
      <c r="S317" s="0" t="n">
        <v>26</v>
      </c>
    </row>
    <row r="318" customFormat="false" ht="25.5" hidden="false" customHeight="true" outlineLevel="0" collapsed="false">
      <c r="A318" s="39" t="str">
        <f aca="false">IF(M307=1,"إكرامية الأسبوع ←","")</f>
        <v/>
      </c>
      <c r="B318" s="39"/>
      <c r="C318" s="44"/>
      <c r="D318" s="39" t="str">
        <f aca="false">IF(M307=1,"المدفوع (التسوية) ←","")</f>
        <v/>
      </c>
      <c r="E318" s="39"/>
      <c r="F318" s="44"/>
      <c r="G318" s="45" t="str">
        <f aca="false">IF(M307=1,IF(N(F318)&gt;0,"✔ انقبض — الأسبوع مقفول","⏳ لسا ما انقبض"),"")</f>
        <v/>
      </c>
      <c r="H318" s="45"/>
      <c r="S318" s="0" t="n">
        <v>26</v>
      </c>
    </row>
    <row r="319" customFormat="false" ht="27.75" hidden="false" customHeight="true" outlineLevel="0" collapsed="false">
      <c r="A319" s="48" t="str">
        <f aca="false">IF(27&lt;=NW,"من السبت "&amp;TEXT(DAY(SAT1+182),"00")&amp;"/"&amp;TEXT(MONTH(SAT1+182),"00")&amp;"/"&amp;YEAR(SAT1+182)&amp;" إلى الجمعة "&amp;TEXT(DAY(SAT1+188),"00")&amp;"/"&amp;TEXT(MONTH(SAT1+188),"00")&amp;"/"&amp;YEAR(SAT1+188)&amp;" · الأسبوع 27"&amp;"  (يوم القبض: الجمعة)"&amp;IF(27&lt;START_Z,"   — قبل أسبوع البداية (ما بينحسب)",""),"ما في أسبوع 27 هالسنة")</f>
        <v>من السبت 27/06/2026 إلى الجمعة 03/07/2026 · الأسبوع 27  (يوم القبض: الجمعة)   — قبل أسبوع البداية (ما بينحسب)</v>
      </c>
      <c r="B319" s="48"/>
      <c r="C319" s="48"/>
      <c r="D319" s="48"/>
      <c r="E319" s="48"/>
      <c r="F319" s="48"/>
      <c r="G319" s="48"/>
      <c r="H319" s="48"/>
      <c r="L319" s="24" t="n">
        <f aca="false">IF(27&lt;=NW,SAT1+188,"")</f>
        <v>46206</v>
      </c>
      <c r="M319" s="25" t="n">
        <f aca="false">IF(AND(27&lt;=NW,27&gt;=START_Z),1,0)</f>
        <v>0</v>
      </c>
      <c r="N319" s="26" t="n">
        <f aca="false">IFERROR(INDEX(RT_AZZ,MATCH(L319,RT_K,1)),INDEX(RT_AZZ,1))</f>
        <v>1</v>
      </c>
      <c r="P319" s="26" t="n">
        <f aca="false">IFERROR(INDEX(RT_GYP,MATCH(L319,RT_K,1)),INDEX(RT_GYP,1))</f>
        <v>2.5</v>
      </c>
      <c r="R319" s="0" t="n">
        <v>27</v>
      </c>
      <c r="S319" s="0" t="n">
        <v>27</v>
      </c>
    </row>
    <row r="320" customFormat="false" ht="25.5" hidden="false" customHeight="true" outlineLevel="0" collapsed="false">
      <c r="A320" s="49" t="s">
        <v>22</v>
      </c>
      <c r="B320" s="49" t="s">
        <v>23</v>
      </c>
      <c r="C320" s="49" t="s">
        <v>24</v>
      </c>
      <c r="D320" s="49" t="s">
        <v>25</v>
      </c>
      <c r="E320" s="49" t="s">
        <v>26</v>
      </c>
      <c r="F320" s="49" t="s">
        <v>33</v>
      </c>
      <c r="G320" s="49" t="s">
        <v>34</v>
      </c>
      <c r="H320" s="49" t="s">
        <v>30</v>
      </c>
      <c r="S320" s="0" t="n">
        <v>27</v>
      </c>
    </row>
    <row r="321" customFormat="false" ht="15" hidden="false" customHeight="false" outlineLevel="0" collapsed="false">
      <c r="A321" s="28" t="n">
        <f aca="false">IF(27&lt;=NW,SAT1+182,"")</f>
        <v>46200</v>
      </c>
      <c r="B321" s="29" t="str">
        <f aca="false">IF(A321="","",CHOOSE(WEEKDAY(A321,1),"الأحد","الاثنين","الثلاثاء","الأربعاء","الخميس","الجمعة","السبت"))</f>
        <v>السبت</v>
      </c>
      <c r="C321" s="30"/>
      <c r="D321" s="30"/>
      <c r="E321" s="31" t="str">
        <f aca="false">IF(OR(M321=0,K321="",L321=""),"",MOD(L321-K321,1))</f>
        <v/>
      </c>
      <c r="F321" s="32" t="str">
        <f aca="false">IF(OR(E321="",M321=0),"",IF(ROUND_MODE="للأعلى",CEILING(ROUND((E321*24*$N$319),3),0.25),ROUND((E321*24*$N$319)*4,0)/4))</f>
        <v/>
      </c>
      <c r="G321" s="30"/>
      <c r="H321" s="30"/>
      <c r="K321" s="33" t="str">
        <f aca="false">IF(OR(M321=0,C321=""),"",IF(ISNUMBER(C321),MOD(C321,1),IFERROR(INDEX(القوائم!$B$1:$B$288,MATCH(TRIM(C321),القوائم!$A$1:$A$288,0)),IFERROR(MOD(TIMEVALUE(C321),1),""))))</f>
        <v/>
      </c>
      <c r="L321" s="33" t="str">
        <f aca="false">IF(OR(M321=0,D321=""),"",IF(ISNUMBER(D321),MOD(D321,1),IFERROR(INDEX(القوائم!$B$1:$B$288,MATCH(TRIM(D321),القوائم!$A$1:$A$288,0)),IFERROR(MOD(TIMEVALUE(D321),1),""))))</f>
        <v/>
      </c>
      <c r="M321" s="25" t="n">
        <f aca="false">M319</f>
        <v>0</v>
      </c>
      <c r="Q321" s="25" t="n">
        <f aca="false">IF(N(F330)&gt;0,1,0)</f>
        <v>0</v>
      </c>
      <c r="S321" s="0" t="n">
        <v>27</v>
      </c>
    </row>
    <row r="322" customFormat="false" ht="15" hidden="false" customHeight="false" outlineLevel="0" collapsed="false">
      <c r="A322" s="28" t="n">
        <f aca="false">IF(27&lt;=NW,SAT1+183,"")</f>
        <v>46201</v>
      </c>
      <c r="B322" s="29" t="str">
        <f aca="false">IF(A322="","",CHOOSE(WEEKDAY(A322,1),"الأحد","الاثنين","الثلاثاء","الأربعاء","الخميس","الجمعة","السبت"))</f>
        <v>الأحد</v>
      </c>
      <c r="C322" s="30"/>
      <c r="D322" s="30"/>
      <c r="E322" s="31" t="str">
        <f aca="false">IF(OR(M322=0,K322="",L322=""),"",MOD(L322-K322,1))</f>
        <v/>
      </c>
      <c r="F322" s="32" t="str">
        <f aca="false">IF(OR(E322="",M322=0),"",IF(ROUND_MODE="للأعلى",CEILING(ROUND((E322*24*$N$319),3),0.25),ROUND((E322*24*$N$319)*4,0)/4))</f>
        <v/>
      </c>
      <c r="G322" s="30"/>
      <c r="H322" s="30"/>
      <c r="K322" s="33" t="str">
        <f aca="false">IF(OR(M322=0,C322=""),"",IF(ISNUMBER(C322),MOD(C322,1),IFERROR(INDEX(القوائم!$B$1:$B$288,MATCH(TRIM(C322),القوائم!$A$1:$A$288,0)),IFERROR(MOD(TIMEVALUE(C322),1),""))))</f>
        <v/>
      </c>
      <c r="L322" s="33" t="str">
        <f aca="false">IF(OR(M322=0,D322=""),"",IF(ISNUMBER(D322),MOD(D322,1),IFERROR(INDEX(القوائم!$B$1:$B$288,MATCH(TRIM(D322),القوائم!$A$1:$A$288,0)),IFERROR(MOD(TIMEVALUE(D322),1),""))))</f>
        <v/>
      </c>
      <c r="M322" s="25" t="n">
        <f aca="false">M319</f>
        <v>0</v>
      </c>
      <c r="Q322" s="25" t="n">
        <f aca="false">IF(N(F330)&gt;0,1,0)</f>
        <v>0</v>
      </c>
      <c r="S322" s="0" t="n">
        <v>27</v>
      </c>
    </row>
    <row r="323" customFormat="false" ht="15" hidden="false" customHeight="false" outlineLevel="0" collapsed="false">
      <c r="A323" s="28" t="n">
        <f aca="false">IF(27&lt;=NW,SAT1+184,"")</f>
        <v>46202</v>
      </c>
      <c r="B323" s="29" t="str">
        <f aca="false">IF(A323="","",CHOOSE(WEEKDAY(A323,1),"الأحد","الاثنين","الثلاثاء","الأربعاء","الخميس","الجمعة","السبت"))</f>
        <v>الاثنين</v>
      </c>
      <c r="C323" s="30"/>
      <c r="D323" s="30"/>
      <c r="E323" s="31" t="str">
        <f aca="false">IF(OR(M323=0,K323="",L323=""),"",MOD(L323-K323,1))</f>
        <v/>
      </c>
      <c r="F323" s="32" t="str">
        <f aca="false">IF(OR(E323="",M323=0),"",IF(ROUND_MODE="للأعلى",CEILING(ROUND((E323*24*$N$319),3),0.25),ROUND((E323*24*$N$319)*4,0)/4))</f>
        <v/>
      </c>
      <c r="G323" s="30"/>
      <c r="H323" s="30"/>
      <c r="K323" s="33" t="str">
        <f aca="false">IF(OR(M323=0,C323=""),"",IF(ISNUMBER(C323),MOD(C323,1),IFERROR(INDEX(القوائم!$B$1:$B$288,MATCH(TRIM(C323),القوائم!$A$1:$A$288,0)),IFERROR(MOD(TIMEVALUE(C323),1),""))))</f>
        <v/>
      </c>
      <c r="L323" s="33" t="str">
        <f aca="false">IF(OR(M323=0,D323=""),"",IF(ISNUMBER(D323),MOD(D323,1),IFERROR(INDEX(القوائم!$B$1:$B$288,MATCH(TRIM(D323),القوائم!$A$1:$A$288,0)),IFERROR(MOD(TIMEVALUE(D323),1),""))))</f>
        <v/>
      </c>
      <c r="M323" s="25" t="n">
        <f aca="false">M319</f>
        <v>0</v>
      </c>
      <c r="Q323" s="25" t="n">
        <f aca="false">IF(N(F330)&gt;0,1,0)</f>
        <v>0</v>
      </c>
      <c r="S323" s="0" t="n">
        <v>27</v>
      </c>
    </row>
    <row r="324" customFormat="false" ht="15" hidden="false" customHeight="false" outlineLevel="0" collapsed="false">
      <c r="A324" s="28" t="n">
        <f aca="false">IF(27&lt;=NW,SAT1+185,"")</f>
        <v>46203</v>
      </c>
      <c r="B324" s="29" t="str">
        <f aca="false">IF(A324="","",CHOOSE(WEEKDAY(A324,1),"الأحد","الاثنين","الثلاثاء","الأربعاء","الخميس","الجمعة","السبت"))</f>
        <v>الثلاثاء</v>
      </c>
      <c r="C324" s="30"/>
      <c r="D324" s="30"/>
      <c r="E324" s="31" t="str">
        <f aca="false">IF(OR(M324=0,K324="",L324=""),"",MOD(L324-K324,1))</f>
        <v/>
      </c>
      <c r="F324" s="32" t="str">
        <f aca="false">IF(OR(E324="",M324=0),"",IF(ROUND_MODE="للأعلى",CEILING(ROUND((E324*24*$N$319),3),0.25),ROUND((E324*24*$N$319)*4,0)/4))</f>
        <v/>
      </c>
      <c r="G324" s="30"/>
      <c r="H324" s="30"/>
      <c r="K324" s="33" t="str">
        <f aca="false">IF(OR(M324=0,C324=""),"",IF(ISNUMBER(C324),MOD(C324,1),IFERROR(INDEX(القوائم!$B$1:$B$288,MATCH(TRIM(C324),القوائم!$A$1:$A$288,0)),IFERROR(MOD(TIMEVALUE(C324),1),""))))</f>
        <v/>
      </c>
      <c r="L324" s="33" t="str">
        <f aca="false">IF(OR(M324=0,D324=""),"",IF(ISNUMBER(D324),MOD(D324,1),IFERROR(INDEX(القوائم!$B$1:$B$288,MATCH(TRIM(D324),القوائم!$A$1:$A$288,0)),IFERROR(MOD(TIMEVALUE(D324),1),""))))</f>
        <v/>
      </c>
      <c r="M324" s="25" t="n">
        <f aca="false">M319</f>
        <v>0</v>
      </c>
      <c r="Q324" s="25" t="n">
        <f aca="false">IF(N(F330)&gt;0,1,0)</f>
        <v>0</v>
      </c>
      <c r="S324" s="0" t="n">
        <v>27</v>
      </c>
    </row>
    <row r="325" customFormat="false" ht="15" hidden="false" customHeight="false" outlineLevel="0" collapsed="false">
      <c r="A325" s="28" t="n">
        <f aca="false">IF(27&lt;=NW,SAT1+186,"")</f>
        <v>46204</v>
      </c>
      <c r="B325" s="29" t="str">
        <f aca="false">IF(A325="","",CHOOSE(WEEKDAY(A325,1),"الأحد","الاثنين","الثلاثاء","الأربعاء","الخميس","الجمعة","السبت"))</f>
        <v>الأربعاء</v>
      </c>
      <c r="C325" s="30"/>
      <c r="D325" s="30"/>
      <c r="E325" s="31" t="str">
        <f aca="false">IF(OR(M325=0,K325="",L325=""),"",MOD(L325-K325,1))</f>
        <v/>
      </c>
      <c r="F325" s="32" t="str">
        <f aca="false">IF(OR(E325="",M325=0),"",IF(ROUND_MODE="للأعلى",CEILING(ROUND((E325*24*$N$319),3),0.25),ROUND((E325*24*$N$319)*4,0)/4))</f>
        <v/>
      </c>
      <c r="G325" s="30"/>
      <c r="H325" s="30"/>
      <c r="K325" s="33" t="str">
        <f aca="false">IF(OR(M325=0,C325=""),"",IF(ISNUMBER(C325),MOD(C325,1),IFERROR(INDEX(القوائم!$B$1:$B$288,MATCH(TRIM(C325),القوائم!$A$1:$A$288,0)),IFERROR(MOD(TIMEVALUE(C325),1),""))))</f>
        <v/>
      </c>
      <c r="L325" s="33" t="str">
        <f aca="false">IF(OR(M325=0,D325=""),"",IF(ISNUMBER(D325),MOD(D325,1),IFERROR(INDEX(القوائم!$B$1:$B$288,MATCH(TRIM(D325),القوائم!$A$1:$A$288,0)),IFERROR(MOD(TIMEVALUE(D325),1),""))))</f>
        <v/>
      </c>
      <c r="M325" s="25" t="n">
        <f aca="false">M319</f>
        <v>0</v>
      </c>
      <c r="Q325" s="25" t="n">
        <f aca="false">IF(N(F330)&gt;0,1,0)</f>
        <v>0</v>
      </c>
      <c r="S325" s="0" t="n">
        <v>27</v>
      </c>
    </row>
    <row r="326" customFormat="false" ht="15" hidden="false" customHeight="false" outlineLevel="0" collapsed="false">
      <c r="A326" s="28" t="n">
        <f aca="false">IF(27&lt;=NW,SAT1+187,"")</f>
        <v>46205</v>
      </c>
      <c r="B326" s="29" t="str">
        <f aca="false">IF(A326="","",CHOOSE(WEEKDAY(A326,1),"الأحد","الاثنين","الثلاثاء","الأربعاء","الخميس","الجمعة","السبت"))</f>
        <v>الخميس</v>
      </c>
      <c r="C326" s="30"/>
      <c r="D326" s="30"/>
      <c r="E326" s="31" t="str">
        <f aca="false">IF(OR(M326=0,K326="",L326=""),"",MOD(L326-K326,1))</f>
        <v/>
      </c>
      <c r="F326" s="32" t="str">
        <f aca="false">IF(OR(E326="",M326=0),"",IF(ROUND_MODE="للأعلى",CEILING(ROUND((E326*24*$N$319),3),0.25),ROUND((E326*24*$N$319)*4,0)/4))</f>
        <v/>
      </c>
      <c r="G326" s="30"/>
      <c r="H326" s="30"/>
      <c r="K326" s="33" t="str">
        <f aca="false">IF(OR(M326=0,C326=""),"",IF(ISNUMBER(C326),MOD(C326,1),IFERROR(INDEX(القوائم!$B$1:$B$288,MATCH(TRIM(C326),القوائم!$A$1:$A$288,0)),IFERROR(MOD(TIMEVALUE(C326),1),""))))</f>
        <v/>
      </c>
      <c r="L326" s="33" t="str">
        <f aca="false">IF(OR(M326=0,D326=""),"",IF(ISNUMBER(D326),MOD(D326,1),IFERROR(INDEX(القوائم!$B$1:$B$288,MATCH(TRIM(D326),القوائم!$A$1:$A$288,0)),IFERROR(MOD(TIMEVALUE(D326),1),""))))</f>
        <v/>
      </c>
      <c r="M326" s="25" t="n">
        <f aca="false">M319</f>
        <v>0</v>
      </c>
      <c r="Q326" s="25" t="n">
        <f aca="false">IF(N(F330)&gt;0,1,0)</f>
        <v>0</v>
      </c>
      <c r="S326" s="0" t="n">
        <v>27</v>
      </c>
    </row>
    <row r="327" customFormat="false" ht="15" hidden="false" customHeight="false" outlineLevel="0" collapsed="false">
      <c r="A327" s="34" t="n">
        <f aca="false">IF(27&lt;=NW,SAT1+188,"")</f>
        <v>46206</v>
      </c>
      <c r="B327" s="35" t="str">
        <f aca="false">IF(A327="","",CHOOSE(WEEKDAY(A327,1),"الأحد","الاثنين","الثلاثاء","الأربعاء","الخميس","الجمعة","السبت"))</f>
        <v>الجمعة</v>
      </c>
      <c r="C327" s="30"/>
      <c r="D327" s="30"/>
      <c r="E327" s="31" t="str">
        <f aca="false">IF(OR(M327=0,K327="",L327=""),"",MOD(L327-K327,1))</f>
        <v/>
      </c>
      <c r="F327" s="32" t="str">
        <f aca="false">IF(OR(E327="",M327=0),"",IF(ROUND_MODE="للأعلى",CEILING(ROUND((E327*24*$N$319),3),0.25),ROUND((E327*24*$N$319)*4,0)/4))</f>
        <v/>
      </c>
      <c r="G327" s="30"/>
      <c r="H327" s="30"/>
      <c r="K327" s="33" t="str">
        <f aca="false">IF(OR(M327=0,C327=""),"",IF(ISNUMBER(C327),MOD(C327,1),IFERROR(INDEX(القوائم!$B$1:$B$288,MATCH(TRIM(C327),القوائم!$A$1:$A$288,0)),IFERROR(MOD(TIMEVALUE(C327),1),""))))</f>
        <v/>
      </c>
      <c r="L327" s="33" t="str">
        <f aca="false">IF(OR(M327=0,D327=""),"",IF(ISNUMBER(D327),MOD(D327,1),IFERROR(INDEX(القوائم!$B$1:$B$288,MATCH(TRIM(D327),القوائم!$A$1:$A$288,0)),IFERROR(MOD(TIMEVALUE(D327),1),""))))</f>
        <v/>
      </c>
      <c r="M327" s="25" t="n">
        <f aca="false">M319</f>
        <v>0</v>
      </c>
      <c r="Q327" s="25" t="n">
        <f aca="false">IF(N(F330)&gt;0,1,0)</f>
        <v>0</v>
      </c>
      <c r="S327" s="0" t="n">
        <v>27</v>
      </c>
    </row>
    <row r="328" customFormat="false" ht="15" hidden="false" customHeight="false" outlineLevel="0" collapsed="false">
      <c r="A328" s="36" t="str">
        <f aca="false">IF(M319=1,"مجموع أيام الأسبوع 27","")</f>
        <v/>
      </c>
      <c r="B328" s="36"/>
      <c r="C328" s="36"/>
      <c r="D328" s="36"/>
      <c r="E328" s="37" t="str">
        <f aca="false">IF(M319=1,SUM(E321:E327),"")</f>
        <v/>
      </c>
      <c r="F328" s="38" t="str">
        <f aca="false">IF(M319=1,SUM(F321:F327),"")</f>
        <v/>
      </c>
      <c r="G328" s="50" t="str">
        <f aca="false">IF(M319=1,SUMIFS(F321:F327,G321:G327,"نعم"),"")</f>
        <v/>
      </c>
      <c r="H328" s="36"/>
      <c r="S328" s="0" t="n">
        <v>27</v>
      </c>
    </row>
    <row r="329" customFormat="false" ht="31.5" hidden="false" customHeight="true" outlineLevel="0" collapsed="false">
      <c r="A329" s="39" t="str">
        <f aca="false">IF(M319=1,"ساعات تحميل الجبسمبورد بهالأسبوع (رقم: 2 أو 1.5) ←","")</f>
        <v/>
      </c>
      <c r="B329" s="39"/>
      <c r="C329" s="39"/>
      <c r="D329" s="39"/>
      <c r="E329" s="40"/>
      <c r="F329" s="42" t="str">
        <f aca="false">IF(M319=1,N(F328)+IF(ROUND_MODE="للأعلى",CEILING(ROUND((N(E329)*($P$319-$N$319)),3),0.25),ROUND((N(E329)*($P$319-$N$319))*4,0)/4)+N(C330),"")</f>
        <v/>
      </c>
      <c r="G329" s="41" t="str">
        <f aca="false">IF(M319=1,"← المستحق النهائي للأسبوع مع الجبسمبورد والإكرامية","")</f>
        <v/>
      </c>
      <c r="H329" s="41"/>
      <c r="S329" s="0" t="n">
        <v>27</v>
      </c>
    </row>
    <row r="330" customFormat="false" ht="25.5" hidden="false" customHeight="true" outlineLevel="0" collapsed="false">
      <c r="A330" s="39" t="str">
        <f aca="false">IF(M319=1,"إكرامية الأسبوع ←","")</f>
        <v/>
      </c>
      <c r="B330" s="39"/>
      <c r="C330" s="44"/>
      <c r="D330" s="39" t="str">
        <f aca="false">IF(M319=1,"المدفوع (التسوية) ←","")</f>
        <v/>
      </c>
      <c r="E330" s="39"/>
      <c r="F330" s="44"/>
      <c r="G330" s="45" t="str">
        <f aca="false">IF(M319=1,IF(N(F330)&gt;0,"✔ انقبض — الأسبوع مقفول","⏳ لسا ما انقبض"),"")</f>
        <v/>
      </c>
      <c r="H330" s="45"/>
      <c r="S330" s="0" t="n">
        <v>27</v>
      </c>
    </row>
    <row r="331" customFormat="false" ht="27.75" hidden="false" customHeight="true" outlineLevel="0" collapsed="false">
      <c r="A331" s="48" t="str">
        <f aca="false">IF(28&lt;=NW,"من السبت "&amp;TEXT(DAY(SAT1+189),"00")&amp;"/"&amp;TEXT(MONTH(SAT1+189),"00")&amp;"/"&amp;YEAR(SAT1+189)&amp;" إلى الجمعة "&amp;TEXT(DAY(SAT1+195),"00")&amp;"/"&amp;TEXT(MONTH(SAT1+195),"00")&amp;"/"&amp;YEAR(SAT1+195)&amp;" · الأسبوع 28"&amp;"  (يوم القبض: الجمعة)"&amp;IF(28&lt;START_Z,"   — قبل أسبوع البداية (ما بينحسب)",""),"ما في أسبوع 28 هالسنة")</f>
        <v>من السبت 04/07/2026 إلى الجمعة 10/07/2026 · الأسبوع 28  (يوم القبض: الجمعة)   — قبل أسبوع البداية (ما بينحسب)</v>
      </c>
      <c r="B331" s="48"/>
      <c r="C331" s="48"/>
      <c r="D331" s="48"/>
      <c r="E331" s="48"/>
      <c r="F331" s="48"/>
      <c r="G331" s="48"/>
      <c r="H331" s="48"/>
      <c r="L331" s="24" t="n">
        <f aca="false">IF(28&lt;=NW,SAT1+195,"")</f>
        <v>46213</v>
      </c>
      <c r="M331" s="25" t="n">
        <f aca="false">IF(AND(28&lt;=NW,28&gt;=START_Z),1,0)</f>
        <v>0</v>
      </c>
      <c r="N331" s="26" t="n">
        <f aca="false">IFERROR(INDEX(RT_AZZ,MATCH(L331,RT_K,1)),INDEX(RT_AZZ,1))</f>
        <v>1</v>
      </c>
      <c r="P331" s="26" t="n">
        <f aca="false">IFERROR(INDEX(RT_GYP,MATCH(L331,RT_K,1)),INDEX(RT_GYP,1))</f>
        <v>2.5</v>
      </c>
      <c r="R331" s="0" t="n">
        <v>28</v>
      </c>
      <c r="S331" s="0" t="n">
        <v>28</v>
      </c>
    </row>
    <row r="332" customFormat="false" ht="25.5" hidden="false" customHeight="true" outlineLevel="0" collapsed="false">
      <c r="A332" s="49" t="s">
        <v>22</v>
      </c>
      <c r="B332" s="49" t="s">
        <v>23</v>
      </c>
      <c r="C332" s="49" t="s">
        <v>24</v>
      </c>
      <c r="D332" s="49" t="s">
        <v>25</v>
      </c>
      <c r="E332" s="49" t="s">
        <v>26</v>
      </c>
      <c r="F332" s="49" t="s">
        <v>33</v>
      </c>
      <c r="G332" s="49" t="s">
        <v>34</v>
      </c>
      <c r="H332" s="49" t="s">
        <v>30</v>
      </c>
      <c r="S332" s="0" t="n">
        <v>28</v>
      </c>
    </row>
    <row r="333" customFormat="false" ht="15" hidden="false" customHeight="false" outlineLevel="0" collapsed="false">
      <c r="A333" s="28" t="n">
        <f aca="false">IF(28&lt;=NW,SAT1+189,"")</f>
        <v>46207</v>
      </c>
      <c r="B333" s="29" t="str">
        <f aca="false">IF(A333="","",CHOOSE(WEEKDAY(A333,1),"الأحد","الاثنين","الثلاثاء","الأربعاء","الخميس","الجمعة","السبت"))</f>
        <v>السبت</v>
      </c>
      <c r="C333" s="30"/>
      <c r="D333" s="30"/>
      <c r="E333" s="31" t="str">
        <f aca="false">IF(OR(M333=0,K333="",L333=""),"",MOD(L333-K333,1))</f>
        <v/>
      </c>
      <c r="F333" s="32" t="str">
        <f aca="false">IF(OR(E333="",M333=0),"",IF(ROUND_MODE="للأعلى",CEILING(ROUND((E333*24*$N$331),3),0.25),ROUND((E333*24*$N$331)*4,0)/4))</f>
        <v/>
      </c>
      <c r="G333" s="30"/>
      <c r="H333" s="30"/>
      <c r="K333" s="33" t="str">
        <f aca="false">IF(OR(M333=0,C333=""),"",IF(ISNUMBER(C333),MOD(C333,1),IFERROR(INDEX(القوائم!$B$1:$B$288,MATCH(TRIM(C333),القوائم!$A$1:$A$288,0)),IFERROR(MOD(TIMEVALUE(C333),1),""))))</f>
        <v/>
      </c>
      <c r="L333" s="33" t="str">
        <f aca="false">IF(OR(M333=0,D333=""),"",IF(ISNUMBER(D333),MOD(D333,1),IFERROR(INDEX(القوائم!$B$1:$B$288,MATCH(TRIM(D333),القوائم!$A$1:$A$288,0)),IFERROR(MOD(TIMEVALUE(D333),1),""))))</f>
        <v/>
      </c>
      <c r="M333" s="25" t="n">
        <f aca="false">M331</f>
        <v>0</v>
      </c>
      <c r="Q333" s="25" t="n">
        <f aca="false">IF(N(F342)&gt;0,1,0)</f>
        <v>0</v>
      </c>
      <c r="S333" s="0" t="n">
        <v>28</v>
      </c>
    </row>
    <row r="334" customFormat="false" ht="15" hidden="false" customHeight="false" outlineLevel="0" collapsed="false">
      <c r="A334" s="28" t="n">
        <f aca="false">IF(28&lt;=NW,SAT1+190,"")</f>
        <v>46208</v>
      </c>
      <c r="B334" s="29" t="str">
        <f aca="false">IF(A334="","",CHOOSE(WEEKDAY(A334,1),"الأحد","الاثنين","الثلاثاء","الأربعاء","الخميس","الجمعة","السبت"))</f>
        <v>الأحد</v>
      </c>
      <c r="C334" s="30"/>
      <c r="D334" s="30"/>
      <c r="E334" s="31" t="str">
        <f aca="false">IF(OR(M334=0,K334="",L334=""),"",MOD(L334-K334,1))</f>
        <v/>
      </c>
      <c r="F334" s="32" t="str">
        <f aca="false">IF(OR(E334="",M334=0),"",IF(ROUND_MODE="للأعلى",CEILING(ROUND((E334*24*$N$331),3),0.25),ROUND((E334*24*$N$331)*4,0)/4))</f>
        <v/>
      </c>
      <c r="G334" s="30"/>
      <c r="H334" s="30"/>
      <c r="K334" s="33" t="str">
        <f aca="false">IF(OR(M334=0,C334=""),"",IF(ISNUMBER(C334),MOD(C334,1),IFERROR(INDEX(القوائم!$B$1:$B$288,MATCH(TRIM(C334),القوائم!$A$1:$A$288,0)),IFERROR(MOD(TIMEVALUE(C334),1),""))))</f>
        <v/>
      </c>
      <c r="L334" s="33" t="str">
        <f aca="false">IF(OR(M334=0,D334=""),"",IF(ISNUMBER(D334),MOD(D334,1),IFERROR(INDEX(القوائم!$B$1:$B$288,MATCH(TRIM(D334),القوائم!$A$1:$A$288,0)),IFERROR(MOD(TIMEVALUE(D334),1),""))))</f>
        <v/>
      </c>
      <c r="M334" s="25" t="n">
        <f aca="false">M331</f>
        <v>0</v>
      </c>
      <c r="Q334" s="25" t="n">
        <f aca="false">IF(N(F342)&gt;0,1,0)</f>
        <v>0</v>
      </c>
      <c r="S334" s="0" t="n">
        <v>28</v>
      </c>
    </row>
    <row r="335" customFormat="false" ht="15" hidden="false" customHeight="false" outlineLevel="0" collapsed="false">
      <c r="A335" s="28" t="n">
        <f aca="false">IF(28&lt;=NW,SAT1+191,"")</f>
        <v>46209</v>
      </c>
      <c r="B335" s="29" t="str">
        <f aca="false">IF(A335="","",CHOOSE(WEEKDAY(A335,1),"الأحد","الاثنين","الثلاثاء","الأربعاء","الخميس","الجمعة","السبت"))</f>
        <v>الاثنين</v>
      </c>
      <c r="C335" s="30"/>
      <c r="D335" s="30"/>
      <c r="E335" s="31" t="str">
        <f aca="false">IF(OR(M335=0,K335="",L335=""),"",MOD(L335-K335,1))</f>
        <v/>
      </c>
      <c r="F335" s="32" t="str">
        <f aca="false">IF(OR(E335="",M335=0),"",IF(ROUND_MODE="للأعلى",CEILING(ROUND((E335*24*$N$331),3),0.25),ROUND((E335*24*$N$331)*4,0)/4))</f>
        <v/>
      </c>
      <c r="G335" s="30"/>
      <c r="H335" s="30"/>
      <c r="K335" s="33" t="str">
        <f aca="false">IF(OR(M335=0,C335=""),"",IF(ISNUMBER(C335),MOD(C335,1),IFERROR(INDEX(القوائم!$B$1:$B$288,MATCH(TRIM(C335),القوائم!$A$1:$A$288,0)),IFERROR(MOD(TIMEVALUE(C335),1),""))))</f>
        <v/>
      </c>
      <c r="L335" s="33" t="str">
        <f aca="false">IF(OR(M335=0,D335=""),"",IF(ISNUMBER(D335),MOD(D335,1),IFERROR(INDEX(القوائم!$B$1:$B$288,MATCH(TRIM(D335),القوائم!$A$1:$A$288,0)),IFERROR(MOD(TIMEVALUE(D335),1),""))))</f>
        <v/>
      </c>
      <c r="M335" s="25" t="n">
        <f aca="false">M331</f>
        <v>0</v>
      </c>
      <c r="Q335" s="25" t="n">
        <f aca="false">IF(N(F342)&gt;0,1,0)</f>
        <v>0</v>
      </c>
      <c r="S335" s="0" t="n">
        <v>28</v>
      </c>
    </row>
    <row r="336" customFormat="false" ht="15" hidden="false" customHeight="false" outlineLevel="0" collapsed="false">
      <c r="A336" s="28" t="n">
        <f aca="false">IF(28&lt;=NW,SAT1+192,"")</f>
        <v>46210</v>
      </c>
      <c r="B336" s="29" t="str">
        <f aca="false">IF(A336="","",CHOOSE(WEEKDAY(A336,1),"الأحد","الاثنين","الثلاثاء","الأربعاء","الخميس","الجمعة","السبت"))</f>
        <v>الثلاثاء</v>
      </c>
      <c r="C336" s="30"/>
      <c r="D336" s="30"/>
      <c r="E336" s="31" t="str">
        <f aca="false">IF(OR(M336=0,K336="",L336=""),"",MOD(L336-K336,1))</f>
        <v/>
      </c>
      <c r="F336" s="32" t="str">
        <f aca="false">IF(OR(E336="",M336=0),"",IF(ROUND_MODE="للأعلى",CEILING(ROUND((E336*24*$N$331),3),0.25),ROUND((E336*24*$N$331)*4,0)/4))</f>
        <v/>
      </c>
      <c r="G336" s="30"/>
      <c r="H336" s="30"/>
      <c r="K336" s="33" t="str">
        <f aca="false">IF(OR(M336=0,C336=""),"",IF(ISNUMBER(C336),MOD(C336,1),IFERROR(INDEX(القوائم!$B$1:$B$288,MATCH(TRIM(C336),القوائم!$A$1:$A$288,0)),IFERROR(MOD(TIMEVALUE(C336),1),""))))</f>
        <v/>
      </c>
      <c r="L336" s="33" t="str">
        <f aca="false">IF(OR(M336=0,D336=""),"",IF(ISNUMBER(D336),MOD(D336,1),IFERROR(INDEX(القوائم!$B$1:$B$288,MATCH(TRIM(D336),القوائم!$A$1:$A$288,0)),IFERROR(MOD(TIMEVALUE(D336),1),""))))</f>
        <v/>
      </c>
      <c r="M336" s="25" t="n">
        <f aca="false">M331</f>
        <v>0</v>
      </c>
      <c r="Q336" s="25" t="n">
        <f aca="false">IF(N(F342)&gt;0,1,0)</f>
        <v>0</v>
      </c>
      <c r="S336" s="0" t="n">
        <v>28</v>
      </c>
    </row>
    <row r="337" customFormat="false" ht="15" hidden="false" customHeight="false" outlineLevel="0" collapsed="false">
      <c r="A337" s="28" t="n">
        <f aca="false">IF(28&lt;=NW,SAT1+193,"")</f>
        <v>46211</v>
      </c>
      <c r="B337" s="29" t="str">
        <f aca="false">IF(A337="","",CHOOSE(WEEKDAY(A337,1),"الأحد","الاثنين","الثلاثاء","الأربعاء","الخميس","الجمعة","السبت"))</f>
        <v>الأربعاء</v>
      </c>
      <c r="C337" s="30"/>
      <c r="D337" s="30"/>
      <c r="E337" s="31" t="str">
        <f aca="false">IF(OR(M337=0,K337="",L337=""),"",MOD(L337-K337,1))</f>
        <v/>
      </c>
      <c r="F337" s="32" t="str">
        <f aca="false">IF(OR(E337="",M337=0),"",IF(ROUND_MODE="للأعلى",CEILING(ROUND((E337*24*$N$331),3),0.25),ROUND((E337*24*$N$331)*4,0)/4))</f>
        <v/>
      </c>
      <c r="G337" s="30"/>
      <c r="H337" s="30"/>
      <c r="K337" s="33" t="str">
        <f aca="false">IF(OR(M337=0,C337=""),"",IF(ISNUMBER(C337),MOD(C337,1),IFERROR(INDEX(القوائم!$B$1:$B$288,MATCH(TRIM(C337),القوائم!$A$1:$A$288,0)),IFERROR(MOD(TIMEVALUE(C337),1),""))))</f>
        <v/>
      </c>
      <c r="L337" s="33" t="str">
        <f aca="false">IF(OR(M337=0,D337=""),"",IF(ISNUMBER(D337),MOD(D337,1),IFERROR(INDEX(القوائم!$B$1:$B$288,MATCH(TRIM(D337),القوائم!$A$1:$A$288,0)),IFERROR(MOD(TIMEVALUE(D337),1),""))))</f>
        <v/>
      </c>
      <c r="M337" s="25" t="n">
        <f aca="false">M331</f>
        <v>0</v>
      </c>
      <c r="Q337" s="25" t="n">
        <f aca="false">IF(N(F342)&gt;0,1,0)</f>
        <v>0</v>
      </c>
      <c r="S337" s="0" t="n">
        <v>28</v>
      </c>
    </row>
    <row r="338" customFormat="false" ht="15" hidden="false" customHeight="false" outlineLevel="0" collapsed="false">
      <c r="A338" s="28" t="n">
        <f aca="false">IF(28&lt;=NW,SAT1+194,"")</f>
        <v>46212</v>
      </c>
      <c r="B338" s="29" t="str">
        <f aca="false">IF(A338="","",CHOOSE(WEEKDAY(A338,1),"الأحد","الاثنين","الثلاثاء","الأربعاء","الخميس","الجمعة","السبت"))</f>
        <v>الخميس</v>
      </c>
      <c r="C338" s="30"/>
      <c r="D338" s="30"/>
      <c r="E338" s="31" t="str">
        <f aca="false">IF(OR(M338=0,K338="",L338=""),"",MOD(L338-K338,1))</f>
        <v/>
      </c>
      <c r="F338" s="32" t="str">
        <f aca="false">IF(OR(E338="",M338=0),"",IF(ROUND_MODE="للأعلى",CEILING(ROUND((E338*24*$N$331),3),0.25),ROUND((E338*24*$N$331)*4,0)/4))</f>
        <v/>
      </c>
      <c r="G338" s="30"/>
      <c r="H338" s="30"/>
      <c r="K338" s="33" t="str">
        <f aca="false">IF(OR(M338=0,C338=""),"",IF(ISNUMBER(C338),MOD(C338,1),IFERROR(INDEX(القوائم!$B$1:$B$288,MATCH(TRIM(C338),القوائم!$A$1:$A$288,0)),IFERROR(MOD(TIMEVALUE(C338),1),""))))</f>
        <v/>
      </c>
      <c r="L338" s="33" t="str">
        <f aca="false">IF(OR(M338=0,D338=""),"",IF(ISNUMBER(D338),MOD(D338,1),IFERROR(INDEX(القوائم!$B$1:$B$288,MATCH(TRIM(D338),القوائم!$A$1:$A$288,0)),IFERROR(MOD(TIMEVALUE(D338),1),""))))</f>
        <v/>
      </c>
      <c r="M338" s="25" t="n">
        <f aca="false">M331</f>
        <v>0</v>
      </c>
      <c r="Q338" s="25" t="n">
        <f aca="false">IF(N(F342)&gt;0,1,0)</f>
        <v>0</v>
      </c>
      <c r="S338" s="0" t="n">
        <v>28</v>
      </c>
    </row>
    <row r="339" customFormat="false" ht="15" hidden="false" customHeight="false" outlineLevel="0" collapsed="false">
      <c r="A339" s="34" t="n">
        <f aca="false">IF(28&lt;=NW,SAT1+195,"")</f>
        <v>46213</v>
      </c>
      <c r="B339" s="35" t="str">
        <f aca="false">IF(A339="","",CHOOSE(WEEKDAY(A339,1),"الأحد","الاثنين","الثلاثاء","الأربعاء","الخميس","الجمعة","السبت"))</f>
        <v>الجمعة</v>
      </c>
      <c r="C339" s="30"/>
      <c r="D339" s="30"/>
      <c r="E339" s="31" t="str">
        <f aca="false">IF(OR(M339=0,K339="",L339=""),"",MOD(L339-K339,1))</f>
        <v/>
      </c>
      <c r="F339" s="32" t="str">
        <f aca="false">IF(OR(E339="",M339=0),"",IF(ROUND_MODE="للأعلى",CEILING(ROUND((E339*24*$N$331),3),0.25),ROUND((E339*24*$N$331)*4,0)/4))</f>
        <v/>
      </c>
      <c r="G339" s="30"/>
      <c r="H339" s="30"/>
      <c r="K339" s="33" t="str">
        <f aca="false">IF(OR(M339=0,C339=""),"",IF(ISNUMBER(C339),MOD(C339,1),IFERROR(INDEX(القوائم!$B$1:$B$288,MATCH(TRIM(C339),القوائم!$A$1:$A$288,0)),IFERROR(MOD(TIMEVALUE(C339),1),""))))</f>
        <v/>
      </c>
      <c r="L339" s="33" t="str">
        <f aca="false">IF(OR(M339=0,D339=""),"",IF(ISNUMBER(D339),MOD(D339,1),IFERROR(INDEX(القوائم!$B$1:$B$288,MATCH(TRIM(D339),القوائم!$A$1:$A$288,0)),IFERROR(MOD(TIMEVALUE(D339),1),""))))</f>
        <v/>
      </c>
      <c r="M339" s="25" t="n">
        <f aca="false">M331</f>
        <v>0</v>
      </c>
      <c r="Q339" s="25" t="n">
        <f aca="false">IF(N(F342)&gt;0,1,0)</f>
        <v>0</v>
      </c>
      <c r="S339" s="0" t="n">
        <v>28</v>
      </c>
    </row>
    <row r="340" customFormat="false" ht="15" hidden="false" customHeight="false" outlineLevel="0" collapsed="false">
      <c r="A340" s="36" t="str">
        <f aca="false">IF(M331=1,"مجموع أيام الأسبوع 28","")</f>
        <v/>
      </c>
      <c r="B340" s="36"/>
      <c r="C340" s="36"/>
      <c r="D340" s="36"/>
      <c r="E340" s="37" t="str">
        <f aca="false">IF(M331=1,SUM(E333:E339),"")</f>
        <v/>
      </c>
      <c r="F340" s="38" t="str">
        <f aca="false">IF(M331=1,SUM(F333:F339),"")</f>
        <v/>
      </c>
      <c r="G340" s="50" t="str">
        <f aca="false">IF(M331=1,SUMIFS(F333:F339,G333:G339,"نعم"),"")</f>
        <v/>
      </c>
      <c r="H340" s="36"/>
      <c r="S340" s="0" t="n">
        <v>28</v>
      </c>
    </row>
    <row r="341" customFormat="false" ht="31.5" hidden="false" customHeight="true" outlineLevel="0" collapsed="false">
      <c r="A341" s="39" t="str">
        <f aca="false">IF(M331=1,"ساعات تحميل الجبسمبورد بهالأسبوع (رقم: 2 أو 1.5) ←","")</f>
        <v/>
      </c>
      <c r="B341" s="39"/>
      <c r="C341" s="39"/>
      <c r="D341" s="39"/>
      <c r="E341" s="40"/>
      <c r="F341" s="42" t="str">
        <f aca="false">IF(M331=1,N(F340)+IF(ROUND_MODE="للأعلى",CEILING(ROUND((N(E341)*($P$331-$N$331)),3),0.25),ROUND((N(E341)*($P$331-$N$331))*4,0)/4)+N(C342),"")</f>
        <v/>
      </c>
      <c r="G341" s="41" t="str">
        <f aca="false">IF(M331=1,"← المستحق النهائي للأسبوع مع الجبسمبورد والإكرامية","")</f>
        <v/>
      </c>
      <c r="H341" s="41"/>
      <c r="S341" s="0" t="n">
        <v>28</v>
      </c>
    </row>
    <row r="342" customFormat="false" ht="25.5" hidden="false" customHeight="true" outlineLevel="0" collapsed="false">
      <c r="A342" s="39" t="str">
        <f aca="false">IF(M331=1,"إكرامية الأسبوع ←","")</f>
        <v/>
      </c>
      <c r="B342" s="39"/>
      <c r="C342" s="44"/>
      <c r="D342" s="39" t="str">
        <f aca="false">IF(M331=1,"المدفوع (التسوية) ←","")</f>
        <v/>
      </c>
      <c r="E342" s="39"/>
      <c r="F342" s="44"/>
      <c r="G342" s="45" t="str">
        <f aca="false">IF(M331=1,IF(N(F342)&gt;0,"✔ انقبض — الأسبوع مقفول","⏳ لسا ما انقبض"),"")</f>
        <v/>
      </c>
      <c r="H342" s="45"/>
      <c r="S342" s="0" t="n">
        <v>28</v>
      </c>
    </row>
    <row r="343" customFormat="false" ht="27.75" hidden="false" customHeight="true" outlineLevel="0" collapsed="false">
      <c r="A343" s="48" t="str">
        <f aca="false">IF(29&lt;=NW,"من السبت "&amp;TEXT(DAY(SAT1+196),"00")&amp;"/"&amp;TEXT(MONTH(SAT1+196),"00")&amp;"/"&amp;YEAR(SAT1+196)&amp;" إلى الجمعة "&amp;TEXT(DAY(SAT1+202),"00")&amp;"/"&amp;TEXT(MONTH(SAT1+202),"00")&amp;"/"&amp;YEAR(SAT1+202)&amp;" · الأسبوع 29"&amp;"  (يوم القبض: الجمعة)"&amp;IF(29&lt;START_Z,"   — قبل أسبوع البداية (ما بينحسب)",""),"ما في أسبوع 29 هالسنة")</f>
        <v>من السبت 11/07/2026 إلى الجمعة 17/07/2026 · الأسبوع 29  (يوم القبض: الجمعة)   — قبل أسبوع البداية (ما بينحسب)</v>
      </c>
      <c r="B343" s="48"/>
      <c r="C343" s="48"/>
      <c r="D343" s="48"/>
      <c r="E343" s="48"/>
      <c r="F343" s="48"/>
      <c r="G343" s="48"/>
      <c r="H343" s="48"/>
      <c r="L343" s="24" t="n">
        <f aca="false">IF(29&lt;=NW,SAT1+202,"")</f>
        <v>46220</v>
      </c>
      <c r="M343" s="25" t="n">
        <f aca="false">IF(AND(29&lt;=NW,29&gt;=START_Z),1,0)</f>
        <v>0</v>
      </c>
      <c r="N343" s="26" t="n">
        <f aca="false">IFERROR(INDEX(RT_AZZ,MATCH(L343,RT_K,1)),INDEX(RT_AZZ,1))</f>
        <v>1</v>
      </c>
      <c r="P343" s="26" t="n">
        <f aca="false">IFERROR(INDEX(RT_GYP,MATCH(L343,RT_K,1)),INDEX(RT_GYP,1))</f>
        <v>2.5</v>
      </c>
      <c r="R343" s="0" t="n">
        <v>29</v>
      </c>
      <c r="S343" s="0" t="n">
        <v>29</v>
      </c>
    </row>
    <row r="344" customFormat="false" ht="25.5" hidden="false" customHeight="true" outlineLevel="0" collapsed="false">
      <c r="A344" s="49" t="s">
        <v>22</v>
      </c>
      <c r="B344" s="49" t="s">
        <v>23</v>
      </c>
      <c r="C344" s="49" t="s">
        <v>24</v>
      </c>
      <c r="D344" s="49" t="s">
        <v>25</v>
      </c>
      <c r="E344" s="49" t="s">
        <v>26</v>
      </c>
      <c r="F344" s="49" t="s">
        <v>33</v>
      </c>
      <c r="G344" s="49" t="s">
        <v>34</v>
      </c>
      <c r="H344" s="49" t="s">
        <v>30</v>
      </c>
      <c r="S344" s="0" t="n">
        <v>29</v>
      </c>
    </row>
    <row r="345" customFormat="false" ht="15" hidden="false" customHeight="false" outlineLevel="0" collapsed="false">
      <c r="A345" s="28" t="n">
        <f aca="false">IF(29&lt;=NW,SAT1+196,"")</f>
        <v>46214</v>
      </c>
      <c r="B345" s="29" t="str">
        <f aca="false">IF(A345="","",CHOOSE(WEEKDAY(A345,1),"الأحد","الاثنين","الثلاثاء","الأربعاء","الخميس","الجمعة","السبت"))</f>
        <v>السبت</v>
      </c>
      <c r="C345" s="30"/>
      <c r="D345" s="30"/>
      <c r="E345" s="31" t="str">
        <f aca="false">IF(OR(M345=0,K345="",L345=""),"",MOD(L345-K345,1))</f>
        <v/>
      </c>
      <c r="F345" s="32" t="str">
        <f aca="false">IF(OR(E345="",M345=0),"",IF(ROUND_MODE="للأعلى",CEILING(ROUND((E345*24*$N$343),3),0.25),ROUND((E345*24*$N$343)*4,0)/4))</f>
        <v/>
      </c>
      <c r="G345" s="30"/>
      <c r="H345" s="30"/>
      <c r="K345" s="33" t="str">
        <f aca="false">IF(OR(M345=0,C345=""),"",IF(ISNUMBER(C345),MOD(C345,1),IFERROR(INDEX(القوائم!$B$1:$B$288,MATCH(TRIM(C345),القوائم!$A$1:$A$288,0)),IFERROR(MOD(TIMEVALUE(C345),1),""))))</f>
        <v/>
      </c>
      <c r="L345" s="33" t="str">
        <f aca="false">IF(OR(M345=0,D345=""),"",IF(ISNUMBER(D345),MOD(D345,1),IFERROR(INDEX(القوائم!$B$1:$B$288,MATCH(TRIM(D345),القوائم!$A$1:$A$288,0)),IFERROR(MOD(TIMEVALUE(D345),1),""))))</f>
        <v/>
      </c>
      <c r="M345" s="25" t="n">
        <f aca="false">M343</f>
        <v>0</v>
      </c>
      <c r="Q345" s="25" t="n">
        <f aca="false">IF(N(F354)&gt;0,1,0)</f>
        <v>0</v>
      </c>
      <c r="S345" s="0" t="n">
        <v>29</v>
      </c>
    </row>
    <row r="346" customFormat="false" ht="15" hidden="false" customHeight="false" outlineLevel="0" collapsed="false">
      <c r="A346" s="28" t="n">
        <f aca="false">IF(29&lt;=NW,SAT1+197,"")</f>
        <v>46215</v>
      </c>
      <c r="B346" s="29" t="str">
        <f aca="false">IF(A346="","",CHOOSE(WEEKDAY(A346,1),"الأحد","الاثنين","الثلاثاء","الأربعاء","الخميس","الجمعة","السبت"))</f>
        <v>الأحد</v>
      </c>
      <c r="C346" s="30"/>
      <c r="D346" s="30"/>
      <c r="E346" s="31" t="str">
        <f aca="false">IF(OR(M346=0,K346="",L346=""),"",MOD(L346-K346,1))</f>
        <v/>
      </c>
      <c r="F346" s="32" t="str">
        <f aca="false">IF(OR(E346="",M346=0),"",IF(ROUND_MODE="للأعلى",CEILING(ROUND((E346*24*$N$343),3),0.25),ROUND((E346*24*$N$343)*4,0)/4))</f>
        <v/>
      </c>
      <c r="G346" s="30"/>
      <c r="H346" s="30"/>
      <c r="K346" s="33" t="str">
        <f aca="false">IF(OR(M346=0,C346=""),"",IF(ISNUMBER(C346),MOD(C346,1),IFERROR(INDEX(القوائم!$B$1:$B$288,MATCH(TRIM(C346),القوائم!$A$1:$A$288,0)),IFERROR(MOD(TIMEVALUE(C346),1),""))))</f>
        <v/>
      </c>
      <c r="L346" s="33" t="str">
        <f aca="false">IF(OR(M346=0,D346=""),"",IF(ISNUMBER(D346),MOD(D346,1),IFERROR(INDEX(القوائم!$B$1:$B$288,MATCH(TRIM(D346),القوائم!$A$1:$A$288,0)),IFERROR(MOD(TIMEVALUE(D346),1),""))))</f>
        <v/>
      </c>
      <c r="M346" s="25" t="n">
        <f aca="false">M343</f>
        <v>0</v>
      </c>
      <c r="Q346" s="25" t="n">
        <f aca="false">IF(N(F354)&gt;0,1,0)</f>
        <v>0</v>
      </c>
      <c r="S346" s="0" t="n">
        <v>29</v>
      </c>
    </row>
    <row r="347" customFormat="false" ht="15" hidden="false" customHeight="false" outlineLevel="0" collapsed="false">
      <c r="A347" s="28" t="n">
        <f aca="false">IF(29&lt;=NW,SAT1+198,"")</f>
        <v>46216</v>
      </c>
      <c r="B347" s="29" t="str">
        <f aca="false">IF(A347="","",CHOOSE(WEEKDAY(A347,1),"الأحد","الاثنين","الثلاثاء","الأربعاء","الخميس","الجمعة","السبت"))</f>
        <v>الاثنين</v>
      </c>
      <c r="C347" s="30"/>
      <c r="D347" s="30"/>
      <c r="E347" s="31" t="str">
        <f aca="false">IF(OR(M347=0,K347="",L347=""),"",MOD(L347-K347,1))</f>
        <v/>
      </c>
      <c r="F347" s="32" t="str">
        <f aca="false">IF(OR(E347="",M347=0),"",IF(ROUND_MODE="للأعلى",CEILING(ROUND((E347*24*$N$343),3),0.25),ROUND((E347*24*$N$343)*4,0)/4))</f>
        <v/>
      </c>
      <c r="G347" s="30"/>
      <c r="H347" s="30"/>
      <c r="K347" s="33" t="str">
        <f aca="false">IF(OR(M347=0,C347=""),"",IF(ISNUMBER(C347),MOD(C347,1),IFERROR(INDEX(القوائم!$B$1:$B$288,MATCH(TRIM(C347),القوائم!$A$1:$A$288,0)),IFERROR(MOD(TIMEVALUE(C347),1),""))))</f>
        <v/>
      </c>
      <c r="L347" s="33" t="str">
        <f aca="false">IF(OR(M347=0,D347=""),"",IF(ISNUMBER(D347),MOD(D347,1),IFERROR(INDEX(القوائم!$B$1:$B$288,MATCH(TRIM(D347),القوائم!$A$1:$A$288,0)),IFERROR(MOD(TIMEVALUE(D347),1),""))))</f>
        <v/>
      </c>
      <c r="M347" s="25" t="n">
        <f aca="false">M343</f>
        <v>0</v>
      </c>
      <c r="Q347" s="25" t="n">
        <f aca="false">IF(N(F354)&gt;0,1,0)</f>
        <v>0</v>
      </c>
      <c r="S347" s="0" t="n">
        <v>29</v>
      </c>
    </row>
    <row r="348" customFormat="false" ht="15" hidden="false" customHeight="false" outlineLevel="0" collapsed="false">
      <c r="A348" s="28" t="n">
        <f aca="false">IF(29&lt;=NW,SAT1+199,"")</f>
        <v>46217</v>
      </c>
      <c r="B348" s="29" t="str">
        <f aca="false">IF(A348="","",CHOOSE(WEEKDAY(A348,1),"الأحد","الاثنين","الثلاثاء","الأربعاء","الخميس","الجمعة","السبت"))</f>
        <v>الثلاثاء</v>
      </c>
      <c r="C348" s="30"/>
      <c r="D348" s="30"/>
      <c r="E348" s="31" t="str">
        <f aca="false">IF(OR(M348=0,K348="",L348=""),"",MOD(L348-K348,1))</f>
        <v/>
      </c>
      <c r="F348" s="32" t="str">
        <f aca="false">IF(OR(E348="",M348=0),"",IF(ROUND_MODE="للأعلى",CEILING(ROUND((E348*24*$N$343),3),0.25),ROUND((E348*24*$N$343)*4,0)/4))</f>
        <v/>
      </c>
      <c r="G348" s="30"/>
      <c r="H348" s="30"/>
      <c r="K348" s="33" t="str">
        <f aca="false">IF(OR(M348=0,C348=""),"",IF(ISNUMBER(C348),MOD(C348,1),IFERROR(INDEX(القوائم!$B$1:$B$288,MATCH(TRIM(C348),القوائم!$A$1:$A$288,0)),IFERROR(MOD(TIMEVALUE(C348),1),""))))</f>
        <v/>
      </c>
      <c r="L348" s="33" t="str">
        <f aca="false">IF(OR(M348=0,D348=""),"",IF(ISNUMBER(D348),MOD(D348,1),IFERROR(INDEX(القوائم!$B$1:$B$288,MATCH(TRIM(D348),القوائم!$A$1:$A$288,0)),IFERROR(MOD(TIMEVALUE(D348),1),""))))</f>
        <v/>
      </c>
      <c r="M348" s="25" t="n">
        <f aca="false">M343</f>
        <v>0</v>
      </c>
      <c r="Q348" s="25" t="n">
        <f aca="false">IF(N(F354)&gt;0,1,0)</f>
        <v>0</v>
      </c>
      <c r="S348" s="0" t="n">
        <v>29</v>
      </c>
    </row>
    <row r="349" customFormat="false" ht="15" hidden="false" customHeight="false" outlineLevel="0" collapsed="false">
      <c r="A349" s="28" t="n">
        <f aca="false">IF(29&lt;=NW,SAT1+200,"")</f>
        <v>46218</v>
      </c>
      <c r="B349" s="29" t="str">
        <f aca="false">IF(A349="","",CHOOSE(WEEKDAY(A349,1),"الأحد","الاثنين","الثلاثاء","الأربعاء","الخميس","الجمعة","السبت"))</f>
        <v>الأربعاء</v>
      </c>
      <c r="C349" s="30"/>
      <c r="D349" s="30"/>
      <c r="E349" s="31" t="str">
        <f aca="false">IF(OR(M349=0,K349="",L349=""),"",MOD(L349-K349,1))</f>
        <v/>
      </c>
      <c r="F349" s="32" t="str">
        <f aca="false">IF(OR(E349="",M349=0),"",IF(ROUND_MODE="للأعلى",CEILING(ROUND((E349*24*$N$343),3),0.25),ROUND((E349*24*$N$343)*4,0)/4))</f>
        <v/>
      </c>
      <c r="G349" s="30"/>
      <c r="H349" s="30"/>
      <c r="K349" s="33" t="str">
        <f aca="false">IF(OR(M349=0,C349=""),"",IF(ISNUMBER(C349),MOD(C349,1),IFERROR(INDEX(القوائم!$B$1:$B$288,MATCH(TRIM(C349),القوائم!$A$1:$A$288,0)),IFERROR(MOD(TIMEVALUE(C349),1),""))))</f>
        <v/>
      </c>
      <c r="L349" s="33" t="str">
        <f aca="false">IF(OR(M349=0,D349=""),"",IF(ISNUMBER(D349),MOD(D349,1),IFERROR(INDEX(القوائم!$B$1:$B$288,MATCH(TRIM(D349),القوائم!$A$1:$A$288,0)),IFERROR(MOD(TIMEVALUE(D349),1),""))))</f>
        <v/>
      </c>
      <c r="M349" s="25" t="n">
        <f aca="false">M343</f>
        <v>0</v>
      </c>
      <c r="Q349" s="25" t="n">
        <f aca="false">IF(N(F354)&gt;0,1,0)</f>
        <v>0</v>
      </c>
      <c r="S349" s="0" t="n">
        <v>29</v>
      </c>
    </row>
    <row r="350" customFormat="false" ht="15" hidden="false" customHeight="false" outlineLevel="0" collapsed="false">
      <c r="A350" s="28" t="n">
        <f aca="false">IF(29&lt;=NW,SAT1+201,"")</f>
        <v>46219</v>
      </c>
      <c r="B350" s="29" t="str">
        <f aca="false">IF(A350="","",CHOOSE(WEEKDAY(A350,1),"الأحد","الاثنين","الثلاثاء","الأربعاء","الخميس","الجمعة","السبت"))</f>
        <v>الخميس</v>
      </c>
      <c r="C350" s="30"/>
      <c r="D350" s="30"/>
      <c r="E350" s="31" t="str">
        <f aca="false">IF(OR(M350=0,K350="",L350=""),"",MOD(L350-K350,1))</f>
        <v/>
      </c>
      <c r="F350" s="32" t="str">
        <f aca="false">IF(OR(E350="",M350=0),"",IF(ROUND_MODE="للأعلى",CEILING(ROUND((E350*24*$N$343),3),0.25),ROUND((E350*24*$N$343)*4,0)/4))</f>
        <v/>
      </c>
      <c r="G350" s="30"/>
      <c r="H350" s="30"/>
      <c r="K350" s="33" t="str">
        <f aca="false">IF(OR(M350=0,C350=""),"",IF(ISNUMBER(C350),MOD(C350,1),IFERROR(INDEX(القوائم!$B$1:$B$288,MATCH(TRIM(C350),القوائم!$A$1:$A$288,0)),IFERROR(MOD(TIMEVALUE(C350),1),""))))</f>
        <v/>
      </c>
      <c r="L350" s="33" t="str">
        <f aca="false">IF(OR(M350=0,D350=""),"",IF(ISNUMBER(D350),MOD(D350,1),IFERROR(INDEX(القوائم!$B$1:$B$288,MATCH(TRIM(D350),القوائم!$A$1:$A$288,0)),IFERROR(MOD(TIMEVALUE(D350),1),""))))</f>
        <v/>
      </c>
      <c r="M350" s="25" t="n">
        <f aca="false">M343</f>
        <v>0</v>
      </c>
      <c r="Q350" s="25" t="n">
        <f aca="false">IF(N(F354)&gt;0,1,0)</f>
        <v>0</v>
      </c>
      <c r="S350" s="0" t="n">
        <v>29</v>
      </c>
    </row>
    <row r="351" customFormat="false" ht="15" hidden="false" customHeight="false" outlineLevel="0" collapsed="false">
      <c r="A351" s="34" t="n">
        <f aca="false">IF(29&lt;=NW,SAT1+202,"")</f>
        <v>46220</v>
      </c>
      <c r="B351" s="35" t="str">
        <f aca="false">IF(A351="","",CHOOSE(WEEKDAY(A351,1),"الأحد","الاثنين","الثلاثاء","الأربعاء","الخميس","الجمعة","السبت"))</f>
        <v>الجمعة</v>
      </c>
      <c r="C351" s="30"/>
      <c r="D351" s="30"/>
      <c r="E351" s="31" t="str">
        <f aca="false">IF(OR(M351=0,K351="",L351=""),"",MOD(L351-K351,1))</f>
        <v/>
      </c>
      <c r="F351" s="32" t="str">
        <f aca="false">IF(OR(E351="",M351=0),"",IF(ROUND_MODE="للأعلى",CEILING(ROUND((E351*24*$N$343),3),0.25),ROUND((E351*24*$N$343)*4,0)/4))</f>
        <v/>
      </c>
      <c r="G351" s="30"/>
      <c r="H351" s="30"/>
      <c r="K351" s="33" t="str">
        <f aca="false">IF(OR(M351=0,C351=""),"",IF(ISNUMBER(C351),MOD(C351,1),IFERROR(INDEX(القوائم!$B$1:$B$288,MATCH(TRIM(C351),القوائم!$A$1:$A$288,0)),IFERROR(MOD(TIMEVALUE(C351),1),""))))</f>
        <v/>
      </c>
      <c r="L351" s="33" t="str">
        <f aca="false">IF(OR(M351=0,D351=""),"",IF(ISNUMBER(D351),MOD(D351,1),IFERROR(INDEX(القوائم!$B$1:$B$288,MATCH(TRIM(D351),القوائم!$A$1:$A$288,0)),IFERROR(MOD(TIMEVALUE(D351),1),""))))</f>
        <v/>
      </c>
      <c r="M351" s="25" t="n">
        <f aca="false">M343</f>
        <v>0</v>
      </c>
      <c r="Q351" s="25" t="n">
        <f aca="false">IF(N(F354)&gt;0,1,0)</f>
        <v>0</v>
      </c>
      <c r="S351" s="0" t="n">
        <v>29</v>
      </c>
    </row>
    <row r="352" customFormat="false" ht="15" hidden="false" customHeight="false" outlineLevel="0" collapsed="false">
      <c r="A352" s="36" t="str">
        <f aca="false">IF(M343=1,"مجموع أيام الأسبوع 29","")</f>
        <v/>
      </c>
      <c r="B352" s="36"/>
      <c r="C352" s="36"/>
      <c r="D352" s="36"/>
      <c r="E352" s="37" t="str">
        <f aca="false">IF(M343=1,SUM(E345:E351),"")</f>
        <v/>
      </c>
      <c r="F352" s="38" t="str">
        <f aca="false">IF(M343=1,SUM(F345:F351),"")</f>
        <v/>
      </c>
      <c r="G352" s="50" t="str">
        <f aca="false">IF(M343=1,SUMIFS(F345:F351,G345:G351,"نعم"),"")</f>
        <v/>
      </c>
      <c r="H352" s="36"/>
      <c r="S352" s="0" t="n">
        <v>29</v>
      </c>
    </row>
    <row r="353" customFormat="false" ht="31.5" hidden="false" customHeight="true" outlineLevel="0" collapsed="false">
      <c r="A353" s="39" t="str">
        <f aca="false">IF(M343=1,"ساعات تحميل الجبسمبورد بهالأسبوع (رقم: 2 أو 1.5) ←","")</f>
        <v/>
      </c>
      <c r="B353" s="39"/>
      <c r="C353" s="39"/>
      <c r="D353" s="39"/>
      <c r="E353" s="40"/>
      <c r="F353" s="42" t="str">
        <f aca="false">IF(M343=1,N(F352)+IF(ROUND_MODE="للأعلى",CEILING(ROUND((N(E353)*($P$343-$N$343)),3),0.25),ROUND((N(E353)*($P$343-$N$343))*4,0)/4)+N(C354),"")</f>
        <v/>
      </c>
      <c r="G353" s="41" t="str">
        <f aca="false">IF(M343=1,"← المستحق النهائي للأسبوع مع الجبسمبورد والإكرامية","")</f>
        <v/>
      </c>
      <c r="H353" s="41"/>
      <c r="S353" s="0" t="n">
        <v>29</v>
      </c>
    </row>
    <row r="354" customFormat="false" ht="25.5" hidden="false" customHeight="true" outlineLevel="0" collapsed="false">
      <c r="A354" s="39" t="str">
        <f aca="false">IF(M343=1,"إكرامية الأسبوع ←","")</f>
        <v/>
      </c>
      <c r="B354" s="39"/>
      <c r="C354" s="44"/>
      <c r="D354" s="39" t="str">
        <f aca="false">IF(M343=1,"المدفوع (التسوية) ←","")</f>
        <v/>
      </c>
      <c r="E354" s="39"/>
      <c r="F354" s="44"/>
      <c r="G354" s="45" t="str">
        <f aca="false">IF(M343=1,IF(N(F354)&gt;0,"✔ انقبض — الأسبوع مقفول","⏳ لسا ما انقبض"),"")</f>
        <v/>
      </c>
      <c r="H354" s="45"/>
      <c r="S354" s="0" t="n">
        <v>29</v>
      </c>
    </row>
    <row r="355" customFormat="false" ht="27.75" hidden="false" customHeight="true" outlineLevel="0" collapsed="false">
      <c r="A355" s="48" t="str">
        <f aca="false">IF(30&lt;=NW,"من السبت "&amp;TEXT(DAY(SAT1+203),"00")&amp;"/"&amp;TEXT(MONTH(SAT1+203),"00")&amp;"/"&amp;YEAR(SAT1+203)&amp;" إلى الجمعة "&amp;TEXT(DAY(SAT1+209),"00")&amp;"/"&amp;TEXT(MONTH(SAT1+209),"00")&amp;"/"&amp;YEAR(SAT1+209)&amp;" · الأسبوع 30"&amp;"  (يوم القبض: الجمعة)"&amp;IF(30&lt;START_Z,"   — قبل أسبوع البداية (ما بينحسب)",""),"ما في أسبوع 30 هالسنة")</f>
        <v>من السبت 18/07/2026 إلى الجمعة 24/07/2026 · الأسبوع 30  (يوم القبض: الجمعة)   — قبل أسبوع البداية (ما بينحسب)</v>
      </c>
      <c r="B355" s="48"/>
      <c r="C355" s="48"/>
      <c r="D355" s="48"/>
      <c r="E355" s="48"/>
      <c r="F355" s="48"/>
      <c r="G355" s="48"/>
      <c r="H355" s="48"/>
      <c r="L355" s="24" t="n">
        <f aca="false">IF(30&lt;=NW,SAT1+209,"")</f>
        <v>46227</v>
      </c>
      <c r="M355" s="25" t="n">
        <f aca="false">IF(AND(30&lt;=NW,30&gt;=START_Z),1,0)</f>
        <v>0</v>
      </c>
      <c r="N355" s="26" t="n">
        <f aca="false">IFERROR(INDEX(RT_AZZ,MATCH(L355,RT_K,1)),INDEX(RT_AZZ,1))</f>
        <v>1</v>
      </c>
      <c r="P355" s="26" t="n">
        <f aca="false">IFERROR(INDEX(RT_GYP,MATCH(L355,RT_K,1)),INDEX(RT_GYP,1))</f>
        <v>2.5</v>
      </c>
      <c r="R355" s="0" t="n">
        <v>30</v>
      </c>
      <c r="S355" s="0" t="n">
        <v>30</v>
      </c>
    </row>
    <row r="356" customFormat="false" ht="25.5" hidden="false" customHeight="true" outlineLevel="0" collapsed="false">
      <c r="A356" s="49" t="s">
        <v>22</v>
      </c>
      <c r="B356" s="49" t="s">
        <v>23</v>
      </c>
      <c r="C356" s="49" t="s">
        <v>24</v>
      </c>
      <c r="D356" s="49" t="s">
        <v>25</v>
      </c>
      <c r="E356" s="49" t="s">
        <v>26</v>
      </c>
      <c r="F356" s="49" t="s">
        <v>33</v>
      </c>
      <c r="G356" s="49" t="s">
        <v>34</v>
      </c>
      <c r="H356" s="49" t="s">
        <v>30</v>
      </c>
      <c r="S356" s="0" t="n">
        <v>30</v>
      </c>
    </row>
    <row r="357" customFormat="false" ht="15" hidden="false" customHeight="false" outlineLevel="0" collapsed="false">
      <c r="A357" s="28" t="n">
        <f aca="false">IF(30&lt;=NW,SAT1+203,"")</f>
        <v>46221</v>
      </c>
      <c r="B357" s="29" t="str">
        <f aca="false">IF(A357="","",CHOOSE(WEEKDAY(A357,1),"الأحد","الاثنين","الثلاثاء","الأربعاء","الخميس","الجمعة","السبت"))</f>
        <v>السبت</v>
      </c>
      <c r="C357" s="30"/>
      <c r="D357" s="30"/>
      <c r="E357" s="31" t="str">
        <f aca="false">IF(OR(M357=0,K357="",L357=""),"",MOD(L357-K357,1))</f>
        <v/>
      </c>
      <c r="F357" s="32" t="str">
        <f aca="false">IF(OR(E357="",M357=0),"",IF(ROUND_MODE="للأعلى",CEILING(ROUND((E357*24*$N$355),3),0.25),ROUND((E357*24*$N$355)*4,0)/4))</f>
        <v/>
      </c>
      <c r="G357" s="30"/>
      <c r="H357" s="30"/>
      <c r="K357" s="33" t="str">
        <f aca="false">IF(OR(M357=0,C357=""),"",IF(ISNUMBER(C357),MOD(C357,1),IFERROR(INDEX(القوائم!$B$1:$B$288,MATCH(TRIM(C357),القوائم!$A$1:$A$288,0)),IFERROR(MOD(TIMEVALUE(C357),1),""))))</f>
        <v/>
      </c>
      <c r="L357" s="33" t="str">
        <f aca="false">IF(OR(M357=0,D357=""),"",IF(ISNUMBER(D357),MOD(D357,1),IFERROR(INDEX(القوائم!$B$1:$B$288,MATCH(TRIM(D357),القوائم!$A$1:$A$288,0)),IFERROR(MOD(TIMEVALUE(D357),1),""))))</f>
        <v/>
      </c>
      <c r="M357" s="25" t="n">
        <f aca="false">M355</f>
        <v>0</v>
      </c>
      <c r="Q357" s="25" t="n">
        <f aca="false">IF(N(F366)&gt;0,1,0)</f>
        <v>0</v>
      </c>
      <c r="S357" s="0" t="n">
        <v>30</v>
      </c>
    </row>
    <row r="358" customFormat="false" ht="15" hidden="false" customHeight="false" outlineLevel="0" collapsed="false">
      <c r="A358" s="28" t="n">
        <f aca="false">IF(30&lt;=NW,SAT1+204,"")</f>
        <v>46222</v>
      </c>
      <c r="B358" s="29" t="str">
        <f aca="false">IF(A358="","",CHOOSE(WEEKDAY(A358,1),"الأحد","الاثنين","الثلاثاء","الأربعاء","الخميس","الجمعة","السبت"))</f>
        <v>الأحد</v>
      </c>
      <c r="C358" s="30"/>
      <c r="D358" s="30"/>
      <c r="E358" s="31" t="str">
        <f aca="false">IF(OR(M358=0,K358="",L358=""),"",MOD(L358-K358,1))</f>
        <v/>
      </c>
      <c r="F358" s="32" t="str">
        <f aca="false">IF(OR(E358="",M358=0),"",IF(ROUND_MODE="للأعلى",CEILING(ROUND((E358*24*$N$355),3),0.25),ROUND((E358*24*$N$355)*4,0)/4))</f>
        <v/>
      </c>
      <c r="G358" s="30"/>
      <c r="H358" s="30"/>
      <c r="K358" s="33" t="str">
        <f aca="false">IF(OR(M358=0,C358=""),"",IF(ISNUMBER(C358),MOD(C358,1),IFERROR(INDEX(القوائم!$B$1:$B$288,MATCH(TRIM(C358),القوائم!$A$1:$A$288,0)),IFERROR(MOD(TIMEVALUE(C358),1),""))))</f>
        <v/>
      </c>
      <c r="L358" s="33" t="str">
        <f aca="false">IF(OR(M358=0,D358=""),"",IF(ISNUMBER(D358),MOD(D358,1),IFERROR(INDEX(القوائم!$B$1:$B$288,MATCH(TRIM(D358),القوائم!$A$1:$A$288,0)),IFERROR(MOD(TIMEVALUE(D358),1),""))))</f>
        <v/>
      </c>
      <c r="M358" s="25" t="n">
        <f aca="false">M355</f>
        <v>0</v>
      </c>
      <c r="Q358" s="25" t="n">
        <f aca="false">IF(N(F366)&gt;0,1,0)</f>
        <v>0</v>
      </c>
      <c r="S358" s="0" t="n">
        <v>30</v>
      </c>
    </row>
    <row r="359" customFormat="false" ht="15" hidden="false" customHeight="false" outlineLevel="0" collapsed="false">
      <c r="A359" s="28" t="n">
        <f aca="false">IF(30&lt;=NW,SAT1+205,"")</f>
        <v>46223</v>
      </c>
      <c r="B359" s="29" t="str">
        <f aca="false">IF(A359="","",CHOOSE(WEEKDAY(A359,1),"الأحد","الاثنين","الثلاثاء","الأربعاء","الخميس","الجمعة","السبت"))</f>
        <v>الاثنين</v>
      </c>
      <c r="C359" s="30"/>
      <c r="D359" s="30"/>
      <c r="E359" s="31" t="str">
        <f aca="false">IF(OR(M359=0,K359="",L359=""),"",MOD(L359-K359,1))</f>
        <v/>
      </c>
      <c r="F359" s="32" t="str">
        <f aca="false">IF(OR(E359="",M359=0),"",IF(ROUND_MODE="للأعلى",CEILING(ROUND((E359*24*$N$355),3),0.25),ROUND((E359*24*$N$355)*4,0)/4))</f>
        <v/>
      </c>
      <c r="G359" s="30"/>
      <c r="H359" s="30"/>
      <c r="K359" s="33" t="str">
        <f aca="false">IF(OR(M359=0,C359=""),"",IF(ISNUMBER(C359),MOD(C359,1),IFERROR(INDEX(القوائم!$B$1:$B$288,MATCH(TRIM(C359),القوائم!$A$1:$A$288,0)),IFERROR(MOD(TIMEVALUE(C359),1),""))))</f>
        <v/>
      </c>
      <c r="L359" s="33" t="str">
        <f aca="false">IF(OR(M359=0,D359=""),"",IF(ISNUMBER(D359),MOD(D359,1),IFERROR(INDEX(القوائم!$B$1:$B$288,MATCH(TRIM(D359),القوائم!$A$1:$A$288,0)),IFERROR(MOD(TIMEVALUE(D359),1),""))))</f>
        <v/>
      </c>
      <c r="M359" s="25" t="n">
        <f aca="false">M355</f>
        <v>0</v>
      </c>
      <c r="Q359" s="25" t="n">
        <f aca="false">IF(N(F366)&gt;0,1,0)</f>
        <v>0</v>
      </c>
      <c r="S359" s="0" t="n">
        <v>30</v>
      </c>
    </row>
    <row r="360" customFormat="false" ht="15" hidden="false" customHeight="false" outlineLevel="0" collapsed="false">
      <c r="A360" s="28" t="n">
        <f aca="false">IF(30&lt;=NW,SAT1+206,"")</f>
        <v>46224</v>
      </c>
      <c r="B360" s="29" t="str">
        <f aca="false">IF(A360="","",CHOOSE(WEEKDAY(A360,1),"الأحد","الاثنين","الثلاثاء","الأربعاء","الخميس","الجمعة","السبت"))</f>
        <v>الثلاثاء</v>
      </c>
      <c r="C360" s="30"/>
      <c r="D360" s="30"/>
      <c r="E360" s="31" t="str">
        <f aca="false">IF(OR(M360=0,K360="",L360=""),"",MOD(L360-K360,1))</f>
        <v/>
      </c>
      <c r="F360" s="32" t="str">
        <f aca="false">IF(OR(E360="",M360=0),"",IF(ROUND_MODE="للأعلى",CEILING(ROUND((E360*24*$N$355),3),0.25),ROUND((E360*24*$N$355)*4,0)/4))</f>
        <v/>
      </c>
      <c r="G360" s="30"/>
      <c r="H360" s="30"/>
      <c r="K360" s="33" t="str">
        <f aca="false">IF(OR(M360=0,C360=""),"",IF(ISNUMBER(C360),MOD(C360,1),IFERROR(INDEX(القوائم!$B$1:$B$288,MATCH(TRIM(C360),القوائم!$A$1:$A$288,0)),IFERROR(MOD(TIMEVALUE(C360),1),""))))</f>
        <v/>
      </c>
      <c r="L360" s="33" t="str">
        <f aca="false">IF(OR(M360=0,D360=""),"",IF(ISNUMBER(D360),MOD(D360,1),IFERROR(INDEX(القوائم!$B$1:$B$288,MATCH(TRIM(D360),القوائم!$A$1:$A$288,0)),IFERROR(MOD(TIMEVALUE(D360),1),""))))</f>
        <v/>
      </c>
      <c r="M360" s="25" t="n">
        <f aca="false">M355</f>
        <v>0</v>
      </c>
      <c r="Q360" s="25" t="n">
        <f aca="false">IF(N(F366)&gt;0,1,0)</f>
        <v>0</v>
      </c>
      <c r="S360" s="0" t="n">
        <v>30</v>
      </c>
    </row>
    <row r="361" customFormat="false" ht="15" hidden="false" customHeight="false" outlineLevel="0" collapsed="false">
      <c r="A361" s="28" t="n">
        <f aca="false">IF(30&lt;=NW,SAT1+207,"")</f>
        <v>46225</v>
      </c>
      <c r="B361" s="29" t="str">
        <f aca="false">IF(A361="","",CHOOSE(WEEKDAY(A361,1),"الأحد","الاثنين","الثلاثاء","الأربعاء","الخميس","الجمعة","السبت"))</f>
        <v>الأربعاء</v>
      </c>
      <c r="C361" s="30"/>
      <c r="D361" s="30"/>
      <c r="E361" s="31" t="str">
        <f aca="false">IF(OR(M361=0,K361="",L361=""),"",MOD(L361-K361,1))</f>
        <v/>
      </c>
      <c r="F361" s="32" t="str">
        <f aca="false">IF(OR(E361="",M361=0),"",IF(ROUND_MODE="للأعلى",CEILING(ROUND((E361*24*$N$355),3),0.25),ROUND((E361*24*$N$355)*4,0)/4))</f>
        <v/>
      </c>
      <c r="G361" s="30"/>
      <c r="H361" s="30"/>
      <c r="K361" s="33" t="str">
        <f aca="false">IF(OR(M361=0,C361=""),"",IF(ISNUMBER(C361),MOD(C361,1),IFERROR(INDEX(القوائم!$B$1:$B$288,MATCH(TRIM(C361),القوائم!$A$1:$A$288,0)),IFERROR(MOD(TIMEVALUE(C361),1),""))))</f>
        <v/>
      </c>
      <c r="L361" s="33" t="str">
        <f aca="false">IF(OR(M361=0,D361=""),"",IF(ISNUMBER(D361),MOD(D361,1),IFERROR(INDEX(القوائم!$B$1:$B$288,MATCH(TRIM(D361),القوائم!$A$1:$A$288,0)),IFERROR(MOD(TIMEVALUE(D361),1),""))))</f>
        <v/>
      </c>
      <c r="M361" s="25" t="n">
        <f aca="false">M355</f>
        <v>0</v>
      </c>
      <c r="Q361" s="25" t="n">
        <f aca="false">IF(N(F366)&gt;0,1,0)</f>
        <v>0</v>
      </c>
      <c r="S361" s="0" t="n">
        <v>30</v>
      </c>
    </row>
    <row r="362" customFormat="false" ht="15" hidden="false" customHeight="false" outlineLevel="0" collapsed="false">
      <c r="A362" s="28" t="n">
        <f aca="false">IF(30&lt;=NW,SAT1+208,"")</f>
        <v>46226</v>
      </c>
      <c r="B362" s="29" t="str">
        <f aca="false">IF(A362="","",CHOOSE(WEEKDAY(A362,1),"الأحد","الاثنين","الثلاثاء","الأربعاء","الخميس","الجمعة","السبت"))</f>
        <v>الخميس</v>
      </c>
      <c r="C362" s="30"/>
      <c r="D362" s="30"/>
      <c r="E362" s="31" t="str">
        <f aca="false">IF(OR(M362=0,K362="",L362=""),"",MOD(L362-K362,1))</f>
        <v/>
      </c>
      <c r="F362" s="32" t="str">
        <f aca="false">IF(OR(E362="",M362=0),"",IF(ROUND_MODE="للأعلى",CEILING(ROUND((E362*24*$N$355),3),0.25),ROUND((E362*24*$N$355)*4,0)/4))</f>
        <v/>
      </c>
      <c r="G362" s="30"/>
      <c r="H362" s="30"/>
      <c r="K362" s="33" t="str">
        <f aca="false">IF(OR(M362=0,C362=""),"",IF(ISNUMBER(C362),MOD(C362,1),IFERROR(INDEX(القوائم!$B$1:$B$288,MATCH(TRIM(C362),القوائم!$A$1:$A$288,0)),IFERROR(MOD(TIMEVALUE(C362),1),""))))</f>
        <v/>
      </c>
      <c r="L362" s="33" t="str">
        <f aca="false">IF(OR(M362=0,D362=""),"",IF(ISNUMBER(D362),MOD(D362,1),IFERROR(INDEX(القوائم!$B$1:$B$288,MATCH(TRIM(D362),القوائم!$A$1:$A$288,0)),IFERROR(MOD(TIMEVALUE(D362),1),""))))</f>
        <v/>
      </c>
      <c r="M362" s="25" t="n">
        <f aca="false">M355</f>
        <v>0</v>
      </c>
      <c r="Q362" s="25" t="n">
        <f aca="false">IF(N(F366)&gt;0,1,0)</f>
        <v>0</v>
      </c>
      <c r="S362" s="0" t="n">
        <v>30</v>
      </c>
    </row>
    <row r="363" customFormat="false" ht="15" hidden="false" customHeight="false" outlineLevel="0" collapsed="false">
      <c r="A363" s="34" t="n">
        <f aca="false">IF(30&lt;=NW,SAT1+209,"")</f>
        <v>46227</v>
      </c>
      <c r="B363" s="35" t="str">
        <f aca="false">IF(A363="","",CHOOSE(WEEKDAY(A363,1),"الأحد","الاثنين","الثلاثاء","الأربعاء","الخميس","الجمعة","السبت"))</f>
        <v>الجمعة</v>
      </c>
      <c r="C363" s="30"/>
      <c r="D363" s="30"/>
      <c r="E363" s="31" t="str">
        <f aca="false">IF(OR(M363=0,K363="",L363=""),"",MOD(L363-K363,1))</f>
        <v/>
      </c>
      <c r="F363" s="32" t="str">
        <f aca="false">IF(OR(E363="",M363=0),"",IF(ROUND_MODE="للأعلى",CEILING(ROUND((E363*24*$N$355),3),0.25),ROUND((E363*24*$N$355)*4,0)/4))</f>
        <v/>
      </c>
      <c r="G363" s="30"/>
      <c r="H363" s="30"/>
      <c r="K363" s="33" t="str">
        <f aca="false">IF(OR(M363=0,C363=""),"",IF(ISNUMBER(C363),MOD(C363,1),IFERROR(INDEX(القوائم!$B$1:$B$288,MATCH(TRIM(C363),القوائم!$A$1:$A$288,0)),IFERROR(MOD(TIMEVALUE(C363),1),""))))</f>
        <v/>
      </c>
      <c r="L363" s="33" t="str">
        <f aca="false">IF(OR(M363=0,D363=""),"",IF(ISNUMBER(D363),MOD(D363,1),IFERROR(INDEX(القوائم!$B$1:$B$288,MATCH(TRIM(D363),القوائم!$A$1:$A$288,0)),IFERROR(MOD(TIMEVALUE(D363),1),""))))</f>
        <v/>
      </c>
      <c r="M363" s="25" t="n">
        <f aca="false">M355</f>
        <v>0</v>
      </c>
      <c r="Q363" s="25" t="n">
        <f aca="false">IF(N(F366)&gt;0,1,0)</f>
        <v>0</v>
      </c>
      <c r="S363" s="0" t="n">
        <v>30</v>
      </c>
    </row>
    <row r="364" customFormat="false" ht="15" hidden="false" customHeight="false" outlineLevel="0" collapsed="false">
      <c r="A364" s="36" t="str">
        <f aca="false">IF(M355=1,"مجموع أيام الأسبوع 30","")</f>
        <v/>
      </c>
      <c r="B364" s="36"/>
      <c r="C364" s="36"/>
      <c r="D364" s="36"/>
      <c r="E364" s="37" t="str">
        <f aca="false">IF(M355=1,SUM(E357:E363),"")</f>
        <v/>
      </c>
      <c r="F364" s="38" t="str">
        <f aca="false">IF(M355=1,SUM(F357:F363),"")</f>
        <v/>
      </c>
      <c r="G364" s="50" t="str">
        <f aca="false">IF(M355=1,SUMIFS(F357:F363,G357:G363,"نعم"),"")</f>
        <v/>
      </c>
      <c r="H364" s="36"/>
      <c r="S364" s="0" t="n">
        <v>30</v>
      </c>
    </row>
    <row r="365" customFormat="false" ht="31.5" hidden="false" customHeight="true" outlineLevel="0" collapsed="false">
      <c r="A365" s="39" t="str">
        <f aca="false">IF(M355=1,"ساعات تحميل الجبسمبورد بهالأسبوع (رقم: 2 أو 1.5) ←","")</f>
        <v/>
      </c>
      <c r="B365" s="39"/>
      <c r="C365" s="39"/>
      <c r="D365" s="39"/>
      <c r="E365" s="40"/>
      <c r="F365" s="42" t="str">
        <f aca="false">IF(M355=1,N(F364)+IF(ROUND_MODE="للأعلى",CEILING(ROUND((N(E365)*($P$355-$N$355)),3),0.25),ROUND((N(E365)*($P$355-$N$355))*4,0)/4)+N(C366),"")</f>
        <v/>
      </c>
      <c r="G365" s="41" t="str">
        <f aca="false">IF(M355=1,"← المستحق النهائي للأسبوع مع الجبسمبورد والإكرامية","")</f>
        <v/>
      </c>
      <c r="H365" s="41"/>
      <c r="S365" s="0" t="n">
        <v>30</v>
      </c>
    </row>
    <row r="366" customFormat="false" ht="25.5" hidden="false" customHeight="true" outlineLevel="0" collapsed="false">
      <c r="A366" s="39" t="str">
        <f aca="false">IF(M355=1,"إكرامية الأسبوع ←","")</f>
        <v/>
      </c>
      <c r="B366" s="39"/>
      <c r="C366" s="44"/>
      <c r="D366" s="39" t="str">
        <f aca="false">IF(M355=1,"المدفوع (التسوية) ←","")</f>
        <v/>
      </c>
      <c r="E366" s="39"/>
      <c r="F366" s="44"/>
      <c r="G366" s="45" t="str">
        <f aca="false">IF(M355=1,IF(N(F366)&gt;0,"✔ انقبض — الأسبوع مقفول","⏳ لسا ما انقبض"),"")</f>
        <v/>
      </c>
      <c r="H366" s="45"/>
      <c r="S366" s="0" t="n">
        <v>30</v>
      </c>
    </row>
    <row r="367" customFormat="false" ht="27.75" hidden="false" customHeight="true" outlineLevel="0" collapsed="false">
      <c r="A367" s="48" t="str">
        <f aca="false">IF(31&lt;=NW,"من السبت "&amp;TEXT(DAY(SAT1+210),"00")&amp;"/"&amp;TEXT(MONTH(SAT1+210),"00")&amp;"/"&amp;YEAR(SAT1+210)&amp;" إلى الجمعة "&amp;TEXT(DAY(SAT1+216),"00")&amp;"/"&amp;TEXT(MONTH(SAT1+216),"00")&amp;"/"&amp;YEAR(SAT1+216)&amp;" · الأسبوع 31"&amp;"  (يوم القبض: الجمعة)"&amp;IF(31&lt;START_Z,"   — قبل أسبوع البداية (ما بينحسب)",""),"ما في أسبوع 31 هالسنة")</f>
        <v>من السبت 25/07/2026 إلى الجمعة 31/07/2026 · الأسبوع 31  (يوم القبض: الجمعة)   — قبل أسبوع البداية (ما بينحسب)</v>
      </c>
      <c r="B367" s="48"/>
      <c r="C367" s="48"/>
      <c r="D367" s="48"/>
      <c r="E367" s="48"/>
      <c r="F367" s="48"/>
      <c r="G367" s="48"/>
      <c r="H367" s="48"/>
      <c r="L367" s="24" t="n">
        <f aca="false">IF(31&lt;=NW,SAT1+216,"")</f>
        <v>46234</v>
      </c>
      <c r="M367" s="25" t="n">
        <f aca="false">IF(AND(31&lt;=NW,31&gt;=START_Z),1,0)</f>
        <v>0</v>
      </c>
      <c r="N367" s="26" t="n">
        <f aca="false">IFERROR(INDEX(RT_AZZ,MATCH(L367,RT_K,1)),INDEX(RT_AZZ,1))</f>
        <v>1</v>
      </c>
      <c r="P367" s="26" t="n">
        <f aca="false">IFERROR(INDEX(RT_GYP,MATCH(L367,RT_K,1)),INDEX(RT_GYP,1))</f>
        <v>2.5</v>
      </c>
      <c r="R367" s="0" t="n">
        <v>31</v>
      </c>
      <c r="S367" s="0" t="n">
        <v>31</v>
      </c>
    </row>
    <row r="368" customFormat="false" ht="25.5" hidden="false" customHeight="true" outlineLevel="0" collapsed="false">
      <c r="A368" s="49" t="s">
        <v>22</v>
      </c>
      <c r="B368" s="49" t="s">
        <v>23</v>
      </c>
      <c r="C368" s="49" t="s">
        <v>24</v>
      </c>
      <c r="D368" s="49" t="s">
        <v>25</v>
      </c>
      <c r="E368" s="49" t="s">
        <v>26</v>
      </c>
      <c r="F368" s="49" t="s">
        <v>33</v>
      </c>
      <c r="G368" s="49" t="s">
        <v>34</v>
      </c>
      <c r="H368" s="49" t="s">
        <v>30</v>
      </c>
      <c r="S368" s="0" t="n">
        <v>31</v>
      </c>
    </row>
    <row r="369" customFormat="false" ht="15" hidden="false" customHeight="false" outlineLevel="0" collapsed="false">
      <c r="A369" s="28" t="n">
        <f aca="false">IF(31&lt;=NW,SAT1+210,"")</f>
        <v>46228</v>
      </c>
      <c r="B369" s="29" t="str">
        <f aca="false">IF(A369="","",CHOOSE(WEEKDAY(A369,1),"الأحد","الاثنين","الثلاثاء","الأربعاء","الخميس","الجمعة","السبت"))</f>
        <v>السبت</v>
      </c>
      <c r="C369" s="30"/>
      <c r="D369" s="30"/>
      <c r="E369" s="31" t="str">
        <f aca="false">IF(OR(M369=0,K369="",L369=""),"",MOD(L369-K369,1))</f>
        <v/>
      </c>
      <c r="F369" s="32" t="str">
        <f aca="false">IF(OR(E369="",M369=0),"",IF(ROUND_MODE="للأعلى",CEILING(ROUND((E369*24*$N$367),3),0.25),ROUND((E369*24*$N$367)*4,0)/4))</f>
        <v/>
      </c>
      <c r="G369" s="30"/>
      <c r="H369" s="30"/>
      <c r="K369" s="33" t="str">
        <f aca="false">IF(OR(M369=0,C369=""),"",IF(ISNUMBER(C369),MOD(C369,1),IFERROR(INDEX(القوائم!$B$1:$B$288,MATCH(TRIM(C369),القوائم!$A$1:$A$288,0)),IFERROR(MOD(TIMEVALUE(C369),1),""))))</f>
        <v/>
      </c>
      <c r="L369" s="33" t="str">
        <f aca="false">IF(OR(M369=0,D369=""),"",IF(ISNUMBER(D369),MOD(D369,1),IFERROR(INDEX(القوائم!$B$1:$B$288,MATCH(TRIM(D369),القوائم!$A$1:$A$288,0)),IFERROR(MOD(TIMEVALUE(D369),1),""))))</f>
        <v/>
      </c>
      <c r="M369" s="25" t="n">
        <f aca="false">M367</f>
        <v>0</v>
      </c>
      <c r="Q369" s="25" t="n">
        <f aca="false">IF(N(F378)&gt;0,1,0)</f>
        <v>0</v>
      </c>
      <c r="S369" s="0" t="n">
        <v>31</v>
      </c>
    </row>
    <row r="370" customFormat="false" ht="15" hidden="false" customHeight="false" outlineLevel="0" collapsed="false">
      <c r="A370" s="28" t="n">
        <f aca="false">IF(31&lt;=NW,SAT1+211,"")</f>
        <v>46229</v>
      </c>
      <c r="B370" s="29" t="str">
        <f aca="false">IF(A370="","",CHOOSE(WEEKDAY(A370,1),"الأحد","الاثنين","الثلاثاء","الأربعاء","الخميس","الجمعة","السبت"))</f>
        <v>الأحد</v>
      </c>
      <c r="C370" s="30"/>
      <c r="D370" s="30"/>
      <c r="E370" s="31" t="str">
        <f aca="false">IF(OR(M370=0,K370="",L370=""),"",MOD(L370-K370,1))</f>
        <v/>
      </c>
      <c r="F370" s="32" t="str">
        <f aca="false">IF(OR(E370="",M370=0),"",IF(ROUND_MODE="للأعلى",CEILING(ROUND((E370*24*$N$367),3),0.25),ROUND((E370*24*$N$367)*4,0)/4))</f>
        <v/>
      </c>
      <c r="G370" s="30"/>
      <c r="H370" s="30"/>
      <c r="K370" s="33" t="str">
        <f aca="false">IF(OR(M370=0,C370=""),"",IF(ISNUMBER(C370),MOD(C370,1),IFERROR(INDEX(القوائم!$B$1:$B$288,MATCH(TRIM(C370),القوائم!$A$1:$A$288,0)),IFERROR(MOD(TIMEVALUE(C370),1),""))))</f>
        <v/>
      </c>
      <c r="L370" s="33" t="str">
        <f aca="false">IF(OR(M370=0,D370=""),"",IF(ISNUMBER(D370),MOD(D370,1),IFERROR(INDEX(القوائم!$B$1:$B$288,MATCH(TRIM(D370),القوائم!$A$1:$A$288,0)),IFERROR(MOD(TIMEVALUE(D370),1),""))))</f>
        <v/>
      </c>
      <c r="M370" s="25" t="n">
        <f aca="false">M367</f>
        <v>0</v>
      </c>
      <c r="Q370" s="25" t="n">
        <f aca="false">IF(N(F378)&gt;0,1,0)</f>
        <v>0</v>
      </c>
      <c r="S370" s="0" t="n">
        <v>31</v>
      </c>
    </row>
    <row r="371" customFormat="false" ht="15" hidden="false" customHeight="false" outlineLevel="0" collapsed="false">
      <c r="A371" s="28" t="n">
        <f aca="false">IF(31&lt;=NW,SAT1+212,"")</f>
        <v>46230</v>
      </c>
      <c r="B371" s="29" t="str">
        <f aca="false">IF(A371="","",CHOOSE(WEEKDAY(A371,1),"الأحد","الاثنين","الثلاثاء","الأربعاء","الخميس","الجمعة","السبت"))</f>
        <v>الاثنين</v>
      </c>
      <c r="C371" s="30"/>
      <c r="D371" s="30"/>
      <c r="E371" s="31" t="str">
        <f aca="false">IF(OR(M371=0,K371="",L371=""),"",MOD(L371-K371,1))</f>
        <v/>
      </c>
      <c r="F371" s="32" t="str">
        <f aca="false">IF(OR(E371="",M371=0),"",IF(ROUND_MODE="للأعلى",CEILING(ROUND((E371*24*$N$367),3),0.25),ROUND((E371*24*$N$367)*4,0)/4))</f>
        <v/>
      </c>
      <c r="G371" s="30"/>
      <c r="H371" s="30"/>
      <c r="K371" s="33" t="str">
        <f aca="false">IF(OR(M371=0,C371=""),"",IF(ISNUMBER(C371),MOD(C371,1),IFERROR(INDEX(القوائم!$B$1:$B$288,MATCH(TRIM(C371),القوائم!$A$1:$A$288,0)),IFERROR(MOD(TIMEVALUE(C371),1),""))))</f>
        <v/>
      </c>
      <c r="L371" s="33" t="str">
        <f aca="false">IF(OR(M371=0,D371=""),"",IF(ISNUMBER(D371),MOD(D371,1),IFERROR(INDEX(القوائم!$B$1:$B$288,MATCH(TRIM(D371),القوائم!$A$1:$A$288,0)),IFERROR(MOD(TIMEVALUE(D371),1),""))))</f>
        <v/>
      </c>
      <c r="M371" s="25" t="n">
        <f aca="false">M367</f>
        <v>0</v>
      </c>
      <c r="Q371" s="25" t="n">
        <f aca="false">IF(N(F378)&gt;0,1,0)</f>
        <v>0</v>
      </c>
      <c r="S371" s="0" t="n">
        <v>31</v>
      </c>
    </row>
    <row r="372" customFormat="false" ht="15" hidden="false" customHeight="false" outlineLevel="0" collapsed="false">
      <c r="A372" s="28" t="n">
        <f aca="false">IF(31&lt;=NW,SAT1+213,"")</f>
        <v>46231</v>
      </c>
      <c r="B372" s="29" t="str">
        <f aca="false">IF(A372="","",CHOOSE(WEEKDAY(A372,1),"الأحد","الاثنين","الثلاثاء","الأربعاء","الخميس","الجمعة","السبت"))</f>
        <v>الثلاثاء</v>
      </c>
      <c r="C372" s="30"/>
      <c r="D372" s="30"/>
      <c r="E372" s="31" t="str">
        <f aca="false">IF(OR(M372=0,K372="",L372=""),"",MOD(L372-K372,1))</f>
        <v/>
      </c>
      <c r="F372" s="32" t="str">
        <f aca="false">IF(OR(E372="",M372=0),"",IF(ROUND_MODE="للأعلى",CEILING(ROUND((E372*24*$N$367),3),0.25),ROUND((E372*24*$N$367)*4,0)/4))</f>
        <v/>
      </c>
      <c r="G372" s="30"/>
      <c r="H372" s="30"/>
      <c r="K372" s="33" t="str">
        <f aca="false">IF(OR(M372=0,C372=""),"",IF(ISNUMBER(C372),MOD(C372,1),IFERROR(INDEX(القوائم!$B$1:$B$288,MATCH(TRIM(C372),القوائم!$A$1:$A$288,0)),IFERROR(MOD(TIMEVALUE(C372),1),""))))</f>
        <v/>
      </c>
      <c r="L372" s="33" t="str">
        <f aca="false">IF(OR(M372=0,D372=""),"",IF(ISNUMBER(D372),MOD(D372,1),IFERROR(INDEX(القوائم!$B$1:$B$288,MATCH(TRIM(D372),القوائم!$A$1:$A$288,0)),IFERROR(MOD(TIMEVALUE(D372),1),""))))</f>
        <v/>
      </c>
      <c r="M372" s="25" t="n">
        <f aca="false">M367</f>
        <v>0</v>
      </c>
      <c r="Q372" s="25" t="n">
        <f aca="false">IF(N(F378)&gt;0,1,0)</f>
        <v>0</v>
      </c>
      <c r="S372" s="0" t="n">
        <v>31</v>
      </c>
    </row>
    <row r="373" customFormat="false" ht="15" hidden="false" customHeight="false" outlineLevel="0" collapsed="false">
      <c r="A373" s="28" t="n">
        <f aca="false">IF(31&lt;=NW,SAT1+214,"")</f>
        <v>46232</v>
      </c>
      <c r="B373" s="29" t="str">
        <f aca="false">IF(A373="","",CHOOSE(WEEKDAY(A373,1),"الأحد","الاثنين","الثلاثاء","الأربعاء","الخميس","الجمعة","السبت"))</f>
        <v>الأربعاء</v>
      </c>
      <c r="C373" s="30"/>
      <c r="D373" s="30"/>
      <c r="E373" s="31" t="str">
        <f aca="false">IF(OR(M373=0,K373="",L373=""),"",MOD(L373-K373,1))</f>
        <v/>
      </c>
      <c r="F373" s="32" t="str">
        <f aca="false">IF(OR(E373="",M373=0),"",IF(ROUND_MODE="للأعلى",CEILING(ROUND((E373*24*$N$367),3),0.25),ROUND((E373*24*$N$367)*4,0)/4))</f>
        <v/>
      </c>
      <c r="G373" s="30"/>
      <c r="H373" s="30"/>
      <c r="K373" s="33" t="str">
        <f aca="false">IF(OR(M373=0,C373=""),"",IF(ISNUMBER(C373),MOD(C373,1),IFERROR(INDEX(القوائم!$B$1:$B$288,MATCH(TRIM(C373),القوائم!$A$1:$A$288,0)),IFERROR(MOD(TIMEVALUE(C373),1),""))))</f>
        <v/>
      </c>
      <c r="L373" s="33" t="str">
        <f aca="false">IF(OR(M373=0,D373=""),"",IF(ISNUMBER(D373),MOD(D373,1),IFERROR(INDEX(القوائم!$B$1:$B$288,MATCH(TRIM(D373),القوائم!$A$1:$A$288,0)),IFERROR(MOD(TIMEVALUE(D373),1),""))))</f>
        <v/>
      </c>
      <c r="M373" s="25" t="n">
        <f aca="false">M367</f>
        <v>0</v>
      </c>
      <c r="Q373" s="25" t="n">
        <f aca="false">IF(N(F378)&gt;0,1,0)</f>
        <v>0</v>
      </c>
      <c r="S373" s="0" t="n">
        <v>31</v>
      </c>
    </row>
    <row r="374" customFormat="false" ht="15" hidden="false" customHeight="false" outlineLevel="0" collapsed="false">
      <c r="A374" s="28" t="n">
        <f aca="false">IF(31&lt;=NW,SAT1+215,"")</f>
        <v>46233</v>
      </c>
      <c r="B374" s="29" t="str">
        <f aca="false">IF(A374="","",CHOOSE(WEEKDAY(A374,1),"الأحد","الاثنين","الثلاثاء","الأربعاء","الخميس","الجمعة","السبت"))</f>
        <v>الخميس</v>
      </c>
      <c r="C374" s="30"/>
      <c r="D374" s="30"/>
      <c r="E374" s="31" t="str">
        <f aca="false">IF(OR(M374=0,K374="",L374=""),"",MOD(L374-K374,1))</f>
        <v/>
      </c>
      <c r="F374" s="32" t="str">
        <f aca="false">IF(OR(E374="",M374=0),"",IF(ROUND_MODE="للأعلى",CEILING(ROUND((E374*24*$N$367),3),0.25),ROUND((E374*24*$N$367)*4,0)/4))</f>
        <v/>
      </c>
      <c r="G374" s="30"/>
      <c r="H374" s="30"/>
      <c r="K374" s="33" t="str">
        <f aca="false">IF(OR(M374=0,C374=""),"",IF(ISNUMBER(C374),MOD(C374,1),IFERROR(INDEX(القوائم!$B$1:$B$288,MATCH(TRIM(C374),القوائم!$A$1:$A$288,0)),IFERROR(MOD(TIMEVALUE(C374),1),""))))</f>
        <v/>
      </c>
      <c r="L374" s="33" t="str">
        <f aca="false">IF(OR(M374=0,D374=""),"",IF(ISNUMBER(D374),MOD(D374,1),IFERROR(INDEX(القوائم!$B$1:$B$288,MATCH(TRIM(D374),القوائم!$A$1:$A$288,0)),IFERROR(MOD(TIMEVALUE(D374),1),""))))</f>
        <v/>
      </c>
      <c r="M374" s="25" t="n">
        <f aca="false">M367</f>
        <v>0</v>
      </c>
      <c r="Q374" s="25" t="n">
        <f aca="false">IF(N(F378)&gt;0,1,0)</f>
        <v>0</v>
      </c>
      <c r="S374" s="0" t="n">
        <v>31</v>
      </c>
    </row>
    <row r="375" customFormat="false" ht="15" hidden="false" customHeight="false" outlineLevel="0" collapsed="false">
      <c r="A375" s="34" t="n">
        <f aca="false">IF(31&lt;=NW,SAT1+216,"")</f>
        <v>46234</v>
      </c>
      <c r="B375" s="35" t="str">
        <f aca="false">IF(A375="","",CHOOSE(WEEKDAY(A375,1),"الأحد","الاثنين","الثلاثاء","الأربعاء","الخميس","الجمعة","السبت"))</f>
        <v>الجمعة</v>
      </c>
      <c r="C375" s="30"/>
      <c r="D375" s="30"/>
      <c r="E375" s="31" t="str">
        <f aca="false">IF(OR(M375=0,K375="",L375=""),"",MOD(L375-K375,1))</f>
        <v/>
      </c>
      <c r="F375" s="32" t="str">
        <f aca="false">IF(OR(E375="",M375=0),"",IF(ROUND_MODE="للأعلى",CEILING(ROUND((E375*24*$N$367),3),0.25),ROUND((E375*24*$N$367)*4,0)/4))</f>
        <v/>
      </c>
      <c r="G375" s="30"/>
      <c r="H375" s="30"/>
      <c r="K375" s="33" t="str">
        <f aca="false">IF(OR(M375=0,C375=""),"",IF(ISNUMBER(C375),MOD(C375,1),IFERROR(INDEX(القوائم!$B$1:$B$288,MATCH(TRIM(C375),القوائم!$A$1:$A$288,0)),IFERROR(MOD(TIMEVALUE(C375),1),""))))</f>
        <v/>
      </c>
      <c r="L375" s="33" t="str">
        <f aca="false">IF(OR(M375=0,D375=""),"",IF(ISNUMBER(D375),MOD(D375,1),IFERROR(INDEX(القوائم!$B$1:$B$288,MATCH(TRIM(D375),القوائم!$A$1:$A$288,0)),IFERROR(MOD(TIMEVALUE(D375),1),""))))</f>
        <v/>
      </c>
      <c r="M375" s="25" t="n">
        <f aca="false">M367</f>
        <v>0</v>
      </c>
      <c r="Q375" s="25" t="n">
        <f aca="false">IF(N(F378)&gt;0,1,0)</f>
        <v>0</v>
      </c>
      <c r="S375" s="0" t="n">
        <v>31</v>
      </c>
    </row>
    <row r="376" customFormat="false" ht="15" hidden="false" customHeight="false" outlineLevel="0" collapsed="false">
      <c r="A376" s="36" t="str">
        <f aca="false">IF(M367=1,"مجموع أيام الأسبوع 31","")</f>
        <v/>
      </c>
      <c r="B376" s="36"/>
      <c r="C376" s="36"/>
      <c r="D376" s="36"/>
      <c r="E376" s="37" t="str">
        <f aca="false">IF(M367=1,SUM(E369:E375),"")</f>
        <v/>
      </c>
      <c r="F376" s="38" t="str">
        <f aca="false">IF(M367=1,SUM(F369:F375),"")</f>
        <v/>
      </c>
      <c r="G376" s="50" t="str">
        <f aca="false">IF(M367=1,SUMIFS(F369:F375,G369:G375,"نعم"),"")</f>
        <v/>
      </c>
      <c r="H376" s="36"/>
      <c r="S376" s="0" t="n">
        <v>31</v>
      </c>
    </row>
    <row r="377" customFormat="false" ht="31.5" hidden="false" customHeight="true" outlineLevel="0" collapsed="false">
      <c r="A377" s="39" t="str">
        <f aca="false">IF(M367=1,"ساعات تحميل الجبسمبورد بهالأسبوع (رقم: 2 أو 1.5) ←","")</f>
        <v/>
      </c>
      <c r="B377" s="39"/>
      <c r="C377" s="39"/>
      <c r="D377" s="39"/>
      <c r="E377" s="40"/>
      <c r="F377" s="42" t="str">
        <f aca="false">IF(M367=1,N(F376)+IF(ROUND_MODE="للأعلى",CEILING(ROUND((N(E377)*($P$367-$N$367)),3),0.25),ROUND((N(E377)*($P$367-$N$367))*4,0)/4)+N(C378),"")</f>
        <v/>
      </c>
      <c r="G377" s="41" t="str">
        <f aca="false">IF(M367=1,"← المستحق النهائي للأسبوع مع الجبسمبورد والإكرامية","")</f>
        <v/>
      </c>
      <c r="H377" s="41"/>
      <c r="S377" s="0" t="n">
        <v>31</v>
      </c>
    </row>
    <row r="378" customFormat="false" ht="25.5" hidden="false" customHeight="true" outlineLevel="0" collapsed="false">
      <c r="A378" s="39" t="str">
        <f aca="false">IF(M367=1,"إكرامية الأسبوع ←","")</f>
        <v/>
      </c>
      <c r="B378" s="39"/>
      <c r="C378" s="44"/>
      <c r="D378" s="39" t="str">
        <f aca="false">IF(M367=1,"المدفوع (التسوية) ←","")</f>
        <v/>
      </c>
      <c r="E378" s="39"/>
      <c r="F378" s="44"/>
      <c r="G378" s="45" t="str">
        <f aca="false">IF(M367=1,IF(N(F378)&gt;0,"✔ انقبض — الأسبوع مقفول","⏳ لسا ما انقبض"),"")</f>
        <v/>
      </c>
      <c r="H378" s="45"/>
      <c r="S378" s="0" t="n">
        <v>31</v>
      </c>
    </row>
    <row r="379" customFormat="false" ht="27.75" hidden="false" customHeight="true" outlineLevel="0" collapsed="false">
      <c r="A379" s="48" t="str">
        <f aca="false">IF(32&lt;=NW,"من السبت "&amp;TEXT(DAY(SAT1+217),"00")&amp;"/"&amp;TEXT(MONTH(SAT1+217),"00")&amp;"/"&amp;YEAR(SAT1+217)&amp;" إلى الجمعة "&amp;TEXT(DAY(SAT1+223),"00")&amp;"/"&amp;TEXT(MONTH(SAT1+223),"00")&amp;"/"&amp;YEAR(SAT1+223)&amp;" · الأسبوع 32"&amp;"  (يوم القبض: الجمعة)"&amp;IF(32&lt;START_Z,"   — قبل أسبوع البداية (ما بينحسب)",""),"ما في أسبوع 32 هالسنة")</f>
        <v>من السبت 01/08/2026 إلى الجمعة 07/08/2026 · الأسبوع 32  (يوم القبض: الجمعة)   — قبل أسبوع البداية (ما بينحسب)</v>
      </c>
      <c r="B379" s="48"/>
      <c r="C379" s="48"/>
      <c r="D379" s="48"/>
      <c r="E379" s="48"/>
      <c r="F379" s="48"/>
      <c r="G379" s="48"/>
      <c r="H379" s="48"/>
      <c r="L379" s="24" t="n">
        <f aca="false">IF(32&lt;=NW,SAT1+223,"")</f>
        <v>46241</v>
      </c>
      <c r="M379" s="25" t="n">
        <f aca="false">IF(AND(32&lt;=NW,32&gt;=START_Z),1,0)</f>
        <v>0</v>
      </c>
      <c r="N379" s="26" t="n">
        <f aca="false">IFERROR(INDEX(RT_AZZ,MATCH(L379,RT_K,1)),INDEX(RT_AZZ,1))</f>
        <v>1</v>
      </c>
      <c r="P379" s="26" t="n">
        <f aca="false">IFERROR(INDEX(RT_GYP,MATCH(L379,RT_K,1)),INDEX(RT_GYP,1))</f>
        <v>2.5</v>
      </c>
      <c r="R379" s="0" t="n">
        <v>32</v>
      </c>
      <c r="S379" s="0" t="n">
        <v>32</v>
      </c>
    </row>
    <row r="380" customFormat="false" ht="25.5" hidden="false" customHeight="true" outlineLevel="0" collapsed="false">
      <c r="A380" s="49" t="s">
        <v>22</v>
      </c>
      <c r="B380" s="49" t="s">
        <v>23</v>
      </c>
      <c r="C380" s="49" t="s">
        <v>24</v>
      </c>
      <c r="D380" s="49" t="s">
        <v>25</v>
      </c>
      <c r="E380" s="49" t="s">
        <v>26</v>
      </c>
      <c r="F380" s="49" t="s">
        <v>33</v>
      </c>
      <c r="G380" s="49" t="s">
        <v>34</v>
      </c>
      <c r="H380" s="49" t="s">
        <v>30</v>
      </c>
      <c r="S380" s="0" t="n">
        <v>32</v>
      </c>
    </row>
    <row r="381" customFormat="false" ht="15" hidden="false" customHeight="false" outlineLevel="0" collapsed="false">
      <c r="A381" s="28" t="n">
        <f aca="false">IF(32&lt;=NW,SAT1+217,"")</f>
        <v>46235</v>
      </c>
      <c r="B381" s="29" t="str">
        <f aca="false">IF(A381="","",CHOOSE(WEEKDAY(A381,1),"الأحد","الاثنين","الثلاثاء","الأربعاء","الخميس","الجمعة","السبت"))</f>
        <v>السبت</v>
      </c>
      <c r="C381" s="30"/>
      <c r="D381" s="30"/>
      <c r="E381" s="31" t="str">
        <f aca="false">IF(OR(M381=0,K381="",L381=""),"",MOD(L381-K381,1))</f>
        <v/>
      </c>
      <c r="F381" s="32" t="str">
        <f aca="false">IF(OR(E381="",M381=0),"",IF(ROUND_MODE="للأعلى",CEILING(ROUND((E381*24*$N$379),3),0.25),ROUND((E381*24*$N$379)*4,0)/4))</f>
        <v/>
      </c>
      <c r="G381" s="30"/>
      <c r="H381" s="30"/>
      <c r="K381" s="33" t="str">
        <f aca="false">IF(OR(M381=0,C381=""),"",IF(ISNUMBER(C381),MOD(C381,1),IFERROR(INDEX(القوائم!$B$1:$B$288,MATCH(TRIM(C381),القوائم!$A$1:$A$288,0)),IFERROR(MOD(TIMEVALUE(C381),1),""))))</f>
        <v/>
      </c>
      <c r="L381" s="33" t="str">
        <f aca="false">IF(OR(M381=0,D381=""),"",IF(ISNUMBER(D381),MOD(D381,1),IFERROR(INDEX(القوائم!$B$1:$B$288,MATCH(TRIM(D381),القوائم!$A$1:$A$288,0)),IFERROR(MOD(TIMEVALUE(D381),1),""))))</f>
        <v/>
      </c>
      <c r="M381" s="25" t="n">
        <f aca="false">M379</f>
        <v>0</v>
      </c>
      <c r="Q381" s="25" t="n">
        <f aca="false">IF(N(F390)&gt;0,1,0)</f>
        <v>0</v>
      </c>
      <c r="S381" s="0" t="n">
        <v>32</v>
      </c>
    </row>
    <row r="382" customFormat="false" ht="15" hidden="false" customHeight="false" outlineLevel="0" collapsed="false">
      <c r="A382" s="28" t="n">
        <f aca="false">IF(32&lt;=NW,SAT1+218,"")</f>
        <v>46236</v>
      </c>
      <c r="B382" s="29" t="str">
        <f aca="false">IF(A382="","",CHOOSE(WEEKDAY(A382,1),"الأحد","الاثنين","الثلاثاء","الأربعاء","الخميس","الجمعة","السبت"))</f>
        <v>الأحد</v>
      </c>
      <c r="C382" s="30"/>
      <c r="D382" s="30"/>
      <c r="E382" s="31" t="str">
        <f aca="false">IF(OR(M382=0,K382="",L382=""),"",MOD(L382-K382,1))</f>
        <v/>
      </c>
      <c r="F382" s="32" t="str">
        <f aca="false">IF(OR(E382="",M382=0),"",IF(ROUND_MODE="للأعلى",CEILING(ROUND((E382*24*$N$379),3),0.25),ROUND((E382*24*$N$379)*4,0)/4))</f>
        <v/>
      </c>
      <c r="G382" s="30"/>
      <c r="H382" s="30"/>
      <c r="K382" s="33" t="str">
        <f aca="false">IF(OR(M382=0,C382=""),"",IF(ISNUMBER(C382),MOD(C382,1),IFERROR(INDEX(القوائم!$B$1:$B$288,MATCH(TRIM(C382),القوائم!$A$1:$A$288,0)),IFERROR(MOD(TIMEVALUE(C382),1),""))))</f>
        <v/>
      </c>
      <c r="L382" s="33" t="str">
        <f aca="false">IF(OR(M382=0,D382=""),"",IF(ISNUMBER(D382),MOD(D382,1),IFERROR(INDEX(القوائم!$B$1:$B$288,MATCH(TRIM(D382),القوائم!$A$1:$A$288,0)),IFERROR(MOD(TIMEVALUE(D382),1),""))))</f>
        <v/>
      </c>
      <c r="M382" s="25" t="n">
        <f aca="false">M379</f>
        <v>0</v>
      </c>
      <c r="Q382" s="25" t="n">
        <f aca="false">IF(N(F390)&gt;0,1,0)</f>
        <v>0</v>
      </c>
      <c r="S382" s="0" t="n">
        <v>32</v>
      </c>
    </row>
    <row r="383" customFormat="false" ht="15" hidden="false" customHeight="false" outlineLevel="0" collapsed="false">
      <c r="A383" s="28" t="n">
        <f aca="false">IF(32&lt;=NW,SAT1+219,"")</f>
        <v>46237</v>
      </c>
      <c r="B383" s="29" t="str">
        <f aca="false">IF(A383="","",CHOOSE(WEEKDAY(A383,1),"الأحد","الاثنين","الثلاثاء","الأربعاء","الخميس","الجمعة","السبت"))</f>
        <v>الاثنين</v>
      </c>
      <c r="C383" s="30"/>
      <c r="D383" s="30"/>
      <c r="E383" s="31" t="str">
        <f aca="false">IF(OR(M383=0,K383="",L383=""),"",MOD(L383-K383,1))</f>
        <v/>
      </c>
      <c r="F383" s="32" t="str">
        <f aca="false">IF(OR(E383="",M383=0),"",IF(ROUND_MODE="للأعلى",CEILING(ROUND((E383*24*$N$379),3),0.25),ROUND((E383*24*$N$379)*4,0)/4))</f>
        <v/>
      </c>
      <c r="G383" s="30"/>
      <c r="H383" s="30"/>
      <c r="K383" s="33" t="str">
        <f aca="false">IF(OR(M383=0,C383=""),"",IF(ISNUMBER(C383),MOD(C383,1),IFERROR(INDEX(القوائم!$B$1:$B$288,MATCH(TRIM(C383),القوائم!$A$1:$A$288,0)),IFERROR(MOD(TIMEVALUE(C383),1),""))))</f>
        <v/>
      </c>
      <c r="L383" s="33" t="str">
        <f aca="false">IF(OR(M383=0,D383=""),"",IF(ISNUMBER(D383),MOD(D383,1),IFERROR(INDEX(القوائم!$B$1:$B$288,MATCH(TRIM(D383),القوائم!$A$1:$A$288,0)),IFERROR(MOD(TIMEVALUE(D383),1),""))))</f>
        <v/>
      </c>
      <c r="M383" s="25" t="n">
        <f aca="false">M379</f>
        <v>0</v>
      </c>
      <c r="Q383" s="25" t="n">
        <f aca="false">IF(N(F390)&gt;0,1,0)</f>
        <v>0</v>
      </c>
      <c r="S383" s="0" t="n">
        <v>32</v>
      </c>
    </row>
    <row r="384" customFormat="false" ht="15" hidden="false" customHeight="false" outlineLevel="0" collapsed="false">
      <c r="A384" s="28" t="n">
        <f aca="false">IF(32&lt;=NW,SAT1+220,"")</f>
        <v>46238</v>
      </c>
      <c r="B384" s="29" t="str">
        <f aca="false">IF(A384="","",CHOOSE(WEEKDAY(A384,1),"الأحد","الاثنين","الثلاثاء","الأربعاء","الخميس","الجمعة","السبت"))</f>
        <v>الثلاثاء</v>
      </c>
      <c r="C384" s="30"/>
      <c r="D384" s="30"/>
      <c r="E384" s="31" t="str">
        <f aca="false">IF(OR(M384=0,K384="",L384=""),"",MOD(L384-K384,1))</f>
        <v/>
      </c>
      <c r="F384" s="32" t="str">
        <f aca="false">IF(OR(E384="",M384=0),"",IF(ROUND_MODE="للأعلى",CEILING(ROUND((E384*24*$N$379),3),0.25),ROUND((E384*24*$N$379)*4,0)/4))</f>
        <v/>
      </c>
      <c r="G384" s="30"/>
      <c r="H384" s="30"/>
      <c r="K384" s="33" t="str">
        <f aca="false">IF(OR(M384=0,C384=""),"",IF(ISNUMBER(C384),MOD(C384,1),IFERROR(INDEX(القوائم!$B$1:$B$288,MATCH(TRIM(C384),القوائم!$A$1:$A$288,0)),IFERROR(MOD(TIMEVALUE(C384),1),""))))</f>
        <v/>
      </c>
      <c r="L384" s="33" t="str">
        <f aca="false">IF(OR(M384=0,D384=""),"",IF(ISNUMBER(D384),MOD(D384,1),IFERROR(INDEX(القوائم!$B$1:$B$288,MATCH(TRIM(D384),القوائم!$A$1:$A$288,0)),IFERROR(MOD(TIMEVALUE(D384),1),""))))</f>
        <v/>
      </c>
      <c r="M384" s="25" t="n">
        <f aca="false">M379</f>
        <v>0</v>
      </c>
      <c r="Q384" s="25" t="n">
        <f aca="false">IF(N(F390)&gt;0,1,0)</f>
        <v>0</v>
      </c>
      <c r="S384" s="0" t="n">
        <v>32</v>
      </c>
    </row>
    <row r="385" customFormat="false" ht="15" hidden="false" customHeight="false" outlineLevel="0" collapsed="false">
      <c r="A385" s="28" t="n">
        <f aca="false">IF(32&lt;=NW,SAT1+221,"")</f>
        <v>46239</v>
      </c>
      <c r="B385" s="29" t="str">
        <f aca="false">IF(A385="","",CHOOSE(WEEKDAY(A385,1),"الأحد","الاثنين","الثلاثاء","الأربعاء","الخميس","الجمعة","السبت"))</f>
        <v>الأربعاء</v>
      </c>
      <c r="C385" s="30"/>
      <c r="D385" s="30"/>
      <c r="E385" s="31" t="str">
        <f aca="false">IF(OR(M385=0,K385="",L385=""),"",MOD(L385-K385,1))</f>
        <v/>
      </c>
      <c r="F385" s="32" t="str">
        <f aca="false">IF(OR(E385="",M385=0),"",IF(ROUND_MODE="للأعلى",CEILING(ROUND((E385*24*$N$379),3),0.25),ROUND((E385*24*$N$379)*4,0)/4))</f>
        <v/>
      </c>
      <c r="G385" s="30"/>
      <c r="H385" s="30"/>
      <c r="K385" s="33" t="str">
        <f aca="false">IF(OR(M385=0,C385=""),"",IF(ISNUMBER(C385),MOD(C385,1),IFERROR(INDEX(القوائم!$B$1:$B$288,MATCH(TRIM(C385),القوائم!$A$1:$A$288,0)),IFERROR(MOD(TIMEVALUE(C385),1),""))))</f>
        <v/>
      </c>
      <c r="L385" s="33" t="str">
        <f aca="false">IF(OR(M385=0,D385=""),"",IF(ISNUMBER(D385),MOD(D385,1),IFERROR(INDEX(القوائم!$B$1:$B$288,MATCH(TRIM(D385),القوائم!$A$1:$A$288,0)),IFERROR(MOD(TIMEVALUE(D385),1),""))))</f>
        <v/>
      </c>
      <c r="M385" s="25" t="n">
        <f aca="false">M379</f>
        <v>0</v>
      </c>
      <c r="Q385" s="25" t="n">
        <f aca="false">IF(N(F390)&gt;0,1,0)</f>
        <v>0</v>
      </c>
      <c r="S385" s="0" t="n">
        <v>32</v>
      </c>
    </row>
    <row r="386" customFormat="false" ht="15" hidden="false" customHeight="false" outlineLevel="0" collapsed="false">
      <c r="A386" s="28" t="n">
        <f aca="false">IF(32&lt;=NW,SAT1+222,"")</f>
        <v>46240</v>
      </c>
      <c r="B386" s="29" t="str">
        <f aca="false">IF(A386="","",CHOOSE(WEEKDAY(A386,1),"الأحد","الاثنين","الثلاثاء","الأربعاء","الخميس","الجمعة","السبت"))</f>
        <v>الخميس</v>
      </c>
      <c r="C386" s="30"/>
      <c r="D386" s="30"/>
      <c r="E386" s="31" t="str">
        <f aca="false">IF(OR(M386=0,K386="",L386=""),"",MOD(L386-K386,1))</f>
        <v/>
      </c>
      <c r="F386" s="32" t="str">
        <f aca="false">IF(OR(E386="",M386=0),"",IF(ROUND_MODE="للأعلى",CEILING(ROUND((E386*24*$N$379),3),0.25),ROUND((E386*24*$N$379)*4,0)/4))</f>
        <v/>
      </c>
      <c r="G386" s="30"/>
      <c r="H386" s="30"/>
      <c r="K386" s="33" t="str">
        <f aca="false">IF(OR(M386=0,C386=""),"",IF(ISNUMBER(C386),MOD(C386,1),IFERROR(INDEX(القوائم!$B$1:$B$288,MATCH(TRIM(C386),القوائم!$A$1:$A$288,0)),IFERROR(MOD(TIMEVALUE(C386),1),""))))</f>
        <v/>
      </c>
      <c r="L386" s="33" t="str">
        <f aca="false">IF(OR(M386=0,D386=""),"",IF(ISNUMBER(D386),MOD(D386,1),IFERROR(INDEX(القوائم!$B$1:$B$288,MATCH(TRIM(D386),القوائم!$A$1:$A$288,0)),IFERROR(MOD(TIMEVALUE(D386),1),""))))</f>
        <v/>
      </c>
      <c r="M386" s="25" t="n">
        <f aca="false">M379</f>
        <v>0</v>
      </c>
      <c r="Q386" s="25" t="n">
        <f aca="false">IF(N(F390)&gt;0,1,0)</f>
        <v>0</v>
      </c>
      <c r="S386" s="0" t="n">
        <v>32</v>
      </c>
    </row>
    <row r="387" customFormat="false" ht="15" hidden="false" customHeight="false" outlineLevel="0" collapsed="false">
      <c r="A387" s="34" t="n">
        <f aca="false">IF(32&lt;=NW,SAT1+223,"")</f>
        <v>46241</v>
      </c>
      <c r="B387" s="35" t="str">
        <f aca="false">IF(A387="","",CHOOSE(WEEKDAY(A387,1),"الأحد","الاثنين","الثلاثاء","الأربعاء","الخميس","الجمعة","السبت"))</f>
        <v>الجمعة</v>
      </c>
      <c r="C387" s="30"/>
      <c r="D387" s="30"/>
      <c r="E387" s="31" t="str">
        <f aca="false">IF(OR(M387=0,K387="",L387=""),"",MOD(L387-K387,1))</f>
        <v/>
      </c>
      <c r="F387" s="32" t="str">
        <f aca="false">IF(OR(E387="",M387=0),"",IF(ROUND_MODE="للأعلى",CEILING(ROUND((E387*24*$N$379),3),0.25),ROUND((E387*24*$N$379)*4,0)/4))</f>
        <v/>
      </c>
      <c r="G387" s="30"/>
      <c r="H387" s="30"/>
      <c r="K387" s="33" t="str">
        <f aca="false">IF(OR(M387=0,C387=""),"",IF(ISNUMBER(C387),MOD(C387,1),IFERROR(INDEX(القوائم!$B$1:$B$288,MATCH(TRIM(C387),القوائم!$A$1:$A$288,0)),IFERROR(MOD(TIMEVALUE(C387),1),""))))</f>
        <v/>
      </c>
      <c r="L387" s="33" t="str">
        <f aca="false">IF(OR(M387=0,D387=""),"",IF(ISNUMBER(D387),MOD(D387,1),IFERROR(INDEX(القوائم!$B$1:$B$288,MATCH(TRIM(D387),القوائم!$A$1:$A$288,0)),IFERROR(MOD(TIMEVALUE(D387),1),""))))</f>
        <v/>
      </c>
      <c r="M387" s="25" t="n">
        <f aca="false">M379</f>
        <v>0</v>
      </c>
      <c r="Q387" s="25" t="n">
        <f aca="false">IF(N(F390)&gt;0,1,0)</f>
        <v>0</v>
      </c>
      <c r="S387" s="0" t="n">
        <v>32</v>
      </c>
    </row>
    <row r="388" customFormat="false" ht="15" hidden="false" customHeight="false" outlineLevel="0" collapsed="false">
      <c r="A388" s="36" t="str">
        <f aca="false">IF(M379=1,"مجموع أيام الأسبوع 32","")</f>
        <v/>
      </c>
      <c r="B388" s="36"/>
      <c r="C388" s="36"/>
      <c r="D388" s="36"/>
      <c r="E388" s="37" t="str">
        <f aca="false">IF(M379=1,SUM(E381:E387),"")</f>
        <v/>
      </c>
      <c r="F388" s="38" t="str">
        <f aca="false">IF(M379=1,SUM(F381:F387),"")</f>
        <v/>
      </c>
      <c r="G388" s="50" t="str">
        <f aca="false">IF(M379=1,SUMIFS(F381:F387,G381:G387,"نعم"),"")</f>
        <v/>
      </c>
      <c r="H388" s="36"/>
      <c r="S388" s="0" t="n">
        <v>32</v>
      </c>
    </row>
    <row r="389" customFormat="false" ht="31.5" hidden="false" customHeight="true" outlineLevel="0" collapsed="false">
      <c r="A389" s="39" t="str">
        <f aca="false">IF(M379=1,"ساعات تحميل الجبسمبورد بهالأسبوع (رقم: 2 أو 1.5) ←","")</f>
        <v/>
      </c>
      <c r="B389" s="39"/>
      <c r="C389" s="39"/>
      <c r="D389" s="39"/>
      <c r="E389" s="40"/>
      <c r="F389" s="42" t="str">
        <f aca="false">IF(M379=1,N(F388)+IF(ROUND_MODE="للأعلى",CEILING(ROUND((N(E389)*($P$379-$N$379)),3),0.25),ROUND((N(E389)*($P$379-$N$379))*4,0)/4)+N(C390),"")</f>
        <v/>
      </c>
      <c r="G389" s="41" t="str">
        <f aca="false">IF(M379=1,"← المستحق النهائي للأسبوع مع الجبسمبورد والإكرامية","")</f>
        <v/>
      </c>
      <c r="H389" s="41"/>
      <c r="S389" s="0" t="n">
        <v>32</v>
      </c>
    </row>
    <row r="390" customFormat="false" ht="25.5" hidden="false" customHeight="true" outlineLevel="0" collapsed="false">
      <c r="A390" s="39" t="str">
        <f aca="false">IF(M379=1,"إكرامية الأسبوع ←","")</f>
        <v/>
      </c>
      <c r="B390" s="39"/>
      <c r="C390" s="44"/>
      <c r="D390" s="39" t="str">
        <f aca="false">IF(M379=1,"المدفوع (التسوية) ←","")</f>
        <v/>
      </c>
      <c r="E390" s="39"/>
      <c r="F390" s="44"/>
      <c r="G390" s="45" t="str">
        <f aca="false">IF(M379=1,IF(N(F390)&gt;0,"✔ انقبض — الأسبوع مقفول","⏳ لسا ما انقبض"),"")</f>
        <v/>
      </c>
      <c r="H390" s="45"/>
      <c r="S390" s="0" t="n">
        <v>32</v>
      </c>
    </row>
    <row r="391" customFormat="false" ht="27.75" hidden="false" customHeight="true" outlineLevel="0" collapsed="false">
      <c r="A391" s="48" t="str">
        <f aca="false">IF(33&lt;=NW,"من السبت "&amp;TEXT(DAY(SAT1+224),"00")&amp;"/"&amp;TEXT(MONTH(SAT1+224),"00")&amp;"/"&amp;YEAR(SAT1+224)&amp;" إلى الجمعة "&amp;TEXT(DAY(SAT1+230),"00")&amp;"/"&amp;TEXT(MONTH(SAT1+230),"00")&amp;"/"&amp;YEAR(SAT1+230)&amp;" · الأسبوع 33"&amp;"  (يوم القبض: الجمعة)"&amp;IF(33&lt;START_Z,"   — قبل أسبوع البداية (ما بينحسب)",""),"ما في أسبوع 33 هالسنة")</f>
        <v>من السبت 08/08/2026 إلى الجمعة 14/08/2026 · الأسبوع 33  (يوم القبض: الجمعة)   — قبل أسبوع البداية (ما بينحسب)</v>
      </c>
      <c r="B391" s="48"/>
      <c r="C391" s="48"/>
      <c r="D391" s="48"/>
      <c r="E391" s="48"/>
      <c r="F391" s="48"/>
      <c r="G391" s="48"/>
      <c r="H391" s="48"/>
      <c r="L391" s="24" t="n">
        <f aca="false">IF(33&lt;=NW,SAT1+230,"")</f>
        <v>46248</v>
      </c>
      <c r="M391" s="25" t="n">
        <f aca="false">IF(AND(33&lt;=NW,33&gt;=START_Z),1,0)</f>
        <v>0</v>
      </c>
      <c r="N391" s="26" t="n">
        <f aca="false">IFERROR(INDEX(RT_AZZ,MATCH(L391,RT_K,1)),INDEX(RT_AZZ,1))</f>
        <v>1</v>
      </c>
      <c r="P391" s="26" t="n">
        <f aca="false">IFERROR(INDEX(RT_GYP,MATCH(L391,RT_K,1)),INDEX(RT_GYP,1))</f>
        <v>2.5</v>
      </c>
      <c r="R391" s="0" t="n">
        <v>33</v>
      </c>
      <c r="S391" s="0" t="n">
        <v>33</v>
      </c>
    </row>
    <row r="392" customFormat="false" ht="25.5" hidden="false" customHeight="true" outlineLevel="0" collapsed="false">
      <c r="A392" s="49" t="s">
        <v>22</v>
      </c>
      <c r="B392" s="49" t="s">
        <v>23</v>
      </c>
      <c r="C392" s="49" t="s">
        <v>24</v>
      </c>
      <c r="D392" s="49" t="s">
        <v>25</v>
      </c>
      <c r="E392" s="49" t="s">
        <v>26</v>
      </c>
      <c r="F392" s="49" t="s">
        <v>33</v>
      </c>
      <c r="G392" s="49" t="s">
        <v>34</v>
      </c>
      <c r="H392" s="49" t="s">
        <v>30</v>
      </c>
      <c r="S392" s="0" t="n">
        <v>33</v>
      </c>
    </row>
    <row r="393" customFormat="false" ht="15" hidden="false" customHeight="false" outlineLevel="0" collapsed="false">
      <c r="A393" s="28" t="n">
        <f aca="false">IF(33&lt;=NW,SAT1+224,"")</f>
        <v>46242</v>
      </c>
      <c r="B393" s="29" t="str">
        <f aca="false">IF(A393="","",CHOOSE(WEEKDAY(A393,1),"الأحد","الاثنين","الثلاثاء","الأربعاء","الخميس","الجمعة","السبت"))</f>
        <v>السبت</v>
      </c>
      <c r="C393" s="30"/>
      <c r="D393" s="30"/>
      <c r="E393" s="31" t="str">
        <f aca="false">IF(OR(M393=0,K393="",L393=""),"",MOD(L393-K393,1))</f>
        <v/>
      </c>
      <c r="F393" s="32" t="str">
        <f aca="false">IF(OR(E393="",M393=0),"",IF(ROUND_MODE="للأعلى",CEILING(ROUND((E393*24*$N$391),3),0.25),ROUND((E393*24*$N$391)*4,0)/4))</f>
        <v/>
      </c>
      <c r="G393" s="30"/>
      <c r="H393" s="30"/>
      <c r="K393" s="33" t="str">
        <f aca="false">IF(OR(M393=0,C393=""),"",IF(ISNUMBER(C393),MOD(C393,1),IFERROR(INDEX(القوائم!$B$1:$B$288,MATCH(TRIM(C393),القوائم!$A$1:$A$288,0)),IFERROR(MOD(TIMEVALUE(C393),1),""))))</f>
        <v/>
      </c>
      <c r="L393" s="33" t="str">
        <f aca="false">IF(OR(M393=0,D393=""),"",IF(ISNUMBER(D393),MOD(D393,1),IFERROR(INDEX(القوائم!$B$1:$B$288,MATCH(TRIM(D393),القوائم!$A$1:$A$288,0)),IFERROR(MOD(TIMEVALUE(D393),1),""))))</f>
        <v/>
      </c>
      <c r="M393" s="25" t="n">
        <f aca="false">M391</f>
        <v>0</v>
      </c>
      <c r="Q393" s="25" t="n">
        <f aca="false">IF(N(F402)&gt;0,1,0)</f>
        <v>0</v>
      </c>
      <c r="S393" s="0" t="n">
        <v>33</v>
      </c>
    </row>
    <row r="394" customFormat="false" ht="15" hidden="false" customHeight="false" outlineLevel="0" collapsed="false">
      <c r="A394" s="28" t="n">
        <f aca="false">IF(33&lt;=NW,SAT1+225,"")</f>
        <v>46243</v>
      </c>
      <c r="B394" s="29" t="str">
        <f aca="false">IF(A394="","",CHOOSE(WEEKDAY(A394,1),"الأحد","الاثنين","الثلاثاء","الأربعاء","الخميس","الجمعة","السبت"))</f>
        <v>الأحد</v>
      </c>
      <c r="C394" s="30"/>
      <c r="D394" s="30"/>
      <c r="E394" s="31" t="str">
        <f aca="false">IF(OR(M394=0,K394="",L394=""),"",MOD(L394-K394,1))</f>
        <v/>
      </c>
      <c r="F394" s="32" t="str">
        <f aca="false">IF(OR(E394="",M394=0),"",IF(ROUND_MODE="للأعلى",CEILING(ROUND((E394*24*$N$391),3),0.25),ROUND((E394*24*$N$391)*4,0)/4))</f>
        <v/>
      </c>
      <c r="G394" s="30"/>
      <c r="H394" s="30"/>
      <c r="K394" s="33" t="str">
        <f aca="false">IF(OR(M394=0,C394=""),"",IF(ISNUMBER(C394),MOD(C394,1),IFERROR(INDEX(القوائم!$B$1:$B$288,MATCH(TRIM(C394),القوائم!$A$1:$A$288,0)),IFERROR(MOD(TIMEVALUE(C394),1),""))))</f>
        <v/>
      </c>
      <c r="L394" s="33" t="str">
        <f aca="false">IF(OR(M394=0,D394=""),"",IF(ISNUMBER(D394),MOD(D394,1),IFERROR(INDEX(القوائم!$B$1:$B$288,MATCH(TRIM(D394),القوائم!$A$1:$A$288,0)),IFERROR(MOD(TIMEVALUE(D394),1),""))))</f>
        <v/>
      </c>
      <c r="M394" s="25" t="n">
        <f aca="false">M391</f>
        <v>0</v>
      </c>
      <c r="Q394" s="25" t="n">
        <f aca="false">IF(N(F402)&gt;0,1,0)</f>
        <v>0</v>
      </c>
      <c r="S394" s="0" t="n">
        <v>33</v>
      </c>
    </row>
    <row r="395" customFormat="false" ht="15" hidden="false" customHeight="false" outlineLevel="0" collapsed="false">
      <c r="A395" s="28" t="n">
        <f aca="false">IF(33&lt;=NW,SAT1+226,"")</f>
        <v>46244</v>
      </c>
      <c r="B395" s="29" t="str">
        <f aca="false">IF(A395="","",CHOOSE(WEEKDAY(A395,1),"الأحد","الاثنين","الثلاثاء","الأربعاء","الخميس","الجمعة","السبت"))</f>
        <v>الاثنين</v>
      </c>
      <c r="C395" s="30"/>
      <c r="D395" s="30"/>
      <c r="E395" s="31" t="str">
        <f aca="false">IF(OR(M395=0,K395="",L395=""),"",MOD(L395-K395,1))</f>
        <v/>
      </c>
      <c r="F395" s="32" t="str">
        <f aca="false">IF(OR(E395="",M395=0),"",IF(ROUND_MODE="للأعلى",CEILING(ROUND((E395*24*$N$391),3),0.25),ROUND((E395*24*$N$391)*4,0)/4))</f>
        <v/>
      </c>
      <c r="G395" s="30"/>
      <c r="H395" s="30"/>
      <c r="K395" s="33" t="str">
        <f aca="false">IF(OR(M395=0,C395=""),"",IF(ISNUMBER(C395),MOD(C395,1),IFERROR(INDEX(القوائم!$B$1:$B$288,MATCH(TRIM(C395),القوائم!$A$1:$A$288,0)),IFERROR(MOD(TIMEVALUE(C395),1),""))))</f>
        <v/>
      </c>
      <c r="L395" s="33" t="str">
        <f aca="false">IF(OR(M395=0,D395=""),"",IF(ISNUMBER(D395),MOD(D395,1),IFERROR(INDEX(القوائم!$B$1:$B$288,MATCH(TRIM(D395),القوائم!$A$1:$A$288,0)),IFERROR(MOD(TIMEVALUE(D395),1),""))))</f>
        <v/>
      </c>
      <c r="M395" s="25" t="n">
        <f aca="false">M391</f>
        <v>0</v>
      </c>
      <c r="Q395" s="25" t="n">
        <f aca="false">IF(N(F402)&gt;0,1,0)</f>
        <v>0</v>
      </c>
      <c r="S395" s="0" t="n">
        <v>33</v>
      </c>
    </row>
    <row r="396" customFormat="false" ht="15" hidden="false" customHeight="false" outlineLevel="0" collapsed="false">
      <c r="A396" s="28" t="n">
        <f aca="false">IF(33&lt;=NW,SAT1+227,"")</f>
        <v>46245</v>
      </c>
      <c r="B396" s="29" t="str">
        <f aca="false">IF(A396="","",CHOOSE(WEEKDAY(A396,1),"الأحد","الاثنين","الثلاثاء","الأربعاء","الخميس","الجمعة","السبت"))</f>
        <v>الثلاثاء</v>
      </c>
      <c r="C396" s="30"/>
      <c r="D396" s="30"/>
      <c r="E396" s="31" t="str">
        <f aca="false">IF(OR(M396=0,K396="",L396=""),"",MOD(L396-K396,1))</f>
        <v/>
      </c>
      <c r="F396" s="32" t="str">
        <f aca="false">IF(OR(E396="",M396=0),"",IF(ROUND_MODE="للأعلى",CEILING(ROUND((E396*24*$N$391),3),0.25),ROUND((E396*24*$N$391)*4,0)/4))</f>
        <v/>
      </c>
      <c r="G396" s="30"/>
      <c r="H396" s="30"/>
      <c r="K396" s="33" t="str">
        <f aca="false">IF(OR(M396=0,C396=""),"",IF(ISNUMBER(C396),MOD(C396,1),IFERROR(INDEX(القوائم!$B$1:$B$288,MATCH(TRIM(C396),القوائم!$A$1:$A$288,0)),IFERROR(MOD(TIMEVALUE(C396),1),""))))</f>
        <v/>
      </c>
      <c r="L396" s="33" t="str">
        <f aca="false">IF(OR(M396=0,D396=""),"",IF(ISNUMBER(D396),MOD(D396,1),IFERROR(INDEX(القوائم!$B$1:$B$288,MATCH(TRIM(D396),القوائم!$A$1:$A$288,0)),IFERROR(MOD(TIMEVALUE(D396),1),""))))</f>
        <v/>
      </c>
      <c r="M396" s="25" t="n">
        <f aca="false">M391</f>
        <v>0</v>
      </c>
      <c r="Q396" s="25" t="n">
        <f aca="false">IF(N(F402)&gt;0,1,0)</f>
        <v>0</v>
      </c>
      <c r="S396" s="0" t="n">
        <v>33</v>
      </c>
    </row>
    <row r="397" customFormat="false" ht="15" hidden="false" customHeight="false" outlineLevel="0" collapsed="false">
      <c r="A397" s="28" t="n">
        <f aca="false">IF(33&lt;=NW,SAT1+228,"")</f>
        <v>46246</v>
      </c>
      <c r="B397" s="29" t="str">
        <f aca="false">IF(A397="","",CHOOSE(WEEKDAY(A397,1),"الأحد","الاثنين","الثلاثاء","الأربعاء","الخميس","الجمعة","السبت"))</f>
        <v>الأربعاء</v>
      </c>
      <c r="C397" s="30"/>
      <c r="D397" s="30"/>
      <c r="E397" s="31" t="str">
        <f aca="false">IF(OR(M397=0,K397="",L397=""),"",MOD(L397-K397,1))</f>
        <v/>
      </c>
      <c r="F397" s="32" t="str">
        <f aca="false">IF(OR(E397="",M397=0),"",IF(ROUND_MODE="للأعلى",CEILING(ROUND((E397*24*$N$391),3),0.25),ROUND((E397*24*$N$391)*4,0)/4))</f>
        <v/>
      </c>
      <c r="G397" s="30"/>
      <c r="H397" s="30"/>
      <c r="K397" s="33" t="str">
        <f aca="false">IF(OR(M397=0,C397=""),"",IF(ISNUMBER(C397),MOD(C397,1),IFERROR(INDEX(القوائم!$B$1:$B$288,MATCH(TRIM(C397),القوائم!$A$1:$A$288,0)),IFERROR(MOD(TIMEVALUE(C397),1),""))))</f>
        <v/>
      </c>
      <c r="L397" s="33" t="str">
        <f aca="false">IF(OR(M397=0,D397=""),"",IF(ISNUMBER(D397),MOD(D397,1),IFERROR(INDEX(القوائم!$B$1:$B$288,MATCH(TRIM(D397),القوائم!$A$1:$A$288,0)),IFERROR(MOD(TIMEVALUE(D397),1),""))))</f>
        <v/>
      </c>
      <c r="M397" s="25" t="n">
        <f aca="false">M391</f>
        <v>0</v>
      </c>
      <c r="Q397" s="25" t="n">
        <f aca="false">IF(N(F402)&gt;0,1,0)</f>
        <v>0</v>
      </c>
      <c r="S397" s="0" t="n">
        <v>33</v>
      </c>
    </row>
    <row r="398" customFormat="false" ht="15" hidden="false" customHeight="false" outlineLevel="0" collapsed="false">
      <c r="A398" s="28" t="n">
        <f aca="false">IF(33&lt;=NW,SAT1+229,"")</f>
        <v>46247</v>
      </c>
      <c r="B398" s="29" t="str">
        <f aca="false">IF(A398="","",CHOOSE(WEEKDAY(A398,1),"الأحد","الاثنين","الثلاثاء","الأربعاء","الخميس","الجمعة","السبت"))</f>
        <v>الخميس</v>
      </c>
      <c r="C398" s="30"/>
      <c r="D398" s="30"/>
      <c r="E398" s="31" t="str">
        <f aca="false">IF(OR(M398=0,K398="",L398=""),"",MOD(L398-K398,1))</f>
        <v/>
      </c>
      <c r="F398" s="32" t="str">
        <f aca="false">IF(OR(E398="",M398=0),"",IF(ROUND_MODE="للأعلى",CEILING(ROUND((E398*24*$N$391),3),0.25),ROUND((E398*24*$N$391)*4,0)/4))</f>
        <v/>
      </c>
      <c r="G398" s="30"/>
      <c r="H398" s="30"/>
      <c r="K398" s="33" t="str">
        <f aca="false">IF(OR(M398=0,C398=""),"",IF(ISNUMBER(C398),MOD(C398,1),IFERROR(INDEX(القوائم!$B$1:$B$288,MATCH(TRIM(C398),القوائم!$A$1:$A$288,0)),IFERROR(MOD(TIMEVALUE(C398),1),""))))</f>
        <v/>
      </c>
      <c r="L398" s="33" t="str">
        <f aca="false">IF(OR(M398=0,D398=""),"",IF(ISNUMBER(D398),MOD(D398,1),IFERROR(INDEX(القوائم!$B$1:$B$288,MATCH(TRIM(D398),القوائم!$A$1:$A$288,0)),IFERROR(MOD(TIMEVALUE(D398),1),""))))</f>
        <v/>
      </c>
      <c r="M398" s="25" t="n">
        <f aca="false">M391</f>
        <v>0</v>
      </c>
      <c r="Q398" s="25" t="n">
        <f aca="false">IF(N(F402)&gt;0,1,0)</f>
        <v>0</v>
      </c>
      <c r="S398" s="0" t="n">
        <v>33</v>
      </c>
    </row>
    <row r="399" customFormat="false" ht="15" hidden="false" customHeight="false" outlineLevel="0" collapsed="false">
      <c r="A399" s="34" t="n">
        <f aca="false">IF(33&lt;=NW,SAT1+230,"")</f>
        <v>46248</v>
      </c>
      <c r="B399" s="35" t="str">
        <f aca="false">IF(A399="","",CHOOSE(WEEKDAY(A399,1),"الأحد","الاثنين","الثلاثاء","الأربعاء","الخميس","الجمعة","السبت"))</f>
        <v>الجمعة</v>
      </c>
      <c r="C399" s="30"/>
      <c r="D399" s="30"/>
      <c r="E399" s="31" t="str">
        <f aca="false">IF(OR(M399=0,K399="",L399=""),"",MOD(L399-K399,1))</f>
        <v/>
      </c>
      <c r="F399" s="32" t="str">
        <f aca="false">IF(OR(E399="",M399=0),"",IF(ROUND_MODE="للأعلى",CEILING(ROUND((E399*24*$N$391),3),0.25),ROUND((E399*24*$N$391)*4,0)/4))</f>
        <v/>
      </c>
      <c r="G399" s="30"/>
      <c r="H399" s="30"/>
      <c r="K399" s="33" t="str">
        <f aca="false">IF(OR(M399=0,C399=""),"",IF(ISNUMBER(C399),MOD(C399,1),IFERROR(INDEX(القوائم!$B$1:$B$288,MATCH(TRIM(C399),القوائم!$A$1:$A$288,0)),IFERROR(MOD(TIMEVALUE(C399),1),""))))</f>
        <v/>
      </c>
      <c r="L399" s="33" t="str">
        <f aca="false">IF(OR(M399=0,D399=""),"",IF(ISNUMBER(D399),MOD(D399,1),IFERROR(INDEX(القوائم!$B$1:$B$288,MATCH(TRIM(D399),القوائم!$A$1:$A$288,0)),IFERROR(MOD(TIMEVALUE(D399),1),""))))</f>
        <v/>
      </c>
      <c r="M399" s="25" t="n">
        <f aca="false">M391</f>
        <v>0</v>
      </c>
      <c r="Q399" s="25" t="n">
        <f aca="false">IF(N(F402)&gt;0,1,0)</f>
        <v>0</v>
      </c>
      <c r="S399" s="0" t="n">
        <v>33</v>
      </c>
    </row>
    <row r="400" customFormat="false" ht="15" hidden="false" customHeight="false" outlineLevel="0" collapsed="false">
      <c r="A400" s="36" t="str">
        <f aca="false">IF(M391=1,"مجموع أيام الأسبوع 33","")</f>
        <v/>
      </c>
      <c r="B400" s="36"/>
      <c r="C400" s="36"/>
      <c r="D400" s="36"/>
      <c r="E400" s="37" t="str">
        <f aca="false">IF(M391=1,SUM(E393:E399),"")</f>
        <v/>
      </c>
      <c r="F400" s="38" t="str">
        <f aca="false">IF(M391=1,SUM(F393:F399),"")</f>
        <v/>
      </c>
      <c r="G400" s="50" t="str">
        <f aca="false">IF(M391=1,SUMIFS(F393:F399,G393:G399,"نعم"),"")</f>
        <v/>
      </c>
      <c r="H400" s="36"/>
      <c r="S400" s="0" t="n">
        <v>33</v>
      </c>
    </row>
    <row r="401" customFormat="false" ht="31.5" hidden="false" customHeight="true" outlineLevel="0" collapsed="false">
      <c r="A401" s="39" t="str">
        <f aca="false">IF(M391=1,"ساعات تحميل الجبسمبورد بهالأسبوع (رقم: 2 أو 1.5) ←","")</f>
        <v/>
      </c>
      <c r="B401" s="39"/>
      <c r="C401" s="39"/>
      <c r="D401" s="39"/>
      <c r="E401" s="40"/>
      <c r="F401" s="42" t="str">
        <f aca="false">IF(M391=1,N(F400)+IF(ROUND_MODE="للأعلى",CEILING(ROUND((N(E401)*($P$391-$N$391)),3),0.25),ROUND((N(E401)*($P$391-$N$391))*4,0)/4)+N(C402),"")</f>
        <v/>
      </c>
      <c r="G401" s="41" t="str">
        <f aca="false">IF(M391=1,"← المستحق النهائي للأسبوع مع الجبسمبورد والإكرامية","")</f>
        <v/>
      </c>
      <c r="H401" s="41"/>
      <c r="S401" s="0" t="n">
        <v>33</v>
      </c>
    </row>
    <row r="402" customFormat="false" ht="25.5" hidden="false" customHeight="true" outlineLevel="0" collapsed="false">
      <c r="A402" s="39" t="str">
        <f aca="false">IF(M391=1,"إكرامية الأسبوع ←","")</f>
        <v/>
      </c>
      <c r="B402" s="39"/>
      <c r="C402" s="44"/>
      <c r="D402" s="39" t="str">
        <f aca="false">IF(M391=1,"المدفوع (التسوية) ←","")</f>
        <v/>
      </c>
      <c r="E402" s="39"/>
      <c r="F402" s="44"/>
      <c r="G402" s="45" t="str">
        <f aca="false">IF(M391=1,IF(N(F402)&gt;0,"✔ انقبض — الأسبوع مقفول","⏳ لسا ما انقبض"),"")</f>
        <v/>
      </c>
      <c r="H402" s="45"/>
      <c r="S402" s="0" t="n">
        <v>33</v>
      </c>
    </row>
    <row r="403" customFormat="false" ht="27.75" hidden="false" customHeight="true" outlineLevel="0" collapsed="false">
      <c r="A403" s="48" t="str">
        <f aca="false">IF(34&lt;=NW,"من السبت "&amp;TEXT(DAY(SAT1+231),"00")&amp;"/"&amp;TEXT(MONTH(SAT1+231),"00")&amp;"/"&amp;YEAR(SAT1+231)&amp;" إلى الجمعة "&amp;TEXT(DAY(SAT1+237),"00")&amp;"/"&amp;TEXT(MONTH(SAT1+237),"00")&amp;"/"&amp;YEAR(SAT1+237)&amp;" · الأسبوع 34"&amp;"  (يوم القبض: الجمعة)"&amp;IF(34&lt;START_Z,"   — قبل أسبوع البداية (ما بينحسب)",""),"ما في أسبوع 34 هالسنة")</f>
        <v>من السبت 15/08/2026 إلى الجمعة 21/08/2026 · الأسبوع 34  (يوم القبض: الجمعة)   — قبل أسبوع البداية (ما بينحسب)</v>
      </c>
      <c r="B403" s="48"/>
      <c r="C403" s="48"/>
      <c r="D403" s="48"/>
      <c r="E403" s="48"/>
      <c r="F403" s="48"/>
      <c r="G403" s="48"/>
      <c r="H403" s="48"/>
      <c r="L403" s="24" t="n">
        <f aca="false">IF(34&lt;=NW,SAT1+237,"")</f>
        <v>46255</v>
      </c>
      <c r="M403" s="25" t="n">
        <f aca="false">IF(AND(34&lt;=NW,34&gt;=START_Z),1,0)</f>
        <v>0</v>
      </c>
      <c r="N403" s="26" t="n">
        <f aca="false">IFERROR(INDEX(RT_AZZ,MATCH(L403,RT_K,1)),INDEX(RT_AZZ,1))</f>
        <v>1</v>
      </c>
      <c r="P403" s="26" t="n">
        <f aca="false">IFERROR(INDEX(RT_GYP,MATCH(L403,RT_K,1)),INDEX(RT_GYP,1))</f>
        <v>2.5</v>
      </c>
      <c r="R403" s="0" t="n">
        <v>34</v>
      </c>
      <c r="S403" s="0" t="n">
        <v>34</v>
      </c>
    </row>
    <row r="404" customFormat="false" ht="25.5" hidden="false" customHeight="true" outlineLevel="0" collapsed="false">
      <c r="A404" s="49" t="s">
        <v>22</v>
      </c>
      <c r="B404" s="49" t="s">
        <v>23</v>
      </c>
      <c r="C404" s="49" t="s">
        <v>24</v>
      </c>
      <c r="D404" s="49" t="s">
        <v>25</v>
      </c>
      <c r="E404" s="49" t="s">
        <v>26</v>
      </c>
      <c r="F404" s="49" t="s">
        <v>33</v>
      </c>
      <c r="G404" s="49" t="s">
        <v>34</v>
      </c>
      <c r="H404" s="49" t="s">
        <v>30</v>
      </c>
      <c r="S404" s="0" t="n">
        <v>34</v>
      </c>
    </row>
    <row r="405" customFormat="false" ht="15" hidden="false" customHeight="false" outlineLevel="0" collapsed="false">
      <c r="A405" s="28" t="n">
        <f aca="false">IF(34&lt;=NW,SAT1+231,"")</f>
        <v>46249</v>
      </c>
      <c r="B405" s="29" t="str">
        <f aca="false">IF(A405="","",CHOOSE(WEEKDAY(A405,1),"الأحد","الاثنين","الثلاثاء","الأربعاء","الخميس","الجمعة","السبت"))</f>
        <v>السبت</v>
      </c>
      <c r="C405" s="30"/>
      <c r="D405" s="30"/>
      <c r="E405" s="31" t="str">
        <f aca="false">IF(OR(M405=0,K405="",L405=""),"",MOD(L405-K405,1))</f>
        <v/>
      </c>
      <c r="F405" s="32" t="str">
        <f aca="false">IF(OR(E405="",M405=0),"",IF(ROUND_MODE="للأعلى",CEILING(ROUND((E405*24*$N$403),3),0.25),ROUND((E405*24*$N$403)*4,0)/4))</f>
        <v/>
      </c>
      <c r="G405" s="30"/>
      <c r="H405" s="30"/>
      <c r="K405" s="33" t="str">
        <f aca="false">IF(OR(M405=0,C405=""),"",IF(ISNUMBER(C405),MOD(C405,1),IFERROR(INDEX(القوائم!$B$1:$B$288,MATCH(TRIM(C405),القوائم!$A$1:$A$288,0)),IFERROR(MOD(TIMEVALUE(C405),1),""))))</f>
        <v/>
      </c>
      <c r="L405" s="33" t="str">
        <f aca="false">IF(OR(M405=0,D405=""),"",IF(ISNUMBER(D405),MOD(D405,1),IFERROR(INDEX(القوائم!$B$1:$B$288,MATCH(TRIM(D405),القوائم!$A$1:$A$288,0)),IFERROR(MOD(TIMEVALUE(D405),1),""))))</f>
        <v/>
      </c>
      <c r="M405" s="25" t="n">
        <f aca="false">M403</f>
        <v>0</v>
      </c>
      <c r="Q405" s="25" t="n">
        <f aca="false">IF(N(F414)&gt;0,1,0)</f>
        <v>0</v>
      </c>
      <c r="S405" s="0" t="n">
        <v>34</v>
      </c>
    </row>
    <row r="406" customFormat="false" ht="15" hidden="false" customHeight="false" outlineLevel="0" collapsed="false">
      <c r="A406" s="28" t="n">
        <f aca="false">IF(34&lt;=NW,SAT1+232,"")</f>
        <v>46250</v>
      </c>
      <c r="B406" s="29" t="str">
        <f aca="false">IF(A406="","",CHOOSE(WEEKDAY(A406,1),"الأحد","الاثنين","الثلاثاء","الأربعاء","الخميس","الجمعة","السبت"))</f>
        <v>الأحد</v>
      </c>
      <c r="C406" s="30"/>
      <c r="D406" s="30"/>
      <c r="E406" s="31" t="str">
        <f aca="false">IF(OR(M406=0,K406="",L406=""),"",MOD(L406-K406,1))</f>
        <v/>
      </c>
      <c r="F406" s="32" t="str">
        <f aca="false">IF(OR(E406="",M406=0),"",IF(ROUND_MODE="للأعلى",CEILING(ROUND((E406*24*$N$403),3),0.25),ROUND((E406*24*$N$403)*4,0)/4))</f>
        <v/>
      </c>
      <c r="G406" s="30"/>
      <c r="H406" s="30"/>
      <c r="K406" s="33" t="str">
        <f aca="false">IF(OR(M406=0,C406=""),"",IF(ISNUMBER(C406),MOD(C406,1),IFERROR(INDEX(القوائم!$B$1:$B$288,MATCH(TRIM(C406),القوائم!$A$1:$A$288,0)),IFERROR(MOD(TIMEVALUE(C406),1),""))))</f>
        <v/>
      </c>
      <c r="L406" s="33" t="str">
        <f aca="false">IF(OR(M406=0,D406=""),"",IF(ISNUMBER(D406),MOD(D406,1),IFERROR(INDEX(القوائم!$B$1:$B$288,MATCH(TRIM(D406),القوائم!$A$1:$A$288,0)),IFERROR(MOD(TIMEVALUE(D406),1),""))))</f>
        <v/>
      </c>
      <c r="M406" s="25" t="n">
        <f aca="false">M403</f>
        <v>0</v>
      </c>
      <c r="Q406" s="25" t="n">
        <f aca="false">IF(N(F414)&gt;0,1,0)</f>
        <v>0</v>
      </c>
      <c r="S406" s="0" t="n">
        <v>34</v>
      </c>
    </row>
    <row r="407" customFormat="false" ht="15" hidden="false" customHeight="false" outlineLevel="0" collapsed="false">
      <c r="A407" s="28" t="n">
        <f aca="false">IF(34&lt;=NW,SAT1+233,"")</f>
        <v>46251</v>
      </c>
      <c r="B407" s="29" t="str">
        <f aca="false">IF(A407="","",CHOOSE(WEEKDAY(A407,1),"الأحد","الاثنين","الثلاثاء","الأربعاء","الخميس","الجمعة","السبت"))</f>
        <v>الاثنين</v>
      </c>
      <c r="C407" s="30"/>
      <c r="D407" s="30"/>
      <c r="E407" s="31" t="str">
        <f aca="false">IF(OR(M407=0,K407="",L407=""),"",MOD(L407-K407,1))</f>
        <v/>
      </c>
      <c r="F407" s="32" t="str">
        <f aca="false">IF(OR(E407="",M407=0),"",IF(ROUND_MODE="للأعلى",CEILING(ROUND((E407*24*$N$403),3),0.25),ROUND((E407*24*$N$403)*4,0)/4))</f>
        <v/>
      </c>
      <c r="G407" s="30"/>
      <c r="H407" s="30"/>
      <c r="K407" s="33" t="str">
        <f aca="false">IF(OR(M407=0,C407=""),"",IF(ISNUMBER(C407),MOD(C407,1),IFERROR(INDEX(القوائم!$B$1:$B$288,MATCH(TRIM(C407),القوائم!$A$1:$A$288,0)),IFERROR(MOD(TIMEVALUE(C407),1),""))))</f>
        <v/>
      </c>
      <c r="L407" s="33" t="str">
        <f aca="false">IF(OR(M407=0,D407=""),"",IF(ISNUMBER(D407),MOD(D407,1),IFERROR(INDEX(القوائم!$B$1:$B$288,MATCH(TRIM(D407),القوائم!$A$1:$A$288,0)),IFERROR(MOD(TIMEVALUE(D407),1),""))))</f>
        <v/>
      </c>
      <c r="M407" s="25" t="n">
        <f aca="false">M403</f>
        <v>0</v>
      </c>
      <c r="Q407" s="25" t="n">
        <f aca="false">IF(N(F414)&gt;0,1,0)</f>
        <v>0</v>
      </c>
      <c r="S407" s="0" t="n">
        <v>34</v>
      </c>
    </row>
    <row r="408" customFormat="false" ht="15" hidden="false" customHeight="false" outlineLevel="0" collapsed="false">
      <c r="A408" s="28" t="n">
        <f aca="false">IF(34&lt;=NW,SAT1+234,"")</f>
        <v>46252</v>
      </c>
      <c r="B408" s="29" t="str">
        <f aca="false">IF(A408="","",CHOOSE(WEEKDAY(A408,1),"الأحد","الاثنين","الثلاثاء","الأربعاء","الخميس","الجمعة","السبت"))</f>
        <v>الثلاثاء</v>
      </c>
      <c r="C408" s="30"/>
      <c r="D408" s="30"/>
      <c r="E408" s="31" t="str">
        <f aca="false">IF(OR(M408=0,K408="",L408=""),"",MOD(L408-K408,1))</f>
        <v/>
      </c>
      <c r="F408" s="32" t="str">
        <f aca="false">IF(OR(E408="",M408=0),"",IF(ROUND_MODE="للأعلى",CEILING(ROUND((E408*24*$N$403),3),0.25),ROUND((E408*24*$N$403)*4,0)/4))</f>
        <v/>
      </c>
      <c r="G408" s="30"/>
      <c r="H408" s="30"/>
      <c r="K408" s="33" t="str">
        <f aca="false">IF(OR(M408=0,C408=""),"",IF(ISNUMBER(C408),MOD(C408,1),IFERROR(INDEX(القوائم!$B$1:$B$288,MATCH(TRIM(C408),القوائم!$A$1:$A$288,0)),IFERROR(MOD(TIMEVALUE(C408),1),""))))</f>
        <v/>
      </c>
      <c r="L408" s="33" t="str">
        <f aca="false">IF(OR(M408=0,D408=""),"",IF(ISNUMBER(D408),MOD(D408,1),IFERROR(INDEX(القوائم!$B$1:$B$288,MATCH(TRIM(D408),القوائم!$A$1:$A$288,0)),IFERROR(MOD(TIMEVALUE(D408),1),""))))</f>
        <v/>
      </c>
      <c r="M408" s="25" t="n">
        <f aca="false">M403</f>
        <v>0</v>
      </c>
      <c r="Q408" s="25" t="n">
        <f aca="false">IF(N(F414)&gt;0,1,0)</f>
        <v>0</v>
      </c>
      <c r="S408" s="0" t="n">
        <v>34</v>
      </c>
    </row>
    <row r="409" customFormat="false" ht="15" hidden="false" customHeight="false" outlineLevel="0" collapsed="false">
      <c r="A409" s="28" t="n">
        <f aca="false">IF(34&lt;=NW,SAT1+235,"")</f>
        <v>46253</v>
      </c>
      <c r="B409" s="29" t="str">
        <f aca="false">IF(A409="","",CHOOSE(WEEKDAY(A409,1),"الأحد","الاثنين","الثلاثاء","الأربعاء","الخميس","الجمعة","السبت"))</f>
        <v>الأربعاء</v>
      </c>
      <c r="C409" s="30"/>
      <c r="D409" s="30"/>
      <c r="E409" s="31" t="str">
        <f aca="false">IF(OR(M409=0,K409="",L409=""),"",MOD(L409-K409,1))</f>
        <v/>
      </c>
      <c r="F409" s="32" t="str">
        <f aca="false">IF(OR(E409="",M409=0),"",IF(ROUND_MODE="للأعلى",CEILING(ROUND((E409*24*$N$403),3),0.25),ROUND((E409*24*$N$403)*4,0)/4))</f>
        <v/>
      </c>
      <c r="G409" s="30"/>
      <c r="H409" s="30"/>
      <c r="K409" s="33" t="str">
        <f aca="false">IF(OR(M409=0,C409=""),"",IF(ISNUMBER(C409),MOD(C409,1),IFERROR(INDEX(القوائم!$B$1:$B$288,MATCH(TRIM(C409),القوائم!$A$1:$A$288,0)),IFERROR(MOD(TIMEVALUE(C409),1),""))))</f>
        <v/>
      </c>
      <c r="L409" s="33" t="str">
        <f aca="false">IF(OR(M409=0,D409=""),"",IF(ISNUMBER(D409),MOD(D409,1),IFERROR(INDEX(القوائم!$B$1:$B$288,MATCH(TRIM(D409),القوائم!$A$1:$A$288,0)),IFERROR(MOD(TIMEVALUE(D409),1),""))))</f>
        <v/>
      </c>
      <c r="M409" s="25" t="n">
        <f aca="false">M403</f>
        <v>0</v>
      </c>
      <c r="Q409" s="25" t="n">
        <f aca="false">IF(N(F414)&gt;0,1,0)</f>
        <v>0</v>
      </c>
      <c r="S409" s="0" t="n">
        <v>34</v>
      </c>
    </row>
    <row r="410" customFormat="false" ht="15" hidden="false" customHeight="false" outlineLevel="0" collapsed="false">
      <c r="A410" s="28" t="n">
        <f aca="false">IF(34&lt;=NW,SAT1+236,"")</f>
        <v>46254</v>
      </c>
      <c r="B410" s="29" t="str">
        <f aca="false">IF(A410="","",CHOOSE(WEEKDAY(A410,1),"الأحد","الاثنين","الثلاثاء","الأربعاء","الخميس","الجمعة","السبت"))</f>
        <v>الخميس</v>
      </c>
      <c r="C410" s="30"/>
      <c r="D410" s="30"/>
      <c r="E410" s="31" t="str">
        <f aca="false">IF(OR(M410=0,K410="",L410=""),"",MOD(L410-K410,1))</f>
        <v/>
      </c>
      <c r="F410" s="32" t="str">
        <f aca="false">IF(OR(E410="",M410=0),"",IF(ROUND_MODE="للأعلى",CEILING(ROUND((E410*24*$N$403),3),0.25),ROUND((E410*24*$N$403)*4,0)/4))</f>
        <v/>
      </c>
      <c r="G410" s="30"/>
      <c r="H410" s="30"/>
      <c r="K410" s="33" t="str">
        <f aca="false">IF(OR(M410=0,C410=""),"",IF(ISNUMBER(C410),MOD(C410,1),IFERROR(INDEX(القوائم!$B$1:$B$288,MATCH(TRIM(C410),القوائم!$A$1:$A$288,0)),IFERROR(MOD(TIMEVALUE(C410),1),""))))</f>
        <v/>
      </c>
      <c r="L410" s="33" t="str">
        <f aca="false">IF(OR(M410=0,D410=""),"",IF(ISNUMBER(D410),MOD(D410,1),IFERROR(INDEX(القوائم!$B$1:$B$288,MATCH(TRIM(D410),القوائم!$A$1:$A$288,0)),IFERROR(MOD(TIMEVALUE(D410),1),""))))</f>
        <v/>
      </c>
      <c r="M410" s="25" t="n">
        <f aca="false">M403</f>
        <v>0</v>
      </c>
      <c r="Q410" s="25" t="n">
        <f aca="false">IF(N(F414)&gt;0,1,0)</f>
        <v>0</v>
      </c>
      <c r="S410" s="0" t="n">
        <v>34</v>
      </c>
    </row>
    <row r="411" customFormat="false" ht="15" hidden="false" customHeight="false" outlineLevel="0" collapsed="false">
      <c r="A411" s="34" t="n">
        <f aca="false">IF(34&lt;=NW,SAT1+237,"")</f>
        <v>46255</v>
      </c>
      <c r="B411" s="35" t="str">
        <f aca="false">IF(A411="","",CHOOSE(WEEKDAY(A411,1),"الأحد","الاثنين","الثلاثاء","الأربعاء","الخميس","الجمعة","السبت"))</f>
        <v>الجمعة</v>
      </c>
      <c r="C411" s="30"/>
      <c r="D411" s="30"/>
      <c r="E411" s="31" t="str">
        <f aca="false">IF(OR(M411=0,K411="",L411=""),"",MOD(L411-K411,1))</f>
        <v/>
      </c>
      <c r="F411" s="32" t="str">
        <f aca="false">IF(OR(E411="",M411=0),"",IF(ROUND_MODE="للأعلى",CEILING(ROUND((E411*24*$N$403),3),0.25),ROUND((E411*24*$N$403)*4,0)/4))</f>
        <v/>
      </c>
      <c r="G411" s="30"/>
      <c r="H411" s="30"/>
      <c r="K411" s="33" t="str">
        <f aca="false">IF(OR(M411=0,C411=""),"",IF(ISNUMBER(C411),MOD(C411,1),IFERROR(INDEX(القوائم!$B$1:$B$288,MATCH(TRIM(C411),القوائم!$A$1:$A$288,0)),IFERROR(MOD(TIMEVALUE(C411),1),""))))</f>
        <v/>
      </c>
      <c r="L411" s="33" t="str">
        <f aca="false">IF(OR(M411=0,D411=""),"",IF(ISNUMBER(D411),MOD(D411,1),IFERROR(INDEX(القوائم!$B$1:$B$288,MATCH(TRIM(D411),القوائم!$A$1:$A$288,0)),IFERROR(MOD(TIMEVALUE(D411),1),""))))</f>
        <v/>
      </c>
      <c r="M411" s="25" t="n">
        <f aca="false">M403</f>
        <v>0</v>
      </c>
      <c r="Q411" s="25" t="n">
        <f aca="false">IF(N(F414)&gt;0,1,0)</f>
        <v>0</v>
      </c>
      <c r="S411" s="0" t="n">
        <v>34</v>
      </c>
    </row>
    <row r="412" customFormat="false" ht="15" hidden="false" customHeight="false" outlineLevel="0" collapsed="false">
      <c r="A412" s="36" t="str">
        <f aca="false">IF(M403=1,"مجموع أيام الأسبوع 34","")</f>
        <v/>
      </c>
      <c r="B412" s="36"/>
      <c r="C412" s="36"/>
      <c r="D412" s="36"/>
      <c r="E412" s="37" t="str">
        <f aca="false">IF(M403=1,SUM(E405:E411),"")</f>
        <v/>
      </c>
      <c r="F412" s="38" t="str">
        <f aca="false">IF(M403=1,SUM(F405:F411),"")</f>
        <v/>
      </c>
      <c r="G412" s="50" t="str">
        <f aca="false">IF(M403=1,SUMIFS(F405:F411,G405:G411,"نعم"),"")</f>
        <v/>
      </c>
      <c r="H412" s="36"/>
      <c r="S412" s="0" t="n">
        <v>34</v>
      </c>
    </row>
    <row r="413" customFormat="false" ht="31.5" hidden="false" customHeight="true" outlineLevel="0" collapsed="false">
      <c r="A413" s="39" t="str">
        <f aca="false">IF(M403=1,"ساعات تحميل الجبسمبورد بهالأسبوع (رقم: 2 أو 1.5) ←","")</f>
        <v/>
      </c>
      <c r="B413" s="39"/>
      <c r="C413" s="39"/>
      <c r="D413" s="39"/>
      <c r="E413" s="40"/>
      <c r="F413" s="42" t="str">
        <f aca="false">IF(M403=1,N(F412)+IF(ROUND_MODE="للأعلى",CEILING(ROUND((N(E413)*($P$403-$N$403)),3),0.25),ROUND((N(E413)*($P$403-$N$403))*4,0)/4)+N(C414),"")</f>
        <v/>
      </c>
      <c r="G413" s="41" t="str">
        <f aca="false">IF(M403=1,"← المستحق النهائي للأسبوع مع الجبسمبورد والإكرامية","")</f>
        <v/>
      </c>
      <c r="H413" s="41"/>
      <c r="S413" s="0" t="n">
        <v>34</v>
      </c>
    </row>
    <row r="414" customFormat="false" ht="25.5" hidden="false" customHeight="true" outlineLevel="0" collapsed="false">
      <c r="A414" s="39" t="str">
        <f aca="false">IF(M403=1,"إكرامية الأسبوع ←","")</f>
        <v/>
      </c>
      <c r="B414" s="39"/>
      <c r="C414" s="44"/>
      <c r="D414" s="39" t="str">
        <f aca="false">IF(M403=1,"المدفوع (التسوية) ←","")</f>
        <v/>
      </c>
      <c r="E414" s="39"/>
      <c r="F414" s="44"/>
      <c r="G414" s="45" t="str">
        <f aca="false">IF(M403=1,IF(N(F414)&gt;0,"✔ انقبض — الأسبوع مقفول","⏳ لسا ما انقبض"),"")</f>
        <v/>
      </c>
      <c r="H414" s="45"/>
      <c r="S414" s="0" t="n">
        <v>34</v>
      </c>
    </row>
    <row r="415" customFormat="false" ht="27.75" hidden="false" customHeight="true" outlineLevel="0" collapsed="false">
      <c r="A415" s="48" t="str">
        <f aca="false">IF(35&lt;=NW,"من السبت "&amp;TEXT(DAY(SAT1+238),"00")&amp;"/"&amp;TEXT(MONTH(SAT1+238),"00")&amp;"/"&amp;YEAR(SAT1+238)&amp;" إلى الجمعة "&amp;TEXT(DAY(SAT1+244),"00")&amp;"/"&amp;TEXT(MONTH(SAT1+244),"00")&amp;"/"&amp;YEAR(SAT1+244)&amp;" · الأسبوع 35"&amp;"  (يوم القبض: الجمعة)"&amp;IF(35&lt;START_Z,"   — قبل أسبوع البداية (ما بينحسب)",""),"ما في أسبوع 35 هالسنة")</f>
        <v>من السبت 22/08/2026 إلى الجمعة 28/08/2026 · الأسبوع 35  (يوم القبض: الجمعة)   — قبل أسبوع البداية (ما بينحسب)</v>
      </c>
      <c r="B415" s="48"/>
      <c r="C415" s="48"/>
      <c r="D415" s="48"/>
      <c r="E415" s="48"/>
      <c r="F415" s="48"/>
      <c r="G415" s="48"/>
      <c r="H415" s="48"/>
      <c r="L415" s="24" t="n">
        <f aca="false">IF(35&lt;=NW,SAT1+244,"")</f>
        <v>46262</v>
      </c>
      <c r="M415" s="25" t="n">
        <f aca="false">IF(AND(35&lt;=NW,35&gt;=START_Z),1,0)</f>
        <v>0</v>
      </c>
      <c r="N415" s="26" t="n">
        <f aca="false">IFERROR(INDEX(RT_AZZ,MATCH(L415,RT_K,1)),INDEX(RT_AZZ,1))</f>
        <v>1</v>
      </c>
      <c r="P415" s="26" t="n">
        <f aca="false">IFERROR(INDEX(RT_GYP,MATCH(L415,RT_K,1)),INDEX(RT_GYP,1))</f>
        <v>2.5</v>
      </c>
      <c r="R415" s="0" t="n">
        <v>35</v>
      </c>
      <c r="S415" s="0" t="n">
        <v>35</v>
      </c>
    </row>
    <row r="416" customFormat="false" ht="25.5" hidden="false" customHeight="true" outlineLevel="0" collapsed="false">
      <c r="A416" s="49" t="s">
        <v>22</v>
      </c>
      <c r="B416" s="49" t="s">
        <v>23</v>
      </c>
      <c r="C416" s="49" t="s">
        <v>24</v>
      </c>
      <c r="D416" s="49" t="s">
        <v>25</v>
      </c>
      <c r="E416" s="49" t="s">
        <v>26</v>
      </c>
      <c r="F416" s="49" t="s">
        <v>33</v>
      </c>
      <c r="G416" s="49" t="s">
        <v>34</v>
      </c>
      <c r="H416" s="49" t="s">
        <v>30</v>
      </c>
      <c r="S416" s="0" t="n">
        <v>35</v>
      </c>
    </row>
    <row r="417" customFormat="false" ht="15" hidden="false" customHeight="false" outlineLevel="0" collapsed="false">
      <c r="A417" s="28" t="n">
        <f aca="false">IF(35&lt;=NW,SAT1+238,"")</f>
        <v>46256</v>
      </c>
      <c r="B417" s="29" t="str">
        <f aca="false">IF(A417="","",CHOOSE(WEEKDAY(A417,1),"الأحد","الاثنين","الثلاثاء","الأربعاء","الخميس","الجمعة","السبت"))</f>
        <v>السبت</v>
      </c>
      <c r="C417" s="30"/>
      <c r="D417" s="30"/>
      <c r="E417" s="31" t="str">
        <f aca="false">IF(OR(M417=0,K417="",L417=""),"",MOD(L417-K417,1))</f>
        <v/>
      </c>
      <c r="F417" s="32" t="str">
        <f aca="false">IF(OR(E417="",M417=0),"",IF(ROUND_MODE="للأعلى",CEILING(ROUND((E417*24*$N$415),3),0.25),ROUND((E417*24*$N$415)*4,0)/4))</f>
        <v/>
      </c>
      <c r="G417" s="30"/>
      <c r="H417" s="30"/>
      <c r="K417" s="33" t="str">
        <f aca="false">IF(OR(M417=0,C417=""),"",IF(ISNUMBER(C417),MOD(C417,1),IFERROR(INDEX(القوائم!$B$1:$B$288,MATCH(TRIM(C417),القوائم!$A$1:$A$288,0)),IFERROR(MOD(TIMEVALUE(C417),1),""))))</f>
        <v/>
      </c>
      <c r="L417" s="33" t="str">
        <f aca="false">IF(OR(M417=0,D417=""),"",IF(ISNUMBER(D417),MOD(D417,1),IFERROR(INDEX(القوائم!$B$1:$B$288,MATCH(TRIM(D417),القوائم!$A$1:$A$288,0)),IFERROR(MOD(TIMEVALUE(D417),1),""))))</f>
        <v/>
      </c>
      <c r="M417" s="25" t="n">
        <f aca="false">M415</f>
        <v>0</v>
      </c>
      <c r="Q417" s="25" t="n">
        <f aca="false">IF(N(F426)&gt;0,1,0)</f>
        <v>0</v>
      </c>
      <c r="S417" s="0" t="n">
        <v>35</v>
      </c>
    </row>
    <row r="418" customFormat="false" ht="15" hidden="false" customHeight="false" outlineLevel="0" collapsed="false">
      <c r="A418" s="28" t="n">
        <f aca="false">IF(35&lt;=NW,SAT1+239,"")</f>
        <v>46257</v>
      </c>
      <c r="B418" s="29" t="str">
        <f aca="false">IF(A418="","",CHOOSE(WEEKDAY(A418,1),"الأحد","الاثنين","الثلاثاء","الأربعاء","الخميس","الجمعة","السبت"))</f>
        <v>الأحد</v>
      </c>
      <c r="C418" s="30"/>
      <c r="D418" s="30"/>
      <c r="E418" s="31" t="str">
        <f aca="false">IF(OR(M418=0,K418="",L418=""),"",MOD(L418-K418,1))</f>
        <v/>
      </c>
      <c r="F418" s="32" t="str">
        <f aca="false">IF(OR(E418="",M418=0),"",IF(ROUND_MODE="للأعلى",CEILING(ROUND((E418*24*$N$415),3),0.25),ROUND((E418*24*$N$415)*4,0)/4))</f>
        <v/>
      </c>
      <c r="G418" s="30"/>
      <c r="H418" s="30"/>
      <c r="K418" s="33" t="str">
        <f aca="false">IF(OR(M418=0,C418=""),"",IF(ISNUMBER(C418),MOD(C418,1),IFERROR(INDEX(القوائم!$B$1:$B$288,MATCH(TRIM(C418),القوائم!$A$1:$A$288,0)),IFERROR(MOD(TIMEVALUE(C418),1),""))))</f>
        <v/>
      </c>
      <c r="L418" s="33" t="str">
        <f aca="false">IF(OR(M418=0,D418=""),"",IF(ISNUMBER(D418),MOD(D418,1),IFERROR(INDEX(القوائم!$B$1:$B$288,MATCH(TRIM(D418),القوائم!$A$1:$A$288,0)),IFERROR(MOD(TIMEVALUE(D418),1),""))))</f>
        <v/>
      </c>
      <c r="M418" s="25" t="n">
        <f aca="false">M415</f>
        <v>0</v>
      </c>
      <c r="Q418" s="25" t="n">
        <f aca="false">IF(N(F426)&gt;0,1,0)</f>
        <v>0</v>
      </c>
      <c r="S418" s="0" t="n">
        <v>35</v>
      </c>
    </row>
    <row r="419" customFormat="false" ht="15" hidden="false" customHeight="false" outlineLevel="0" collapsed="false">
      <c r="A419" s="28" t="n">
        <f aca="false">IF(35&lt;=NW,SAT1+240,"")</f>
        <v>46258</v>
      </c>
      <c r="B419" s="29" t="str">
        <f aca="false">IF(A419="","",CHOOSE(WEEKDAY(A419,1),"الأحد","الاثنين","الثلاثاء","الأربعاء","الخميس","الجمعة","السبت"))</f>
        <v>الاثنين</v>
      </c>
      <c r="C419" s="30"/>
      <c r="D419" s="30"/>
      <c r="E419" s="31" t="str">
        <f aca="false">IF(OR(M419=0,K419="",L419=""),"",MOD(L419-K419,1))</f>
        <v/>
      </c>
      <c r="F419" s="32" t="str">
        <f aca="false">IF(OR(E419="",M419=0),"",IF(ROUND_MODE="للأعلى",CEILING(ROUND((E419*24*$N$415),3),0.25),ROUND((E419*24*$N$415)*4,0)/4))</f>
        <v/>
      </c>
      <c r="G419" s="30"/>
      <c r="H419" s="30"/>
      <c r="K419" s="33" t="str">
        <f aca="false">IF(OR(M419=0,C419=""),"",IF(ISNUMBER(C419),MOD(C419,1),IFERROR(INDEX(القوائم!$B$1:$B$288,MATCH(TRIM(C419),القوائم!$A$1:$A$288,0)),IFERROR(MOD(TIMEVALUE(C419),1),""))))</f>
        <v/>
      </c>
      <c r="L419" s="33" t="str">
        <f aca="false">IF(OR(M419=0,D419=""),"",IF(ISNUMBER(D419),MOD(D419,1),IFERROR(INDEX(القوائم!$B$1:$B$288,MATCH(TRIM(D419),القوائم!$A$1:$A$288,0)),IFERROR(MOD(TIMEVALUE(D419),1),""))))</f>
        <v/>
      </c>
      <c r="M419" s="25" t="n">
        <f aca="false">M415</f>
        <v>0</v>
      </c>
      <c r="Q419" s="25" t="n">
        <f aca="false">IF(N(F426)&gt;0,1,0)</f>
        <v>0</v>
      </c>
      <c r="S419" s="0" t="n">
        <v>35</v>
      </c>
    </row>
    <row r="420" customFormat="false" ht="15" hidden="false" customHeight="false" outlineLevel="0" collapsed="false">
      <c r="A420" s="28" t="n">
        <f aca="false">IF(35&lt;=NW,SAT1+241,"")</f>
        <v>46259</v>
      </c>
      <c r="B420" s="29" t="str">
        <f aca="false">IF(A420="","",CHOOSE(WEEKDAY(A420,1),"الأحد","الاثنين","الثلاثاء","الأربعاء","الخميس","الجمعة","السبت"))</f>
        <v>الثلاثاء</v>
      </c>
      <c r="C420" s="30"/>
      <c r="D420" s="30"/>
      <c r="E420" s="31" t="str">
        <f aca="false">IF(OR(M420=0,K420="",L420=""),"",MOD(L420-K420,1))</f>
        <v/>
      </c>
      <c r="F420" s="32" t="str">
        <f aca="false">IF(OR(E420="",M420=0),"",IF(ROUND_MODE="للأعلى",CEILING(ROUND((E420*24*$N$415),3),0.25),ROUND((E420*24*$N$415)*4,0)/4))</f>
        <v/>
      </c>
      <c r="G420" s="30"/>
      <c r="H420" s="30"/>
      <c r="K420" s="33" t="str">
        <f aca="false">IF(OR(M420=0,C420=""),"",IF(ISNUMBER(C420),MOD(C420,1),IFERROR(INDEX(القوائم!$B$1:$B$288,MATCH(TRIM(C420),القوائم!$A$1:$A$288,0)),IFERROR(MOD(TIMEVALUE(C420),1),""))))</f>
        <v/>
      </c>
      <c r="L420" s="33" t="str">
        <f aca="false">IF(OR(M420=0,D420=""),"",IF(ISNUMBER(D420),MOD(D420,1),IFERROR(INDEX(القوائم!$B$1:$B$288,MATCH(TRIM(D420),القوائم!$A$1:$A$288,0)),IFERROR(MOD(TIMEVALUE(D420),1),""))))</f>
        <v/>
      </c>
      <c r="M420" s="25" t="n">
        <f aca="false">M415</f>
        <v>0</v>
      </c>
      <c r="Q420" s="25" t="n">
        <f aca="false">IF(N(F426)&gt;0,1,0)</f>
        <v>0</v>
      </c>
      <c r="S420" s="0" t="n">
        <v>35</v>
      </c>
    </row>
    <row r="421" customFormat="false" ht="15" hidden="false" customHeight="false" outlineLevel="0" collapsed="false">
      <c r="A421" s="28" t="n">
        <f aca="false">IF(35&lt;=NW,SAT1+242,"")</f>
        <v>46260</v>
      </c>
      <c r="B421" s="29" t="str">
        <f aca="false">IF(A421="","",CHOOSE(WEEKDAY(A421,1),"الأحد","الاثنين","الثلاثاء","الأربعاء","الخميس","الجمعة","السبت"))</f>
        <v>الأربعاء</v>
      </c>
      <c r="C421" s="30"/>
      <c r="D421" s="30"/>
      <c r="E421" s="31" t="str">
        <f aca="false">IF(OR(M421=0,K421="",L421=""),"",MOD(L421-K421,1))</f>
        <v/>
      </c>
      <c r="F421" s="32" t="str">
        <f aca="false">IF(OR(E421="",M421=0),"",IF(ROUND_MODE="للأعلى",CEILING(ROUND((E421*24*$N$415),3),0.25),ROUND((E421*24*$N$415)*4,0)/4))</f>
        <v/>
      </c>
      <c r="G421" s="30"/>
      <c r="H421" s="30"/>
      <c r="K421" s="33" t="str">
        <f aca="false">IF(OR(M421=0,C421=""),"",IF(ISNUMBER(C421),MOD(C421,1),IFERROR(INDEX(القوائم!$B$1:$B$288,MATCH(TRIM(C421),القوائم!$A$1:$A$288,0)),IFERROR(MOD(TIMEVALUE(C421),1),""))))</f>
        <v/>
      </c>
      <c r="L421" s="33" t="str">
        <f aca="false">IF(OR(M421=0,D421=""),"",IF(ISNUMBER(D421),MOD(D421,1),IFERROR(INDEX(القوائم!$B$1:$B$288,MATCH(TRIM(D421),القوائم!$A$1:$A$288,0)),IFERROR(MOD(TIMEVALUE(D421),1),""))))</f>
        <v/>
      </c>
      <c r="M421" s="25" t="n">
        <f aca="false">M415</f>
        <v>0</v>
      </c>
      <c r="Q421" s="25" t="n">
        <f aca="false">IF(N(F426)&gt;0,1,0)</f>
        <v>0</v>
      </c>
      <c r="S421" s="0" t="n">
        <v>35</v>
      </c>
    </row>
    <row r="422" customFormat="false" ht="15" hidden="false" customHeight="false" outlineLevel="0" collapsed="false">
      <c r="A422" s="28" t="n">
        <f aca="false">IF(35&lt;=NW,SAT1+243,"")</f>
        <v>46261</v>
      </c>
      <c r="B422" s="29" t="str">
        <f aca="false">IF(A422="","",CHOOSE(WEEKDAY(A422,1),"الأحد","الاثنين","الثلاثاء","الأربعاء","الخميس","الجمعة","السبت"))</f>
        <v>الخميس</v>
      </c>
      <c r="C422" s="30"/>
      <c r="D422" s="30"/>
      <c r="E422" s="31" t="str">
        <f aca="false">IF(OR(M422=0,K422="",L422=""),"",MOD(L422-K422,1))</f>
        <v/>
      </c>
      <c r="F422" s="32" t="str">
        <f aca="false">IF(OR(E422="",M422=0),"",IF(ROUND_MODE="للأعلى",CEILING(ROUND((E422*24*$N$415),3),0.25),ROUND((E422*24*$N$415)*4,0)/4))</f>
        <v/>
      </c>
      <c r="G422" s="30"/>
      <c r="H422" s="30"/>
      <c r="K422" s="33" t="str">
        <f aca="false">IF(OR(M422=0,C422=""),"",IF(ISNUMBER(C422),MOD(C422,1),IFERROR(INDEX(القوائم!$B$1:$B$288,MATCH(TRIM(C422),القوائم!$A$1:$A$288,0)),IFERROR(MOD(TIMEVALUE(C422),1),""))))</f>
        <v/>
      </c>
      <c r="L422" s="33" t="str">
        <f aca="false">IF(OR(M422=0,D422=""),"",IF(ISNUMBER(D422),MOD(D422,1),IFERROR(INDEX(القوائم!$B$1:$B$288,MATCH(TRIM(D422),القوائم!$A$1:$A$288,0)),IFERROR(MOD(TIMEVALUE(D422),1),""))))</f>
        <v/>
      </c>
      <c r="M422" s="25" t="n">
        <f aca="false">M415</f>
        <v>0</v>
      </c>
      <c r="Q422" s="25" t="n">
        <f aca="false">IF(N(F426)&gt;0,1,0)</f>
        <v>0</v>
      </c>
      <c r="S422" s="0" t="n">
        <v>35</v>
      </c>
    </row>
    <row r="423" customFormat="false" ht="15" hidden="false" customHeight="false" outlineLevel="0" collapsed="false">
      <c r="A423" s="34" t="n">
        <f aca="false">IF(35&lt;=NW,SAT1+244,"")</f>
        <v>46262</v>
      </c>
      <c r="B423" s="35" t="str">
        <f aca="false">IF(A423="","",CHOOSE(WEEKDAY(A423,1),"الأحد","الاثنين","الثلاثاء","الأربعاء","الخميس","الجمعة","السبت"))</f>
        <v>الجمعة</v>
      </c>
      <c r="C423" s="30"/>
      <c r="D423" s="30"/>
      <c r="E423" s="31" t="str">
        <f aca="false">IF(OR(M423=0,K423="",L423=""),"",MOD(L423-K423,1))</f>
        <v/>
      </c>
      <c r="F423" s="32" t="str">
        <f aca="false">IF(OR(E423="",M423=0),"",IF(ROUND_MODE="للأعلى",CEILING(ROUND((E423*24*$N$415),3),0.25),ROUND((E423*24*$N$415)*4,0)/4))</f>
        <v/>
      </c>
      <c r="G423" s="30"/>
      <c r="H423" s="30"/>
      <c r="K423" s="33" t="str">
        <f aca="false">IF(OR(M423=0,C423=""),"",IF(ISNUMBER(C423),MOD(C423,1),IFERROR(INDEX(القوائم!$B$1:$B$288,MATCH(TRIM(C423),القوائم!$A$1:$A$288,0)),IFERROR(MOD(TIMEVALUE(C423),1),""))))</f>
        <v/>
      </c>
      <c r="L423" s="33" t="str">
        <f aca="false">IF(OR(M423=0,D423=""),"",IF(ISNUMBER(D423),MOD(D423,1),IFERROR(INDEX(القوائم!$B$1:$B$288,MATCH(TRIM(D423),القوائم!$A$1:$A$288,0)),IFERROR(MOD(TIMEVALUE(D423),1),""))))</f>
        <v/>
      </c>
      <c r="M423" s="25" t="n">
        <f aca="false">M415</f>
        <v>0</v>
      </c>
      <c r="Q423" s="25" t="n">
        <f aca="false">IF(N(F426)&gt;0,1,0)</f>
        <v>0</v>
      </c>
      <c r="S423" s="0" t="n">
        <v>35</v>
      </c>
    </row>
    <row r="424" customFormat="false" ht="15" hidden="false" customHeight="false" outlineLevel="0" collapsed="false">
      <c r="A424" s="36" t="str">
        <f aca="false">IF(M415=1,"مجموع أيام الأسبوع 35","")</f>
        <v/>
      </c>
      <c r="B424" s="36"/>
      <c r="C424" s="36"/>
      <c r="D424" s="36"/>
      <c r="E424" s="37" t="str">
        <f aca="false">IF(M415=1,SUM(E417:E423),"")</f>
        <v/>
      </c>
      <c r="F424" s="38" t="str">
        <f aca="false">IF(M415=1,SUM(F417:F423),"")</f>
        <v/>
      </c>
      <c r="G424" s="50" t="str">
        <f aca="false">IF(M415=1,SUMIFS(F417:F423,G417:G423,"نعم"),"")</f>
        <v/>
      </c>
      <c r="H424" s="36"/>
      <c r="S424" s="0" t="n">
        <v>35</v>
      </c>
    </row>
    <row r="425" customFormat="false" ht="31.5" hidden="false" customHeight="true" outlineLevel="0" collapsed="false">
      <c r="A425" s="39" t="str">
        <f aca="false">IF(M415=1,"ساعات تحميل الجبسمبورد بهالأسبوع (رقم: 2 أو 1.5) ←","")</f>
        <v/>
      </c>
      <c r="B425" s="39"/>
      <c r="C425" s="39"/>
      <c r="D425" s="39"/>
      <c r="E425" s="40"/>
      <c r="F425" s="42" t="str">
        <f aca="false">IF(M415=1,N(F424)+IF(ROUND_MODE="للأعلى",CEILING(ROUND((N(E425)*($P$415-$N$415)),3),0.25),ROUND((N(E425)*($P$415-$N$415))*4,0)/4)+N(C426),"")</f>
        <v/>
      </c>
      <c r="G425" s="41" t="str">
        <f aca="false">IF(M415=1,"← المستحق النهائي للأسبوع مع الجبسمبورد والإكرامية","")</f>
        <v/>
      </c>
      <c r="H425" s="41"/>
      <c r="S425" s="0" t="n">
        <v>35</v>
      </c>
    </row>
    <row r="426" customFormat="false" ht="25.5" hidden="false" customHeight="true" outlineLevel="0" collapsed="false">
      <c r="A426" s="39" t="str">
        <f aca="false">IF(M415=1,"إكرامية الأسبوع ←","")</f>
        <v/>
      </c>
      <c r="B426" s="39"/>
      <c r="C426" s="44"/>
      <c r="D426" s="39" t="str">
        <f aca="false">IF(M415=1,"المدفوع (التسوية) ←","")</f>
        <v/>
      </c>
      <c r="E426" s="39"/>
      <c r="F426" s="44"/>
      <c r="G426" s="45" t="str">
        <f aca="false">IF(M415=1,IF(N(F426)&gt;0,"✔ انقبض — الأسبوع مقفول","⏳ لسا ما انقبض"),"")</f>
        <v/>
      </c>
      <c r="H426" s="45"/>
      <c r="S426" s="0" t="n">
        <v>35</v>
      </c>
    </row>
    <row r="427" customFormat="false" ht="27.75" hidden="false" customHeight="true" outlineLevel="0" collapsed="false">
      <c r="A427" s="48" t="str">
        <f aca="false">IF(36&lt;=NW,"من السبت "&amp;TEXT(DAY(SAT1+245),"00")&amp;"/"&amp;TEXT(MONTH(SAT1+245),"00")&amp;"/"&amp;YEAR(SAT1+245)&amp;" إلى الجمعة "&amp;TEXT(DAY(SAT1+251),"00")&amp;"/"&amp;TEXT(MONTH(SAT1+251),"00")&amp;"/"&amp;YEAR(SAT1+251)&amp;" · الأسبوع 36"&amp;"  (يوم القبض: الجمعة)"&amp;IF(36&lt;START_Z,"   — قبل أسبوع البداية (ما بينحسب)",""),"ما في أسبوع 36 هالسنة")</f>
        <v>من السبت 29/08/2026 إلى الجمعة 04/09/2026 · الأسبوع 36  (يوم القبض: الجمعة)   — قبل أسبوع البداية (ما بينحسب)</v>
      </c>
      <c r="B427" s="48"/>
      <c r="C427" s="48"/>
      <c r="D427" s="48"/>
      <c r="E427" s="48"/>
      <c r="F427" s="48"/>
      <c r="G427" s="48"/>
      <c r="H427" s="48"/>
      <c r="L427" s="24" t="n">
        <f aca="false">IF(36&lt;=NW,SAT1+251,"")</f>
        <v>46269</v>
      </c>
      <c r="M427" s="25" t="n">
        <f aca="false">IF(AND(36&lt;=NW,36&gt;=START_Z),1,0)</f>
        <v>0</v>
      </c>
      <c r="N427" s="26" t="n">
        <f aca="false">IFERROR(INDEX(RT_AZZ,MATCH(L427,RT_K,1)),INDEX(RT_AZZ,1))</f>
        <v>1</v>
      </c>
      <c r="P427" s="26" t="n">
        <f aca="false">IFERROR(INDEX(RT_GYP,MATCH(L427,RT_K,1)),INDEX(RT_GYP,1))</f>
        <v>2.5</v>
      </c>
      <c r="R427" s="0" t="n">
        <v>36</v>
      </c>
      <c r="S427" s="0" t="n">
        <v>36</v>
      </c>
    </row>
    <row r="428" customFormat="false" ht="25.5" hidden="false" customHeight="true" outlineLevel="0" collapsed="false">
      <c r="A428" s="49" t="s">
        <v>22</v>
      </c>
      <c r="B428" s="49" t="s">
        <v>23</v>
      </c>
      <c r="C428" s="49" t="s">
        <v>24</v>
      </c>
      <c r="D428" s="49" t="s">
        <v>25</v>
      </c>
      <c r="E428" s="49" t="s">
        <v>26</v>
      </c>
      <c r="F428" s="49" t="s">
        <v>33</v>
      </c>
      <c r="G428" s="49" t="s">
        <v>34</v>
      </c>
      <c r="H428" s="49" t="s">
        <v>30</v>
      </c>
      <c r="S428" s="0" t="n">
        <v>36</v>
      </c>
    </row>
    <row r="429" customFormat="false" ht="15" hidden="false" customHeight="false" outlineLevel="0" collapsed="false">
      <c r="A429" s="28" t="n">
        <f aca="false">IF(36&lt;=NW,SAT1+245,"")</f>
        <v>46263</v>
      </c>
      <c r="B429" s="29" t="str">
        <f aca="false">IF(A429="","",CHOOSE(WEEKDAY(A429,1),"الأحد","الاثنين","الثلاثاء","الأربعاء","الخميس","الجمعة","السبت"))</f>
        <v>السبت</v>
      </c>
      <c r="C429" s="30"/>
      <c r="D429" s="30"/>
      <c r="E429" s="31" t="str">
        <f aca="false">IF(OR(M429=0,K429="",L429=""),"",MOD(L429-K429,1))</f>
        <v/>
      </c>
      <c r="F429" s="32" t="str">
        <f aca="false">IF(OR(E429="",M429=0),"",IF(ROUND_MODE="للأعلى",CEILING(ROUND((E429*24*$N$427),3),0.25),ROUND((E429*24*$N$427)*4,0)/4))</f>
        <v/>
      </c>
      <c r="G429" s="30"/>
      <c r="H429" s="30"/>
      <c r="K429" s="33" t="str">
        <f aca="false">IF(OR(M429=0,C429=""),"",IF(ISNUMBER(C429),MOD(C429,1),IFERROR(INDEX(القوائم!$B$1:$B$288,MATCH(TRIM(C429),القوائم!$A$1:$A$288,0)),IFERROR(MOD(TIMEVALUE(C429),1),""))))</f>
        <v/>
      </c>
      <c r="L429" s="33" t="str">
        <f aca="false">IF(OR(M429=0,D429=""),"",IF(ISNUMBER(D429),MOD(D429,1),IFERROR(INDEX(القوائم!$B$1:$B$288,MATCH(TRIM(D429),القوائم!$A$1:$A$288,0)),IFERROR(MOD(TIMEVALUE(D429),1),""))))</f>
        <v/>
      </c>
      <c r="M429" s="25" t="n">
        <f aca="false">M427</f>
        <v>0</v>
      </c>
      <c r="Q429" s="25" t="n">
        <f aca="false">IF(N(F438)&gt;0,1,0)</f>
        <v>0</v>
      </c>
      <c r="S429" s="0" t="n">
        <v>36</v>
      </c>
    </row>
    <row r="430" customFormat="false" ht="15" hidden="false" customHeight="false" outlineLevel="0" collapsed="false">
      <c r="A430" s="28" t="n">
        <f aca="false">IF(36&lt;=NW,SAT1+246,"")</f>
        <v>46264</v>
      </c>
      <c r="B430" s="29" t="str">
        <f aca="false">IF(A430="","",CHOOSE(WEEKDAY(A430,1),"الأحد","الاثنين","الثلاثاء","الأربعاء","الخميس","الجمعة","السبت"))</f>
        <v>الأحد</v>
      </c>
      <c r="C430" s="30"/>
      <c r="D430" s="30"/>
      <c r="E430" s="31" t="str">
        <f aca="false">IF(OR(M430=0,K430="",L430=""),"",MOD(L430-K430,1))</f>
        <v/>
      </c>
      <c r="F430" s="32" t="str">
        <f aca="false">IF(OR(E430="",M430=0),"",IF(ROUND_MODE="للأعلى",CEILING(ROUND((E430*24*$N$427),3),0.25),ROUND((E430*24*$N$427)*4,0)/4))</f>
        <v/>
      </c>
      <c r="G430" s="30"/>
      <c r="H430" s="30"/>
      <c r="K430" s="33" t="str">
        <f aca="false">IF(OR(M430=0,C430=""),"",IF(ISNUMBER(C430),MOD(C430,1),IFERROR(INDEX(القوائم!$B$1:$B$288,MATCH(TRIM(C430),القوائم!$A$1:$A$288,0)),IFERROR(MOD(TIMEVALUE(C430),1),""))))</f>
        <v/>
      </c>
      <c r="L430" s="33" t="str">
        <f aca="false">IF(OR(M430=0,D430=""),"",IF(ISNUMBER(D430),MOD(D430,1),IFERROR(INDEX(القوائم!$B$1:$B$288,MATCH(TRIM(D430),القوائم!$A$1:$A$288,0)),IFERROR(MOD(TIMEVALUE(D430),1),""))))</f>
        <v/>
      </c>
      <c r="M430" s="25" t="n">
        <f aca="false">M427</f>
        <v>0</v>
      </c>
      <c r="Q430" s="25" t="n">
        <f aca="false">IF(N(F438)&gt;0,1,0)</f>
        <v>0</v>
      </c>
      <c r="S430" s="0" t="n">
        <v>36</v>
      </c>
    </row>
    <row r="431" customFormat="false" ht="15" hidden="false" customHeight="false" outlineLevel="0" collapsed="false">
      <c r="A431" s="28" t="n">
        <f aca="false">IF(36&lt;=NW,SAT1+247,"")</f>
        <v>46265</v>
      </c>
      <c r="B431" s="29" t="str">
        <f aca="false">IF(A431="","",CHOOSE(WEEKDAY(A431,1),"الأحد","الاثنين","الثلاثاء","الأربعاء","الخميس","الجمعة","السبت"))</f>
        <v>الاثنين</v>
      </c>
      <c r="C431" s="30"/>
      <c r="D431" s="30"/>
      <c r="E431" s="31" t="str">
        <f aca="false">IF(OR(M431=0,K431="",L431=""),"",MOD(L431-K431,1))</f>
        <v/>
      </c>
      <c r="F431" s="32" t="str">
        <f aca="false">IF(OR(E431="",M431=0),"",IF(ROUND_MODE="للأعلى",CEILING(ROUND((E431*24*$N$427),3),0.25),ROUND((E431*24*$N$427)*4,0)/4))</f>
        <v/>
      </c>
      <c r="G431" s="30"/>
      <c r="H431" s="30"/>
      <c r="K431" s="33" t="str">
        <f aca="false">IF(OR(M431=0,C431=""),"",IF(ISNUMBER(C431),MOD(C431,1),IFERROR(INDEX(القوائم!$B$1:$B$288,MATCH(TRIM(C431),القوائم!$A$1:$A$288,0)),IFERROR(MOD(TIMEVALUE(C431),1),""))))</f>
        <v/>
      </c>
      <c r="L431" s="33" t="str">
        <f aca="false">IF(OR(M431=0,D431=""),"",IF(ISNUMBER(D431),MOD(D431,1),IFERROR(INDEX(القوائم!$B$1:$B$288,MATCH(TRIM(D431),القوائم!$A$1:$A$288,0)),IFERROR(MOD(TIMEVALUE(D431),1),""))))</f>
        <v/>
      </c>
      <c r="M431" s="25" t="n">
        <f aca="false">M427</f>
        <v>0</v>
      </c>
      <c r="Q431" s="25" t="n">
        <f aca="false">IF(N(F438)&gt;0,1,0)</f>
        <v>0</v>
      </c>
      <c r="S431" s="0" t="n">
        <v>36</v>
      </c>
    </row>
    <row r="432" customFormat="false" ht="15" hidden="false" customHeight="false" outlineLevel="0" collapsed="false">
      <c r="A432" s="28" t="n">
        <f aca="false">IF(36&lt;=NW,SAT1+248,"")</f>
        <v>46266</v>
      </c>
      <c r="B432" s="29" t="str">
        <f aca="false">IF(A432="","",CHOOSE(WEEKDAY(A432,1),"الأحد","الاثنين","الثلاثاء","الأربعاء","الخميس","الجمعة","السبت"))</f>
        <v>الثلاثاء</v>
      </c>
      <c r="C432" s="30"/>
      <c r="D432" s="30"/>
      <c r="E432" s="31" t="str">
        <f aca="false">IF(OR(M432=0,K432="",L432=""),"",MOD(L432-K432,1))</f>
        <v/>
      </c>
      <c r="F432" s="32" t="str">
        <f aca="false">IF(OR(E432="",M432=0),"",IF(ROUND_MODE="للأعلى",CEILING(ROUND((E432*24*$N$427),3),0.25),ROUND((E432*24*$N$427)*4,0)/4))</f>
        <v/>
      </c>
      <c r="G432" s="30"/>
      <c r="H432" s="30"/>
      <c r="K432" s="33" t="str">
        <f aca="false">IF(OR(M432=0,C432=""),"",IF(ISNUMBER(C432),MOD(C432,1),IFERROR(INDEX(القوائم!$B$1:$B$288,MATCH(TRIM(C432),القوائم!$A$1:$A$288,0)),IFERROR(MOD(TIMEVALUE(C432),1),""))))</f>
        <v/>
      </c>
      <c r="L432" s="33" t="str">
        <f aca="false">IF(OR(M432=0,D432=""),"",IF(ISNUMBER(D432),MOD(D432,1),IFERROR(INDEX(القوائم!$B$1:$B$288,MATCH(TRIM(D432),القوائم!$A$1:$A$288,0)),IFERROR(MOD(TIMEVALUE(D432),1),""))))</f>
        <v/>
      </c>
      <c r="M432" s="25" t="n">
        <f aca="false">M427</f>
        <v>0</v>
      </c>
      <c r="Q432" s="25" t="n">
        <f aca="false">IF(N(F438)&gt;0,1,0)</f>
        <v>0</v>
      </c>
      <c r="S432" s="0" t="n">
        <v>36</v>
      </c>
    </row>
    <row r="433" customFormat="false" ht="15" hidden="false" customHeight="false" outlineLevel="0" collapsed="false">
      <c r="A433" s="28" t="n">
        <f aca="false">IF(36&lt;=NW,SAT1+249,"")</f>
        <v>46267</v>
      </c>
      <c r="B433" s="29" t="str">
        <f aca="false">IF(A433="","",CHOOSE(WEEKDAY(A433,1),"الأحد","الاثنين","الثلاثاء","الأربعاء","الخميس","الجمعة","السبت"))</f>
        <v>الأربعاء</v>
      </c>
      <c r="C433" s="30"/>
      <c r="D433" s="30"/>
      <c r="E433" s="31" t="str">
        <f aca="false">IF(OR(M433=0,K433="",L433=""),"",MOD(L433-K433,1))</f>
        <v/>
      </c>
      <c r="F433" s="32" t="str">
        <f aca="false">IF(OR(E433="",M433=0),"",IF(ROUND_MODE="للأعلى",CEILING(ROUND((E433*24*$N$427),3),0.25),ROUND((E433*24*$N$427)*4,0)/4))</f>
        <v/>
      </c>
      <c r="G433" s="30"/>
      <c r="H433" s="30"/>
      <c r="K433" s="33" t="str">
        <f aca="false">IF(OR(M433=0,C433=""),"",IF(ISNUMBER(C433),MOD(C433,1),IFERROR(INDEX(القوائم!$B$1:$B$288,MATCH(TRIM(C433),القوائم!$A$1:$A$288,0)),IFERROR(MOD(TIMEVALUE(C433),1),""))))</f>
        <v/>
      </c>
      <c r="L433" s="33" t="str">
        <f aca="false">IF(OR(M433=0,D433=""),"",IF(ISNUMBER(D433),MOD(D433,1),IFERROR(INDEX(القوائم!$B$1:$B$288,MATCH(TRIM(D433),القوائم!$A$1:$A$288,0)),IFERROR(MOD(TIMEVALUE(D433),1),""))))</f>
        <v/>
      </c>
      <c r="M433" s="25" t="n">
        <f aca="false">M427</f>
        <v>0</v>
      </c>
      <c r="Q433" s="25" t="n">
        <f aca="false">IF(N(F438)&gt;0,1,0)</f>
        <v>0</v>
      </c>
      <c r="S433" s="0" t="n">
        <v>36</v>
      </c>
    </row>
    <row r="434" customFormat="false" ht="15" hidden="false" customHeight="false" outlineLevel="0" collapsed="false">
      <c r="A434" s="28" t="n">
        <f aca="false">IF(36&lt;=NW,SAT1+250,"")</f>
        <v>46268</v>
      </c>
      <c r="B434" s="29" t="str">
        <f aca="false">IF(A434="","",CHOOSE(WEEKDAY(A434,1),"الأحد","الاثنين","الثلاثاء","الأربعاء","الخميس","الجمعة","السبت"))</f>
        <v>الخميس</v>
      </c>
      <c r="C434" s="30"/>
      <c r="D434" s="30"/>
      <c r="E434" s="31" t="str">
        <f aca="false">IF(OR(M434=0,K434="",L434=""),"",MOD(L434-K434,1))</f>
        <v/>
      </c>
      <c r="F434" s="32" t="str">
        <f aca="false">IF(OR(E434="",M434=0),"",IF(ROUND_MODE="للأعلى",CEILING(ROUND((E434*24*$N$427),3),0.25),ROUND((E434*24*$N$427)*4,0)/4))</f>
        <v/>
      </c>
      <c r="G434" s="30"/>
      <c r="H434" s="30"/>
      <c r="K434" s="33" t="str">
        <f aca="false">IF(OR(M434=0,C434=""),"",IF(ISNUMBER(C434),MOD(C434,1),IFERROR(INDEX(القوائم!$B$1:$B$288,MATCH(TRIM(C434),القوائم!$A$1:$A$288,0)),IFERROR(MOD(TIMEVALUE(C434),1),""))))</f>
        <v/>
      </c>
      <c r="L434" s="33" t="str">
        <f aca="false">IF(OR(M434=0,D434=""),"",IF(ISNUMBER(D434),MOD(D434,1),IFERROR(INDEX(القوائم!$B$1:$B$288,MATCH(TRIM(D434),القوائم!$A$1:$A$288,0)),IFERROR(MOD(TIMEVALUE(D434),1),""))))</f>
        <v/>
      </c>
      <c r="M434" s="25" t="n">
        <f aca="false">M427</f>
        <v>0</v>
      </c>
      <c r="Q434" s="25" t="n">
        <f aca="false">IF(N(F438)&gt;0,1,0)</f>
        <v>0</v>
      </c>
      <c r="S434" s="0" t="n">
        <v>36</v>
      </c>
    </row>
    <row r="435" customFormat="false" ht="15" hidden="false" customHeight="false" outlineLevel="0" collapsed="false">
      <c r="A435" s="34" t="n">
        <f aca="false">IF(36&lt;=NW,SAT1+251,"")</f>
        <v>46269</v>
      </c>
      <c r="B435" s="35" t="str">
        <f aca="false">IF(A435="","",CHOOSE(WEEKDAY(A435,1),"الأحد","الاثنين","الثلاثاء","الأربعاء","الخميس","الجمعة","السبت"))</f>
        <v>الجمعة</v>
      </c>
      <c r="C435" s="30"/>
      <c r="D435" s="30"/>
      <c r="E435" s="31" t="str">
        <f aca="false">IF(OR(M435=0,K435="",L435=""),"",MOD(L435-K435,1))</f>
        <v/>
      </c>
      <c r="F435" s="32" t="str">
        <f aca="false">IF(OR(E435="",M435=0),"",IF(ROUND_MODE="للأعلى",CEILING(ROUND((E435*24*$N$427),3),0.25),ROUND((E435*24*$N$427)*4,0)/4))</f>
        <v/>
      </c>
      <c r="G435" s="30"/>
      <c r="H435" s="30"/>
      <c r="K435" s="33" t="str">
        <f aca="false">IF(OR(M435=0,C435=""),"",IF(ISNUMBER(C435),MOD(C435,1),IFERROR(INDEX(القوائم!$B$1:$B$288,MATCH(TRIM(C435),القوائم!$A$1:$A$288,0)),IFERROR(MOD(TIMEVALUE(C435),1),""))))</f>
        <v/>
      </c>
      <c r="L435" s="33" t="str">
        <f aca="false">IF(OR(M435=0,D435=""),"",IF(ISNUMBER(D435),MOD(D435,1),IFERROR(INDEX(القوائم!$B$1:$B$288,MATCH(TRIM(D435),القوائم!$A$1:$A$288,0)),IFERROR(MOD(TIMEVALUE(D435),1),""))))</f>
        <v/>
      </c>
      <c r="M435" s="25" t="n">
        <f aca="false">M427</f>
        <v>0</v>
      </c>
      <c r="Q435" s="25" t="n">
        <f aca="false">IF(N(F438)&gt;0,1,0)</f>
        <v>0</v>
      </c>
      <c r="S435" s="0" t="n">
        <v>36</v>
      </c>
    </row>
    <row r="436" customFormat="false" ht="15" hidden="false" customHeight="false" outlineLevel="0" collapsed="false">
      <c r="A436" s="36" t="str">
        <f aca="false">IF(M427=1,"مجموع أيام الأسبوع 36","")</f>
        <v/>
      </c>
      <c r="B436" s="36"/>
      <c r="C436" s="36"/>
      <c r="D436" s="36"/>
      <c r="E436" s="37" t="str">
        <f aca="false">IF(M427=1,SUM(E429:E435),"")</f>
        <v/>
      </c>
      <c r="F436" s="38" t="str">
        <f aca="false">IF(M427=1,SUM(F429:F435),"")</f>
        <v/>
      </c>
      <c r="G436" s="50" t="str">
        <f aca="false">IF(M427=1,SUMIFS(F429:F435,G429:G435,"نعم"),"")</f>
        <v/>
      </c>
      <c r="H436" s="36"/>
      <c r="S436" s="0" t="n">
        <v>36</v>
      </c>
    </row>
    <row r="437" customFormat="false" ht="31.5" hidden="false" customHeight="true" outlineLevel="0" collapsed="false">
      <c r="A437" s="39" t="str">
        <f aca="false">IF(M427=1,"ساعات تحميل الجبسمبورد بهالأسبوع (رقم: 2 أو 1.5) ←","")</f>
        <v/>
      </c>
      <c r="B437" s="39"/>
      <c r="C437" s="39"/>
      <c r="D437" s="39"/>
      <c r="E437" s="40"/>
      <c r="F437" s="42" t="str">
        <f aca="false">IF(M427=1,N(F436)+IF(ROUND_MODE="للأعلى",CEILING(ROUND((N(E437)*($P$427-$N$427)),3),0.25),ROUND((N(E437)*($P$427-$N$427))*4,0)/4)+N(C438),"")</f>
        <v/>
      </c>
      <c r="G437" s="41" t="str">
        <f aca="false">IF(M427=1,"← المستحق النهائي للأسبوع مع الجبسمبورد والإكرامية","")</f>
        <v/>
      </c>
      <c r="H437" s="41"/>
      <c r="S437" s="0" t="n">
        <v>36</v>
      </c>
    </row>
    <row r="438" customFormat="false" ht="25.5" hidden="false" customHeight="true" outlineLevel="0" collapsed="false">
      <c r="A438" s="39" t="str">
        <f aca="false">IF(M427=1,"إكرامية الأسبوع ←","")</f>
        <v/>
      </c>
      <c r="B438" s="39"/>
      <c r="C438" s="44"/>
      <c r="D438" s="39" t="str">
        <f aca="false">IF(M427=1,"المدفوع (التسوية) ←","")</f>
        <v/>
      </c>
      <c r="E438" s="39"/>
      <c r="F438" s="44"/>
      <c r="G438" s="45" t="str">
        <f aca="false">IF(M427=1,IF(N(F438)&gt;0,"✔ انقبض — الأسبوع مقفول","⏳ لسا ما انقبض"),"")</f>
        <v/>
      </c>
      <c r="H438" s="45"/>
      <c r="S438" s="0" t="n">
        <v>36</v>
      </c>
    </row>
    <row r="439" customFormat="false" ht="27.75" hidden="false" customHeight="true" outlineLevel="0" collapsed="false">
      <c r="A439" s="48" t="str">
        <f aca="false">IF(37&lt;=NW,"من السبت "&amp;TEXT(DAY(SAT1+252),"00")&amp;"/"&amp;TEXT(MONTH(SAT1+252),"00")&amp;"/"&amp;YEAR(SAT1+252)&amp;" إلى الجمعة "&amp;TEXT(DAY(SAT1+258),"00")&amp;"/"&amp;TEXT(MONTH(SAT1+258),"00")&amp;"/"&amp;YEAR(SAT1+258)&amp;" · الأسبوع 37"&amp;"  (يوم القبض: الجمعة)"&amp;IF(37&lt;START_Z,"   — قبل أسبوع البداية (ما بينحسب)",""),"ما في أسبوع 37 هالسنة")</f>
        <v>من السبت 05/09/2026 إلى الجمعة 11/09/2026 · الأسبوع 37  (يوم القبض: الجمعة)   — قبل أسبوع البداية (ما بينحسب)</v>
      </c>
      <c r="B439" s="48"/>
      <c r="C439" s="48"/>
      <c r="D439" s="48"/>
      <c r="E439" s="48"/>
      <c r="F439" s="48"/>
      <c r="G439" s="48"/>
      <c r="H439" s="48"/>
      <c r="L439" s="24" t="n">
        <f aca="false">IF(37&lt;=NW,SAT1+258,"")</f>
        <v>46276</v>
      </c>
      <c r="M439" s="25" t="n">
        <f aca="false">IF(AND(37&lt;=NW,37&gt;=START_Z),1,0)</f>
        <v>0</v>
      </c>
      <c r="N439" s="26" t="n">
        <f aca="false">IFERROR(INDEX(RT_AZZ,MATCH(L439,RT_K,1)),INDEX(RT_AZZ,1))</f>
        <v>1</v>
      </c>
      <c r="P439" s="26" t="n">
        <f aca="false">IFERROR(INDEX(RT_GYP,MATCH(L439,RT_K,1)),INDEX(RT_GYP,1))</f>
        <v>2.5</v>
      </c>
      <c r="R439" s="0" t="n">
        <v>37</v>
      </c>
      <c r="S439" s="0" t="n">
        <v>37</v>
      </c>
    </row>
    <row r="440" customFormat="false" ht="25.5" hidden="false" customHeight="true" outlineLevel="0" collapsed="false">
      <c r="A440" s="49" t="s">
        <v>22</v>
      </c>
      <c r="B440" s="49" t="s">
        <v>23</v>
      </c>
      <c r="C440" s="49" t="s">
        <v>24</v>
      </c>
      <c r="D440" s="49" t="s">
        <v>25</v>
      </c>
      <c r="E440" s="49" t="s">
        <v>26</v>
      </c>
      <c r="F440" s="49" t="s">
        <v>33</v>
      </c>
      <c r="G440" s="49" t="s">
        <v>34</v>
      </c>
      <c r="H440" s="49" t="s">
        <v>30</v>
      </c>
      <c r="S440" s="0" t="n">
        <v>37</v>
      </c>
    </row>
    <row r="441" customFormat="false" ht="15" hidden="false" customHeight="false" outlineLevel="0" collapsed="false">
      <c r="A441" s="28" t="n">
        <f aca="false">IF(37&lt;=NW,SAT1+252,"")</f>
        <v>46270</v>
      </c>
      <c r="B441" s="29" t="str">
        <f aca="false">IF(A441="","",CHOOSE(WEEKDAY(A441,1),"الأحد","الاثنين","الثلاثاء","الأربعاء","الخميس","الجمعة","السبت"))</f>
        <v>السبت</v>
      </c>
      <c r="C441" s="30"/>
      <c r="D441" s="30"/>
      <c r="E441" s="31" t="str">
        <f aca="false">IF(OR(M441=0,K441="",L441=""),"",MOD(L441-K441,1))</f>
        <v/>
      </c>
      <c r="F441" s="32" t="str">
        <f aca="false">IF(OR(E441="",M441=0),"",IF(ROUND_MODE="للأعلى",CEILING(ROUND((E441*24*$N$439),3),0.25),ROUND((E441*24*$N$439)*4,0)/4))</f>
        <v/>
      </c>
      <c r="G441" s="30"/>
      <c r="H441" s="30"/>
      <c r="K441" s="33" t="str">
        <f aca="false">IF(OR(M441=0,C441=""),"",IF(ISNUMBER(C441),MOD(C441,1),IFERROR(INDEX(القوائم!$B$1:$B$288,MATCH(TRIM(C441),القوائم!$A$1:$A$288,0)),IFERROR(MOD(TIMEVALUE(C441),1),""))))</f>
        <v/>
      </c>
      <c r="L441" s="33" t="str">
        <f aca="false">IF(OR(M441=0,D441=""),"",IF(ISNUMBER(D441),MOD(D441,1),IFERROR(INDEX(القوائم!$B$1:$B$288,MATCH(TRIM(D441),القوائم!$A$1:$A$288,0)),IFERROR(MOD(TIMEVALUE(D441),1),""))))</f>
        <v/>
      </c>
      <c r="M441" s="25" t="n">
        <f aca="false">M439</f>
        <v>0</v>
      </c>
      <c r="Q441" s="25" t="n">
        <f aca="false">IF(N(F450)&gt;0,1,0)</f>
        <v>0</v>
      </c>
      <c r="S441" s="0" t="n">
        <v>37</v>
      </c>
    </row>
    <row r="442" customFormat="false" ht="15" hidden="false" customHeight="false" outlineLevel="0" collapsed="false">
      <c r="A442" s="28" t="n">
        <f aca="false">IF(37&lt;=NW,SAT1+253,"")</f>
        <v>46271</v>
      </c>
      <c r="B442" s="29" t="str">
        <f aca="false">IF(A442="","",CHOOSE(WEEKDAY(A442,1),"الأحد","الاثنين","الثلاثاء","الأربعاء","الخميس","الجمعة","السبت"))</f>
        <v>الأحد</v>
      </c>
      <c r="C442" s="30"/>
      <c r="D442" s="30"/>
      <c r="E442" s="31" t="str">
        <f aca="false">IF(OR(M442=0,K442="",L442=""),"",MOD(L442-K442,1))</f>
        <v/>
      </c>
      <c r="F442" s="32" t="str">
        <f aca="false">IF(OR(E442="",M442=0),"",IF(ROUND_MODE="للأعلى",CEILING(ROUND((E442*24*$N$439),3),0.25),ROUND((E442*24*$N$439)*4,0)/4))</f>
        <v/>
      </c>
      <c r="G442" s="30"/>
      <c r="H442" s="30"/>
      <c r="K442" s="33" t="str">
        <f aca="false">IF(OR(M442=0,C442=""),"",IF(ISNUMBER(C442),MOD(C442,1),IFERROR(INDEX(القوائم!$B$1:$B$288,MATCH(TRIM(C442),القوائم!$A$1:$A$288,0)),IFERROR(MOD(TIMEVALUE(C442),1),""))))</f>
        <v/>
      </c>
      <c r="L442" s="33" t="str">
        <f aca="false">IF(OR(M442=0,D442=""),"",IF(ISNUMBER(D442),MOD(D442,1),IFERROR(INDEX(القوائم!$B$1:$B$288,MATCH(TRIM(D442),القوائم!$A$1:$A$288,0)),IFERROR(MOD(TIMEVALUE(D442),1),""))))</f>
        <v/>
      </c>
      <c r="M442" s="25" t="n">
        <f aca="false">M439</f>
        <v>0</v>
      </c>
      <c r="Q442" s="25" t="n">
        <f aca="false">IF(N(F450)&gt;0,1,0)</f>
        <v>0</v>
      </c>
      <c r="S442" s="0" t="n">
        <v>37</v>
      </c>
    </row>
    <row r="443" customFormat="false" ht="15" hidden="false" customHeight="false" outlineLevel="0" collapsed="false">
      <c r="A443" s="28" t="n">
        <f aca="false">IF(37&lt;=NW,SAT1+254,"")</f>
        <v>46272</v>
      </c>
      <c r="B443" s="29" t="str">
        <f aca="false">IF(A443="","",CHOOSE(WEEKDAY(A443,1),"الأحد","الاثنين","الثلاثاء","الأربعاء","الخميس","الجمعة","السبت"))</f>
        <v>الاثنين</v>
      </c>
      <c r="C443" s="30"/>
      <c r="D443" s="30"/>
      <c r="E443" s="31" t="str">
        <f aca="false">IF(OR(M443=0,K443="",L443=""),"",MOD(L443-K443,1))</f>
        <v/>
      </c>
      <c r="F443" s="32" t="str">
        <f aca="false">IF(OR(E443="",M443=0),"",IF(ROUND_MODE="للأعلى",CEILING(ROUND((E443*24*$N$439),3),0.25),ROUND((E443*24*$N$439)*4,0)/4))</f>
        <v/>
      </c>
      <c r="G443" s="30"/>
      <c r="H443" s="30"/>
      <c r="K443" s="33" t="str">
        <f aca="false">IF(OR(M443=0,C443=""),"",IF(ISNUMBER(C443),MOD(C443,1),IFERROR(INDEX(القوائم!$B$1:$B$288,MATCH(TRIM(C443),القوائم!$A$1:$A$288,0)),IFERROR(MOD(TIMEVALUE(C443),1),""))))</f>
        <v/>
      </c>
      <c r="L443" s="33" t="str">
        <f aca="false">IF(OR(M443=0,D443=""),"",IF(ISNUMBER(D443),MOD(D443,1),IFERROR(INDEX(القوائم!$B$1:$B$288,MATCH(TRIM(D443),القوائم!$A$1:$A$288,0)),IFERROR(MOD(TIMEVALUE(D443),1),""))))</f>
        <v/>
      </c>
      <c r="M443" s="25" t="n">
        <f aca="false">M439</f>
        <v>0</v>
      </c>
      <c r="Q443" s="25" t="n">
        <f aca="false">IF(N(F450)&gt;0,1,0)</f>
        <v>0</v>
      </c>
      <c r="S443" s="0" t="n">
        <v>37</v>
      </c>
    </row>
    <row r="444" customFormat="false" ht="15" hidden="false" customHeight="false" outlineLevel="0" collapsed="false">
      <c r="A444" s="28" t="n">
        <f aca="false">IF(37&lt;=NW,SAT1+255,"")</f>
        <v>46273</v>
      </c>
      <c r="B444" s="29" t="str">
        <f aca="false">IF(A444="","",CHOOSE(WEEKDAY(A444,1),"الأحد","الاثنين","الثلاثاء","الأربعاء","الخميس","الجمعة","السبت"))</f>
        <v>الثلاثاء</v>
      </c>
      <c r="C444" s="30"/>
      <c r="D444" s="30"/>
      <c r="E444" s="31" t="str">
        <f aca="false">IF(OR(M444=0,K444="",L444=""),"",MOD(L444-K444,1))</f>
        <v/>
      </c>
      <c r="F444" s="32" t="str">
        <f aca="false">IF(OR(E444="",M444=0),"",IF(ROUND_MODE="للأعلى",CEILING(ROUND((E444*24*$N$439),3),0.25),ROUND((E444*24*$N$439)*4,0)/4))</f>
        <v/>
      </c>
      <c r="G444" s="30"/>
      <c r="H444" s="30"/>
      <c r="K444" s="33" t="str">
        <f aca="false">IF(OR(M444=0,C444=""),"",IF(ISNUMBER(C444),MOD(C444,1),IFERROR(INDEX(القوائم!$B$1:$B$288,MATCH(TRIM(C444),القوائم!$A$1:$A$288,0)),IFERROR(MOD(TIMEVALUE(C444),1),""))))</f>
        <v/>
      </c>
      <c r="L444" s="33" t="str">
        <f aca="false">IF(OR(M444=0,D444=""),"",IF(ISNUMBER(D444),MOD(D444,1),IFERROR(INDEX(القوائم!$B$1:$B$288,MATCH(TRIM(D444),القوائم!$A$1:$A$288,0)),IFERROR(MOD(TIMEVALUE(D444),1),""))))</f>
        <v/>
      </c>
      <c r="M444" s="25" t="n">
        <f aca="false">M439</f>
        <v>0</v>
      </c>
      <c r="Q444" s="25" t="n">
        <f aca="false">IF(N(F450)&gt;0,1,0)</f>
        <v>0</v>
      </c>
      <c r="S444" s="0" t="n">
        <v>37</v>
      </c>
    </row>
    <row r="445" customFormat="false" ht="15" hidden="false" customHeight="false" outlineLevel="0" collapsed="false">
      <c r="A445" s="28" t="n">
        <f aca="false">IF(37&lt;=NW,SAT1+256,"")</f>
        <v>46274</v>
      </c>
      <c r="B445" s="29" t="str">
        <f aca="false">IF(A445="","",CHOOSE(WEEKDAY(A445,1),"الأحد","الاثنين","الثلاثاء","الأربعاء","الخميس","الجمعة","السبت"))</f>
        <v>الأربعاء</v>
      </c>
      <c r="C445" s="30"/>
      <c r="D445" s="30"/>
      <c r="E445" s="31" t="str">
        <f aca="false">IF(OR(M445=0,K445="",L445=""),"",MOD(L445-K445,1))</f>
        <v/>
      </c>
      <c r="F445" s="32" t="str">
        <f aca="false">IF(OR(E445="",M445=0),"",IF(ROUND_MODE="للأعلى",CEILING(ROUND((E445*24*$N$439),3),0.25),ROUND((E445*24*$N$439)*4,0)/4))</f>
        <v/>
      </c>
      <c r="G445" s="30"/>
      <c r="H445" s="30"/>
      <c r="K445" s="33" t="str">
        <f aca="false">IF(OR(M445=0,C445=""),"",IF(ISNUMBER(C445),MOD(C445,1),IFERROR(INDEX(القوائم!$B$1:$B$288,MATCH(TRIM(C445),القوائم!$A$1:$A$288,0)),IFERROR(MOD(TIMEVALUE(C445),1),""))))</f>
        <v/>
      </c>
      <c r="L445" s="33" t="str">
        <f aca="false">IF(OR(M445=0,D445=""),"",IF(ISNUMBER(D445),MOD(D445,1),IFERROR(INDEX(القوائم!$B$1:$B$288,MATCH(TRIM(D445),القوائم!$A$1:$A$288,0)),IFERROR(MOD(TIMEVALUE(D445),1),""))))</f>
        <v/>
      </c>
      <c r="M445" s="25" t="n">
        <f aca="false">M439</f>
        <v>0</v>
      </c>
      <c r="Q445" s="25" t="n">
        <f aca="false">IF(N(F450)&gt;0,1,0)</f>
        <v>0</v>
      </c>
      <c r="S445" s="0" t="n">
        <v>37</v>
      </c>
    </row>
    <row r="446" customFormat="false" ht="15" hidden="false" customHeight="false" outlineLevel="0" collapsed="false">
      <c r="A446" s="28" t="n">
        <f aca="false">IF(37&lt;=NW,SAT1+257,"")</f>
        <v>46275</v>
      </c>
      <c r="B446" s="29" t="str">
        <f aca="false">IF(A446="","",CHOOSE(WEEKDAY(A446,1),"الأحد","الاثنين","الثلاثاء","الأربعاء","الخميس","الجمعة","السبت"))</f>
        <v>الخميس</v>
      </c>
      <c r="C446" s="30"/>
      <c r="D446" s="30"/>
      <c r="E446" s="31" t="str">
        <f aca="false">IF(OR(M446=0,K446="",L446=""),"",MOD(L446-K446,1))</f>
        <v/>
      </c>
      <c r="F446" s="32" t="str">
        <f aca="false">IF(OR(E446="",M446=0),"",IF(ROUND_MODE="للأعلى",CEILING(ROUND((E446*24*$N$439),3),0.25),ROUND((E446*24*$N$439)*4,0)/4))</f>
        <v/>
      </c>
      <c r="G446" s="30"/>
      <c r="H446" s="30"/>
      <c r="K446" s="33" t="str">
        <f aca="false">IF(OR(M446=0,C446=""),"",IF(ISNUMBER(C446),MOD(C446,1),IFERROR(INDEX(القوائم!$B$1:$B$288,MATCH(TRIM(C446),القوائم!$A$1:$A$288,0)),IFERROR(MOD(TIMEVALUE(C446),1),""))))</f>
        <v/>
      </c>
      <c r="L446" s="33" t="str">
        <f aca="false">IF(OR(M446=0,D446=""),"",IF(ISNUMBER(D446),MOD(D446,1),IFERROR(INDEX(القوائم!$B$1:$B$288,MATCH(TRIM(D446),القوائم!$A$1:$A$288,0)),IFERROR(MOD(TIMEVALUE(D446),1),""))))</f>
        <v/>
      </c>
      <c r="M446" s="25" t="n">
        <f aca="false">M439</f>
        <v>0</v>
      </c>
      <c r="Q446" s="25" t="n">
        <f aca="false">IF(N(F450)&gt;0,1,0)</f>
        <v>0</v>
      </c>
      <c r="S446" s="0" t="n">
        <v>37</v>
      </c>
    </row>
    <row r="447" customFormat="false" ht="15" hidden="false" customHeight="false" outlineLevel="0" collapsed="false">
      <c r="A447" s="34" t="n">
        <f aca="false">IF(37&lt;=NW,SAT1+258,"")</f>
        <v>46276</v>
      </c>
      <c r="B447" s="35" t="str">
        <f aca="false">IF(A447="","",CHOOSE(WEEKDAY(A447,1),"الأحد","الاثنين","الثلاثاء","الأربعاء","الخميس","الجمعة","السبت"))</f>
        <v>الجمعة</v>
      </c>
      <c r="C447" s="30"/>
      <c r="D447" s="30"/>
      <c r="E447" s="31" t="str">
        <f aca="false">IF(OR(M447=0,K447="",L447=""),"",MOD(L447-K447,1))</f>
        <v/>
      </c>
      <c r="F447" s="32" t="str">
        <f aca="false">IF(OR(E447="",M447=0),"",IF(ROUND_MODE="للأعلى",CEILING(ROUND((E447*24*$N$439),3),0.25),ROUND((E447*24*$N$439)*4,0)/4))</f>
        <v/>
      </c>
      <c r="G447" s="30"/>
      <c r="H447" s="30"/>
      <c r="K447" s="33" t="str">
        <f aca="false">IF(OR(M447=0,C447=""),"",IF(ISNUMBER(C447),MOD(C447,1),IFERROR(INDEX(القوائم!$B$1:$B$288,MATCH(TRIM(C447),القوائم!$A$1:$A$288,0)),IFERROR(MOD(TIMEVALUE(C447),1),""))))</f>
        <v/>
      </c>
      <c r="L447" s="33" t="str">
        <f aca="false">IF(OR(M447=0,D447=""),"",IF(ISNUMBER(D447),MOD(D447,1),IFERROR(INDEX(القوائم!$B$1:$B$288,MATCH(TRIM(D447),القوائم!$A$1:$A$288,0)),IFERROR(MOD(TIMEVALUE(D447),1),""))))</f>
        <v/>
      </c>
      <c r="M447" s="25" t="n">
        <f aca="false">M439</f>
        <v>0</v>
      </c>
      <c r="Q447" s="25" t="n">
        <f aca="false">IF(N(F450)&gt;0,1,0)</f>
        <v>0</v>
      </c>
      <c r="S447" s="0" t="n">
        <v>37</v>
      </c>
    </row>
    <row r="448" customFormat="false" ht="15" hidden="false" customHeight="false" outlineLevel="0" collapsed="false">
      <c r="A448" s="36" t="str">
        <f aca="false">IF(M439=1,"مجموع أيام الأسبوع 37","")</f>
        <v/>
      </c>
      <c r="B448" s="36"/>
      <c r="C448" s="36"/>
      <c r="D448" s="36"/>
      <c r="E448" s="37" t="str">
        <f aca="false">IF(M439=1,SUM(E441:E447),"")</f>
        <v/>
      </c>
      <c r="F448" s="38" t="str">
        <f aca="false">IF(M439=1,SUM(F441:F447),"")</f>
        <v/>
      </c>
      <c r="G448" s="50" t="str">
        <f aca="false">IF(M439=1,SUMIFS(F441:F447,G441:G447,"نعم"),"")</f>
        <v/>
      </c>
      <c r="H448" s="36"/>
      <c r="S448" s="0" t="n">
        <v>37</v>
      </c>
    </row>
    <row r="449" customFormat="false" ht="31.5" hidden="false" customHeight="true" outlineLevel="0" collapsed="false">
      <c r="A449" s="39" t="str">
        <f aca="false">IF(M439=1,"ساعات تحميل الجبسمبورد بهالأسبوع (رقم: 2 أو 1.5) ←","")</f>
        <v/>
      </c>
      <c r="B449" s="39"/>
      <c r="C449" s="39"/>
      <c r="D449" s="39"/>
      <c r="E449" s="40"/>
      <c r="F449" s="42" t="str">
        <f aca="false">IF(M439=1,N(F448)+IF(ROUND_MODE="للأعلى",CEILING(ROUND((N(E449)*($P$439-$N$439)),3),0.25),ROUND((N(E449)*($P$439-$N$439))*4,0)/4)+N(C450),"")</f>
        <v/>
      </c>
      <c r="G449" s="41" t="str">
        <f aca="false">IF(M439=1,"← المستحق النهائي للأسبوع مع الجبسمبورد والإكرامية","")</f>
        <v/>
      </c>
      <c r="H449" s="41"/>
      <c r="S449" s="0" t="n">
        <v>37</v>
      </c>
    </row>
    <row r="450" customFormat="false" ht="25.5" hidden="false" customHeight="true" outlineLevel="0" collapsed="false">
      <c r="A450" s="39" t="str">
        <f aca="false">IF(M439=1,"إكرامية الأسبوع ←","")</f>
        <v/>
      </c>
      <c r="B450" s="39"/>
      <c r="C450" s="44"/>
      <c r="D450" s="39" t="str">
        <f aca="false">IF(M439=1,"المدفوع (التسوية) ←","")</f>
        <v/>
      </c>
      <c r="E450" s="39"/>
      <c r="F450" s="44"/>
      <c r="G450" s="45" t="str">
        <f aca="false">IF(M439=1,IF(N(F450)&gt;0,"✔ انقبض — الأسبوع مقفول","⏳ لسا ما انقبض"),"")</f>
        <v/>
      </c>
      <c r="H450" s="45"/>
      <c r="S450" s="0" t="n">
        <v>37</v>
      </c>
    </row>
    <row r="451" customFormat="false" ht="27.75" hidden="false" customHeight="true" outlineLevel="0" collapsed="false">
      <c r="A451" s="48" t="str">
        <f aca="false">IF(38&lt;=NW,"من السبت "&amp;TEXT(DAY(SAT1+259),"00")&amp;"/"&amp;TEXT(MONTH(SAT1+259),"00")&amp;"/"&amp;YEAR(SAT1+259)&amp;" إلى الجمعة "&amp;TEXT(DAY(SAT1+265),"00")&amp;"/"&amp;TEXT(MONTH(SAT1+265),"00")&amp;"/"&amp;YEAR(SAT1+265)&amp;" · الأسبوع 38"&amp;"  (يوم القبض: الجمعة)"&amp;IF(38&lt;START_Z,"   — قبل أسبوع البداية (ما بينحسب)",""),"ما في أسبوع 38 هالسنة")</f>
        <v>من السبت 12/09/2026 إلى الجمعة 18/09/2026 · الأسبوع 38  (يوم القبض: الجمعة)   — قبل أسبوع البداية (ما بينحسب)</v>
      </c>
      <c r="B451" s="48"/>
      <c r="C451" s="48"/>
      <c r="D451" s="48"/>
      <c r="E451" s="48"/>
      <c r="F451" s="48"/>
      <c r="G451" s="48"/>
      <c r="H451" s="48"/>
      <c r="L451" s="24" t="n">
        <f aca="false">IF(38&lt;=NW,SAT1+265,"")</f>
        <v>46283</v>
      </c>
      <c r="M451" s="25" t="n">
        <f aca="false">IF(AND(38&lt;=NW,38&gt;=START_Z),1,0)</f>
        <v>0</v>
      </c>
      <c r="N451" s="26" t="n">
        <f aca="false">IFERROR(INDEX(RT_AZZ,MATCH(L451,RT_K,1)),INDEX(RT_AZZ,1))</f>
        <v>1</v>
      </c>
      <c r="P451" s="26" t="n">
        <f aca="false">IFERROR(INDEX(RT_GYP,MATCH(L451,RT_K,1)),INDEX(RT_GYP,1))</f>
        <v>2.5</v>
      </c>
      <c r="R451" s="0" t="n">
        <v>38</v>
      </c>
      <c r="S451" s="0" t="n">
        <v>38</v>
      </c>
    </row>
    <row r="452" customFormat="false" ht="25.5" hidden="false" customHeight="true" outlineLevel="0" collapsed="false">
      <c r="A452" s="49" t="s">
        <v>22</v>
      </c>
      <c r="B452" s="49" t="s">
        <v>23</v>
      </c>
      <c r="C452" s="49" t="s">
        <v>24</v>
      </c>
      <c r="D452" s="49" t="s">
        <v>25</v>
      </c>
      <c r="E452" s="49" t="s">
        <v>26</v>
      </c>
      <c r="F452" s="49" t="s">
        <v>33</v>
      </c>
      <c r="G452" s="49" t="s">
        <v>34</v>
      </c>
      <c r="H452" s="49" t="s">
        <v>30</v>
      </c>
      <c r="S452" s="0" t="n">
        <v>38</v>
      </c>
    </row>
    <row r="453" customFormat="false" ht="15" hidden="false" customHeight="false" outlineLevel="0" collapsed="false">
      <c r="A453" s="28" t="n">
        <f aca="false">IF(38&lt;=NW,SAT1+259,"")</f>
        <v>46277</v>
      </c>
      <c r="B453" s="29" t="str">
        <f aca="false">IF(A453="","",CHOOSE(WEEKDAY(A453,1),"الأحد","الاثنين","الثلاثاء","الأربعاء","الخميس","الجمعة","السبت"))</f>
        <v>السبت</v>
      </c>
      <c r="C453" s="30"/>
      <c r="D453" s="30"/>
      <c r="E453" s="31" t="str">
        <f aca="false">IF(OR(M453=0,K453="",L453=""),"",MOD(L453-K453,1))</f>
        <v/>
      </c>
      <c r="F453" s="32" t="str">
        <f aca="false">IF(OR(E453="",M453=0),"",IF(ROUND_MODE="للأعلى",CEILING(ROUND((E453*24*$N$451),3),0.25),ROUND((E453*24*$N$451)*4,0)/4))</f>
        <v/>
      </c>
      <c r="G453" s="30"/>
      <c r="H453" s="30"/>
      <c r="K453" s="33" t="str">
        <f aca="false">IF(OR(M453=0,C453=""),"",IF(ISNUMBER(C453),MOD(C453,1),IFERROR(INDEX(القوائم!$B$1:$B$288,MATCH(TRIM(C453),القوائم!$A$1:$A$288,0)),IFERROR(MOD(TIMEVALUE(C453),1),""))))</f>
        <v/>
      </c>
      <c r="L453" s="33" t="str">
        <f aca="false">IF(OR(M453=0,D453=""),"",IF(ISNUMBER(D453),MOD(D453,1),IFERROR(INDEX(القوائم!$B$1:$B$288,MATCH(TRIM(D453),القوائم!$A$1:$A$288,0)),IFERROR(MOD(TIMEVALUE(D453),1),""))))</f>
        <v/>
      </c>
      <c r="M453" s="25" t="n">
        <f aca="false">M451</f>
        <v>0</v>
      </c>
      <c r="Q453" s="25" t="n">
        <f aca="false">IF(N(F462)&gt;0,1,0)</f>
        <v>0</v>
      </c>
      <c r="S453" s="0" t="n">
        <v>38</v>
      </c>
    </row>
    <row r="454" customFormat="false" ht="15" hidden="false" customHeight="false" outlineLevel="0" collapsed="false">
      <c r="A454" s="28" t="n">
        <f aca="false">IF(38&lt;=NW,SAT1+260,"")</f>
        <v>46278</v>
      </c>
      <c r="B454" s="29" t="str">
        <f aca="false">IF(A454="","",CHOOSE(WEEKDAY(A454,1),"الأحد","الاثنين","الثلاثاء","الأربعاء","الخميس","الجمعة","السبت"))</f>
        <v>الأحد</v>
      </c>
      <c r="C454" s="30"/>
      <c r="D454" s="30"/>
      <c r="E454" s="31" t="str">
        <f aca="false">IF(OR(M454=0,K454="",L454=""),"",MOD(L454-K454,1))</f>
        <v/>
      </c>
      <c r="F454" s="32" t="str">
        <f aca="false">IF(OR(E454="",M454=0),"",IF(ROUND_MODE="للأعلى",CEILING(ROUND((E454*24*$N$451),3),0.25),ROUND((E454*24*$N$451)*4,0)/4))</f>
        <v/>
      </c>
      <c r="G454" s="30"/>
      <c r="H454" s="30"/>
      <c r="K454" s="33" t="str">
        <f aca="false">IF(OR(M454=0,C454=""),"",IF(ISNUMBER(C454),MOD(C454,1),IFERROR(INDEX(القوائم!$B$1:$B$288,MATCH(TRIM(C454),القوائم!$A$1:$A$288,0)),IFERROR(MOD(TIMEVALUE(C454),1),""))))</f>
        <v/>
      </c>
      <c r="L454" s="33" t="str">
        <f aca="false">IF(OR(M454=0,D454=""),"",IF(ISNUMBER(D454),MOD(D454,1),IFERROR(INDEX(القوائم!$B$1:$B$288,MATCH(TRIM(D454),القوائم!$A$1:$A$288,0)),IFERROR(MOD(TIMEVALUE(D454),1),""))))</f>
        <v/>
      </c>
      <c r="M454" s="25" t="n">
        <f aca="false">M451</f>
        <v>0</v>
      </c>
      <c r="Q454" s="25" t="n">
        <f aca="false">IF(N(F462)&gt;0,1,0)</f>
        <v>0</v>
      </c>
      <c r="S454" s="0" t="n">
        <v>38</v>
      </c>
    </row>
    <row r="455" customFormat="false" ht="15" hidden="false" customHeight="false" outlineLevel="0" collapsed="false">
      <c r="A455" s="28" t="n">
        <f aca="false">IF(38&lt;=NW,SAT1+261,"")</f>
        <v>46279</v>
      </c>
      <c r="B455" s="29" t="str">
        <f aca="false">IF(A455="","",CHOOSE(WEEKDAY(A455,1),"الأحد","الاثنين","الثلاثاء","الأربعاء","الخميس","الجمعة","السبت"))</f>
        <v>الاثنين</v>
      </c>
      <c r="C455" s="30"/>
      <c r="D455" s="30"/>
      <c r="E455" s="31" t="str">
        <f aca="false">IF(OR(M455=0,K455="",L455=""),"",MOD(L455-K455,1))</f>
        <v/>
      </c>
      <c r="F455" s="32" t="str">
        <f aca="false">IF(OR(E455="",M455=0),"",IF(ROUND_MODE="للأعلى",CEILING(ROUND((E455*24*$N$451),3),0.25),ROUND((E455*24*$N$451)*4,0)/4))</f>
        <v/>
      </c>
      <c r="G455" s="30"/>
      <c r="H455" s="30"/>
      <c r="K455" s="33" t="str">
        <f aca="false">IF(OR(M455=0,C455=""),"",IF(ISNUMBER(C455),MOD(C455,1),IFERROR(INDEX(القوائم!$B$1:$B$288,MATCH(TRIM(C455),القوائم!$A$1:$A$288,0)),IFERROR(MOD(TIMEVALUE(C455),1),""))))</f>
        <v/>
      </c>
      <c r="L455" s="33" t="str">
        <f aca="false">IF(OR(M455=0,D455=""),"",IF(ISNUMBER(D455),MOD(D455,1),IFERROR(INDEX(القوائم!$B$1:$B$288,MATCH(TRIM(D455),القوائم!$A$1:$A$288,0)),IFERROR(MOD(TIMEVALUE(D455),1),""))))</f>
        <v/>
      </c>
      <c r="M455" s="25" t="n">
        <f aca="false">M451</f>
        <v>0</v>
      </c>
      <c r="Q455" s="25" t="n">
        <f aca="false">IF(N(F462)&gt;0,1,0)</f>
        <v>0</v>
      </c>
      <c r="S455" s="0" t="n">
        <v>38</v>
      </c>
    </row>
    <row r="456" customFormat="false" ht="15" hidden="false" customHeight="false" outlineLevel="0" collapsed="false">
      <c r="A456" s="28" t="n">
        <f aca="false">IF(38&lt;=NW,SAT1+262,"")</f>
        <v>46280</v>
      </c>
      <c r="B456" s="29" t="str">
        <f aca="false">IF(A456="","",CHOOSE(WEEKDAY(A456,1),"الأحد","الاثنين","الثلاثاء","الأربعاء","الخميس","الجمعة","السبت"))</f>
        <v>الثلاثاء</v>
      </c>
      <c r="C456" s="30"/>
      <c r="D456" s="30"/>
      <c r="E456" s="31" t="str">
        <f aca="false">IF(OR(M456=0,K456="",L456=""),"",MOD(L456-K456,1))</f>
        <v/>
      </c>
      <c r="F456" s="32" t="str">
        <f aca="false">IF(OR(E456="",M456=0),"",IF(ROUND_MODE="للأعلى",CEILING(ROUND((E456*24*$N$451),3),0.25),ROUND((E456*24*$N$451)*4,0)/4))</f>
        <v/>
      </c>
      <c r="G456" s="30"/>
      <c r="H456" s="30"/>
      <c r="K456" s="33" t="str">
        <f aca="false">IF(OR(M456=0,C456=""),"",IF(ISNUMBER(C456),MOD(C456,1),IFERROR(INDEX(القوائم!$B$1:$B$288,MATCH(TRIM(C456),القوائم!$A$1:$A$288,0)),IFERROR(MOD(TIMEVALUE(C456),1),""))))</f>
        <v/>
      </c>
      <c r="L456" s="33" t="str">
        <f aca="false">IF(OR(M456=0,D456=""),"",IF(ISNUMBER(D456),MOD(D456,1),IFERROR(INDEX(القوائم!$B$1:$B$288,MATCH(TRIM(D456),القوائم!$A$1:$A$288,0)),IFERROR(MOD(TIMEVALUE(D456),1),""))))</f>
        <v/>
      </c>
      <c r="M456" s="25" t="n">
        <f aca="false">M451</f>
        <v>0</v>
      </c>
      <c r="Q456" s="25" t="n">
        <f aca="false">IF(N(F462)&gt;0,1,0)</f>
        <v>0</v>
      </c>
      <c r="S456" s="0" t="n">
        <v>38</v>
      </c>
    </row>
    <row r="457" customFormat="false" ht="15" hidden="false" customHeight="false" outlineLevel="0" collapsed="false">
      <c r="A457" s="28" t="n">
        <f aca="false">IF(38&lt;=NW,SAT1+263,"")</f>
        <v>46281</v>
      </c>
      <c r="B457" s="29" t="str">
        <f aca="false">IF(A457="","",CHOOSE(WEEKDAY(A457,1),"الأحد","الاثنين","الثلاثاء","الأربعاء","الخميس","الجمعة","السبت"))</f>
        <v>الأربعاء</v>
      </c>
      <c r="C457" s="30"/>
      <c r="D457" s="30"/>
      <c r="E457" s="31" t="str">
        <f aca="false">IF(OR(M457=0,K457="",L457=""),"",MOD(L457-K457,1))</f>
        <v/>
      </c>
      <c r="F457" s="32" t="str">
        <f aca="false">IF(OR(E457="",M457=0),"",IF(ROUND_MODE="للأعلى",CEILING(ROUND((E457*24*$N$451),3),0.25),ROUND((E457*24*$N$451)*4,0)/4))</f>
        <v/>
      </c>
      <c r="G457" s="30"/>
      <c r="H457" s="30"/>
      <c r="K457" s="33" t="str">
        <f aca="false">IF(OR(M457=0,C457=""),"",IF(ISNUMBER(C457),MOD(C457,1),IFERROR(INDEX(القوائم!$B$1:$B$288,MATCH(TRIM(C457),القوائم!$A$1:$A$288,0)),IFERROR(MOD(TIMEVALUE(C457),1),""))))</f>
        <v/>
      </c>
      <c r="L457" s="33" t="str">
        <f aca="false">IF(OR(M457=0,D457=""),"",IF(ISNUMBER(D457),MOD(D457,1),IFERROR(INDEX(القوائم!$B$1:$B$288,MATCH(TRIM(D457),القوائم!$A$1:$A$288,0)),IFERROR(MOD(TIMEVALUE(D457),1),""))))</f>
        <v/>
      </c>
      <c r="M457" s="25" t="n">
        <f aca="false">M451</f>
        <v>0</v>
      </c>
      <c r="Q457" s="25" t="n">
        <f aca="false">IF(N(F462)&gt;0,1,0)</f>
        <v>0</v>
      </c>
      <c r="S457" s="0" t="n">
        <v>38</v>
      </c>
    </row>
    <row r="458" customFormat="false" ht="15" hidden="false" customHeight="false" outlineLevel="0" collapsed="false">
      <c r="A458" s="28" t="n">
        <f aca="false">IF(38&lt;=NW,SAT1+264,"")</f>
        <v>46282</v>
      </c>
      <c r="B458" s="29" t="str">
        <f aca="false">IF(A458="","",CHOOSE(WEEKDAY(A458,1),"الأحد","الاثنين","الثلاثاء","الأربعاء","الخميس","الجمعة","السبت"))</f>
        <v>الخميس</v>
      </c>
      <c r="C458" s="30"/>
      <c r="D458" s="30"/>
      <c r="E458" s="31" t="str">
        <f aca="false">IF(OR(M458=0,K458="",L458=""),"",MOD(L458-K458,1))</f>
        <v/>
      </c>
      <c r="F458" s="32" t="str">
        <f aca="false">IF(OR(E458="",M458=0),"",IF(ROUND_MODE="للأعلى",CEILING(ROUND((E458*24*$N$451),3),0.25),ROUND((E458*24*$N$451)*4,0)/4))</f>
        <v/>
      </c>
      <c r="G458" s="30"/>
      <c r="H458" s="30"/>
      <c r="K458" s="33" t="str">
        <f aca="false">IF(OR(M458=0,C458=""),"",IF(ISNUMBER(C458),MOD(C458,1),IFERROR(INDEX(القوائم!$B$1:$B$288,MATCH(TRIM(C458),القوائم!$A$1:$A$288,0)),IFERROR(MOD(TIMEVALUE(C458),1),""))))</f>
        <v/>
      </c>
      <c r="L458" s="33" t="str">
        <f aca="false">IF(OR(M458=0,D458=""),"",IF(ISNUMBER(D458),MOD(D458,1),IFERROR(INDEX(القوائم!$B$1:$B$288,MATCH(TRIM(D458),القوائم!$A$1:$A$288,0)),IFERROR(MOD(TIMEVALUE(D458),1),""))))</f>
        <v/>
      </c>
      <c r="M458" s="25" t="n">
        <f aca="false">M451</f>
        <v>0</v>
      </c>
      <c r="Q458" s="25" t="n">
        <f aca="false">IF(N(F462)&gt;0,1,0)</f>
        <v>0</v>
      </c>
      <c r="S458" s="0" t="n">
        <v>38</v>
      </c>
    </row>
    <row r="459" customFormat="false" ht="15" hidden="false" customHeight="false" outlineLevel="0" collapsed="false">
      <c r="A459" s="34" t="n">
        <f aca="false">IF(38&lt;=NW,SAT1+265,"")</f>
        <v>46283</v>
      </c>
      <c r="B459" s="35" t="str">
        <f aca="false">IF(A459="","",CHOOSE(WEEKDAY(A459,1),"الأحد","الاثنين","الثلاثاء","الأربعاء","الخميس","الجمعة","السبت"))</f>
        <v>الجمعة</v>
      </c>
      <c r="C459" s="30"/>
      <c r="D459" s="30"/>
      <c r="E459" s="31" t="str">
        <f aca="false">IF(OR(M459=0,K459="",L459=""),"",MOD(L459-K459,1))</f>
        <v/>
      </c>
      <c r="F459" s="32" t="str">
        <f aca="false">IF(OR(E459="",M459=0),"",IF(ROUND_MODE="للأعلى",CEILING(ROUND((E459*24*$N$451),3),0.25),ROUND((E459*24*$N$451)*4,0)/4))</f>
        <v/>
      </c>
      <c r="G459" s="30"/>
      <c r="H459" s="30"/>
      <c r="K459" s="33" t="str">
        <f aca="false">IF(OR(M459=0,C459=""),"",IF(ISNUMBER(C459),MOD(C459,1),IFERROR(INDEX(القوائم!$B$1:$B$288,MATCH(TRIM(C459),القوائم!$A$1:$A$288,0)),IFERROR(MOD(TIMEVALUE(C459),1),""))))</f>
        <v/>
      </c>
      <c r="L459" s="33" t="str">
        <f aca="false">IF(OR(M459=0,D459=""),"",IF(ISNUMBER(D459),MOD(D459,1),IFERROR(INDEX(القوائم!$B$1:$B$288,MATCH(TRIM(D459),القوائم!$A$1:$A$288,0)),IFERROR(MOD(TIMEVALUE(D459),1),""))))</f>
        <v/>
      </c>
      <c r="M459" s="25" t="n">
        <f aca="false">M451</f>
        <v>0</v>
      </c>
      <c r="Q459" s="25" t="n">
        <f aca="false">IF(N(F462)&gt;0,1,0)</f>
        <v>0</v>
      </c>
      <c r="S459" s="0" t="n">
        <v>38</v>
      </c>
    </row>
    <row r="460" customFormat="false" ht="15" hidden="false" customHeight="false" outlineLevel="0" collapsed="false">
      <c r="A460" s="36" t="str">
        <f aca="false">IF(M451=1,"مجموع أيام الأسبوع 38","")</f>
        <v/>
      </c>
      <c r="B460" s="36"/>
      <c r="C460" s="36"/>
      <c r="D460" s="36"/>
      <c r="E460" s="37" t="str">
        <f aca="false">IF(M451=1,SUM(E453:E459),"")</f>
        <v/>
      </c>
      <c r="F460" s="38" t="str">
        <f aca="false">IF(M451=1,SUM(F453:F459),"")</f>
        <v/>
      </c>
      <c r="G460" s="50" t="str">
        <f aca="false">IF(M451=1,SUMIFS(F453:F459,G453:G459,"نعم"),"")</f>
        <v/>
      </c>
      <c r="H460" s="36"/>
      <c r="S460" s="0" t="n">
        <v>38</v>
      </c>
    </row>
    <row r="461" customFormat="false" ht="31.5" hidden="false" customHeight="true" outlineLevel="0" collapsed="false">
      <c r="A461" s="39" t="str">
        <f aca="false">IF(M451=1,"ساعات تحميل الجبسمبورد بهالأسبوع (رقم: 2 أو 1.5) ←","")</f>
        <v/>
      </c>
      <c r="B461" s="39"/>
      <c r="C461" s="39"/>
      <c r="D461" s="39"/>
      <c r="E461" s="40"/>
      <c r="F461" s="42" t="str">
        <f aca="false">IF(M451=1,N(F460)+IF(ROUND_MODE="للأعلى",CEILING(ROUND((N(E461)*($P$451-$N$451)),3),0.25),ROUND((N(E461)*($P$451-$N$451))*4,0)/4)+N(C462),"")</f>
        <v/>
      </c>
      <c r="G461" s="41" t="str">
        <f aca="false">IF(M451=1,"← المستحق النهائي للأسبوع مع الجبسمبورد والإكرامية","")</f>
        <v/>
      </c>
      <c r="H461" s="41"/>
      <c r="S461" s="0" t="n">
        <v>38</v>
      </c>
    </row>
    <row r="462" customFormat="false" ht="25.5" hidden="false" customHeight="true" outlineLevel="0" collapsed="false">
      <c r="A462" s="39" t="str">
        <f aca="false">IF(M451=1,"إكرامية الأسبوع ←","")</f>
        <v/>
      </c>
      <c r="B462" s="39"/>
      <c r="C462" s="44"/>
      <c r="D462" s="39" t="str">
        <f aca="false">IF(M451=1,"المدفوع (التسوية) ←","")</f>
        <v/>
      </c>
      <c r="E462" s="39"/>
      <c r="F462" s="44"/>
      <c r="G462" s="45" t="str">
        <f aca="false">IF(M451=1,IF(N(F462)&gt;0,"✔ انقبض — الأسبوع مقفول","⏳ لسا ما انقبض"),"")</f>
        <v/>
      </c>
      <c r="H462" s="45"/>
      <c r="S462" s="0" t="n">
        <v>38</v>
      </c>
    </row>
    <row r="463" customFormat="false" ht="27.75" hidden="false" customHeight="true" outlineLevel="0" collapsed="false">
      <c r="A463" s="48" t="str">
        <f aca="false">IF(39&lt;=NW,"من السبت "&amp;TEXT(DAY(SAT1+266),"00")&amp;"/"&amp;TEXT(MONTH(SAT1+266),"00")&amp;"/"&amp;YEAR(SAT1+266)&amp;" إلى الجمعة "&amp;TEXT(DAY(SAT1+272),"00")&amp;"/"&amp;TEXT(MONTH(SAT1+272),"00")&amp;"/"&amp;YEAR(SAT1+272)&amp;" · الأسبوع 39"&amp;"  (يوم القبض: الجمعة)"&amp;IF(39&lt;START_Z,"   — قبل أسبوع البداية (ما بينحسب)",""),"ما في أسبوع 39 هالسنة")</f>
        <v>من السبت 19/09/2026 إلى الجمعة 25/09/2026 · الأسبوع 39  (يوم القبض: الجمعة)   — قبل أسبوع البداية (ما بينحسب)</v>
      </c>
      <c r="B463" s="48"/>
      <c r="C463" s="48"/>
      <c r="D463" s="48"/>
      <c r="E463" s="48"/>
      <c r="F463" s="48"/>
      <c r="G463" s="48"/>
      <c r="H463" s="48"/>
      <c r="L463" s="24" t="n">
        <f aca="false">IF(39&lt;=NW,SAT1+272,"")</f>
        <v>46290</v>
      </c>
      <c r="M463" s="25" t="n">
        <f aca="false">IF(AND(39&lt;=NW,39&gt;=START_Z),1,0)</f>
        <v>0</v>
      </c>
      <c r="N463" s="26" t="n">
        <f aca="false">IFERROR(INDEX(RT_AZZ,MATCH(L463,RT_K,1)),INDEX(RT_AZZ,1))</f>
        <v>1</v>
      </c>
      <c r="P463" s="26" t="n">
        <f aca="false">IFERROR(INDEX(RT_GYP,MATCH(L463,RT_K,1)),INDEX(RT_GYP,1))</f>
        <v>2.5</v>
      </c>
      <c r="R463" s="0" t="n">
        <v>39</v>
      </c>
      <c r="S463" s="0" t="n">
        <v>39</v>
      </c>
    </row>
    <row r="464" customFormat="false" ht="25.5" hidden="false" customHeight="true" outlineLevel="0" collapsed="false">
      <c r="A464" s="49" t="s">
        <v>22</v>
      </c>
      <c r="B464" s="49" t="s">
        <v>23</v>
      </c>
      <c r="C464" s="49" t="s">
        <v>24</v>
      </c>
      <c r="D464" s="49" t="s">
        <v>25</v>
      </c>
      <c r="E464" s="49" t="s">
        <v>26</v>
      </c>
      <c r="F464" s="49" t="s">
        <v>33</v>
      </c>
      <c r="G464" s="49" t="s">
        <v>34</v>
      </c>
      <c r="H464" s="49" t="s">
        <v>30</v>
      </c>
      <c r="S464" s="0" t="n">
        <v>39</v>
      </c>
    </row>
    <row r="465" customFormat="false" ht="15" hidden="false" customHeight="false" outlineLevel="0" collapsed="false">
      <c r="A465" s="28" t="n">
        <f aca="false">IF(39&lt;=NW,SAT1+266,"")</f>
        <v>46284</v>
      </c>
      <c r="B465" s="29" t="str">
        <f aca="false">IF(A465="","",CHOOSE(WEEKDAY(A465,1),"الأحد","الاثنين","الثلاثاء","الأربعاء","الخميس","الجمعة","السبت"))</f>
        <v>السبت</v>
      </c>
      <c r="C465" s="30"/>
      <c r="D465" s="30"/>
      <c r="E465" s="31" t="str">
        <f aca="false">IF(OR(M465=0,K465="",L465=""),"",MOD(L465-K465,1))</f>
        <v/>
      </c>
      <c r="F465" s="32" t="str">
        <f aca="false">IF(OR(E465="",M465=0),"",IF(ROUND_MODE="للأعلى",CEILING(ROUND((E465*24*$N$463),3),0.25),ROUND((E465*24*$N$463)*4,0)/4))</f>
        <v/>
      </c>
      <c r="G465" s="30"/>
      <c r="H465" s="30"/>
      <c r="K465" s="33" t="str">
        <f aca="false">IF(OR(M465=0,C465=""),"",IF(ISNUMBER(C465),MOD(C465,1),IFERROR(INDEX(القوائم!$B$1:$B$288,MATCH(TRIM(C465),القوائم!$A$1:$A$288,0)),IFERROR(MOD(TIMEVALUE(C465),1),""))))</f>
        <v/>
      </c>
      <c r="L465" s="33" t="str">
        <f aca="false">IF(OR(M465=0,D465=""),"",IF(ISNUMBER(D465),MOD(D465,1),IFERROR(INDEX(القوائم!$B$1:$B$288,MATCH(TRIM(D465),القوائم!$A$1:$A$288,0)),IFERROR(MOD(TIMEVALUE(D465),1),""))))</f>
        <v/>
      </c>
      <c r="M465" s="25" t="n">
        <f aca="false">M463</f>
        <v>0</v>
      </c>
      <c r="Q465" s="25" t="n">
        <f aca="false">IF(N(F474)&gt;0,1,0)</f>
        <v>0</v>
      </c>
      <c r="S465" s="0" t="n">
        <v>39</v>
      </c>
    </row>
    <row r="466" customFormat="false" ht="15" hidden="false" customHeight="false" outlineLevel="0" collapsed="false">
      <c r="A466" s="28" t="n">
        <f aca="false">IF(39&lt;=NW,SAT1+267,"")</f>
        <v>46285</v>
      </c>
      <c r="B466" s="29" t="str">
        <f aca="false">IF(A466="","",CHOOSE(WEEKDAY(A466,1),"الأحد","الاثنين","الثلاثاء","الأربعاء","الخميس","الجمعة","السبت"))</f>
        <v>الأحد</v>
      </c>
      <c r="C466" s="30"/>
      <c r="D466" s="30"/>
      <c r="E466" s="31" t="str">
        <f aca="false">IF(OR(M466=0,K466="",L466=""),"",MOD(L466-K466,1))</f>
        <v/>
      </c>
      <c r="F466" s="32" t="str">
        <f aca="false">IF(OR(E466="",M466=0),"",IF(ROUND_MODE="للأعلى",CEILING(ROUND((E466*24*$N$463),3),0.25),ROUND((E466*24*$N$463)*4,0)/4))</f>
        <v/>
      </c>
      <c r="G466" s="30"/>
      <c r="H466" s="30"/>
      <c r="K466" s="33" t="str">
        <f aca="false">IF(OR(M466=0,C466=""),"",IF(ISNUMBER(C466),MOD(C466,1),IFERROR(INDEX(القوائم!$B$1:$B$288,MATCH(TRIM(C466),القوائم!$A$1:$A$288,0)),IFERROR(MOD(TIMEVALUE(C466),1),""))))</f>
        <v/>
      </c>
      <c r="L466" s="33" t="str">
        <f aca="false">IF(OR(M466=0,D466=""),"",IF(ISNUMBER(D466),MOD(D466,1),IFERROR(INDEX(القوائم!$B$1:$B$288,MATCH(TRIM(D466),القوائم!$A$1:$A$288,0)),IFERROR(MOD(TIMEVALUE(D466),1),""))))</f>
        <v/>
      </c>
      <c r="M466" s="25" t="n">
        <f aca="false">M463</f>
        <v>0</v>
      </c>
      <c r="Q466" s="25" t="n">
        <f aca="false">IF(N(F474)&gt;0,1,0)</f>
        <v>0</v>
      </c>
      <c r="S466" s="0" t="n">
        <v>39</v>
      </c>
    </row>
    <row r="467" customFormat="false" ht="15" hidden="false" customHeight="false" outlineLevel="0" collapsed="false">
      <c r="A467" s="28" t="n">
        <f aca="false">IF(39&lt;=NW,SAT1+268,"")</f>
        <v>46286</v>
      </c>
      <c r="B467" s="29" t="str">
        <f aca="false">IF(A467="","",CHOOSE(WEEKDAY(A467,1),"الأحد","الاثنين","الثلاثاء","الأربعاء","الخميس","الجمعة","السبت"))</f>
        <v>الاثنين</v>
      </c>
      <c r="C467" s="30"/>
      <c r="D467" s="30"/>
      <c r="E467" s="31" t="str">
        <f aca="false">IF(OR(M467=0,K467="",L467=""),"",MOD(L467-K467,1))</f>
        <v/>
      </c>
      <c r="F467" s="32" t="str">
        <f aca="false">IF(OR(E467="",M467=0),"",IF(ROUND_MODE="للأعلى",CEILING(ROUND((E467*24*$N$463),3),0.25),ROUND((E467*24*$N$463)*4,0)/4))</f>
        <v/>
      </c>
      <c r="G467" s="30"/>
      <c r="H467" s="30"/>
      <c r="K467" s="33" t="str">
        <f aca="false">IF(OR(M467=0,C467=""),"",IF(ISNUMBER(C467),MOD(C467,1),IFERROR(INDEX(القوائم!$B$1:$B$288,MATCH(TRIM(C467),القوائم!$A$1:$A$288,0)),IFERROR(MOD(TIMEVALUE(C467),1),""))))</f>
        <v/>
      </c>
      <c r="L467" s="33" t="str">
        <f aca="false">IF(OR(M467=0,D467=""),"",IF(ISNUMBER(D467),MOD(D467,1),IFERROR(INDEX(القوائم!$B$1:$B$288,MATCH(TRIM(D467),القوائم!$A$1:$A$288,0)),IFERROR(MOD(TIMEVALUE(D467),1),""))))</f>
        <v/>
      </c>
      <c r="M467" s="25" t="n">
        <f aca="false">M463</f>
        <v>0</v>
      </c>
      <c r="Q467" s="25" t="n">
        <f aca="false">IF(N(F474)&gt;0,1,0)</f>
        <v>0</v>
      </c>
      <c r="S467" s="0" t="n">
        <v>39</v>
      </c>
    </row>
    <row r="468" customFormat="false" ht="15" hidden="false" customHeight="false" outlineLevel="0" collapsed="false">
      <c r="A468" s="28" t="n">
        <f aca="false">IF(39&lt;=NW,SAT1+269,"")</f>
        <v>46287</v>
      </c>
      <c r="B468" s="29" t="str">
        <f aca="false">IF(A468="","",CHOOSE(WEEKDAY(A468,1),"الأحد","الاثنين","الثلاثاء","الأربعاء","الخميس","الجمعة","السبت"))</f>
        <v>الثلاثاء</v>
      </c>
      <c r="C468" s="30"/>
      <c r="D468" s="30"/>
      <c r="E468" s="31" t="str">
        <f aca="false">IF(OR(M468=0,K468="",L468=""),"",MOD(L468-K468,1))</f>
        <v/>
      </c>
      <c r="F468" s="32" t="str">
        <f aca="false">IF(OR(E468="",M468=0),"",IF(ROUND_MODE="للأعلى",CEILING(ROUND((E468*24*$N$463),3),0.25),ROUND((E468*24*$N$463)*4,0)/4))</f>
        <v/>
      </c>
      <c r="G468" s="30"/>
      <c r="H468" s="30"/>
      <c r="K468" s="33" t="str">
        <f aca="false">IF(OR(M468=0,C468=""),"",IF(ISNUMBER(C468),MOD(C468,1),IFERROR(INDEX(القوائم!$B$1:$B$288,MATCH(TRIM(C468),القوائم!$A$1:$A$288,0)),IFERROR(MOD(TIMEVALUE(C468),1),""))))</f>
        <v/>
      </c>
      <c r="L468" s="33" t="str">
        <f aca="false">IF(OR(M468=0,D468=""),"",IF(ISNUMBER(D468),MOD(D468,1),IFERROR(INDEX(القوائم!$B$1:$B$288,MATCH(TRIM(D468),القوائم!$A$1:$A$288,0)),IFERROR(MOD(TIMEVALUE(D468),1),""))))</f>
        <v/>
      </c>
      <c r="M468" s="25" t="n">
        <f aca="false">M463</f>
        <v>0</v>
      </c>
      <c r="Q468" s="25" t="n">
        <f aca="false">IF(N(F474)&gt;0,1,0)</f>
        <v>0</v>
      </c>
      <c r="S468" s="0" t="n">
        <v>39</v>
      </c>
    </row>
    <row r="469" customFormat="false" ht="15" hidden="false" customHeight="false" outlineLevel="0" collapsed="false">
      <c r="A469" s="28" t="n">
        <f aca="false">IF(39&lt;=NW,SAT1+270,"")</f>
        <v>46288</v>
      </c>
      <c r="B469" s="29" t="str">
        <f aca="false">IF(A469="","",CHOOSE(WEEKDAY(A469,1),"الأحد","الاثنين","الثلاثاء","الأربعاء","الخميس","الجمعة","السبت"))</f>
        <v>الأربعاء</v>
      </c>
      <c r="C469" s="30"/>
      <c r="D469" s="30"/>
      <c r="E469" s="31" t="str">
        <f aca="false">IF(OR(M469=0,K469="",L469=""),"",MOD(L469-K469,1))</f>
        <v/>
      </c>
      <c r="F469" s="32" t="str">
        <f aca="false">IF(OR(E469="",M469=0),"",IF(ROUND_MODE="للأعلى",CEILING(ROUND((E469*24*$N$463),3),0.25),ROUND((E469*24*$N$463)*4,0)/4))</f>
        <v/>
      </c>
      <c r="G469" s="30"/>
      <c r="H469" s="30"/>
      <c r="K469" s="33" t="str">
        <f aca="false">IF(OR(M469=0,C469=""),"",IF(ISNUMBER(C469),MOD(C469,1),IFERROR(INDEX(القوائم!$B$1:$B$288,MATCH(TRIM(C469),القوائم!$A$1:$A$288,0)),IFERROR(MOD(TIMEVALUE(C469),1),""))))</f>
        <v/>
      </c>
      <c r="L469" s="33" t="str">
        <f aca="false">IF(OR(M469=0,D469=""),"",IF(ISNUMBER(D469),MOD(D469,1),IFERROR(INDEX(القوائم!$B$1:$B$288,MATCH(TRIM(D469),القوائم!$A$1:$A$288,0)),IFERROR(MOD(TIMEVALUE(D469),1),""))))</f>
        <v/>
      </c>
      <c r="M469" s="25" t="n">
        <f aca="false">M463</f>
        <v>0</v>
      </c>
      <c r="Q469" s="25" t="n">
        <f aca="false">IF(N(F474)&gt;0,1,0)</f>
        <v>0</v>
      </c>
      <c r="S469" s="0" t="n">
        <v>39</v>
      </c>
    </row>
    <row r="470" customFormat="false" ht="15" hidden="false" customHeight="false" outlineLevel="0" collapsed="false">
      <c r="A470" s="28" t="n">
        <f aca="false">IF(39&lt;=NW,SAT1+271,"")</f>
        <v>46289</v>
      </c>
      <c r="B470" s="29" t="str">
        <f aca="false">IF(A470="","",CHOOSE(WEEKDAY(A470,1),"الأحد","الاثنين","الثلاثاء","الأربعاء","الخميس","الجمعة","السبت"))</f>
        <v>الخميس</v>
      </c>
      <c r="C470" s="30"/>
      <c r="D470" s="30"/>
      <c r="E470" s="31" t="str">
        <f aca="false">IF(OR(M470=0,K470="",L470=""),"",MOD(L470-K470,1))</f>
        <v/>
      </c>
      <c r="F470" s="32" t="str">
        <f aca="false">IF(OR(E470="",M470=0),"",IF(ROUND_MODE="للأعلى",CEILING(ROUND((E470*24*$N$463),3),0.25),ROUND((E470*24*$N$463)*4,0)/4))</f>
        <v/>
      </c>
      <c r="G470" s="30"/>
      <c r="H470" s="30"/>
      <c r="K470" s="33" t="str">
        <f aca="false">IF(OR(M470=0,C470=""),"",IF(ISNUMBER(C470),MOD(C470,1),IFERROR(INDEX(القوائم!$B$1:$B$288,MATCH(TRIM(C470),القوائم!$A$1:$A$288,0)),IFERROR(MOD(TIMEVALUE(C470),1),""))))</f>
        <v/>
      </c>
      <c r="L470" s="33" t="str">
        <f aca="false">IF(OR(M470=0,D470=""),"",IF(ISNUMBER(D470),MOD(D470,1),IFERROR(INDEX(القوائم!$B$1:$B$288,MATCH(TRIM(D470),القوائم!$A$1:$A$288,0)),IFERROR(MOD(TIMEVALUE(D470),1),""))))</f>
        <v/>
      </c>
      <c r="M470" s="25" t="n">
        <f aca="false">M463</f>
        <v>0</v>
      </c>
      <c r="Q470" s="25" t="n">
        <f aca="false">IF(N(F474)&gt;0,1,0)</f>
        <v>0</v>
      </c>
      <c r="S470" s="0" t="n">
        <v>39</v>
      </c>
    </row>
    <row r="471" customFormat="false" ht="15" hidden="false" customHeight="false" outlineLevel="0" collapsed="false">
      <c r="A471" s="34" t="n">
        <f aca="false">IF(39&lt;=NW,SAT1+272,"")</f>
        <v>46290</v>
      </c>
      <c r="B471" s="35" t="str">
        <f aca="false">IF(A471="","",CHOOSE(WEEKDAY(A471,1),"الأحد","الاثنين","الثلاثاء","الأربعاء","الخميس","الجمعة","السبت"))</f>
        <v>الجمعة</v>
      </c>
      <c r="C471" s="30"/>
      <c r="D471" s="30"/>
      <c r="E471" s="31" t="str">
        <f aca="false">IF(OR(M471=0,K471="",L471=""),"",MOD(L471-K471,1))</f>
        <v/>
      </c>
      <c r="F471" s="32" t="str">
        <f aca="false">IF(OR(E471="",M471=0),"",IF(ROUND_MODE="للأعلى",CEILING(ROUND((E471*24*$N$463),3),0.25),ROUND((E471*24*$N$463)*4,0)/4))</f>
        <v/>
      </c>
      <c r="G471" s="30"/>
      <c r="H471" s="30"/>
      <c r="K471" s="33" t="str">
        <f aca="false">IF(OR(M471=0,C471=""),"",IF(ISNUMBER(C471),MOD(C471,1),IFERROR(INDEX(القوائم!$B$1:$B$288,MATCH(TRIM(C471),القوائم!$A$1:$A$288,0)),IFERROR(MOD(TIMEVALUE(C471),1),""))))</f>
        <v/>
      </c>
      <c r="L471" s="33" t="str">
        <f aca="false">IF(OR(M471=0,D471=""),"",IF(ISNUMBER(D471),MOD(D471,1),IFERROR(INDEX(القوائم!$B$1:$B$288,MATCH(TRIM(D471),القوائم!$A$1:$A$288,0)),IFERROR(MOD(TIMEVALUE(D471),1),""))))</f>
        <v/>
      </c>
      <c r="M471" s="25" t="n">
        <f aca="false">M463</f>
        <v>0</v>
      </c>
      <c r="Q471" s="25" t="n">
        <f aca="false">IF(N(F474)&gt;0,1,0)</f>
        <v>0</v>
      </c>
      <c r="S471" s="0" t="n">
        <v>39</v>
      </c>
    </row>
    <row r="472" customFormat="false" ht="15" hidden="false" customHeight="false" outlineLevel="0" collapsed="false">
      <c r="A472" s="36" t="str">
        <f aca="false">IF(M463=1,"مجموع أيام الأسبوع 39","")</f>
        <v/>
      </c>
      <c r="B472" s="36"/>
      <c r="C472" s="36"/>
      <c r="D472" s="36"/>
      <c r="E472" s="37" t="str">
        <f aca="false">IF(M463=1,SUM(E465:E471),"")</f>
        <v/>
      </c>
      <c r="F472" s="38" t="str">
        <f aca="false">IF(M463=1,SUM(F465:F471),"")</f>
        <v/>
      </c>
      <c r="G472" s="50" t="str">
        <f aca="false">IF(M463=1,SUMIFS(F465:F471,G465:G471,"نعم"),"")</f>
        <v/>
      </c>
      <c r="H472" s="36"/>
      <c r="S472" s="0" t="n">
        <v>39</v>
      </c>
    </row>
    <row r="473" customFormat="false" ht="31.5" hidden="false" customHeight="true" outlineLevel="0" collapsed="false">
      <c r="A473" s="39" t="str">
        <f aca="false">IF(M463=1,"ساعات تحميل الجبسمبورد بهالأسبوع (رقم: 2 أو 1.5) ←","")</f>
        <v/>
      </c>
      <c r="B473" s="39"/>
      <c r="C473" s="39"/>
      <c r="D473" s="39"/>
      <c r="E473" s="40"/>
      <c r="F473" s="42" t="str">
        <f aca="false">IF(M463=1,N(F472)+IF(ROUND_MODE="للأعلى",CEILING(ROUND((N(E473)*($P$463-$N$463)),3),0.25),ROUND((N(E473)*($P$463-$N$463))*4,0)/4)+N(C474),"")</f>
        <v/>
      </c>
      <c r="G473" s="41" t="str">
        <f aca="false">IF(M463=1,"← المستحق النهائي للأسبوع مع الجبسمبورد والإكرامية","")</f>
        <v/>
      </c>
      <c r="H473" s="41"/>
      <c r="S473" s="0" t="n">
        <v>39</v>
      </c>
    </row>
    <row r="474" customFormat="false" ht="25.5" hidden="false" customHeight="true" outlineLevel="0" collapsed="false">
      <c r="A474" s="39" t="str">
        <f aca="false">IF(M463=1,"إكرامية الأسبوع ←","")</f>
        <v/>
      </c>
      <c r="B474" s="39"/>
      <c r="C474" s="44"/>
      <c r="D474" s="39" t="str">
        <f aca="false">IF(M463=1,"المدفوع (التسوية) ←","")</f>
        <v/>
      </c>
      <c r="E474" s="39"/>
      <c r="F474" s="44"/>
      <c r="G474" s="45" t="str">
        <f aca="false">IF(M463=1,IF(N(F474)&gt;0,"✔ انقبض — الأسبوع مقفول","⏳ لسا ما انقبض"),"")</f>
        <v/>
      </c>
      <c r="H474" s="45"/>
      <c r="S474" s="0" t="n">
        <v>39</v>
      </c>
    </row>
    <row r="475" customFormat="false" ht="27.75" hidden="false" customHeight="true" outlineLevel="0" collapsed="false">
      <c r="A475" s="48" t="str">
        <f aca="false">IF(40&lt;=NW,"من السبت "&amp;TEXT(DAY(SAT1+273),"00")&amp;"/"&amp;TEXT(MONTH(SAT1+273),"00")&amp;"/"&amp;YEAR(SAT1+273)&amp;" إلى الجمعة "&amp;TEXT(DAY(SAT1+279),"00")&amp;"/"&amp;TEXT(MONTH(SAT1+279),"00")&amp;"/"&amp;YEAR(SAT1+279)&amp;" · الأسبوع 40"&amp;"  (يوم القبض: الجمعة)"&amp;IF(40&lt;START_Z,"   — قبل أسبوع البداية (ما بينحسب)",""),"ما في أسبوع 40 هالسنة")</f>
        <v>من السبت 26/09/2026 إلى الجمعة 02/10/2026 · الأسبوع 40  (يوم القبض: الجمعة)</v>
      </c>
      <c r="B475" s="48"/>
      <c r="C475" s="48"/>
      <c r="D475" s="48"/>
      <c r="E475" s="48"/>
      <c r="F475" s="48"/>
      <c r="G475" s="48"/>
      <c r="H475" s="48"/>
      <c r="L475" s="24" t="n">
        <f aca="false">IF(40&lt;=NW,SAT1+279,"")</f>
        <v>46297</v>
      </c>
      <c r="M475" s="25" t="n">
        <f aca="false">IF(AND(40&lt;=NW,40&gt;=START_Z),1,0)</f>
        <v>1</v>
      </c>
      <c r="N475" s="26" t="n">
        <f aca="false">IFERROR(INDEX(RT_AZZ,MATCH(L475,RT_K,1)),INDEX(RT_AZZ,1))</f>
        <v>1</v>
      </c>
      <c r="P475" s="26" t="n">
        <f aca="false">IFERROR(INDEX(RT_GYP,MATCH(L475,RT_K,1)),INDEX(RT_GYP,1))</f>
        <v>2.5</v>
      </c>
      <c r="R475" s="0" t="n">
        <v>40</v>
      </c>
      <c r="S475" s="0" t="n">
        <v>40</v>
      </c>
    </row>
    <row r="476" customFormat="false" ht="25.5" hidden="false" customHeight="true" outlineLevel="0" collapsed="false">
      <c r="A476" s="49" t="s">
        <v>22</v>
      </c>
      <c r="B476" s="49" t="s">
        <v>23</v>
      </c>
      <c r="C476" s="49" t="s">
        <v>24</v>
      </c>
      <c r="D476" s="49" t="s">
        <v>25</v>
      </c>
      <c r="E476" s="49" t="s">
        <v>26</v>
      </c>
      <c r="F476" s="49" t="s">
        <v>33</v>
      </c>
      <c r="G476" s="49" t="s">
        <v>34</v>
      </c>
      <c r="H476" s="49" t="s">
        <v>30</v>
      </c>
      <c r="S476" s="0" t="n">
        <v>40</v>
      </c>
    </row>
    <row r="477" customFormat="false" ht="15" hidden="false" customHeight="false" outlineLevel="0" collapsed="false">
      <c r="A477" s="28" t="n">
        <f aca="false">IF(40&lt;=NW,SAT1+273,"")</f>
        <v>46291</v>
      </c>
      <c r="B477" s="29" t="str">
        <f aca="false">IF(A477="","",CHOOSE(WEEKDAY(A477,1),"الأحد","الاثنين","الثلاثاء","الأربعاء","الخميس","الجمعة","السبت"))</f>
        <v>السبت</v>
      </c>
      <c r="C477" s="30"/>
      <c r="D477" s="30"/>
      <c r="E477" s="31" t="str">
        <f aca="false">IF(OR(M477=0,K477="",L477=""),"",MOD(L477-K477,1))</f>
        <v/>
      </c>
      <c r="F477" s="32" t="str">
        <f aca="false">IF(OR(E477="",M477=0),"",IF(ROUND_MODE="للأعلى",CEILING(ROUND((E477*24*$N$475),3),0.25),ROUND((E477*24*$N$475)*4,0)/4))</f>
        <v/>
      </c>
      <c r="G477" s="30"/>
      <c r="H477" s="30"/>
      <c r="K477" s="33" t="str">
        <f aca="false">IF(OR(M477=0,C477=""),"",IF(ISNUMBER(C477),MOD(C477,1),IFERROR(INDEX(القوائم!$B$1:$B$288,MATCH(TRIM(C477),القوائم!$A$1:$A$288,0)),IFERROR(MOD(TIMEVALUE(C477),1),""))))</f>
        <v/>
      </c>
      <c r="L477" s="33" t="str">
        <f aca="false">IF(OR(M477=0,D477=""),"",IF(ISNUMBER(D477),MOD(D477,1),IFERROR(INDEX(القوائم!$B$1:$B$288,MATCH(TRIM(D477),القوائم!$A$1:$A$288,0)),IFERROR(MOD(TIMEVALUE(D477),1),""))))</f>
        <v/>
      </c>
      <c r="M477" s="25" t="n">
        <f aca="false">M475</f>
        <v>1</v>
      </c>
      <c r="Q477" s="25" t="n">
        <f aca="false">IF(N(F486)&gt;0,1,0)</f>
        <v>0</v>
      </c>
      <c r="S477" s="0" t="n">
        <v>40</v>
      </c>
    </row>
    <row r="478" customFormat="false" ht="15" hidden="false" customHeight="false" outlineLevel="0" collapsed="false">
      <c r="A478" s="28" t="n">
        <f aca="false">IF(40&lt;=NW,SAT1+274,"")</f>
        <v>46292</v>
      </c>
      <c r="B478" s="29" t="str">
        <f aca="false">IF(A478="","",CHOOSE(WEEKDAY(A478,1),"الأحد","الاثنين","الثلاثاء","الأربعاء","الخميس","الجمعة","السبت"))</f>
        <v>الأحد</v>
      </c>
      <c r="C478" s="30"/>
      <c r="D478" s="30"/>
      <c r="E478" s="31" t="str">
        <f aca="false">IF(OR(M478=0,K478="",L478=""),"",MOD(L478-K478,1))</f>
        <v/>
      </c>
      <c r="F478" s="32" t="str">
        <f aca="false">IF(OR(E478="",M478=0),"",IF(ROUND_MODE="للأعلى",CEILING(ROUND((E478*24*$N$475),3),0.25),ROUND((E478*24*$N$475)*4,0)/4))</f>
        <v/>
      </c>
      <c r="G478" s="30"/>
      <c r="H478" s="30"/>
      <c r="K478" s="33" t="str">
        <f aca="false">IF(OR(M478=0,C478=""),"",IF(ISNUMBER(C478),MOD(C478,1),IFERROR(INDEX(القوائم!$B$1:$B$288,MATCH(TRIM(C478),القوائم!$A$1:$A$288,0)),IFERROR(MOD(TIMEVALUE(C478),1),""))))</f>
        <v/>
      </c>
      <c r="L478" s="33" t="str">
        <f aca="false">IF(OR(M478=0,D478=""),"",IF(ISNUMBER(D478),MOD(D478,1),IFERROR(INDEX(القوائم!$B$1:$B$288,MATCH(TRIM(D478),القوائم!$A$1:$A$288,0)),IFERROR(MOD(TIMEVALUE(D478),1),""))))</f>
        <v/>
      </c>
      <c r="M478" s="25" t="n">
        <f aca="false">M475</f>
        <v>1</v>
      </c>
      <c r="Q478" s="25" t="n">
        <f aca="false">IF(N(F486)&gt;0,1,0)</f>
        <v>0</v>
      </c>
      <c r="S478" s="0" t="n">
        <v>40</v>
      </c>
    </row>
    <row r="479" customFormat="false" ht="15" hidden="false" customHeight="false" outlineLevel="0" collapsed="false">
      <c r="A479" s="28" t="n">
        <f aca="false">IF(40&lt;=NW,SAT1+275,"")</f>
        <v>46293</v>
      </c>
      <c r="B479" s="29" t="str">
        <f aca="false">IF(A479="","",CHOOSE(WEEKDAY(A479,1),"الأحد","الاثنين","الثلاثاء","الأربعاء","الخميس","الجمعة","السبت"))</f>
        <v>الاثنين</v>
      </c>
      <c r="C479" s="30"/>
      <c r="D479" s="30"/>
      <c r="E479" s="31" t="str">
        <f aca="false">IF(OR(M479=0,K479="",L479=""),"",MOD(L479-K479,1))</f>
        <v/>
      </c>
      <c r="F479" s="32" t="str">
        <f aca="false">IF(OR(E479="",M479=0),"",IF(ROUND_MODE="للأعلى",CEILING(ROUND((E479*24*$N$475),3),0.25),ROUND((E479*24*$N$475)*4,0)/4))</f>
        <v/>
      </c>
      <c r="G479" s="30"/>
      <c r="H479" s="30"/>
      <c r="K479" s="33" t="str">
        <f aca="false">IF(OR(M479=0,C479=""),"",IF(ISNUMBER(C479),MOD(C479,1),IFERROR(INDEX(القوائم!$B$1:$B$288,MATCH(TRIM(C479),القوائم!$A$1:$A$288,0)),IFERROR(MOD(TIMEVALUE(C479),1),""))))</f>
        <v/>
      </c>
      <c r="L479" s="33" t="str">
        <f aca="false">IF(OR(M479=0,D479=""),"",IF(ISNUMBER(D479),MOD(D479,1),IFERROR(INDEX(القوائم!$B$1:$B$288,MATCH(TRIM(D479),القوائم!$A$1:$A$288,0)),IFERROR(MOD(TIMEVALUE(D479),1),""))))</f>
        <v/>
      </c>
      <c r="M479" s="25" t="n">
        <f aca="false">M475</f>
        <v>1</v>
      </c>
      <c r="Q479" s="25" t="n">
        <f aca="false">IF(N(F486)&gt;0,1,0)</f>
        <v>0</v>
      </c>
      <c r="S479" s="0" t="n">
        <v>40</v>
      </c>
    </row>
    <row r="480" customFormat="false" ht="15" hidden="false" customHeight="false" outlineLevel="0" collapsed="false">
      <c r="A480" s="28" t="n">
        <f aca="false">IF(40&lt;=NW,SAT1+276,"")</f>
        <v>46294</v>
      </c>
      <c r="B480" s="29" t="str">
        <f aca="false">IF(A480="","",CHOOSE(WEEKDAY(A480,1),"الأحد","الاثنين","الثلاثاء","الأربعاء","الخميس","الجمعة","السبت"))</f>
        <v>الثلاثاء</v>
      </c>
      <c r="C480" s="30"/>
      <c r="D480" s="30"/>
      <c r="E480" s="31" t="str">
        <f aca="false">IF(OR(M480=0,K480="",L480=""),"",MOD(L480-K480,1))</f>
        <v/>
      </c>
      <c r="F480" s="32" t="str">
        <f aca="false">IF(OR(E480="",M480=0),"",IF(ROUND_MODE="للأعلى",CEILING(ROUND((E480*24*$N$475),3),0.25),ROUND((E480*24*$N$475)*4,0)/4))</f>
        <v/>
      </c>
      <c r="G480" s="30"/>
      <c r="H480" s="30"/>
      <c r="K480" s="33" t="str">
        <f aca="false">IF(OR(M480=0,C480=""),"",IF(ISNUMBER(C480),MOD(C480,1),IFERROR(INDEX(القوائم!$B$1:$B$288,MATCH(TRIM(C480),القوائم!$A$1:$A$288,0)),IFERROR(MOD(TIMEVALUE(C480),1),""))))</f>
        <v/>
      </c>
      <c r="L480" s="33" t="str">
        <f aca="false">IF(OR(M480=0,D480=""),"",IF(ISNUMBER(D480),MOD(D480,1),IFERROR(INDEX(القوائم!$B$1:$B$288,MATCH(TRIM(D480),القوائم!$A$1:$A$288,0)),IFERROR(MOD(TIMEVALUE(D480),1),""))))</f>
        <v/>
      </c>
      <c r="M480" s="25" t="n">
        <f aca="false">M475</f>
        <v>1</v>
      </c>
      <c r="Q480" s="25" t="n">
        <f aca="false">IF(N(F486)&gt;0,1,0)</f>
        <v>0</v>
      </c>
      <c r="S480" s="0" t="n">
        <v>40</v>
      </c>
    </row>
    <row r="481" customFormat="false" ht="15" hidden="false" customHeight="false" outlineLevel="0" collapsed="false">
      <c r="A481" s="28" t="n">
        <f aca="false">IF(40&lt;=NW,SAT1+277,"")</f>
        <v>46295</v>
      </c>
      <c r="B481" s="29" t="str">
        <f aca="false">IF(A481="","",CHOOSE(WEEKDAY(A481,1),"الأحد","الاثنين","الثلاثاء","الأربعاء","الخميس","الجمعة","السبت"))</f>
        <v>الأربعاء</v>
      </c>
      <c r="C481" s="30"/>
      <c r="D481" s="30"/>
      <c r="E481" s="31" t="str">
        <f aca="false">IF(OR(M481=0,K481="",L481=""),"",MOD(L481-K481,1))</f>
        <v/>
      </c>
      <c r="F481" s="32" t="str">
        <f aca="false">IF(OR(E481="",M481=0),"",IF(ROUND_MODE="للأعلى",CEILING(ROUND((E481*24*$N$475),3),0.25),ROUND((E481*24*$N$475)*4,0)/4))</f>
        <v/>
      </c>
      <c r="G481" s="30"/>
      <c r="H481" s="30"/>
      <c r="K481" s="33" t="str">
        <f aca="false">IF(OR(M481=0,C481=""),"",IF(ISNUMBER(C481),MOD(C481,1),IFERROR(INDEX(القوائم!$B$1:$B$288,MATCH(TRIM(C481),القوائم!$A$1:$A$288,0)),IFERROR(MOD(TIMEVALUE(C481),1),""))))</f>
        <v/>
      </c>
      <c r="L481" s="33" t="str">
        <f aca="false">IF(OR(M481=0,D481=""),"",IF(ISNUMBER(D481),MOD(D481,1),IFERROR(INDEX(القوائم!$B$1:$B$288,MATCH(TRIM(D481),القوائم!$A$1:$A$288,0)),IFERROR(MOD(TIMEVALUE(D481),1),""))))</f>
        <v/>
      </c>
      <c r="M481" s="25" t="n">
        <f aca="false">M475</f>
        <v>1</v>
      </c>
      <c r="Q481" s="25" t="n">
        <f aca="false">IF(N(F486)&gt;0,1,0)</f>
        <v>0</v>
      </c>
      <c r="S481" s="0" t="n">
        <v>40</v>
      </c>
    </row>
    <row r="482" customFormat="false" ht="15" hidden="false" customHeight="false" outlineLevel="0" collapsed="false">
      <c r="A482" s="28" t="n">
        <f aca="false">IF(40&lt;=NW,SAT1+278,"")</f>
        <v>46296</v>
      </c>
      <c r="B482" s="29" t="str">
        <f aca="false">IF(A482="","",CHOOSE(WEEKDAY(A482,1),"الأحد","الاثنين","الثلاثاء","الأربعاء","الخميس","الجمعة","السبت"))</f>
        <v>الخميس</v>
      </c>
      <c r="C482" s="30"/>
      <c r="D482" s="30"/>
      <c r="E482" s="31" t="str">
        <f aca="false">IF(OR(M482=0,K482="",L482=""),"",MOD(L482-K482,1))</f>
        <v/>
      </c>
      <c r="F482" s="32" t="str">
        <f aca="false">IF(OR(E482="",M482=0),"",IF(ROUND_MODE="للأعلى",CEILING(ROUND((E482*24*$N$475),3),0.25),ROUND((E482*24*$N$475)*4,0)/4))</f>
        <v/>
      </c>
      <c r="G482" s="30"/>
      <c r="H482" s="30"/>
      <c r="K482" s="33" t="str">
        <f aca="false">IF(OR(M482=0,C482=""),"",IF(ISNUMBER(C482),MOD(C482,1),IFERROR(INDEX(القوائم!$B$1:$B$288,MATCH(TRIM(C482),القوائم!$A$1:$A$288,0)),IFERROR(MOD(TIMEVALUE(C482),1),""))))</f>
        <v/>
      </c>
      <c r="L482" s="33" t="str">
        <f aca="false">IF(OR(M482=0,D482=""),"",IF(ISNUMBER(D482),MOD(D482,1),IFERROR(INDEX(القوائم!$B$1:$B$288,MATCH(TRIM(D482),القوائم!$A$1:$A$288,0)),IFERROR(MOD(TIMEVALUE(D482),1),""))))</f>
        <v/>
      </c>
      <c r="M482" s="25" t="n">
        <f aca="false">M475</f>
        <v>1</v>
      </c>
      <c r="Q482" s="25" t="n">
        <f aca="false">IF(N(F486)&gt;0,1,0)</f>
        <v>0</v>
      </c>
      <c r="S482" s="0" t="n">
        <v>40</v>
      </c>
    </row>
    <row r="483" customFormat="false" ht="15" hidden="false" customHeight="false" outlineLevel="0" collapsed="false">
      <c r="A483" s="34" t="n">
        <f aca="false">IF(40&lt;=NW,SAT1+279,"")</f>
        <v>46297</v>
      </c>
      <c r="B483" s="35" t="str">
        <f aca="false">IF(A483="","",CHOOSE(WEEKDAY(A483,1),"الأحد","الاثنين","الثلاثاء","الأربعاء","الخميس","الجمعة","السبت"))</f>
        <v>الجمعة</v>
      </c>
      <c r="C483" s="30"/>
      <c r="D483" s="30"/>
      <c r="E483" s="31" t="str">
        <f aca="false">IF(OR(M483=0,K483="",L483=""),"",MOD(L483-K483,1))</f>
        <v/>
      </c>
      <c r="F483" s="32" t="str">
        <f aca="false">IF(OR(E483="",M483=0),"",IF(ROUND_MODE="للأعلى",CEILING(ROUND((E483*24*$N$475),3),0.25),ROUND((E483*24*$N$475)*4,0)/4))</f>
        <v/>
      </c>
      <c r="G483" s="30"/>
      <c r="H483" s="30"/>
      <c r="K483" s="33" t="str">
        <f aca="false">IF(OR(M483=0,C483=""),"",IF(ISNUMBER(C483),MOD(C483,1),IFERROR(INDEX(القوائم!$B$1:$B$288,MATCH(TRIM(C483),القوائم!$A$1:$A$288,0)),IFERROR(MOD(TIMEVALUE(C483),1),""))))</f>
        <v/>
      </c>
      <c r="L483" s="33" t="str">
        <f aca="false">IF(OR(M483=0,D483=""),"",IF(ISNUMBER(D483),MOD(D483,1),IFERROR(INDEX(القوائم!$B$1:$B$288,MATCH(TRIM(D483),القوائم!$A$1:$A$288,0)),IFERROR(MOD(TIMEVALUE(D483),1),""))))</f>
        <v/>
      </c>
      <c r="M483" s="25" t="n">
        <f aca="false">M475</f>
        <v>1</v>
      </c>
      <c r="Q483" s="25" t="n">
        <f aca="false">IF(N(F486)&gt;0,1,0)</f>
        <v>0</v>
      </c>
      <c r="S483" s="0" t="n">
        <v>40</v>
      </c>
    </row>
    <row r="484" customFormat="false" ht="15" hidden="false" customHeight="false" outlineLevel="0" collapsed="false">
      <c r="A484" s="36" t="str">
        <f aca="false">IF(M475=1,"مجموع أيام الأسبوع 40","")</f>
        <v>مجموع أيام الأسبوع 40</v>
      </c>
      <c r="B484" s="36"/>
      <c r="C484" s="36"/>
      <c r="D484" s="36"/>
      <c r="E484" s="37" t="n">
        <f aca="false">IF(M475=1,SUM(E477:E483),"")</f>
        <v>0</v>
      </c>
      <c r="F484" s="38" t="n">
        <f aca="false">IF(M475=1,SUM(F477:F483),"")</f>
        <v>0</v>
      </c>
      <c r="G484" s="50" t="n">
        <f aca="false">IF(M475=1,SUMIFS(F477:F483,G477:G483,"نعم"),"")</f>
        <v>0</v>
      </c>
      <c r="H484" s="36"/>
      <c r="S484" s="0" t="n">
        <v>40</v>
      </c>
    </row>
    <row r="485" customFormat="false" ht="31.5" hidden="false" customHeight="true" outlineLevel="0" collapsed="false">
      <c r="A485" s="39" t="str">
        <f aca="false">IF(M475=1,"ساعات تحميل الجبسمبورد بهالأسبوع (رقم: 2 أو 1.5) ←","")</f>
        <v>ساعات تحميل الجبسمبورد بهالأسبوع (رقم: 2 أو 1.5) ←</v>
      </c>
      <c r="B485" s="39"/>
      <c r="C485" s="39"/>
      <c r="D485" s="39"/>
      <c r="E485" s="40"/>
      <c r="F485" s="42" t="n">
        <f aca="false">IF(M475=1,N(F484)+IF(ROUND_MODE="للأعلى",CEILING(ROUND((N(E485)*($P$475-$N$475)),3),0.25),ROUND((N(E485)*($P$475-$N$475))*4,0)/4)+N(C486),"")</f>
        <v>0</v>
      </c>
      <c r="G485" s="41" t="str">
        <f aca="false">IF(M475=1,"← المستحق النهائي للأسبوع مع الجبسمبورد والإكرامية","")</f>
        <v>← المستحق النهائي للأسبوع مع الجبسمبورد والإكرامية</v>
      </c>
      <c r="H485" s="41"/>
      <c r="S485" s="0" t="n">
        <v>40</v>
      </c>
    </row>
    <row r="486" customFormat="false" ht="25.5" hidden="false" customHeight="true" outlineLevel="0" collapsed="false">
      <c r="A486" s="39" t="str">
        <f aca="false">IF(M475=1,"إكرامية الأسبوع ←","")</f>
        <v>إكرامية الأسبوع ←</v>
      </c>
      <c r="B486" s="39"/>
      <c r="C486" s="44"/>
      <c r="D486" s="39" t="str">
        <f aca="false">IF(M475=1,"المدفوع (التسوية) ←","")</f>
        <v>المدفوع (التسوية) ←</v>
      </c>
      <c r="E486" s="39"/>
      <c r="F486" s="44"/>
      <c r="G486" s="45" t="str">
        <f aca="false">IF(M475=1,IF(N(F486)&gt;0,"✔ انقبض — الأسبوع مقفول","⏳ لسا ما انقبض"),"")</f>
        <v>⏳ لسا ما انقبض</v>
      </c>
      <c r="H486" s="45"/>
      <c r="S486" s="0" t="n">
        <v>40</v>
      </c>
    </row>
    <row r="487" customFormat="false" ht="27.75" hidden="false" customHeight="true" outlineLevel="0" collapsed="false">
      <c r="A487" s="48" t="str">
        <f aca="false">IF(41&lt;=NW,"من السبت "&amp;TEXT(DAY(SAT1+280),"00")&amp;"/"&amp;TEXT(MONTH(SAT1+280),"00")&amp;"/"&amp;YEAR(SAT1+280)&amp;" إلى الجمعة "&amp;TEXT(DAY(SAT1+286),"00")&amp;"/"&amp;TEXT(MONTH(SAT1+286),"00")&amp;"/"&amp;YEAR(SAT1+286)&amp;" · الأسبوع 41"&amp;"  (يوم القبض: الجمعة)"&amp;IF(41&lt;START_Z,"   — قبل أسبوع البداية (ما بينحسب)",""),"ما في أسبوع 41 هالسنة")</f>
        <v>من السبت 03/10/2026 إلى الجمعة 09/10/2026 · الأسبوع 41  (يوم القبض: الجمعة)</v>
      </c>
      <c r="B487" s="48"/>
      <c r="C487" s="48"/>
      <c r="D487" s="48"/>
      <c r="E487" s="48"/>
      <c r="F487" s="48"/>
      <c r="G487" s="48"/>
      <c r="H487" s="48"/>
      <c r="L487" s="24" t="n">
        <f aca="false">IF(41&lt;=NW,SAT1+286,"")</f>
        <v>46304</v>
      </c>
      <c r="M487" s="25" t="n">
        <f aca="false">IF(AND(41&lt;=NW,41&gt;=START_Z),1,0)</f>
        <v>1</v>
      </c>
      <c r="N487" s="26" t="n">
        <f aca="false">IFERROR(INDEX(RT_AZZ,MATCH(L487,RT_K,1)),INDEX(RT_AZZ,1))</f>
        <v>1</v>
      </c>
      <c r="P487" s="26" t="n">
        <f aca="false">IFERROR(INDEX(RT_GYP,MATCH(L487,RT_K,1)),INDEX(RT_GYP,1))</f>
        <v>2.5</v>
      </c>
      <c r="R487" s="0" t="n">
        <v>41</v>
      </c>
      <c r="S487" s="0" t="n">
        <v>41</v>
      </c>
    </row>
    <row r="488" customFormat="false" ht="25.5" hidden="false" customHeight="true" outlineLevel="0" collapsed="false">
      <c r="A488" s="49" t="s">
        <v>22</v>
      </c>
      <c r="B488" s="49" t="s">
        <v>23</v>
      </c>
      <c r="C488" s="49" t="s">
        <v>24</v>
      </c>
      <c r="D488" s="49" t="s">
        <v>25</v>
      </c>
      <c r="E488" s="49" t="s">
        <v>26</v>
      </c>
      <c r="F488" s="49" t="s">
        <v>33</v>
      </c>
      <c r="G488" s="49" t="s">
        <v>34</v>
      </c>
      <c r="H488" s="49" t="s">
        <v>30</v>
      </c>
      <c r="S488" s="0" t="n">
        <v>41</v>
      </c>
    </row>
    <row r="489" customFormat="false" ht="15" hidden="false" customHeight="false" outlineLevel="0" collapsed="false">
      <c r="A489" s="28" t="n">
        <f aca="false">IF(41&lt;=NW,SAT1+280,"")</f>
        <v>46298</v>
      </c>
      <c r="B489" s="29" t="str">
        <f aca="false">IF(A489="","",CHOOSE(WEEKDAY(A489,1),"الأحد","الاثنين","الثلاثاء","الأربعاء","الخميس","الجمعة","السبت"))</f>
        <v>السبت</v>
      </c>
      <c r="C489" s="30"/>
      <c r="D489" s="30"/>
      <c r="E489" s="31" t="str">
        <f aca="false">IF(OR(M489=0,K489="",L489=""),"",MOD(L489-K489,1))</f>
        <v/>
      </c>
      <c r="F489" s="32" t="str">
        <f aca="false">IF(OR(E489="",M489=0),"",IF(ROUND_MODE="للأعلى",CEILING(ROUND((E489*24*$N$487),3),0.25),ROUND((E489*24*$N$487)*4,0)/4))</f>
        <v/>
      </c>
      <c r="G489" s="30"/>
      <c r="H489" s="30"/>
      <c r="K489" s="33" t="str">
        <f aca="false">IF(OR(M489=0,C489=""),"",IF(ISNUMBER(C489),MOD(C489,1),IFERROR(INDEX(القوائم!$B$1:$B$288,MATCH(TRIM(C489),القوائم!$A$1:$A$288,0)),IFERROR(MOD(TIMEVALUE(C489),1),""))))</f>
        <v/>
      </c>
      <c r="L489" s="33" t="str">
        <f aca="false">IF(OR(M489=0,D489=""),"",IF(ISNUMBER(D489),MOD(D489,1),IFERROR(INDEX(القوائم!$B$1:$B$288,MATCH(TRIM(D489),القوائم!$A$1:$A$288,0)),IFERROR(MOD(TIMEVALUE(D489),1),""))))</f>
        <v/>
      </c>
      <c r="M489" s="25" t="n">
        <f aca="false">M487</f>
        <v>1</v>
      </c>
      <c r="Q489" s="25" t="n">
        <f aca="false">IF(N(F498)&gt;0,1,0)</f>
        <v>0</v>
      </c>
      <c r="S489" s="0" t="n">
        <v>41</v>
      </c>
    </row>
    <row r="490" customFormat="false" ht="15" hidden="false" customHeight="false" outlineLevel="0" collapsed="false">
      <c r="A490" s="28" t="n">
        <f aca="false">IF(41&lt;=NW,SAT1+281,"")</f>
        <v>46299</v>
      </c>
      <c r="B490" s="29" t="str">
        <f aca="false">IF(A490="","",CHOOSE(WEEKDAY(A490,1),"الأحد","الاثنين","الثلاثاء","الأربعاء","الخميس","الجمعة","السبت"))</f>
        <v>الأحد</v>
      </c>
      <c r="C490" s="30"/>
      <c r="D490" s="30"/>
      <c r="E490" s="31" t="str">
        <f aca="false">IF(OR(M490=0,K490="",L490=""),"",MOD(L490-K490,1))</f>
        <v/>
      </c>
      <c r="F490" s="32" t="str">
        <f aca="false">IF(OR(E490="",M490=0),"",IF(ROUND_MODE="للأعلى",CEILING(ROUND((E490*24*$N$487),3),0.25),ROUND((E490*24*$N$487)*4,0)/4))</f>
        <v/>
      </c>
      <c r="G490" s="30"/>
      <c r="H490" s="30"/>
      <c r="K490" s="33" t="str">
        <f aca="false">IF(OR(M490=0,C490=""),"",IF(ISNUMBER(C490),MOD(C490,1),IFERROR(INDEX(القوائم!$B$1:$B$288,MATCH(TRIM(C490),القوائم!$A$1:$A$288,0)),IFERROR(MOD(TIMEVALUE(C490),1),""))))</f>
        <v/>
      </c>
      <c r="L490" s="33" t="str">
        <f aca="false">IF(OR(M490=0,D490=""),"",IF(ISNUMBER(D490),MOD(D490,1),IFERROR(INDEX(القوائم!$B$1:$B$288,MATCH(TRIM(D490),القوائم!$A$1:$A$288,0)),IFERROR(MOD(TIMEVALUE(D490),1),""))))</f>
        <v/>
      </c>
      <c r="M490" s="25" t="n">
        <f aca="false">M487</f>
        <v>1</v>
      </c>
      <c r="Q490" s="25" t="n">
        <f aca="false">IF(N(F498)&gt;0,1,0)</f>
        <v>0</v>
      </c>
      <c r="S490" s="0" t="n">
        <v>41</v>
      </c>
    </row>
    <row r="491" customFormat="false" ht="15" hidden="false" customHeight="false" outlineLevel="0" collapsed="false">
      <c r="A491" s="28" t="n">
        <f aca="false">IF(41&lt;=NW,SAT1+282,"")</f>
        <v>46300</v>
      </c>
      <c r="B491" s="29" t="str">
        <f aca="false">IF(A491="","",CHOOSE(WEEKDAY(A491,1),"الأحد","الاثنين","الثلاثاء","الأربعاء","الخميس","الجمعة","السبت"))</f>
        <v>الاثنين</v>
      </c>
      <c r="C491" s="30"/>
      <c r="D491" s="30"/>
      <c r="E491" s="31" t="str">
        <f aca="false">IF(OR(M491=0,K491="",L491=""),"",MOD(L491-K491,1))</f>
        <v/>
      </c>
      <c r="F491" s="32" t="str">
        <f aca="false">IF(OR(E491="",M491=0),"",IF(ROUND_MODE="للأعلى",CEILING(ROUND((E491*24*$N$487),3),0.25),ROUND((E491*24*$N$487)*4,0)/4))</f>
        <v/>
      </c>
      <c r="G491" s="30"/>
      <c r="H491" s="30"/>
      <c r="K491" s="33" t="str">
        <f aca="false">IF(OR(M491=0,C491=""),"",IF(ISNUMBER(C491),MOD(C491,1),IFERROR(INDEX(القوائم!$B$1:$B$288,MATCH(TRIM(C491),القوائم!$A$1:$A$288,0)),IFERROR(MOD(TIMEVALUE(C491),1),""))))</f>
        <v/>
      </c>
      <c r="L491" s="33" t="str">
        <f aca="false">IF(OR(M491=0,D491=""),"",IF(ISNUMBER(D491),MOD(D491,1),IFERROR(INDEX(القوائم!$B$1:$B$288,MATCH(TRIM(D491),القوائم!$A$1:$A$288,0)),IFERROR(MOD(TIMEVALUE(D491),1),""))))</f>
        <v/>
      </c>
      <c r="M491" s="25" t="n">
        <f aca="false">M487</f>
        <v>1</v>
      </c>
      <c r="Q491" s="25" t="n">
        <f aca="false">IF(N(F498)&gt;0,1,0)</f>
        <v>0</v>
      </c>
      <c r="S491" s="0" t="n">
        <v>41</v>
      </c>
    </row>
    <row r="492" customFormat="false" ht="15" hidden="false" customHeight="false" outlineLevel="0" collapsed="false">
      <c r="A492" s="28" t="n">
        <f aca="false">IF(41&lt;=NW,SAT1+283,"")</f>
        <v>46301</v>
      </c>
      <c r="B492" s="29" t="str">
        <f aca="false">IF(A492="","",CHOOSE(WEEKDAY(A492,1),"الأحد","الاثنين","الثلاثاء","الأربعاء","الخميس","الجمعة","السبت"))</f>
        <v>الثلاثاء</v>
      </c>
      <c r="C492" s="30"/>
      <c r="D492" s="30"/>
      <c r="E492" s="31" t="str">
        <f aca="false">IF(OR(M492=0,K492="",L492=""),"",MOD(L492-K492,1))</f>
        <v/>
      </c>
      <c r="F492" s="32" t="str">
        <f aca="false">IF(OR(E492="",M492=0),"",IF(ROUND_MODE="للأعلى",CEILING(ROUND((E492*24*$N$487),3),0.25),ROUND((E492*24*$N$487)*4,0)/4))</f>
        <v/>
      </c>
      <c r="G492" s="30"/>
      <c r="H492" s="30"/>
      <c r="K492" s="33" t="str">
        <f aca="false">IF(OR(M492=0,C492=""),"",IF(ISNUMBER(C492),MOD(C492,1),IFERROR(INDEX(القوائم!$B$1:$B$288,MATCH(TRIM(C492),القوائم!$A$1:$A$288,0)),IFERROR(MOD(TIMEVALUE(C492),1),""))))</f>
        <v/>
      </c>
      <c r="L492" s="33" t="str">
        <f aca="false">IF(OR(M492=0,D492=""),"",IF(ISNUMBER(D492),MOD(D492,1),IFERROR(INDEX(القوائم!$B$1:$B$288,MATCH(TRIM(D492),القوائم!$A$1:$A$288,0)),IFERROR(MOD(TIMEVALUE(D492),1),""))))</f>
        <v/>
      </c>
      <c r="M492" s="25" t="n">
        <f aca="false">M487</f>
        <v>1</v>
      </c>
      <c r="Q492" s="25" t="n">
        <f aca="false">IF(N(F498)&gt;0,1,0)</f>
        <v>0</v>
      </c>
      <c r="S492" s="0" t="n">
        <v>41</v>
      </c>
    </row>
    <row r="493" customFormat="false" ht="15" hidden="false" customHeight="false" outlineLevel="0" collapsed="false">
      <c r="A493" s="28" t="n">
        <f aca="false">IF(41&lt;=NW,SAT1+284,"")</f>
        <v>46302</v>
      </c>
      <c r="B493" s="29" t="str">
        <f aca="false">IF(A493="","",CHOOSE(WEEKDAY(A493,1),"الأحد","الاثنين","الثلاثاء","الأربعاء","الخميس","الجمعة","السبت"))</f>
        <v>الأربعاء</v>
      </c>
      <c r="C493" s="30"/>
      <c r="D493" s="30"/>
      <c r="E493" s="31" t="str">
        <f aca="false">IF(OR(M493=0,K493="",L493=""),"",MOD(L493-K493,1))</f>
        <v/>
      </c>
      <c r="F493" s="32" t="str">
        <f aca="false">IF(OR(E493="",M493=0),"",IF(ROUND_MODE="للأعلى",CEILING(ROUND((E493*24*$N$487),3),0.25),ROUND((E493*24*$N$487)*4,0)/4))</f>
        <v/>
      </c>
      <c r="G493" s="30"/>
      <c r="H493" s="30"/>
      <c r="K493" s="33" t="str">
        <f aca="false">IF(OR(M493=0,C493=""),"",IF(ISNUMBER(C493),MOD(C493,1),IFERROR(INDEX(القوائم!$B$1:$B$288,MATCH(TRIM(C493),القوائم!$A$1:$A$288,0)),IFERROR(MOD(TIMEVALUE(C493),1),""))))</f>
        <v/>
      </c>
      <c r="L493" s="33" t="str">
        <f aca="false">IF(OR(M493=0,D493=""),"",IF(ISNUMBER(D493),MOD(D493,1),IFERROR(INDEX(القوائم!$B$1:$B$288,MATCH(TRIM(D493),القوائم!$A$1:$A$288,0)),IFERROR(MOD(TIMEVALUE(D493),1),""))))</f>
        <v/>
      </c>
      <c r="M493" s="25" t="n">
        <f aca="false">M487</f>
        <v>1</v>
      </c>
      <c r="Q493" s="25" t="n">
        <f aca="false">IF(N(F498)&gt;0,1,0)</f>
        <v>0</v>
      </c>
      <c r="S493" s="0" t="n">
        <v>41</v>
      </c>
    </row>
    <row r="494" customFormat="false" ht="15" hidden="false" customHeight="false" outlineLevel="0" collapsed="false">
      <c r="A494" s="28" t="n">
        <f aca="false">IF(41&lt;=NW,SAT1+285,"")</f>
        <v>46303</v>
      </c>
      <c r="B494" s="29" t="str">
        <f aca="false">IF(A494="","",CHOOSE(WEEKDAY(A494,1),"الأحد","الاثنين","الثلاثاء","الأربعاء","الخميس","الجمعة","السبت"))</f>
        <v>الخميس</v>
      </c>
      <c r="C494" s="30"/>
      <c r="D494" s="30"/>
      <c r="E494" s="31" t="str">
        <f aca="false">IF(OR(M494=0,K494="",L494=""),"",MOD(L494-K494,1))</f>
        <v/>
      </c>
      <c r="F494" s="32" t="str">
        <f aca="false">IF(OR(E494="",M494=0),"",IF(ROUND_MODE="للأعلى",CEILING(ROUND((E494*24*$N$487),3),0.25),ROUND((E494*24*$N$487)*4,0)/4))</f>
        <v/>
      </c>
      <c r="G494" s="30"/>
      <c r="H494" s="30"/>
      <c r="K494" s="33" t="str">
        <f aca="false">IF(OR(M494=0,C494=""),"",IF(ISNUMBER(C494),MOD(C494,1),IFERROR(INDEX(القوائم!$B$1:$B$288,MATCH(TRIM(C494),القوائم!$A$1:$A$288,0)),IFERROR(MOD(TIMEVALUE(C494),1),""))))</f>
        <v/>
      </c>
      <c r="L494" s="33" t="str">
        <f aca="false">IF(OR(M494=0,D494=""),"",IF(ISNUMBER(D494),MOD(D494,1),IFERROR(INDEX(القوائم!$B$1:$B$288,MATCH(TRIM(D494),القوائم!$A$1:$A$288,0)),IFERROR(MOD(TIMEVALUE(D494),1),""))))</f>
        <v/>
      </c>
      <c r="M494" s="25" t="n">
        <f aca="false">M487</f>
        <v>1</v>
      </c>
      <c r="Q494" s="25" t="n">
        <f aca="false">IF(N(F498)&gt;0,1,0)</f>
        <v>0</v>
      </c>
      <c r="S494" s="0" t="n">
        <v>41</v>
      </c>
    </row>
    <row r="495" customFormat="false" ht="15" hidden="false" customHeight="false" outlineLevel="0" collapsed="false">
      <c r="A495" s="34" t="n">
        <f aca="false">IF(41&lt;=NW,SAT1+286,"")</f>
        <v>46304</v>
      </c>
      <c r="B495" s="35" t="str">
        <f aca="false">IF(A495="","",CHOOSE(WEEKDAY(A495,1),"الأحد","الاثنين","الثلاثاء","الأربعاء","الخميس","الجمعة","السبت"))</f>
        <v>الجمعة</v>
      </c>
      <c r="C495" s="30"/>
      <c r="D495" s="30"/>
      <c r="E495" s="31" t="str">
        <f aca="false">IF(OR(M495=0,K495="",L495=""),"",MOD(L495-K495,1))</f>
        <v/>
      </c>
      <c r="F495" s="32" t="str">
        <f aca="false">IF(OR(E495="",M495=0),"",IF(ROUND_MODE="للأعلى",CEILING(ROUND((E495*24*$N$487),3),0.25),ROUND((E495*24*$N$487)*4,0)/4))</f>
        <v/>
      </c>
      <c r="G495" s="30"/>
      <c r="H495" s="30"/>
      <c r="K495" s="33" t="str">
        <f aca="false">IF(OR(M495=0,C495=""),"",IF(ISNUMBER(C495),MOD(C495,1),IFERROR(INDEX(القوائم!$B$1:$B$288,MATCH(TRIM(C495),القوائم!$A$1:$A$288,0)),IFERROR(MOD(TIMEVALUE(C495),1),""))))</f>
        <v/>
      </c>
      <c r="L495" s="33" t="str">
        <f aca="false">IF(OR(M495=0,D495=""),"",IF(ISNUMBER(D495),MOD(D495,1),IFERROR(INDEX(القوائم!$B$1:$B$288,MATCH(TRIM(D495),القوائم!$A$1:$A$288,0)),IFERROR(MOD(TIMEVALUE(D495),1),""))))</f>
        <v/>
      </c>
      <c r="M495" s="25" t="n">
        <f aca="false">M487</f>
        <v>1</v>
      </c>
      <c r="Q495" s="25" t="n">
        <f aca="false">IF(N(F498)&gt;0,1,0)</f>
        <v>0</v>
      </c>
      <c r="S495" s="0" t="n">
        <v>41</v>
      </c>
    </row>
    <row r="496" customFormat="false" ht="15" hidden="false" customHeight="false" outlineLevel="0" collapsed="false">
      <c r="A496" s="36" t="str">
        <f aca="false">IF(M487=1,"مجموع أيام الأسبوع 41","")</f>
        <v>مجموع أيام الأسبوع 41</v>
      </c>
      <c r="B496" s="36"/>
      <c r="C496" s="36"/>
      <c r="D496" s="36"/>
      <c r="E496" s="37" t="n">
        <f aca="false">IF(M487=1,SUM(E489:E495),"")</f>
        <v>0</v>
      </c>
      <c r="F496" s="38" t="n">
        <f aca="false">IF(M487=1,SUM(F489:F495),"")</f>
        <v>0</v>
      </c>
      <c r="G496" s="50" t="n">
        <f aca="false">IF(M487=1,SUMIFS(F489:F495,G489:G495,"نعم"),"")</f>
        <v>0</v>
      </c>
      <c r="H496" s="36"/>
      <c r="S496" s="0" t="n">
        <v>41</v>
      </c>
    </row>
    <row r="497" customFormat="false" ht="31.5" hidden="false" customHeight="true" outlineLevel="0" collapsed="false">
      <c r="A497" s="39" t="str">
        <f aca="false">IF(M487=1,"ساعات تحميل الجبسمبورد بهالأسبوع (رقم: 2 أو 1.5) ←","")</f>
        <v>ساعات تحميل الجبسمبورد بهالأسبوع (رقم: 2 أو 1.5) ←</v>
      </c>
      <c r="B497" s="39"/>
      <c r="C497" s="39"/>
      <c r="D497" s="39"/>
      <c r="E497" s="40"/>
      <c r="F497" s="42" t="n">
        <f aca="false">IF(M487=1,N(F496)+IF(ROUND_MODE="للأعلى",CEILING(ROUND((N(E497)*($P$487-$N$487)),3),0.25),ROUND((N(E497)*($P$487-$N$487))*4,0)/4)+N(C498),"")</f>
        <v>0</v>
      </c>
      <c r="G497" s="41" t="str">
        <f aca="false">IF(M487=1,"← المستحق النهائي للأسبوع مع الجبسمبورد والإكرامية","")</f>
        <v>← المستحق النهائي للأسبوع مع الجبسمبورد والإكرامية</v>
      </c>
      <c r="H497" s="41"/>
      <c r="S497" s="0" t="n">
        <v>41</v>
      </c>
    </row>
    <row r="498" customFormat="false" ht="25.5" hidden="false" customHeight="true" outlineLevel="0" collapsed="false">
      <c r="A498" s="39" t="str">
        <f aca="false">IF(M487=1,"إكرامية الأسبوع ←","")</f>
        <v>إكرامية الأسبوع ←</v>
      </c>
      <c r="B498" s="39"/>
      <c r="C498" s="44"/>
      <c r="D498" s="39" t="str">
        <f aca="false">IF(M487=1,"المدفوع (التسوية) ←","")</f>
        <v>المدفوع (التسوية) ←</v>
      </c>
      <c r="E498" s="39"/>
      <c r="F498" s="44"/>
      <c r="G498" s="45" t="str">
        <f aca="false">IF(M487=1,IF(N(F498)&gt;0,"✔ انقبض — الأسبوع مقفول","⏳ لسا ما انقبض"),"")</f>
        <v>⏳ لسا ما انقبض</v>
      </c>
      <c r="H498" s="45"/>
      <c r="S498" s="0" t="n">
        <v>41</v>
      </c>
    </row>
    <row r="499" customFormat="false" ht="27.75" hidden="false" customHeight="true" outlineLevel="0" collapsed="false">
      <c r="A499" s="48" t="str">
        <f aca="false">IF(42&lt;=NW,"من السبت "&amp;TEXT(DAY(SAT1+287),"00")&amp;"/"&amp;TEXT(MONTH(SAT1+287),"00")&amp;"/"&amp;YEAR(SAT1+287)&amp;" إلى الجمعة "&amp;TEXT(DAY(SAT1+293),"00")&amp;"/"&amp;TEXT(MONTH(SAT1+293),"00")&amp;"/"&amp;YEAR(SAT1+293)&amp;" · الأسبوع 42"&amp;"  (يوم القبض: الجمعة)"&amp;IF(42&lt;START_Z,"   — قبل أسبوع البداية (ما بينحسب)",""),"ما في أسبوع 42 هالسنة")</f>
        <v>من السبت 10/10/2026 إلى الجمعة 16/10/2026 · الأسبوع 42  (يوم القبض: الجمعة)</v>
      </c>
      <c r="B499" s="48"/>
      <c r="C499" s="48"/>
      <c r="D499" s="48"/>
      <c r="E499" s="48"/>
      <c r="F499" s="48"/>
      <c r="G499" s="48"/>
      <c r="H499" s="48"/>
      <c r="L499" s="24" t="n">
        <f aca="false">IF(42&lt;=NW,SAT1+293,"")</f>
        <v>46311</v>
      </c>
      <c r="M499" s="25" t="n">
        <f aca="false">IF(AND(42&lt;=NW,42&gt;=START_Z),1,0)</f>
        <v>1</v>
      </c>
      <c r="N499" s="26" t="n">
        <f aca="false">IFERROR(INDEX(RT_AZZ,MATCH(L499,RT_K,1)),INDEX(RT_AZZ,1))</f>
        <v>1</v>
      </c>
      <c r="P499" s="26" t="n">
        <f aca="false">IFERROR(INDEX(RT_GYP,MATCH(L499,RT_K,1)),INDEX(RT_GYP,1))</f>
        <v>2.5</v>
      </c>
      <c r="R499" s="0" t="n">
        <v>42</v>
      </c>
      <c r="S499" s="0" t="n">
        <v>42</v>
      </c>
    </row>
    <row r="500" customFormat="false" ht="25.5" hidden="false" customHeight="true" outlineLevel="0" collapsed="false">
      <c r="A500" s="49" t="s">
        <v>22</v>
      </c>
      <c r="B500" s="49" t="s">
        <v>23</v>
      </c>
      <c r="C500" s="49" t="s">
        <v>24</v>
      </c>
      <c r="D500" s="49" t="s">
        <v>25</v>
      </c>
      <c r="E500" s="49" t="s">
        <v>26</v>
      </c>
      <c r="F500" s="49" t="s">
        <v>33</v>
      </c>
      <c r="G500" s="49" t="s">
        <v>34</v>
      </c>
      <c r="H500" s="49" t="s">
        <v>30</v>
      </c>
      <c r="S500" s="0" t="n">
        <v>42</v>
      </c>
    </row>
    <row r="501" customFormat="false" ht="15" hidden="false" customHeight="false" outlineLevel="0" collapsed="false">
      <c r="A501" s="28" t="n">
        <f aca="false">IF(42&lt;=NW,SAT1+287,"")</f>
        <v>46305</v>
      </c>
      <c r="B501" s="29" t="str">
        <f aca="false">IF(A501="","",CHOOSE(WEEKDAY(A501,1),"الأحد","الاثنين","الثلاثاء","الأربعاء","الخميس","الجمعة","السبت"))</f>
        <v>السبت</v>
      </c>
      <c r="C501" s="30"/>
      <c r="D501" s="30"/>
      <c r="E501" s="31" t="str">
        <f aca="false">IF(OR(M501=0,K501="",L501=""),"",MOD(L501-K501,1))</f>
        <v/>
      </c>
      <c r="F501" s="32" t="str">
        <f aca="false">IF(OR(E501="",M501=0),"",IF(ROUND_MODE="للأعلى",CEILING(ROUND((E501*24*$N$499),3),0.25),ROUND((E501*24*$N$499)*4,0)/4))</f>
        <v/>
      </c>
      <c r="G501" s="30"/>
      <c r="H501" s="30"/>
      <c r="K501" s="33" t="str">
        <f aca="false">IF(OR(M501=0,C501=""),"",IF(ISNUMBER(C501),MOD(C501,1),IFERROR(INDEX(القوائم!$B$1:$B$288,MATCH(TRIM(C501),القوائم!$A$1:$A$288,0)),IFERROR(MOD(TIMEVALUE(C501),1),""))))</f>
        <v/>
      </c>
      <c r="L501" s="33" t="str">
        <f aca="false">IF(OR(M501=0,D501=""),"",IF(ISNUMBER(D501),MOD(D501,1),IFERROR(INDEX(القوائم!$B$1:$B$288,MATCH(TRIM(D501),القوائم!$A$1:$A$288,0)),IFERROR(MOD(TIMEVALUE(D501),1),""))))</f>
        <v/>
      </c>
      <c r="M501" s="25" t="n">
        <f aca="false">M499</f>
        <v>1</v>
      </c>
      <c r="Q501" s="25" t="n">
        <f aca="false">IF(N(F510)&gt;0,1,0)</f>
        <v>0</v>
      </c>
      <c r="S501" s="0" t="n">
        <v>42</v>
      </c>
    </row>
    <row r="502" customFormat="false" ht="15" hidden="false" customHeight="false" outlineLevel="0" collapsed="false">
      <c r="A502" s="28" t="n">
        <f aca="false">IF(42&lt;=NW,SAT1+288,"")</f>
        <v>46306</v>
      </c>
      <c r="B502" s="29" t="str">
        <f aca="false">IF(A502="","",CHOOSE(WEEKDAY(A502,1),"الأحد","الاثنين","الثلاثاء","الأربعاء","الخميس","الجمعة","السبت"))</f>
        <v>الأحد</v>
      </c>
      <c r="C502" s="30"/>
      <c r="D502" s="30"/>
      <c r="E502" s="31" t="str">
        <f aca="false">IF(OR(M502=0,K502="",L502=""),"",MOD(L502-K502,1))</f>
        <v/>
      </c>
      <c r="F502" s="32" t="str">
        <f aca="false">IF(OR(E502="",M502=0),"",IF(ROUND_MODE="للأعلى",CEILING(ROUND((E502*24*$N$499),3),0.25),ROUND((E502*24*$N$499)*4,0)/4))</f>
        <v/>
      </c>
      <c r="G502" s="30"/>
      <c r="H502" s="30"/>
      <c r="K502" s="33" t="str">
        <f aca="false">IF(OR(M502=0,C502=""),"",IF(ISNUMBER(C502),MOD(C502,1),IFERROR(INDEX(القوائم!$B$1:$B$288,MATCH(TRIM(C502),القوائم!$A$1:$A$288,0)),IFERROR(MOD(TIMEVALUE(C502),1),""))))</f>
        <v/>
      </c>
      <c r="L502" s="33" t="str">
        <f aca="false">IF(OR(M502=0,D502=""),"",IF(ISNUMBER(D502),MOD(D502,1),IFERROR(INDEX(القوائم!$B$1:$B$288,MATCH(TRIM(D502),القوائم!$A$1:$A$288,0)),IFERROR(MOD(TIMEVALUE(D502),1),""))))</f>
        <v/>
      </c>
      <c r="M502" s="25" t="n">
        <f aca="false">M499</f>
        <v>1</v>
      </c>
      <c r="Q502" s="25" t="n">
        <f aca="false">IF(N(F510)&gt;0,1,0)</f>
        <v>0</v>
      </c>
      <c r="S502" s="0" t="n">
        <v>42</v>
      </c>
    </row>
    <row r="503" customFormat="false" ht="15" hidden="false" customHeight="false" outlineLevel="0" collapsed="false">
      <c r="A503" s="28" t="n">
        <f aca="false">IF(42&lt;=NW,SAT1+289,"")</f>
        <v>46307</v>
      </c>
      <c r="B503" s="29" t="str">
        <f aca="false">IF(A503="","",CHOOSE(WEEKDAY(A503,1),"الأحد","الاثنين","الثلاثاء","الأربعاء","الخميس","الجمعة","السبت"))</f>
        <v>الاثنين</v>
      </c>
      <c r="C503" s="30"/>
      <c r="D503" s="30"/>
      <c r="E503" s="31" t="str">
        <f aca="false">IF(OR(M503=0,K503="",L503=""),"",MOD(L503-K503,1))</f>
        <v/>
      </c>
      <c r="F503" s="32" t="str">
        <f aca="false">IF(OR(E503="",M503=0),"",IF(ROUND_MODE="للأعلى",CEILING(ROUND((E503*24*$N$499),3),0.25),ROUND((E503*24*$N$499)*4,0)/4))</f>
        <v/>
      </c>
      <c r="G503" s="30"/>
      <c r="H503" s="30"/>
      <c r="K503" s="33" t="str">
        <f aca="false">IF(OR(M503=0,C503=""),"",IF(ISNUMBER(C503),MOD(C503,1),IFERROR(INDEX(القوائم!$B$1:$B$288,MATCH(TRIM(C503),القوائم!$A$1:$A$288,0)),IFERROR(MOD(TIMEVALUE(C503),1),""))))</f>
        <v/>
      </c>
      <c r="L503" s="33" t="str">
        <f aca="false">IF(OR(M503=0,D503=""),"",IF(ISNUMBER(D503),MOD(D503,1),IFERROR(INDEX(القوائم!$B$1:$B$288,MATCH(TRIM(D503),القوائم!$A$1:$A$288,0)),IFERROR(MOD(TIMEVALUE(D503),1),""))))</f>
        <v/>
      </c>
      <c r="M503" s="25" t="n">
        <f aca="false">M499</f>
        <v>1</v>
      </c>
      <c r="Q503" s="25" t="n">
        <f aca="false">IF(N(F510)&gt;0,1,0)</f>
        <v>0</v>
      </c>
      <c r="S503" s="0" t="n">
        <v>42</v>
      </c>
    </row>
    <row r="504" customFormat="false" ht="15" hidden="false" customHeight="false" outlineLevel="0" collapsed="false">
      <c r="A504" s="28" t="n">
        <f aca="false">IF(42&lt;=NW,SAT1+290,"")</f>
        <v>46308</v>
      </c>
      <c r="B504" s="29" t="str">
        <f aca="false">IF(A504="","",CHOOSE(WEEKDAY(A504,1),"الأحد","الاثنين","الثلاثاء","الأربعاء","الخميس","الجمعة","السبت"))</f>
        <v>الثلاثاء</v>
      </c>
      <c r="C504" s="30"/>
      <c r="D504" s="30"/>
      <c r="E504" s="31" t="str">
        <f aca="false">IF(OR(M504=0,K504="",L504=""),"",MOD(L504-K504,1))</f>
        <v/>
      </c>
      <c r="F504" s="32" t="str">
        <f aca="false">IF(OR(E504="",M504=0),"",IF(ROUND_MODE="للأعلى",CEILING(ROUND((E504*24*$N$499),3),0.25),ROUND((E504*24*$N$499)*4,0)/4))</f>
        <v/>
      </c>
      <c r="G504" s="30"/>
      <c r="H504" s="30"/>
      <c r="K504" s="33" t="str">
        <f aca="false">IF(OR(M504=0,C504=""),"",IF(ISNUMBER(C504),MOD(C504,1),IFERROR(INDEX(القوائم!$B$1:$B$288,MATCH(TRIM(C504),القوائم!$A$1:$A$288,0)),IFERROR(MOD(TIMEVALUE(C504),1),""))))</f>
        <v/>
      </c>
      <c r="L504" s="33" t="str">
        <f aca="false">IF(OR(M504=0,D504=""),"",IF(ISNUMBER(D504),MOD(D504,1),IFERROR(INDEX(القوائم!$B$1:$B$288,MATCH(TRIM(D504),القوائم!$A$1:$A$288,0)),IFERROR(MOD(TIMEVALUE(D504),1),""))))</f>
        <v/>
      </c>
      <c r="M504" s="25" t="n">
        <f aca="false">M499</f>
        <v>1</v>
      </c>
      <c r="Q504" s="25" t="n">
        <f aca="false">IF(N(F510)&gt;0,1,0)</f>
        <v>0</v>
      </c>
      <c r="S504" s="0" t="n">
        <v>42</v>
      </c>
    </row>
    <row r="505" customFormat="false" ht="15" hidden="false" customHeight="false" outlineLevel="0" collapsed="false">
      <c r="A505" s="28" t="n">
        <f aca="false">IF(42&lt;=NW,SAT1+291,"")</f>
        <v>46309</v>
      </c>
      <c r="B505" s="29" t="str">
        <f aca="false">IF(A505="","",CHOOSE(WEEKDAY(A505,1),"الأحد","الاثنين","الثلاثاء","الأربعاء","الخميس","الجمعة","السبت"))</f>
        <v>الأربعاء</v>
      </c>
      <c r="C505" s="30"/>
      <c r="D505" s="30"/>
      <c r="E505" s="31" t="str">
        <f aca="false">IF(OR(M505=0,K505="",L505=""),"",MOD(L505-K505,1))</f>
        <v/>
      </c>
      <c r="F505" s="32" t="str">
        <f aca="false">IF(OR(E505="",M505=0),"",IF(ROUND_MODE="للأعلى",CEILING(ROUND((E505*24*$N$499),3),0.25),ROUND((E505*24*$N$499)*4,0)/4))</f>
        <v/>
      </c>
      <c r="G505" s="30"/>
      <c r="H505" s="30"/>
      <c r="K505" s="33" t="str">
        <f aca="false">IF(OR(M505=0,C505=""),"",IF(ISNUMBER(C505),MOD(C505,1),IFERROR(INDEX(القوائم!$B$1:$B$288,MATCH(TRIM(C505),القوائم!$A$1:$A$288,0)),IFERROR(MOD(TIMEVALUE(C505),1),""))))</f>
        <v/>
      </c>
      <c r="L505" s="33" t="str">
        <f aca="false">IF(OR(M505=0,D505=""),"",IF(ISNUMBER(D505),MOD(D505,1),IFERROR(INDEX(القوائم!$B$1:$B$288,MATCH(TRIM(D505),القوائم!$A$1:$A$288,0)),IFERROR(MOD(TIMEVALUE(D505),1),""))))</f>
        <v/>
      </c>
      <c r="M505" s="25" t="n">
        <f aca="false">M499</f>
        <v>1</v>
      </c>
      <c r="Q505" s="25" t="n">
        <f aca="false">IF(N(F510)&gt;0,1,0)</f>
        <v>0</v>
      </c>
      <c r="S505" s="0" t="n">
        <v>42</v>
      </c>
    </row>
    <row r="506" customFormat="false" ht="15" hidden="false" customHeight="false" outlineLevel="0" collapsed="false">
      <c r="A506" s="28" t="n">
        <f aca="false">IF(42&lt;=NW,SAT1+292,"")</f>
        <v>46310</v>
      </c>
      <c r="B506" s="29" t="str">
        <f aca="false">IF(A506="","",CHOOSE(WEEKDAY(A506,1),"الأحد","الاثنين","الثلاثاء","الأربعاء","الخميس","الجمعة","السبت"))</f>
        <v>الخميس</v>
      </c>
      <c r="C506" s="30"/>
      <c r="D506" s="30"/>
      <c r="E506" s="31" t="str">
        <f aca="false">IF(OR(M506=0,K506="",L506=""),"",MOD(L506-K506,1))</f>
        <v/>
      </c>
      <c r="F506" s="32" t="str">
        <f aca="false">IF(OR(E506="",M506=0),"",IF(ROUND_MODE="للأعلى",CEILING(ROUND((E506*24*$N$499),3),0.25),ROUND((E506*24*$N$499)*4,0)/4))</f>
        <v/>
      </c>
      <c r="G506" s="30"/>
      <c r="H506" s="30"/>
      <c r="K506" s="33" t="str">
        <f aca="false">IF(OR(M506=0,C506=""),"",IF(ISNUMBER(C506),MOD(C506,1),IFERROR(INDEX(القوائم!$B$1:$B$288,MATCH(TRIM(C506),القوائم!$A$1:$A$288,0)),IFERROR(MOD(TIMEVALUE(C506),1),""))))</f>
        <v/>
      </c>
      <c r="L506" s="33" t="str">
        <f aca="false">IF(OR(M506=0,D506=""),"",IF(ISNUMBER(D506),MOD(D506,1),IFERROR(INDEX(القوائم!$B$1:$B$288,MATCH(TRIM(D506),القوائم!$A$1:$A$288,0)),IFERROR(MOD(TIMEVALUE(D506),1),""))))</f>
        <v/>
      </c>
      <c r="M506" s="25" t="n">
        <f aca="false">M499</f>
        <v>1</v>
      </c>
      <c r="Q506" s="25" t="n">
        <f aca="false">IF(N(F510)&gt;0,1,0)</f>
        <v>0</v>
      </c>
      <c r="S506" s="0" t="n">
        <v>42</v>
      </c>
    </row>
    <row r="507" customFormat="false" ht="15" hidden="false" customHeight="false" outlineLevel="0" collapsed="false">
      <c r="A507" s="34" t="n">
        <f aca="false">IF(42&lt;=NW,SAT1+293,"")</f>
        <v>46311</v>
      </c>
      <c r="B507" s="35" t="str">
        <f aca="false">IF(A507="","",CHOOSE(WEEKDAY(A507,1),"الأحد","الاثنين","الثلاثاء","الأربعاء","الخميس","الجمعة","السبت"))</f>
        <v>الجمعة</v>
      </c>
      <c r="C507" s="30"/>
      <c r="D507" s="30"/>
      <c r="E507" s="31" t="str">
        <f aca="false">IF(OR(M507=0,K507="",L507=""),"",MOD(L507-K507,1))</f>
        <v/>
      </c>
      <c r="F507" s="32" t="str">
        <f aca="false">IF(OR(E507="",M507=0),"",IF(ROUND_MODE="للأعلى",CEILING(ROUND((E507*24*$N$499),3),0.25),ROUND((E507*24*$N$499)*4,0)/4))</f>
        <v/>
      </c>
      <c r="G507" s="30"/>
      <c r="H507" s="30"/>
      <c r="K507" s="33" t="str">
        <f aca="false">IF(OR(M507=0,C507=""),"",IF(ISNUMBER(C507),MOD(C507,1),IFERROR(INDEX(القوائم!$B$1:$B$288,MATCH(TRIM(C507),القوائم!$A$1:$A$288,0)),IFERROR(MOD(TIMEVALUE(C507),1),""))))</f>
        <v/>
      </c>
      <c r="L507" s="33" t="str">
        <f aca="false">IF(OR(M507=0,D507=""),"",IF(ISNUMBER(D507),MOD(D507,1),IFERROR(INDEX(القوائم!$B$1:$B$288,MATCH(TRIM(D507),القوائم!$A$1:$A$288,0)),IFERROR(MOD(TIMEVALUE(D507),1),""))))</f>
        <v/>
      </c>
      <c r="M507" s="25" t="n">
        <f aca="false">M499</f>
        <v>1</v>
      </c>
      <c r="Q507" s="25" t="n">
        <f aca="false">IF(N(F510)&gt;0,1,0)</f>
        <v>0</v>
      </c>
      <c r="S507" s="0" t="n">
        <v>42</v>
      </c>
    </row>
    <row r="508" customFormat="false" ht="15" hidden="false" customHeight="false" outlineLevel="0" collapsed="false">
      <c r="A508" s="36" t="str">
        <f aca="false">IF(M499=1,"مجموع أيام الأسبوع 42","")</f>
        <v>مجموع أيام الأسبوع 42</v>
      </c>
      <c r="B508" s="36"/>
      <c r="C508" s="36"/>
      <c r="D508" s="36"/>
      <c r="E508" s="37" t="n">
        <f aca="false">IF(M499=1,SUM(E501:E507),"")</f>
        <v>0</v>
      </c>
      <c r="F508" s="38" t="n">
        <f aca="false">IF(M499=1,SUM(F501:F507),"")</f>
        <v>0</v>
      </c>
      <c r="G508" s="50" t="n">
        <f aca="false">IF(M499=1,SUMIFS(F501:F507,G501:G507,"نعم"),"")</f>
        <v>0</v>
      </c>
      <c r="H508" s="36"/>
      <c r="S508" s="0" t="n">
        <v>42</v>
      </c>
    </row>
    <row r="509" customFormat="false" ht="31.5" hidden="false" customHeight="true" outlineLevel="0" collapsed="false">
      <c r="A509" s="39" t="str">
        <f aca="false">IF(M499=1,"ساعات تحميل الجبسمبورد بهالأسبوع (رقم: 2 أو 1.5) ←","")</f>
        <v>ساعات تحميل الجبسمبورد بهالأسبوع (رقم: 2 أو 1.5) ←</v>
      </c>
      <c r="B509" s="39"/>
      <c r="C509" s="39"/>
      <c r="D509" s="39"/>
      <c r="E509" s="40"/>
      <c r="F509" s="42" t="n">
        <f aca="false">IF(M499=1,N(F508)+IF(ROUND_MODE="للأعلى",CEILING(ROUND((N(E509)*($P$499-$N$499)),3),0.25),ROUND((N(E509)*($P$499-$N$499))*4,0)/4)+N(C510),"")</f>
        <v>0</v>
      </c>
      <c r="G509" s="41" t="str">
        <f aca="false">IF(M499=1,"← المستحق النهائي للأسبوع مع الجبسمبورد والإكرامية","")</f>
        <v>← المستحق النهائي للأسبوع مع الجبسمبورد والإكرامية</v>
      </c>
      <c r="H509" s="41"/>
      <c r="S509" s="0" t="n">
        <v>42</v>
      </c>
    </row>
    <row r="510" customFormat="false" ht="25.5" hidden="false" customHeight="true" outlineLevel="0" collapsed="false">
      <c r="A510" s="39" t="str">
        <f aca="false">IF(M499=1,"إكرامية الأسبوع ←","")</f>
        <v>إكرامية الأسبوع ←</v>
      </c>
      <c r="B510" s="39"/>
      <c r="C510" s="44"/>
      <c r="D510" s="39" t="str">
        <f aca="false">IF(M499=1,"المدفوع (التسوية) ←","")</f>
        <v>المدفوع (التسوية) ←</v>
      </c>
      <c r="E510" s="39"/>
      <c r="F510" s="44"/>
      <c r="G510" s="45" t="str">
        <f aca="false">IF(M499=1,IF(N(F510)&gt;0,"✔ انقبض — الأسبوع مقفول","⏳ لسا ما انقبض"),"")</f>
        <v>⏳ لسا ما انقبض</v>
      </c>
      <c r="H510" s="45"/>
      <c r="S510" s="0" t="n">
        <v>42</v>
      </c>
    </row>
    <row r="511" customFormat="false" ht="27.75" hidden="false" customHeight="true" outlineLevel="0" collapsed="false">
      <c r="A511" s="48" t="str">
        <f aca="false">IF(43&lt;=NW,"من السبت "&amp;TEXT(DAY(SAT1+294),"00")&amp;"/"&amp;TEXT(MONTH(SAT1+294),"00")&amp;"/"&amp;YEAR(SAT1+294)&amp;" إلى الجمعة "&amp;TEXT(DAY(SAT1+300),"00")&amp;"/"&amp;TEXT(MONTH(SAT1+300),"00")&amp;"/"&amp;YEAR(SAT1+300)&amp;" · الأسبوع 43"&amp;"  (يوم القبض: الجمعة)"&amp;IF(43&lt;START_Z,"   — قبل أسبوع البداية (ما بينحسب)",""),"ما في أسبوع 43 هالسنة")</f>
        <v>من السبت 17/10/2026 إلى الجمعة 23/10/2026 · الأسبوع 43  (يوم القبض: الجمعة)</v>
      </c>
      <c r="B511" s="48"/>
      <c r="C511" s="48"/>
      <c r="D511" s="48"/>
      <c r="E511" s="48"/>
      <c r="F511" s="48"/>
      <c r="G511" s="48"/>
      <c r="H511" s="48"/>
      <c r="L511" s="24" t="n">
        <f aca="false">IF(43&lt;=NW,SAT1+300,"")</f>
        <v>46318</v>
      </c>
      <c r="M511" s="25" t="n">
        <f aca="false">IF(AND(43&lt;=NW,43&gt;=START_Z),1,0)</f>
        <v>1</v>
      </c>
      <c r="N511" s="26" t="n">
        <f aca="false">IFERROR(INDEX(RT_AZZ,MATCH(L511,RT_K,1)),INDEX(RT_AZZ,1))</f>
        <v>1</v>
      </c>
      <c r="P511" s="26" t="n">
        <f aca="false">IFERROR(INDEX(RT_GYP,MATCH(L511,RT_K,1)),INDEX(RT_GYP,1))</f>
        <v>2.5</v>
      </c>
      <c r="R511" s="0" t="n">
        <v>43</v>
      </c>
      <c r="S511" s="0" t="n">
        <v>43</v>
      </c>
    </row>
    <row r="512" customFormat="false" ht="25.5" hidden="false" customHeight="true" outlineLevel="0" collapsed="false">
      <c r="A512" s="49" t="s">
        <v>22</v>
      </c>
      <c r="B512" s="49" t="s">
        <v>23</v>
      </c>
      <c r="C512" s="49" t="s">
        <v>24</v>
      </c>
      <c r="D512" s="49" t="s">
        <v>25</v>
      </c>
      <c r="E512" s="49" t="s">
        <v>26</v>
      </c>
      <c r="F512" s="49" t="s">
        <v>33</v>
      </c>
      <c r="G512" s="49" t="s">
        <v>34</v>
      </c>
      <c r="H512" s="49" t="s">
        <v>30</v>
      </c>
      <c r="S512" s="0" t="n">
        <v>43</v>
      </c>
    </row>
    <row r="513" customFormat="false" ht="15" hidden="false" customHeight="false" outlineLevel="0" collapsed="false">
      <c r="A513" s="28" t="n">
        <f aca="false">IF(43&lt;=NW,SAT1+294,"")</f>
        <v>46312</v>
      </c>
      <c r="B513" s="29" t="str">
        <f aca="false">IF(A513="","",CHOOSE(WEEKDAY(A513,1),"الأحد","الاثنين","الثلاثاء","الأربعاء","الخميس","الجمعة","السبت"))</f>
        <v>السبت</v>
      </c>
      <c r="C513" s="30"/>
      <c r="D513" s="30"/>
      <c r="E513" s="31" t="str">
        <f aca="false">IF(OR(M513=0,K513="",L513=""),"",MOD(L513-K513,1))</f>
        <v/>
      </c>
      <c r="F513" s="32" t="str">
        <f aca="false">IF(OR(E513="",M513=0),"",IF(ROUND_MODE="للأعلى",CEILING(ROUND((E513*24*$N$511),3),0.25),ROUND((E513*24*$N$511)*4,0)/4))</f>
        <v/>
      </c>
      <c r="G513" s="30"/>
      <c r="H513" s="30"/>
      <c r="K513" s="33" t="str">
        <f aca="false">IF(OR(M513=0,C513=""),"",IF(ISNUMBER(C513),MOD(C513,1),IFERROR(INDEX(القوائم!$B$1:$B$288,MATCH(TRIM(C513),القوائم!$A$1:$A$288,0)),IFERROR(MOD(TIMEVALUE(C513),1),""))))</f>
        <v/>
      </c>
      <c r="L513" s="33" t="str">
        <f aca="false">IF(OR(M513=0,D513=""),"",IF(ISNUMBER(D513),MOD(D513,1),IFERROR(INDEX(القوائم!$B$1:$B$288,MATCH(TRIM(D513),القوائم!$A$1:$A$288,0)),IFERROR(MOD(TIMEVALUE(D513),1),""))))</f>
        <v/>
      </c>
      <c r="M513" s="25" t="n">
        <f aca="false">M511</f>
        <v>1</v>
      </c>
      <c r="Q513" s="25" t="n">
        <f aca="false">IF(N(F522)&gt;0,1,0)</f>
        <v>0</v>
      </c>
      <c r="S513" s="0" t="n">
        <v>43</v>
      </c>
    </row>
    <row r="514" customFormat="false" ht="15" hidden="false" customHeight="false" outlineLevel="0" collapsed="false">
      <c r="A514" s="28" t="n">
        <f aca="false">IF(43&lt;=NW,SAT1+295,"")</f>
        <v>46313</v>
      </c>
      <c r="B514" s="29" t="str">
        <f aca="false">IF(A514="","",CHOOSE(WEEKDAY(A514,1),"الأحد","الاثنين","الثلاثاء","الأربعاء","الخميس","الجمعة","السبت"))</f>
        <v>الأحد</v>
      </c>
      <c r="C514" s="30"/>
      <c r="D514" s="30"/>
      <c r="E514" s="31" t="str">
        <f aca="false">IF(OR(M514=0,K514="",L514=""),"",MOD(L514-K514,1))</f>
        <v/>
      </c>
      <c r="F514" s="32" t="str">
        <f aca="false">IF(OR(E514="",M514=0),"",IF(ROUND_MODE="للأعلى",CEILING(ROUND((E514*24*$N$511),3),0.25),ROUND((E514*24*$N$511)*4,0)/4))</f>
        <v/>
      </c>
      <c r="G514" s="30"/>
      <c r="H514" s="30"/>
      <c r="K514" s="33" t="str">
        <f aca="false">IF(OR(M514=0,C514=""),"",IF(ISNUMBER(C514),MOD(C514,1),IFERROR(INDEX(القوائم!$B$1:$B$288,MATCH(TRIM(C514),القوائم!$A$1:$A$288,0)),IFERROR(MOD(TIMEVALUE(C514),1),""))))</f>
        <v/>
      </c>
      <c r="L514" s="33" t="str">
        <f aca="false">IF(OR(M514=0,D514=""),"",IF(ISNUMBER(D514),MOD(D514,1),IFERROR(INDEX(القوائم!$B$1:$B$288,MATCH(TRIM(D514),القوائم!$A$1:$A$288,0)),IFERROR(MOD(TIMEVALUE(D514),1),""))))</f>
        <v/>
      </c>
      <c r="M514" s="25" t="n">
        <f aca="false">M511</f>
        <v>1</v>
      </c>
      <c r="Q514" s="25" t="n">
        <f aca="false">IF(N(F522)&gt;0,1,0)</f>
        <v>0</v>
      </c>
      <c r="S514" s="0" t="n">
        <v>43</v>
      </c>
    </row>
    <row r="515" customFormat="false" ht="15" hidden="false" customHeight="false" outlineLevel="0" collapsed="false">
      <c r="A515" s="28" t="n">
        <f aca="false">IF(43&lt;=NW,SAT1+296,"")</f>
        <v>46314</v>
      </c>
      <c r="B515" s="29" t="str">
        <f aca="false">IF(A515="","",CHOOSE(WEEKDAY(A515,1),"الأحد","الاثنين","الثلاثاء","الأربعاء","الخميس","الجمعة","السبت"))</f>
        <v>الاثنين</v>
      </c>
      <c r="C515" s="30"/>
      <c r="D515" s="30"/>
      <c r="E515" s="31" t="str">
        <f aca="false">IF(OR(M515=0,K515="",L515=""),"",MOD(L515-K515,1))</f>
        <v/>
      </c>
      <c r="F515" s="32" t="str">
        <f aca="false">IF(OR(E515="",M515=0),"",IF(ROUND_MODE="للأعلى",CEILING(ROUND((E515*24*$N$511),3),0.25),ROUND((E515*24*$N$511)*4,0)/4))</f>
        <v/>
      </c>
      <c r="G515" s="30"/>
      <c r="H515" s="30"/>
      <c r="K515" s="33" t="str">
        <f aca="false">IF(OR(M515=0,C515=""),"",IF(ISNUMBER(C515),MOD(C515,1),IFERROR(INDEX(القوائم!$B$1:$B$288,MATCH(TRIM(C515),القوائم!$A$1:$A$288,0)),IFERROR(MOD(TIMEVALUE(C515),1),""))))</f>
        <v/>
      </c>
      <c r="L515" s="33" t="str">
        <f aca="false">IF(OR(M515=0,D515=""),"",IF(ISNUMBER(D515),MOD(D515,1),IFERROR(INDEX(القوائم!$B$1:$B$288,MATCH(TRIM(D515),القوائم!$A$1:$A$288,0)),IFERROR(MOD(TIMEVALUE(D515),1),""))))</f>
        <v/>
      </c>
      <c r="M515" s="25" t="n">
        <f aca="false">M511</f>
        <v>1</v>
      </c>
      <c r="Q515" s="25" t="n">
        <f aca="false">IF(N(F522)&gt;0,1,0)</f>
        <v>0</v>
      </c>
      <c r="S515" s="0" t="n">
        <v>43</v>
      </c>
    </row>
    <row r="516" customFormat="false" ht="15" hidden="false" customHeight="false" outlineLevel="0" collapsed="false">
      <c r="A516" s="28" t="n">
        <f aca="false">IF(43&lt;=NW,SAT1+297,"")</f>
        <v>46315</v>
      </c>
      <c r="B516" s="29" t="str">
        <f aca="false">IF(A516="","",CHOOSE(WEEKDAY(A516,1),"الأحد","الاثنين","الثلاثاء","الأربعاء","الخميس","الجمعة","السبت"))</f>
        <v>الثلاثاء</v>
      </c>
      <c r="C516" s="30"/>
      <c r="D516" s="30"/>
      <c r="E516" s="31" t="str">
        <f aca="false">IF(OR(M516=0,K516="",L516=""),"",MOD(L516-K516,1))</f>
        <v/>
      </c>
      <c r="F516" s="32" t="str">
        <f aca="false">IF(OR(E516="",M516=0),"",IF(ROUND_MODE="للأعلى",CEILING(ROUND((E516*24*$N$511),3),0.25),ROUND((E516*24*$N$511)*4,0)/4))</f>
        <v/>
      </c>
      <c r="G516" s="30"/>
      <c r="H516" s="30"/>
      <c r="K516" s="33" t="str">
        <f aca="false">IF(OR(M516=0,C516=""),"",IF(ISNUMBER(C516),MOD(C516,1),IFERROR(INDEX(القوائم!$B$1:$B$288,MATCH(TRIM(C516),القوائم!$A$1:$A$288,0)),IFERROR(MOD(TIMEVALUE(C516),1),""))))</f>
        <v/>
      </c>
      <c r="L516" s="33" t="str">
        <f aca="false">IF(OR(M516=0,D516=""),"",IF(ISNUMBER(D516),MOD(D516,1),IFERROR(INDEX(القوائم!$B$1:$B$288,MATCH(TRIM(D516),القوائم!$A$1:$A$288,0)),IFERROR(MOD(TIMEVALUE(D516),1),""))))</f>
        <v/>
      </c>
      <c r="M516" s="25" t="n">
        <f aca="false">M511</f>
        <v>1</v>
      </c>
      <c r="Q516" s="25" t="n">
        <f aca="false">IF(N(F522)&gt;0,1,0)</f>
        <v>0</v>
      </c>
      <c r="S516" s="0" t="n">
        <v>43</v>
      </c>
    </row>
    <row r="517" customFormat="false" ht="15" hidden="false" customHeight="false" outlineLevel="0" collapsed="false">
      <c r="A517" s="28" t="n">
        <f aca="false">IF(43&lt;=NW,SAT1+298,"")</f>
        <v>46316</v>
      </c>
      <c r="B517" s="29" t="str">
        <f aca="false">IF(A517="","",CHOOSE(WEEKDAY(A517,1),"الأحد","الاثنين","الثلاثاء","الأربعاء","الخميس","الجمعة","السبت"))</f>
        <v>الأربعاء</v>
      </c>
      <c r="C517" s="30"/>
      <c r="D517" s="30"/>
      <c r="E517" s="31" t="str">
        <f aca="false">IF(OR(M517=0,K517="",L517=""),"",MOD(L517-K517,1))</f>
        <v/>
      </c>
      <c r="F517" s="32" t="str">
        <f aca="false">IF(OR(E517="",M517=0),"",IF(ROUND_MODE="للأعلى",CEILING(ROUND((E517*24*$N$511),3),0.25),ROUND((E517*24*$N$511)*4,0)/4))</f>
        <v/>
      </c>
      <c r="G517" s="30"/>
      <c r="H517" s="30"/>
      <c r="K517" s="33" t="str">
        <f aca="false">IF(OR(M517=0,C517=""),"",IF(ISNUMBER(C517),MOD(C517,1),IFERROR(INDEX(القوائم!$B$1:$B$288,MATCH(TRIM(C517),القوائم!$A$1:$A$288,0)),IFERROR(MOD(TIMEVALUE(C517),1),""))))</f>
        <v/>
      </c>
      <c r="L517" s="33" t="str">
        <f aca="false">IF(OR(M517=0,D517=""),"",IF(ISNUMBER(D517),MOD(D517,1),IFERROR(INDEX(القوائم!$B$1:$B$288,MATCH(TRIM(D517),القوائم!$A$1:$A$288,0)),IFERROR(MOD(TIMEVALUE(D517),1),""))))</f>
        <v/>
      </c>
      <c r="M517" s="25" t="n">
        <f aca="false">M511</f>
        <v>1</v>
      </c>
      <c r="Q517" s="25" t="n">
        <f aca="false">IF(N(F522)&gt;0,1,0)</f>
        <v>0</v>
      </c>
      <c r="S517" s="0" t="n">
        <v>43</v>
      </c>
    </row>
    <row r="518" customFormat="false" ht="15" hidden="false" customHeight="false" outlineLevel="0" collapsed="false">
      <c r="A518" s="28" t="n">
        <f aca="false">IF(43&lt;=NW,SAT1+299,"")</f>
        <v>46317</v>
      </c>
      <c r="B518" s="29" t="str">
        <f aca="false">IF(A518="","",CHOOSE(WEEKDAY(A518,1),"الأحد","الاثنين","الثلاثاء","الأربعاء","الخميس","الجمعة","السبت"))</f>
        <v>الخميس</v>
      </c>
      <c r="C518" s="30"/>
      <c r="D518" s="30"/>
      <c r="E518" s="31" t="str">
        <f aca="false">IF(OR(M518=0,K518="",L518=""),"",MOD(L518-K518,1))</f>
        <v/>
      </c>
      <c r="F518" s="32" t="str">
        <f aca="false">IF(OR(E518="",M518=0),"",IF(ROUND_MODE="للأعلى",CEILING(ROUND((E518*24*$N$511),3),0.25),ROUND((E518*24*$N$511)*4,0)/4))</f>
        <v/>
      </c>
      <c r="G518" s="30"/>
      <c r="H518" s="30"/>
      <c r="K518" s="33" t="str">
        <f aca="false">IF(OR(M518=0,C518=""),"",IF(ISNUMBER(C518),MOD(C518,1),IFERROR(INDEX(القوائم!$B$1:$B$288,MATCH(TRIM(C518),القوائم!$A$1:$A$288,0)),IFERROR(MOD(TIMEVALUE(C518),1),""))))</f>
        <v/>
      </c>
      <c r="L518" s="33" t="str">
        <f aca="false">IF(OR(M518=0,D518=""),"",IF(ISNUMBER(D518),MOD(D518,1),IFERROR(INDEX(القوائم!$B$1:$B$288,MATCH(TRIM(D518),القوائم!$A$1:$A$288,0)),IFERROR(MOD(TIMEVALUE(D518),1),""))))</f>
        <v/>
      </c>
      <c r="M518" s="25" t="n">
        <f aca="false">M511</f>
        <v>1</v>
      </c>
      <c r="Q518" s="25" t="n">
        <f aca="false">IF(N(F522)&gt;0,1,0)</f>
        <v>0</v>
      </c>
      <c r="S518" s="0" t="n">
        <v>43</v>
      </c>
    </row>
    <row r="519" customFormat="false" ht="15" hidden="false" customHeight="false" outlineLevel="0" collapsed="false">
      <c r="A519" s="34" t="n">
        <f aca="false">IF(43&lt;=NW,SAT1+300,"")</f>
        <v>46318</v>
      </c>
      <c r="B519" s="35" t="str">
        <f aca="false">IF(A519="","",CHOOSE(WEEKDAY(A519,1),"الأحد","الاثنين","الثلاثاء","الأربعاء","الخميس","الجمعة","السبت"))</f>
        <v>الجمعة</v>
      </c>
      <c r="C519" s="30"/>
      <c r="D519" s="30"/>
      <c r="E519" s="31" t="str">
        <f aca="false">IF(OR(M519=0,K519="",L519=""),"",MOD(L519-K519,1))</f>
        <v/>
      </c>
      <c r="F519" s="32" t="str">
        <f aca="false">IF(OR(E519="",M519=0),"",IF(ROUND_MODE="للأعلى",CEILING(ROUND((E519*24*$N$511),3),0.25),ROUND((E519*24*$N$511)*4,0)/4))</f>
        <v/>
      </c>
      <c r="G519" s="30"/>
      <c r="H519" s="30"/>
      <c r="K519" s="33" t="str">
        <f aca="false">IF(OR(M519=0,C519=""),"",IF(ISNUMBER(C519),MOD(C519,1),IFERROR(INDEX(القوائم!$B$1:$B$288,MATCH(TRIM(C519),القوائم!$A$1:$A$288,0)),IFERROR(MOD(TIMEVALUE(C519),1),""))))</f>
        <v/>
      </c>
      <c r="L519" s="33" t="str">
        <f aca="false">IF(OR(M519=0,D519=""),"",IF(ISNUMBER(D519),MOD(D519,1),IFERROR(INDEX(القوائم!$B$1:$B$288,MATCH(TRIM(D519),القوائم!$A$1:$A$288,0)),IFERROR(MOD(TIMEVALUE(D519),1),""))))</f>
        <v/>
      </c>
      <c r="M519" s="25" t="n">
        <f aca="false">M511</f>
        <v>1</v>
      </c>
      <c r="Q519" s="25" t="n">
        <f aca="false">IF(N(F522)&gt;0,1,0)</f>
        <v>0</v>
      </c>
      <c r="S519" s="0" t="n">
        <v>43</v>
      </c>
    </row>
    <row r="520" customFormat="false" ht="15" hidden="false" customHeight="false" outlineLevel="0" collapsed="false">
      <c r="A520" s="36" t="str">
        <f aca="false">IF(M511=1,"مجموع أيام الأسبوع 43","")</f>
        <v>مجموع أيام الأسبوع 43</v>
      </c>
      <c r="B520" s="36"/>
      <c r="C520" s="36"/>
      <c r="D520" s="36"/>
      <c r="E520" s="37" t="n">
        <f aca="false">IF(M511=1,SUM(E513:E519),"")</f>
        <v>0</v>
      </c>
      <c r="F520" s="38" t="n">
        <f aca="false">IF(M511=1,SUM(F513:F519),"")</f>
        <v>0</v>
      </c>
      <c r="G520" s="50" t="n">
        <f aca="false">IF(M511=1,SUMIFS(F513:F519,G513:G519,"نعم"),"")</f>
        <v>0</v>
      </c>
      <c r="H520" s="36"/>
      <c r="S520" s="0" t="n">
        <v>43</v>
      </c>
    </row>
    <row r="521" customFormat="false" ht="31.5" hidden="false" customHeight="true" outlineLevel="0" collapsed="false">
      <c r="A521" s="39" t="str">
        <f aca="false">IF(M511=1,"ساعات تحميل الجبسمبورد بهالأسبوع (رقم: 2 أو 1.5) ←","")</f>
        <v>ساعات تحميل الجبسمبورد بهالأسبوع (رقم: 2 أو 1.5) ←</v>
      </c>
      <c r="B521" s="39"/>
      <c r="C521" s="39"/>
      <c r="D521" s="39"/>
      <c r="E521" s="40"/>
      <c r="F521" s="42" t="n">
        <f aca="false">IF(M511=1,N(F520)+IF(ROUND_MODE="للأعلى",CEILING(ROUND((N(E521)*($P$511-$N$511)),3),0.25),ROUND((N(E521)*($P$511-$N$511))*4,0)/4)+N(C522),"")</f>
        <v>0</v>
      </c>
      <c r="G521" s="41" t="str">
        <f aca="false">IF(M511=1,"← المستحق النهائي للأسبوع مع الجبسمبورد والإكرامية","")</f>
        <v>← المستحق النهائي للأسبوع مع الجبسمبورد والإكرامية</v>
      </c>
      <c r="H521" s="41"/>
      <c r="S521" s="0" t="n">
        <v>43</v>
      </c>
    </row>
    <row r="522" customFormat="false" ht="25.5" hidden="false" customHeight="true" outlineLevel="0" collapsed="false">
      <c r="A522" s="39" t="str">
        <f aca="false">IF(M511=1,"إكرامية الأسبوع ←","")</f>
        <v>إكرامية الأسبوع ←</v>
      </c>
      <c r="B522" s="39"/>
      <c r="C522" s="44"/>
      <c r="D522" s="39" t="str">
        <f aca="false">IF(M511=1,"المدفوع (التسوية) ←","")</f>
        <v>المدفوع (التسوية) ←</v>
      </c>
      <c r="E522" s="39"/>
      <c r="F522" s="44"/>
      <c r="G522" s="45" t="str">
        <f aca="false">IF(M511=1,IF(N(F522)&gt;0,"✔ انقبض — الأسبوع مقفول","⏳ لسا ما انقبض"),"")</f>
        <v>⏳ لسا ما انقبض</v>
      </c>
      <c r="H522" s="45"/>
      <c r="S522" s="0" t="n">
        <v>43</v>
      </c>
    </row>
    <row r="523" customFormat="false" ht="27.75" hidden="false" customHeight="true" outlineLevel="0" collapsed="false">
      <c r="A523" s="48" t="str">
        <f aca="false">IF(44&lt;=NW,"من السبت "&amp;TEXT(DAY(SAT1+301),"00")&amp;"/"&amp;TEXT(MONTH(SAT1+301),"00")&amp;"/"&amp;YEAR(SAT1+301)&amp;" إلى الجمعة "&amp;TEXT(DAY(SAT1+307),"00")&amp;"/"&amp;TEXT(MONTH(SAT1+307),"00")&amp;"/"&amp;YEAR(SAT1+307)&amp;" · الأسبوع 44"&amp;"  (يوم القبض: الجمعة)"&amp;IF(44&lt;START_Z,"   — قبل أسبوع البداية (ما بينحسب)",""),"ما في أسبوع 44 هالسنة")</f>
        <v>من السبت 24/10/2026 إلى الجمعة 30/10/2026 · الأسبوع 44  (يوم القبض: الجمعة)</v>
      </c>
      <c r="B523" s="48"/>
      <c r="C523" s="48"/>
      <c r="D523" s="48"/>
      <c r="E523" s="48"/>
      <c r="F523" s="48"/>
      <c r="G523" s="48"/>
      <c r="H523" s="48"/>
      <c r="L523" s="24" t="n">
        <f aca="false">IF(44&lt;=NW,SAT1+307,"")</f>
        <v>46325</v>
      </c>
      <c r="M523" s="25" t="n">
        <f aca="false">IF(AND(44&lt;=NW,44&gt;=START_Z),1,0)</f>
        <v>1</v>
      </c>
      <c r="N523" s="26" t="n">
        <f aca="false">IFERROR(INDEX(RT_AZZ,MATCH(L523,RT_K,1)),INDEX(RT_AZZ,1))</f>
        <v>1</v>
      </c>
      <c r="P523" s="26" t="n">
        <f aca="false">IFERROR(INDEX(RT_GYP,MATCH(L523,RT_K,1)),INDEX(RT_GYP,1))</f>
        <v>2.5</v>
      </c>
      <c r="R523" s="0" t="n">
        <v>44</v>
      </c>
      <c r="S523" s="0" t="n">
        <v>44</v>
      </c>
    </row>
    <row r="524" customFormat="false" ht="25.5" hidden="false" customHeight="true" outlineLevel="0" collapsed="false">
      <c r="A524" s="49" t="s">
        <v>22</v>
      </c>
      <c r="B524" s="49" t="s">
        <v>23</v>
      </c>
      <c r="C524" s="49" t="s">
        <v>24</v>
      </c>
      <c r="D524" s="49" t="s">
        <v>25</v>
      </c>
      <c r="E524" s="49" t="s">
        <v>26</v>
      </c>
      <c r="F524" s="49" t="s">
        <v>33</v>
      </c>
      <c r="G524" s="49" t="s">
        <v>34</v>
      </c>
      <c r="H524" s="49" t="s">
        <v>30</v>
      </c>
      <c r="S524" s="0" t="n">
        <v>44</v>
      </c>
    </row>
    <row r="525" customFormat="false" ht="15" hidden="false" customHeight="false" outlineLevel="0" collapsed="false">
      <c r="A525" s="28" t="n">
        <f aca="false">IF(44&lt;=NW,SAT1+301,"")</f>
        <v>46319</v>
      </c>
      <c r="B525" s="29" t="str">
        <f aca="false">IF(A525="","",CHOOSE(WEEKDAY(A525,1),"الأحد","الاثنين","الثلاثاء","الأربعاء","الخميس","الجمعة","السبت"))</f>
        <v>السبت</v>
      </c>
      <c r="C525" s="30"/>
      <c r="D525" s="30"/>
      <c r="E525" s="31" t="str">
        <f aca="false">IF(OR(M525=0,K525="",L525=""),"",MOD(L525-K525,1))</f>
        <v/>
      </c>
      <c r="F525" s="32" t="str">
        <f aca="false">IF(OR(E525="",M525=0),"",IF(ROUND_MODE="للأعلى",CEILING(ROUND((E525*24*$N$523),3),0.25),ROUND((E525*24*$N$523)*4,0)/4))</f>
        <v/>
      </c>
      <c r="G525" s="30"/>
      <c r="H525" s="30"/>
      <c r="K525" s="33" t="str">
        <f aca="false">IF(OR(M525=0,C525=""),"",IF(ISNUMBER(C525),MOD(C525,1),IFERROR(INDEX(القوائم!$B$1:$B$288,MATCH(TRIM(C525),القوائم!$A$1:$A$288,0)),IFERROR(MOD(TIMEVALUE(C525),1),""))))</f>
        <v/>
      </c>
      <c r="L525" s="33" t="str">
        <f aca="false">IF(OR(M525=0,D525=""),"",IF(ISNUMBER(D525),MOD(D525,1),IFERROR(INDEX(القوائم!$B$1:$B$288,MATCH(TRIM(D525),القوائم!$A$1:$A$288,0)),IFERROR(MOD(TIMEVALUE(D525),1),""))))</f>
        <v/>
      </c>
      <c r="M525" s="25" t="n">
        <f aca="false">M523</f>
        <v>1</v>
      </c>
      <c r="Q525" s="25" t="n">
        <f aca="false">IF(N(F534)&gt;0,1,0)</f>
        <v>0</v>
      </c>
      <c r="S525" s="0" t="n">
        <v>44</v>
      </c>
    </row>
    <row r="526" customFormat="false" ht="15" hidden="false" customHeight="false" outlineLevel="0" collapsed="false">
      <c r="A526" s="28" t="n">
        <f aca="false">IF(44&lt;=NW,SAT1+302,"")</f>
        <v>46320</v>
      </c>
      <c r="B526" s="29" t="str">
        <f aca="false">IF(A526="","",CHOOSE(WEEKDAY(A526,1),"الأحد","الاثنين","الثلاثاء","الأربعاء","الخميس","الجمعة","السبت"))</f>
        <v>الأحد</v>
      </c>
      <c r="C526" s="30"/>
      <c r="D526" s="30"/>
      <c r="E526" s="31" t="str">
        <f aca="false">IF(OR(M526=0,K526="",L526=""),"",MOD(L526-K526,1))</f>
        <v/>
      </c>
      <c r="F526" s="32" t="str">
        <f aca="false">IF(OR(E526="",M526=0),"",IF(ROUND_MODE="للأعلى",CEILING(ROUND((E526*24*$N$523),3),0.25),ROUND((E526*24*$N$523)*4,0)/4))</f>
        <v/>
      </c>
      <c r="G526" s="30"/>
      <c r="H526" s="30"/>
      <c r="K526" s="33" t="str">
        <f aca="false">IF(OR(M526=0,C526=""),"",IF(ISNUMBER(C526),MOD(C526,1),IFERROR(INDEX(القوائم!$B$1:$B$288,MATCH(TRIM(C526),القوائم!$A$1:$A$288,0)),IFERROR(MOD(TIMEVALUE(C526),1),""))))</f>
        <v/>
      </c>
      <c r="L526" s="33" t="str">
        <f aca="false">IF(OR(M526=0,D526=""),"",IF(ISNUMBER(D526),MOD(D526,1),IFERROR(INDEX(القوائم!$B$1:$B$288,MATCH(TRIM(D526),القوائم!$A$1:$A$288,0)),IFERROR(MOD(TIMEVALUE(D526),1),""))))</f>
        <v/>
      </c>
      <c r="M526" s="25" t="n">
        <f aca="false">M523</f>
        <v>1</v>
      </c>
      <c r="Q526" s="25" t="n">
        <f aca="false">IF(N(F534)&gt;0,1,0)</f>
        <v>0</v>
      </c>
      <c r="S526" s="0" t="n">
        <v>44</v>
      </c>
    </row>
    <row r="527" customFormat="false" ht="15" hidden="false" customHeight="false" outlineLevel="0" collapsed="false">
      <c r="A527" s="28" t="n">
        <f aca="false">IF(44&lt;=NW,SAT1+303,"")</f>
        <v>46321</v>
      </c>
      <c r="B527" s="29" t="str">
        <f aca="false">IF(A527="","",CHOOSE(WEEKDAY(A527,1),"الأحد","الاثنين","الثلاثاء","الأربعاء","الخميس","الجمعة","السبت"))</f>
        <v>الاثنين</v>
      </c>
      <c r="C527" s="30"/>
      <c r="D527" s="30"/>
      <c r="E527" s="31" t="str">
        <f aca="false">IF(OR(M527=0,K527="",L527=""),"",MOD(L527-K527,1))</f>
        <v/>
      </c>
      <c r="F527" s="32" t="str">
        <f aca="false">IF(OR(E527="",M527=0),"",IF(ROUND_MODE="للأعلى",CEILING(ROUND((E527*24*$N$523),3),0.25),ROUND((E527*24*$N$523)*4,0)/4))</f>
        <v/>
      </c>
      <c r="G527" s="30"/>
      <c r="H527" s="30"/>
      <c r="K527" s="33" t="str">
        <f aca="false">IF(OR(M527=0,C527=""),"",IF(ISNUMBER(C527),MOD(C527,1),IFERROR(INDEX(القوائم!$B$1:$B$288,MATCH(TRIM(C527),القوائم!$A$1:$A$288,0)),IFERROR(MOD(TIMEVALUE(C527),1),""))))</f>
        <v/>
      </c>
      <c r="L527" s="33" t="str">
        <f aca="false">IF(OR(M527=0,D527=""),"",IF(ISNUMBER(D527),MOD(D527,1),IFERROR(INDEX(القوائم!$B$1:$B$288,MATCH(TRIM(D527),القوائم!$A$1:$A$288,0)),IFERROR(MOD(TIMEVALUE(D527),1),""))))</f>
        <v/>
      </c>
      <c r="M527" s="25" t="n">
        <f aca="false">M523</f>
        <v>1</v>
      </c>
      <c r="Q527" s="25" t="n">
        <f aca="false">IF(N(F534)&gt;0,1,0)</f>
        <v>0</v>
      </c>
      <c r="S527" s="0" t="n">
        <v>44</v>
      </c>
    </row>
    <row r="528" customFormat="false" ht="15" hidden="false" customHeight="false" outlineLevel="0" collapsed="false">
      <c r="A528" s="28" t="n">
        <f aca="false">IF(44&lt;=NW,SAT1+304,"")</f>
        <v>46322</v>
      </c>
      <c r="B528" s="29" t="str">
        <f aca="false">IF(A528="","",CHOOSE(WEEKDAY(A528,1),"الأحد","الاثنين","الثلاثاء","الأربعاء","الخميس","الجمعة","السبت"))</f>
        <v>الثلاثاء</v>
      </c>
      <c r="C528" s="30"/>
      <c r="D528" s="30"/>
      <c r="E528" s="31" t="str">
        <f aca="false">IF(OR(M528=0,K528="",L528=""),"",MOD(L528-K528,1))</f>
        <v/>
      </c>
      <c r="F528" s="32" t="str">
        <f aca="false">IF(OR(E528="",M528=0),"",IF(ROUND_MODE="للأعلى",CEILING(ROUND((E528*24*$N$523),3),0.25),ROUND((E528*24*$N$523)*4,0)/4))</f>
        <v/>
      </c>
      <c r="G528" s="30"/>
      <c r="H528" s="30"/>
      <c r="K528" s="33" t="str">
        <f aca="false">IF(OR(M528=0,C528=""),"",IF(ISNUMBER(C528),MOD(C528,1),IFERROR(INDEX(القوائم!$B$1:$B$288,MATCH(TRIM(C528),القوائم!$A$1:$A$288,0)),IFERROR(MOD(TIMEVALUE(C528),1),""))))</f>
        <v/>
      </c>
      <c r="L528" s="33" t="str">
        <f aca="false">IF(OR(M528=0,D528=""),"",IF(ISNUMBER(D528),MOD(D528,1),IFERROR(INDEX(القوائم!$B$1:$B$288,MATCH(TRIM(D528),القوائم!$A$1:$A$288,0)),IFERROR(MOD(TIMEVALUE(D528),1),""))))</f>
        <v/>
      </c>
      <c r="M528" s="25" t="n">
        <f aca="false">M523</f>
        <v>1</v>
      </c>
      <c r="Q528" s="25" t="n">
        <f aca="false">IF(N(F534)&gt;0,1,0)</f>
        <v>0</v>
      </c>
      <c r="S528" s="0" t="n">
        <v>44</v>
      </c>
    </row>
    <row r="529" customFormat="false" ht="15" hidden="false" customHeight="false" outlineLevel="0" collapsed="false">
      <c r="A529" s="28" t="n">
        <f aca="false">IF(44&lt;=NW,SAT1+305,"")</f>
        <v>46323</v>
      </c>
      <c r="B529" s="29" t="str">
        <f aca="false">IF(A529="","",CHOOSE(WEEKDAY(A529,1),"الأحد","الاثنين","الثلاثاء","الأربعاء","الخميس","الجمعة","السبت"))</f>
        <v>الأربعاء</v>
      </c>
      <c r="C529" s="30"/>
      <c r="D529" s="30"/>
      <c r="E529" s="31" t="str">
        <f aca="false">IF(OR(M529=0,K529="",L529=""),"",MOD(L529-K529,1))</f>
        <v/>
      </c>
      <c r="F529" s="32" t="str">
        <f aca="false">IF(OR(E529="",M529=0),"",IF(ROUND_MODE="للأعلى",CEILING(ROUND((E529*24*$N$523),3),0.25),ROUND((E529*24*$N$523)*4,0)/4))</f>
        <v/>
      </c>
      <c r="G529" s="30"/>
      <c r="H529" s="30"/>
      <c r="K529" s="33" t="str">
        <f aca="false">IF(OR(M529=0,C529=""),"",IF(ISNUMBER(C529),MOD(C529,1),IFERROR(INDEX(القوائم!$B$1:$B$288,MATCH(TRIM(C529),القوائم!$A$1:$A$288,0)),IFERROR(MOD(TIMEVALUE(C529),1),""))))</f>
        <v/>
      </c>
      <c r="L529" s="33" t="str">
        <f aca="false">IF(OR(M529=0,D529=""),"",IF(ISNUMBER(D529),MOD(D529,1),IFERROR(INDEX(القوائم!$B$1:$B$288,MATCH(TRIM(D529),القوائم!$A$1:$A$288,0)),IFERROR(MOD(TIMEVALUE(D529),1),""))))</f>
        <v/>
      </c>
      <c r="M529" s="25" t="n">
        <f aca="false">M523</f>
        <v>1</v>
      </c>
      <c r="Q529" s="25" t="n">
        <f aca="false">IF(N(F534)&gt;0,1,0)</f>
        <v>0</v>
      </c>
      <c r="S529" s="0" t="n">
        <v>44</v>
      </c>
    </row>
    <row r="530" customFormat="false" ht="15" hidden="false" customHeight="false" outlineLevel="0" collapsed="false">
      <c r="A530" s="28" t="n">
        <f aca="false">IF(44&lt;=NW,SAT1+306,"")</f>
        <v>46324</v>
      </c>
      <c r="B530" s="29" t="str">
        <f aca="false">IF(A530="","",CHOOSE(WEEKDAY(A530,1),"الأحد","الاثنين","الثلاثاء","الأربعاء","الخميس","الجمعة","السبت"))</f>
        <v>الخميس</v>
      </c>
      <c r="C530" s="30"/>
      <c r="D530" s="30"/>
      <c r="E530" s="31" t="str">
        <f aca="false">IF(OR(M530=0,K530="",L530=""),"",MOD(L530-K530,1))</f>
        <v/>
      </c>
      <c r="F530" s="32" t="str">
        <f aca="false">IF(OR(E530="",M530=0),"",IF(ROUND_MODE="للأعلى",CEILING(ROUND((E530*24*$N$523),3),0.25),ROUND((E530*24*$N$523)*4,0)/4))</f>
        <v/>
      </c>
      <c r="G530" s="30"/>
      <c r="H530" s="30"/>
      <c r="K530" s="33" t="str">
        <f aca="false">IF(OR(M530=0,C530=""),"",IF(ISNUMBER(C530),MOD(C530,1),IFERROR(INDEX(القوائم!$B$1:$B$288,MATCH(TRIM(C530),القوائم!$A$1:$A$288,0)),IFERROR(MOD(TIMEVALUE(C530),1),""))))</f>
        <v/>
      </c>
      <c r="L530" s="33" t="str">
        <f aca="false">IF(OR(M530=0,D530=""),"",IF(ISNUMBER(D530),MOD(D530,1),IFERROR(INDEX(القوائم!$B$1:$B$288,MATCH(TRIM(D530),القوائم!$A$1:$A$288,0)),IFERROR(MOD(TIMEVALUE(D530),1),""))))</f>
        <v/>
      </c>
      <c r="M530" s="25" t="n">
        <f aca="false">M523</f>
        <v>1</v>
      </c>
      <c r="Q530" s="25" t="n">
        <f aca="false">IF(N(F534)&gt;0,1,0)</f>
        <v>0</v>
      </c>
      <c r="S530" s="0" t="n">
        <v>44</v>
      </c>
    </row>
    <row r="531" customFormat="false" ht="15" hidden="false" customHeight="false" outlineLevel="0" collapsed="false">
      <c r="A531" s="34" t="n">
        <f aca="false">IF(44&lt;=NW,SAT1+307,"")</f>
        <v>46325</v>
      </c>
      <c r="B531" s="35" t="str">
        <f aca="false">IF(A531="","",CHOOSE(WEEKDAY(A531,1),"الأحد","الاثنين","الثلاثاء","الأربعاء","الخميس","الجمعة","السبت"))</f>
        <v>الجمعة</v>
      </c>
      <c r="C531" s="30"/>
      <c r="D531" s="30"/>
      <c r="E531" s="31" t="str">
        <f aca="false">IF(OR(M531=0,K531="",L531=""),"",MOD(L531-K531,1))</f>
        <v/>
      </c>
      <c r="F531" s="32" t="str">
        <f aca="false">IF(OR(E531="",M531=0),"",IF(ROUND_MODE="للأعلى",CEILING(ROUND((E531*24*$N$523),3),0.25),ROUND((E531*24*$N$523)*4,0)/4))</f>
        <v/>
      </c>
      <c r="G531" s="30"/>
      <c r="H531" s="30"/>
      <c r="K531" s="33" t="str">
        <f aca="false">IF(OR(M531=0,C531=""),"",IF(ISNUMBER(C531),MOD(C531,1),IFERROR(INDEX(القوائم!$B$1:$B$288,MATCH(TRIM(C531),القوائم!$A$1:$A$288,0)),IFERROR(MOD(TIMEVALUE(C531),1),""))))</f>
        <v/>
      </c>
      <c r="L531" s="33" t="str">
        <f aca="false">IF(OR(M531=0,D531=""),"",IF(ISNUMBER(D531),MOD(D531,1),IFERROR(INDEX(القوائم!$B$1:$B$288,MATCH(TRIM(D531),القوائم!$A$1:$A$288,0)),IFERROR(MOD(TIMEVALUE(D531),1),""))))</f>
        <v/>
      </c>
      <c r="M531" s="25" t="n">
        <f aca="false">M523</f>
        <v>1</v>
      </c>
      <c r="Q531" s="25" t="n">
        <f aca="false">IF(N(F534)&gt;0,1,0)</f>
        <v>0</v>
      </c>
      <c r="S531" s="0" t="n">
        <v>44</v>
      </c>
    </row>
    <row r="532" customFormat="false" ht="15" hidden="false" customHeight="false" outlineLevel="0" collapsed="false">
      <c r="A532" s="36" t="str">
        <f aca="false">IF(M523=1,"مجموع أيام الأسبوع 44","")</f>
        <v>مجموع أيام الأسبوع 44</v>
      </c>
      <c r="B532" s="36"/>
      <c r="C532" s="36"/>
      <c r="D532" s="36"/>
      <c r="E532" s="37" t="n">
        <f aca="false">IF(M523=1,SUM(E525:E531),"")</f>
        <v>0</v>
      </c>
      <c r="F532" s="38" t="n">
        <f aca="false">IF(M523=1,SUM(F525:F531),"")</f>
        <v>0</v>
      </c>
      <c r="G532" s="50" t="n">
        <f aca="false">IF(M523=1,SUMIFS(F525:F531,G525:G531,"نعم"),"")</f>
        <v>0</v>
      </c>
      <c r="H532" s="36"/>
      <c r="S532" s="0" t="n">
        <v>44</v>
      </c>
    </row>
    <row r="533" customFormat="false" ht="31.5" hidden="false" customHeight="true" outlineLevel="0" collapsed="false">
      <c r="A533" s="39" t="str">
        <f aca="false">IF(M523=1,"ساعات تحميل الجبسمبورد بهالأسبوع (رقم: 2 أو 1.5) ←","")</f>
        <v>ساعات تحميل الجبسمبورد بهالأسبوع (رقم: 2 أو 1.5) ←</v>
      </c>
      <c r="B533" s="39"/>
      <c r="C533" s="39"/>
      <c r="D533" s="39"/>
      <c r="E533" s="40"/>
      <c r="F533" s="42" t="n">
        <f aca="false">IF(M523=1,N(F532)+IF(ROUND_MODE="للأعلى",CEILING(ROUND((N(E533)*($P$523-$N$523)),3),0.25),ROUND((N(E533)*($P$523-$N$523))*4,0)/4)+N(C534),"")</f>
        <v>0</v>
      </c>
      <c r="G533" s="41" t="str">
        <f aca="false">IF(M523=1,"← المستحق النهائي للأسبوع مع الجبسمبورد والإكرامية","")</f>
        <v>← المستحق النهائي للأسبوع مع الجبسمبورد والإكرامية</v>
      </c>
      <c r="H533" s="41"/>
      <c r="S533" s="0" t="n">
        <v>44</v>
      </c>
    </row>
    <row r="534" customFormat="false" ht="25.5" hidden="false" customHeight="true" outlineLevel="0" collapsed="false">
      <c r="A534" s="39" t="str">
        <f aca="false">IF(M523=1,"إكرامية الأسبوع ←","")</f>
        <v>إكرامية الأسبوع ←</v>
      </c>
      <c r="B534" s="39"/>
      <c r="C534" s="44"/>
      <c r="D534" s="39" t="str">
        <f aca="false">IF(M523=1,"المدفوع (التسوية) ←","")</f>
        <v>المدفوع (التسوية) ←</v>
      </c>
      <c r="E534" s="39"/>
      <c r="F534" s="44"/>
      <c r="G534" s="45" t="str">
        <f aca="false">IF(M523=1,IF(N(F534)&gt;0,"✔ انقبض — الأسبوع مقفول","⏳ لسا ما انقبض"),"")</f>
        <v>⏳ لسا ما انقبض</v>
      </c>
      <c r="H534" s="45"/>
      <c r="S534" s="0" t="n">
        <v>44</v>
      </c>
    </row>
    <row r="535" customFormat="false" ht="27.75" hidden="false" customHeight="true" outlineLevel="0" collapsed="false">
      <c r="A535" s="48" t="str">
        <f aca="false">IF(45&lt;=NW,"من السبت "&amp;TEXT(DAY(SAT1+308),"00")&amp;"/"&amp;TEXT(MONTH(SAT1+308),"00")&amp;"/"&amp;YEAR(SAT1+308)&amp;" إلى الجمعة "&amp;TEXT(DAY(SAT1+314),"00")&amp;"/"&amp;TEXT(MONTH(SAT1+314),"00")&amp;"/"&amp;YEAR(SAT1+314)&amp;" · الأسبوع 45"&amp;"  (يوم القبض: الجمعة)"&amp;IF(45&lt;START_Z,"   — قبل أسبوع البداية (ما بينحسب)",""),"ما في أسبوع 45 هالسنة")</f>
        <v>من السبت 31/10/2026 إلى الجمعة 06/11/2026 · الأسبوع 45  (يوم القبض: الجمعة)</v>
      </c>
      <c r="B535" s="48"/>
      <c r="C535" s="48"/>
      <c r="D535" s="48"/>
      <c r="E535" s="48"/>
      <c r="F535" s="48"/>
      <c r="G535" s="48"/>
      <c r="H535" s="48"/>
      <c r="L535" s="24" t="n">
        <f aca="false">IF(45&lt;=NW,SAT1+314,"")</f>
        <v>46332</v>
      </c>
      <c r="M535" s="25" t="n">
        <f aca="false">IF(AND(45&lt;=NW,45&gt;=START_Z),1,0)</f>
        <v>1</v>
      </c>
      <c r="N535" s="26" t="n">
        <f aca="false">IFERROR(INDEX(RT_AZZ,MATCH(L535,RT_K,1)),INDEX(RT_AZZ,1))</f>
        <v>1</v>
      </c>
      <c r="P535" s="26" t="n">
        <f aca="false">IFERROR(INDEX(RT_GYP,MATCH(L535,RT_K,1)),INDEX(RT_GYP,1))</f>
        <v>2.5</v>
      </c>
      <c r="R535" s="0" t="n">
        <v>45</v>
      </c>
      <c r="S535" s="0" t="n">
        <v>45</v>
      </c>
    </row>
    <row r="536" customFormat="false" ht="25.5" hidden="false" customHeight="true" outlineLevel="0" collapsed="false">
      <c r="A536" s="49" t="s">
        <v>22</v>
      </c>
      <c r="B536" s="49" t="s">
        <v>23</v>
      </c>
      <c r="C536" s="49" t="s">
        <v>24</v>
      </c>
      <c r="D536" s="49" t="s">
        <v>25</v>
      </c>
      <c r="E536" s="49" t="s">
        <v>26</v>
      </c>
      <c r="F536" s="49" t="s">
        <v>33</v>
      </c>
      <c r="G536" s="49" t="s">
        <v>34</v>
      </c>
      <c r="H536" s="49" t="s">
        <v>30</v>
      </c>
      <c r="S536" s="0" t="n">
        <v>45</v>
      </c>
    </row>
    <row r="537" customFormat="false" ht="15" hidden="false" customHeight="false" outlineLevel="0" collapsed="false">
      <c r="A537" s="28" t="n">
        <f aca="false">IF(45&lt;=NW,SAT1+308,"")</f>
        <v>46326</v>
      </c>
      <c r="B537" s="29" t="str">
        <f aca="false">IF(A537="","",CHOOSE(WEEKDAY(A537,1),"الأحد","الاثنين","الثلاثاء","الأربعاء","الخميس","الجمعة","السبت"))</f>
        <v>السبت</v>
      </c>
      <c r="C537" s="30"/>
      <c r="D537" s="30"/>
      <c r="E537" s="31" t="str">
        <f aca="false">IF(OR(M537=0,K537="",L537=""),"",MOD(L537-K537,1))</f>
        <v/>
      </c>
      <c r="F537" s="32" t="str">
        <f aca="false">IF(OR(E537="",M537=0),"",IF(ROUND_MODE="للأعلى",CEILING(ROUND((E537*24*$N$535),3),0.25),ROUND((E537*24*$N$535)*4,0)/4))</f>
        <v/>
      </c>
      <c r="G537" s="30"/>
      <c r="H537" s="30"/>
      <c r="K537" s="33" t="str">
        <f aca="false">IF(OR(M537=0,C537=""),"",IF(ISNUMBER(C537),MOD(C537,1),IFERROR(INDEX(القوائم!$B$1:$B$288,MATCH(TRIM(C537),القوائم!$A$1:$A$288,0)),IFERROR(MOD(TIMEVALUE(C537),1),""))))</f>
        <v/>
      </c>
      <c r="L537" s="33" t="str">
        <f aca="false">IF(OR(M537=0,D537=""),"",IF(ISNUMBER(D537),MOD(D537,1),IFERROR(INDEX(القوائم!$B$1:$B$288,MATCH(TRIM(D537),القوائم!$A$1:$A$288,0)),IFERROR(MOD(TIMEVALUE(D537),1),""))))</f>
        <v/>
      </c>
      <c r="M537" s="25" t="n">
        <f aca="false">M535</f>
        <v>1</v>
      </c>
      <c r="Q537" s="25" t="n">
        <f aca="false">IF(N(F546)&gt;0,1,0)</f>
        <v>0</v>
      </c>
      <c r="S537" s="0" t="n">
        <v>45</v>
      </c>
    </row>
    <row r="538" customFormat="false" ht="15" hidden="false" customHeight="false" outlineLevel="0" collapsed="false">
      <c r="A538" s="28" t="n">
        <f aca="false">IF(45&lt;=NW,SAT1+309,"")</f>
        <v>46327</v>
      </c>
      <c r="B538" s="29" t="str">
        <f aca="false">IF(A538="","",CHOOSE(WEEKDAY(A538,1),"الأحد","الاثنين","الثلاثاء","الأربعاء","الخميس","الجمعة","السبت"))</f>
        <v>الأحد</v>
      </c>
      <c r="C538" s="30"/>
      <c r="D538" s="30"/>
      <c r="E538" s="31" t="str">
        <f aca="false">IF(OR(M538=0,K538="",L538=""),"",MOD(L538-K538,1))</f>
        <v/>
      </c>
      <c r="F538" s="32" t="str">
        <f aca="false">IF(OR(E538="",M538=0),"",IF(ROUND_MODE="للأعلى",CEILING(ROUND((E538*24*$N$535),3),0.25),ROUND((E538*24*$N$535)*4,0)/4))</f>
        <v/>
      </c>
      <c r="G538" s="30"/>
      <c r="H538" s="30"/>
      <c r="K538" s="33" t="str">
        <f aca="false">IF(OR(M538=0,C538=""),"",IF(ISNUMBER(C538),MOD(C538,1),IFERROR(INDEX(القوائم!$B$1:$B$288,MATCH(TRIM(C538),القوائم!$A$1:$A$288,0)),IFERROR(MOD(TIMEVALUE(C538),1),""))))</f>
        <v/>
      </c>
      <c r="L538" s="33" t="str">
        <f aca="false">IF(OR(M538=0,D538=""),"",IF(ISNUMBER(D538),MOD(D538,1),IFERROR(INDEX(القوائم!$B$1:$B$288,MATCH(TRIM(D538),القوائم!$A$1:$A$288,0)),IFERROR(MOD(TIMEVALUE(D538),1),""))))</f>
        <v/>
      </c>
      <c r="M538" s="25" t="n">
        <f aca="false">M535</f>
        <v>1</v>
      </c>
      <c r="Q538" s="25" t="n">
        <f aca="false">IF(N(F546)&gt;0,1,0)</f>
        <v>0</v>
      </c>
      <c r="S538" s="0" t="n">
        <v>45</v>
      </c>
    </row>
    <row r="539" customFormat="false" ht="15" hidden="false" customHeight="false" outlineLevel="0" collapsed="false">
      <c r="A539" s="28" t="n">
        <f aca="false">IF(45&lt;=NW,SAT1+310,"")</f>
        <v>46328</v>
      </c>
      <c r="B539" s="29" t="str">
        <f aca="false">IF(A539="","",CHOOSE(WEEKDAY(A539,1),"الأحد","الاثنين","الثلاثاء","الأربعاء","الخميس","الجمعة","السبت"))</f>
        <v>الاثنين</v>
      </c>
      <c r="C539" s="30"/>
      <c r="D539" s="30"/>
      <c r="E539" s="31" t="str">
        <f aca="false">IF(OR(M539=0,K539="",L539=""),"",MOD(L539-K539,1))</f>
        <v/>
      </c>
      <c r="F539" s="32" t="str">
        <f aca="false">IF(OR(E539="",M539=0),"",IF(ROUND_MODE="للأعلى",CEILING(ROUND((E539*24*$N$535),3),0.25),ROUND((E539*24*$N$535)*4,0)/4))</f>
        <v/>
      </c>
      <c r="G539" s="30"/>
      <c r="H539" s="30"/>
      <c r="K539" s="33" t="str">
        <f aca="false">IF(OR(M539=0,C539=""),"",IF(ISNUMBER(C539),MOD(C539,1),IFERROR(INDEX(القوائم!$B$1:$B$288,MATCH(TRIM(C539),القوائم!$A$1:$A$288,0)),IFERROR(MOD(TIMEVALUE(C539),1),""))))</f>
        <v/>
      </c>
      <c r="L539" s="33" t="str">
        <f aca="false">IF(OR(M539=0,D539=""),"",IF(ISNUMBER(D539),MOD(D539,1),IFERROR(INDEX(القوائم!$B$1:$B$288,MATCH(TRIM(D539),القوائم!$A$1:$A$288,0)),IFERROR(MOD(TIMEVALUE(D539),1),""))))</f>
        <v/>
      </c>
      <c r="M539" s="25" t="n">
        <f aca="false">M535</f>
        <v>1</v>
      </c>
      <c r="Q539" s="25" t="n">
        <f aca="false">IF(N(F546)&gt;0,1,0)</f>
        <v>0</v>
      </c>
      <c r="S539" s="0" t="n">
        <v>45</v>
      </c>
    </row>
    <row r="540" customFormat="false" ht="15" hidden="false" customHeight="false" outlineLevel="0" collapsed="false">
      <c r="A540" s="28" t="n">
        <f aca="false">IF(45&lt;=NW,SAT1+311,"")</f>
        <v>46329</v>
      </c>
      <c r="B540" s="29" t="str">
        <f aca="false">IF(A540="","",CHOOSE(WEEKDAY(A540,1),"الأحد","الاثنين","الثلاثاء","الأربعاء","الخميس","الجمعة","السبت"))</f>
        <v>الثلاثاء</v>
      </c>
      <c r="C540" s="30"/>
      <c r="D540" s="30"/>
      <c r="E540" s="31" t="str">
        <f aca="false">IF(OR(M540=0,K540="",L540=""),"",MOD(L540-K540,1))</f>
        <v/>
      </c>
      <c r="F540" s="32" t="str">
        <f aca="false">IF(OR(E540="",M540=0),"",IF(ROUND_MODE="للأعلى",CEILING(ROUND((E540*24*$N$535),3),0.25),ROUND((E540*24*$N$535)*4,0)/4))</f>
        <v/>
      </c>
      <c r="G540" s="30"/>
      <c r="H540" s="30"/>
      <c r="K540" s="33" t="str">
        <f aca="false">IF(OR(M540=0,C540=""),"",IF(ISNUMBER(C540),MOD(C540,1),IFERROR(INDEX(القوائم!$B$1:$B$288,MATCH(TRIM(C540),القوائم!$A$1:$A$288,0)),IFERROR(MOD(TIMEVALUE(C540),1),""))))</f>
        <v/>
      </c>
      <c r="L540" s="33" t="str">
        <f aca="false">IF(OR(M540=0,D540=""),"",IF(ISNUMBER(D540),MOD(D540,1),IFERROR(INDEX(القوائم!$B$1:$B$288,MATCH(TRIM(D540),القوائم!$A$1:$A$288,0)),IFERROR(MOD(TIMEVALUE(D540),1),""))))</f>
        <v/>
      </c>
      <c r="M540" s="25" t="n">
        <f aca="false">M535</f>
        <v>1</v>
      </c>
      <c r="Q540" s="25" t="n">
        <f aca="false">IF(N(F546)&gt;0,1,0)</f>
        <v>0</v>
      </c>
      <c r="S540" s="0" t="n">
        <v>45</v>
      </c>
    </row>
    <row r="541" customFormat="false" ht="15" hidden="false" customHeight="false" outlineLevel="0" collapsed="false">
      <c r="A541" s="28" t="n">
        <f aca="false">IF(45&lt;=NW,SAT1+312,"")</f>
        <v>46330</v>
      </c>
      <c r="B541" s="29" t="str">
        <f aca="false">IF(A541="","",CHOOSE(WEEKDAY(A541,1),"الأحد","الاثنين","الثلاثاء","الأربعاء","الخميس","الجمعة","السبت"))</f>
        <v>الأربعاء</v>
      </c>
      <c r="C541" s="30"/>
      <c r="D541" s="30"/>
      <c r="E541" s="31" t="str">
        <f aca="false">IF(OR(M541=0,K541="",L541=""),"",MOD(L541-K541,1))</f>
        <v/>
      </c>
      <c r="F541" s="32" t="str">
        <f aca="false">IF(OR(E541="",M541=0),"",IF(ROUND_MODE="للأعلى",CEILING(ROUND((E541*24*$N$535),3),0.25),ROUND((E541*24*$N$535)*4,0)/4))</f>
        <v/>
      </c>
      <c r="G541" s="30"/>
      <c r="H541" s="30"/>
      <c r="K541" s="33" t="str">
        <f aca="false">IF(OR(M541=0,C541=""),"",IF(ISNUMBER(C541),MOD(C541,1),IFERROR(INDEX(القوائم!$B$1:$B$288,MATCH(TRIM(C541),القوائم!$A$1:$A$288,0)),IFERROR(MOD(TIMEVALUE(C541),1),""))))</f>
        <v/>
      </c>
      <c r="L541" s="33" t="str">
        <f aca="false">IF(OR(M541=0,D541=""),"",IF(ISNUMBER(D541),MOD(D541,1),IFERROR(INDEX(القوائم!$B$1:$B$288,MATCH(TRIM(D541),القوائم!$A$1:$A$288,0)),IFERROR(MOD(TIMEVALUE(D541),1),""))))</f>
        <v/>
      </c>
      <c r="M541" s="25" t="n">
        <f aca="false">M535</f>
        <v>1</v>
      </c>
      <c r="Q541" s="25" t="n">
        <f aca="false">IF(N(F546)&gt;0,1,0)</f>
        <v>0</v>
      </c>
      <c r="S541" s="0" t="n">
        <v>45</v>
      </c>
    </row>
    <row r="542" customFormat="false" ht="15" hidden="false" customHeight="false" outlineLevel="0" collapsed="false">
      <c r="A542" s="28" t="n">
        <f aca="false">IF(45&lt;=NW,SAT1+313,"")</f>
        <v>46331</v>
      </c>
      <c r="B542" s="29" t="str">
        <f aca="false">IF(A542="","",CHOOSE(WEEKDAY(A542,1),"الأحد","الاثنين","الثلاثاء","الأربعاء","الخميس","الجمعة","السبت"))</f>
        <v>الخميس</v>
      </c>
      <c r="C542" s="30"/>
      <c r="D542" s="30"/>
      <c r="E542" s="31" t="str">
        <f aca="false">IF(OR(M542=0,K542="",L542=""),"",MOD(L542-K542,1))</f>
        <v/>
      </c>
      <c r="F542" s="32" t="str">
        <f aca="false">IF(OR(E542="",M542=0),"",IF(ROUND_MODE="للأعلى",CEILING(ROUND((E542*24*$N$535),3),0.25),ROUND((E542*24*$N$535)*4,0)/4))</f>
        <v/>
      </c>
      <c r="G542" s="30"/>
      <c r="H542" s="30"/>
      <c r="K542" s="33" t="str">
        <f aca="false">IF(OR(M542=0,C542=""),"",IF(ISNUMBER(C542),MOD(C542,1),IFERROR(INDEX(القوائم!$B$1:$B$288,MATCH(TRIM(C542),القوائم!$A$1:$A$288,0)),IFERROR(MOD(TIMEVALUE(C542),1),""))))</f>
        <v/>
      </c>
      <c r="L542" s="33" t="str">
        <f aca="false">IF(OR(M542=0,D542=""),"",IF(ISNUMBER(D542),MOD(D542,1),IFERROR(INDEX(القوائم!$B$1:$B$288,MATCH(TRIM(D542),القوائم!$A$1:$A$288,0)),IFERROR(MOD(TIMEVALUE(D542),1),""))))</f>
        <v/>
      </c>
      <c r="M542" s="25" t="n">
        <f aca="false">M535</f>
        <v>1</v>
      </c>
      <c r="Q542" s="25" t="n">
        <f aca="false">IF(N(F546)&gt;0,1,0)</f>
        <v>0</v>
      </c>
      <c r="S542" s="0" t="n">
        <v>45</v>
      </c>
    </row>
    <row r="543" customFormat="false" ht="15" hidden="false" customHeight="false" outlineLevel="0" collapsed="false">
      <c r="A543" s="34" t="n">
        <f aca="false">IF(45&lt;=NW,SAT1+314,"")</f>
        <v>46332</v>
      </c>
      <c r="B543" s="35" t="str">
        <f aca="false">IF(A543="","",CHOOSE(WEEKDAY(A543,1),"الأحد","الاثنين","الثلاثاء","الأربعاء","الخميس","الجمعة","السبت"))</f>
        <v>الجمعة</v>
      </c>
      <c r="C543" s="30"/>
      <c r="D543" s="30"/>
      <c r="E543" s="31" t="str">
        <f aca="false">IF(OR(M543=0,K543="",L543=""),"",MOD(L543-K543,1))</f>
        <v/>
      </c>
      <c r="F543" s="32" t="str">
        <f aca="false">IF(OR(E543="",M543=0),"",IF(ROUND_MODE="للأعلى",CEILING(ROUND((E543*24*$N$535),3),0.25),ROUND((E543*24*$N$535)*4,0)/4))</f>
        <v/>
      </c>
      <c r="G543" s="30"/>
      <c r="H543" s="30"/>
      <c r="K543" s="33" t="str">
        <f aca="false">IF(OR(M543=0,C543=""),"",IF(ISNUMBER(C543),MOD(C543,1),IFERROR(INDEX(القوائم!$B$1:$B$288,MATCH(TRIM(C543),القوائم!$A$1:$A$288,0)),IFERROR(MOD(TIMEVALUE(C543),1),""))))</f>
        <v/>
      </c>
      <c r="L543" s="33" t="str">
        <f aca="false">IF(OR(M543=0,D543=""),"",IF(ISNUMBER(D543),MOD(D543,1),IFERROR(INDEX(القوائم!$B$1:$B$288,MATCH(TRIM(D543),القوائم!$A$1:$A$288,0)),IFERROR(MOD(TIMEVALUE(D543),1),""))))</f>
        <v/>
      </c>
      <c r="M543" s="25" t="n">
        <f aca="false">M535</f>
        <v>1</v>
      </c>
      <c r="Q543" s="25" t="n">
        <f aca="false">IF(N(F546)&gt;0,1,0)</f>
        <v>0</v>
      </c>
      <c r="S543" s="0" t="n">
        <v>45</v>
      </c>
    </row>
    <row r="544" customFormat="false" ht="15" hidden="false" customHeight="false" outlineLevel="0" collapsed="false">
      <c r="A544" s="36" t="str">
        <f aca="false">IF(M535=1,"مجموع أيام الأسبوع 45","")</f>
        <v>مجموع أيام الأسبوع 45</v>
      </c>
      <c r="B544" s="36"/>
      <c r="C544" s="36"/>
      <c r="D544" s="36"/>
      <c r="E544" s="37" t="n">
        <f aca="false">IF(M535=1,SUM(E537:E543),"")</f>
        <v>0</v>
      </c>
      <c r="F544" s="38" t="n">
        <f aca="false">IF(M535=1,SUM(F537:F543),"")</f>
        <v>0</v>
      </c>
      <c r="G544" s="50" t="n">
        <f aca="false">IF(M535=1,SUMIFS(F537:F543,G537:G543,"نعم"),"")</f>
        <v>0</v>
      </c>
      <c r="H544" s="36"/>
      <c r="S544" s="0" t="n">
        <v>45</v>
      </c>
    </row>
    <row r="545" customFormat="false" ht="31.5" hidden="false" customHeight="true" outlineLevel="0" collapsed="false">
      <c r="A545" s="39" t="str">
        <f aca="false">IF(M535=1,"ساعات تحميل الجبسمبورد بهالأسبوع (رقم: 2 أو 1.5) ←","")</f>
        <v>ساعات تحميل الجبسمبورد بهالأسبوع (رقم: 2 أو 1.5) ←</v>
      </c>
      <c r="B545" s="39"/>
      <c r="C545" s="39"/>
      <c r="D545" s="39"/>
      <c r="E545" s="40"/>
      <c r="F545" s="42" t="n">
        <f aca="false">IF(M535=1,N(F544)+IF(ROUND_MODE="للأعلى",CEILING(ROUND((N(E545)*($P$535-$N$535)),3),0.25),ROUND((N(E545)*($P$535-$N$535))*4,0)/4)+N(C546),"")</f>
        <v>0</v>
      </c>
      <c r="G545" s="41" t="str">
        <f aca="false">IF(M535=1,"← المستحق النهائي للأسبوع مع الجبسمبورد والإكرامية","")</f>
        <v>← المستحق النهائي للأسبوع مع الجبسمبورد والإكرامية</v>
      </c>
      <c r="H545" s="41"/>
      <c r="S545" s="0" t="n">
        <v>45</v>
      </c>
    </row>
    <row r="546" customFormat="false" ht="25.5" hidden="false" customHeight="true" outlineLevel="0" collapsed="false">
      <c r="A546" s="39" t="str">
        <f aca="false">IF(M535=1,"إكرامية الأسبوع ←","")</f>
        <v>إكرامية الأسبوع ←</v>
      </c>
      <c r="B546" s="39"/>
      <c r="C546" s="44"/>
      <c r="D546" s="39" t="str">
        <f aca="false">IF(M535=1,"المدفوع (التسوية) ←","")</f>
        <v>المدفوع (التسوية) ←</v>
      </c>
      <c r="E546" s="39"/>
      <c r="F546" s="44"/>
      <c r="G546" s="45" t="str">
        <f aca="false">IF(M535=1,IF(N(F546)&gt;0,"✔ انقبض — الأسبوع مقفول","⏳ لسا ما انقبض"),"")</f>
        <v>⏳ لسا ما انقبض</v>
      </c>
      <c r="H546" s="45"/>
      <c r="S546" s="0" t="n">
        <v>45</v>
      </c>
    </row>
    <row r="547" customFormat="false" ht="27.75" hidden="false" customHeight="true" outlineLevel="0" collapsed="false">
      <c r="A547" s="48" t="str">
        <f aca="false">IF(46&lt;=NW,"من السبت "&amp;TEXT(DAY(SAT1+315),"00")&amp;"/"&amp;TEXT(MONTH(SAT1+315),"00")&amp;"/"&amp;YEAR(SAT1+315)&amp;" إلى الجمعة "&amp;TEXT(DAY(SAT1+321),"00")&amp;"/"&amp;TEXT(MONTH(SAT1+321),"00")&amp;"/"&amp;YEAR(SAT1+321)&amp;" · الأسبوع 46"&amp;"  (يوم القبض: الجمعة)"&amp;IF(46&lt;START_Z,"   — قبل أسبوع البداية (ما بينحسب)",""),"ما في أسبوع 46 هالسنة")</f>
        <v>من السبت 07/11/2026 إلى الجمعة 13/11/2026 · الأسبوع 46  (يوم القبض: الجمعة)</v>
      </c>
      <c r="B547" s="48"/>
      <c r="C547" s="48"/>
      <c r="D547" s="48"/>
      <c r="E547" s="48"/>
      <c r="F547" s="48"/>
      <c r="G547" s="48"/>
      <c r="H547" s="48"/>
      <c r="L547" s="24" t="n">
        <f aca="false">IF(46&lt;=NW,SAT1+321,"")</f>
        <v>46339</v>
      </c>
      <c r="M547" s="25" t="n">
        <f aca="false">IF(AND(46&lt;=NW,46&gt;=START_Z),1,0)</f>
        <v>1</v>
      </c>
      <c r="N547" s="26" t="n">
        <f aca="false">IFERROR(INDEX(RT_AZZ,MATCH(L547,RT_K,1)),INDEX(RT_AZZ,1))</f>
        <v>1</v>
      </c>
      <c r="P547" s="26" t="n">
        <f aca="false">IFERROR(INDEX(RT_GYP,MATCH(L547,RT_K,1)),INDEX(RT_GYP,1))</f>
        <v>2.5</v>
      </c>
      <c r="R547" s="0" t="n">
        <v>46</v>
      </c>
      <c r="S547" s="0" t="n">
        <v>46</v>
      </c>
    </row>
    <row r="548" customFormat="false" ht="25.5" hidden="false" customHeight="true" outlineLevel="0" collapsed="false">
      <c r="A548" s="49" t="s">
        <v>22</v>
      </c>
      <c r="B548" s="49" t="s">
        <v>23</v>
      </c>
      <c r="C548" s="49" t="s">
        <v>24</v>
      </c>
      <c r="D548" s="49" t="s">
        <v>25</v>
      </c>
      <c r="E548" s="49" t="s">
        <v>26</v>
      </c>
      <c r="F548" s="49" t="s">
        <v>33</v>
      </c>
      <c r="G548" s="49" t="s">
        <v>34</v>
      </c>
      <c r="H548" s="49" t="s">
        <v>30</v>
      </c>
      <c r="S548" s="0" t="n">
        <v>46</v>
      </c>
    </row>
    <row r="549" customFormat="false" ht="15" hidden="false" customHeight="false" outlineLevel="0" collapsed="false">
      <c r="A549" s="28" t="n">
        <f aca="false">IF(46&lt;=NW,SAT1+315,"")</f>
        <v>46333</v>
      </c>
      <c r="B549" s="29" t="str">
        <f aca="false">IF(A549="","",CHOOSE(WEEKDAY(A549,1),"الأحد","الاثنين","الثلاثاء","الأربعاء","الخميس","الجمعة","السبت"))</f>
        <v>السبت</v>
      </c>
      <c r="C549" s="30"/>
      <c r="D549" s="30"/>
      <c r="E549" s="31" t="str">
        <f aca="false">IF(OR(M549=0,K549="",L549=""),"",MOD(L549-K549,1))</f>
        <v/>
      </c>
      <c r="F549" s="32" t="str">
        <f aca="false">IF(OR(E549="",M549=0),"",IF(ROUND_MODE="للأعلى",CEILING(ROUND((E549*24*$N$547),3),0.25),ROUND((E549*24*$N$547)*4,0)/4))</f>
        <v/>
      </c>
      <c r="G549" s="30"/>
      <c r="H549" s="30"/>
      <c r="K549" s="33" t="str">
        <f aca="false">IF(OR(M549=0,C549=""),"",IF(ISNUMBER(C549),MOD(C549,1),IFERROR(INDEX(القوائم!$B$1:$B$288,MATCH(TRIM(C549),القوائم!$A$1:$A$288,0)),IFERROR(MOD(TIMEVALUE(C549),1),""))))</f>
        <v/>
      </c>
      <c r="L549" s="33" t="str">
        <f aca="false">IF(OR(M549=0,D549=""),"",IF(ISNUMBER(D549),MOD(D549,1),IFERROR(INDEX(القوائم!$B$1:$B$288,MATCH(TRIM(D549),القوائم!$A$1:$A$288,0)),IFERROR(MOD(TIMEVALUE(D549),1),""))))</f>
        <v/>
      </c>
      <c r="M549" s="25" t="n">
        <f aca="false">M547</f>
        <v>1</v>
      </c>
      <c r="Q549" s="25" t="n">
        <f aca="false">IF(N(F558)&gt;0,1,0)</f>
        <v>0</v>
      </c>
      <c r="S549" s="0" t="n">
        <v>46</v>
      </c>
    </row>
    <row r="550" customFormat="false" ht="15" hidden="false" customHeight="false" outlineLevel="0" collapsed="false">
      <c r="A550" s="28" t="n">
        <f aca="false">IF(46&lt;=NW,SAT1+316,"")</f>
        <v>46334</v>
      </c>
      <c r="B550" s="29" t="str">
        <f aca="false">IF(A550="","",CHOOSE(WEEKDAY(A550,1),"الأحد","الاثنين","الثلاثاء","الأربعاء","الخميس","الجمعة","السبت"))</f>
        <v>الأحد</v>
      </c>
      <c r="C550" s="30"/>
      <c r="D550" s="30"/>
      <c r="E550" s="31" t="str">
        <f aca="false">IF(OR(M550=0,K550="",L550=""),"",MOD(L550-K550,1))</f>
        <v/>
      </c>
      <c r="F550" s="32" t="str">
        <f aca="false">IF(OR(E550="",M550=0),"",IF(ROUND_MODE="للأعلى",CEILING(ROUND((E550*24*$N$547),3),0.25),ROUND((E550*24*$N$547)*4,0)/4))</f>
        <v/>
      </c>
      <c r="G550" s="30"/>
      <c r="H550" s="30"/>
      <c r="K550" s="33" t="str">
        <f aca="false">IF(OR(M550=0,C550=""),"",IF(ISNUMBER(C550),MOD(C550,1),IFERROR(INDEX(القوائم!$B$1:$B$288,MATCH(TRIM(C550),القوائم!$A$1:$A$288,0)),IFERROR(MOD(TIMEVALUE(C550),1),""))))</f>
        <v/>
      </c>
      <c r="L550" s="33" t="str">
        <f aca="false">IF(OR(M550=0,D550=""),"",IF(ISNUMBER(D550),MOD(D550,1),IFERROR(INDEX(القوائم!$B$1:$B$288,MATCH(TRIM(D550),القوائم!$A$1:$A$288,0)),IFERROR(MOD(TIMEVALUE(D550),1),""))))</f>
        <v/>
      </c>
      <c r="M550" s="25" t="n">
        <f aca="false">M547</f>
        <v>1</v>
      </c>
      <c r="Q550" s="25" t="n">
        <f aca="false">IF(N(F558)&gt;0,1,0)</f>
        <v>0</v>
      </c>
      <c r="S550" s="0" t="n">
        <v>46</v>
      </c>
    </row>
    <row r="551" customFormat="false" ht="15" hidden="false" customHeight="false" outlineLevel="0" collapsed="false">
      <c r="A551" s="28" t="n">
        <f aca="false">IF(46&lt;=NW,SAT1+317,"")</f>
        <v>46335</v>
      </c>
      <c r="B551" s="29" t="str">
        <f aca="false">IF(A551="","",CHOOSE(WEEKDAY(A551,1),"الأحد","الاثنين","الثلاثاء","الأربعاء","الخميس","الجمعة","السبت"))</f>
        <v>الاثنين</v>
      </c>
      <c r="C551" s="30"/>
      <c r="D551" s="30"/>
      <c r="E551" s="31" t="str">
        <f aca="false">IF(OR(M551=0,K551="",L551=""),"",MOD(L551-K551,1))</f>
        <v/>
      </c>
      <c r="F551" s="32" t="str">
        <f aca="false">IF(OR(E551="",M551=0),"",IF(ROUND_MODE="للأعلى",CEILING(ROUND((E551*24*$N$547),3),0.25),ROUND((E551*24*$N$547)*4,0)/4))</f>
        <v/>
      </c>
      <c r="G551" s="30"/>
      <c r="H551" s="30"/>
      <c r="K551" s="33" t="str">
        <f aca="false">IF(OR(M551=0,C551=""),"",IF(ISNUMBER(C551),MOD(C551,1),IFERROR(INDEX(القوائم!$B$1:$B$288,MATCH(TRIM(C551),القوائم!$A$1:$A$288,0)),IFERROR(MOD(TIMEVALUE(C551),1),""))))</f>
        <v/>
      </c>
      <c r="L551" s="33" t="str">
        <f aca="false">IF(OR(M551=0,D551=""),"",IF(ISNUMBER(D551),MOD(D551,1),IFERROR(INDEX(القوائم!$B$1:$B$288,MATCH(TRIM(D551),القوائم!$A$1:$A$288,0)),IFERROR(MOD(TIMEVALUE(D551),1),""))))</f>
        <v/>
      </c>
      <c r="M551" s="25" t="n">
        <f aca="false">M547</f>
        <v>1</v>
      </c>
      <c r="Q551" s="25" t="n">
        <f aca="false">IF(N(F558)&gt;0,1,0)</f>
        <v>0</v>
      </c>
      <c r="S551" s="0" t="n">
        <v>46</v>
      </c>
    </row>
    <row r="552" customFormat="false" ht="15" hidden="false" customHeight="false" outlineLevel="0" collapsed="false">
      <c r="A552" s="28" t="n">
        <f aca="false">IF(46&lt;=NW,SAT1+318,"")</f>
        <v>46336</v>
      </c>
      <c r="B552" s="29" t="str">
        <f aca="false">IF(A552="","",CHOOSE(WEEKDAY(A552,1),"الأحد","الاثنين","الثلاثاء","الأربعاء","الخميس","الجمعة","السبت"))</f>
        <v>الثلاثاء</v>
      </c>
      <c r="C552" s="30"/>
      <c r="D552" s="30"/>
      <c r="E552" s="31" t="str">
        <f aca="false">IF(OR(M552=0,K552="",L552=""),"",MOD(L552-K552,1))</f>
        <v/>
      </c>
      <c r="F552" s="32" t="str">
        <f aca="false">IF(OR(E552="",M552=0),"",IF(ROUND_MODE="للأعلى",CEILING(ROUND((E552*24*$N$547),3),0.25),ROUND((E552*24*$N$547)*4,0)/4))</f>
        <v/>
      </c>
      <c r="G552" s="30"/>
      <c r="H552" s="30"/>
      <c r="K552" s="33" t="str">
        <f aca="false">IF(OR(M552=0,C552=""),"",IF(ISNUMBER(C552),MOD(C552,1),IFERROR(INDEX(القوائم!$B$1:$B$288,MATCH(TRIM(C552),القوائم!$A$1:$A$288,0)),IFERROR(MOD(TIMEVALUE(C552),1),""))))</f>
        <v/>
      </c>
      <c r="L552" s="33" t="str">
        <f aca="false">IF(OR(M552=0,D552=""),"",IF(ISNUMBER(D552),MOD(D552,1),IFERROR(INDEX(القوائم!$B$1:$B$288,MATCH(TRIM(D552),القوائم!$A$1:$A$288,0)),IFERROR(MOD(TIMEVALUE(D552),1),""))))</f>
        <v/>
      </c>
      <c r="M552" s="25" t="n">
        <f aca="false">M547</f>
        <v>1</v>
      </c>
      <c r="Q552" s="25" t="n">
        <f aca="false">IF(N(F558)&gt;0,1,0)</f>
        <v>0</v>
      </c>
      <c r="S552" s="0" t="n">
        <v>46</v>
      </c>
    </row>
    <row r="553" customFormat="false" ht="15" hidden="false" customHeight="false" outlineLevel="0" collapsed="false">
      <c r="A553" s="28" t="n">
        <f aca="false">IF(46&lt;=NW,SAT1+319,"")</f>
        <v>46337</v>
      </c>
      <c r="B553" s="29" t="str">
        <f aca="false">IF(A553="","",CHOOSE(WEEKDAY(A553,1),"الأحد","الاثنين","الثلاثاء","الأربعاء","الخميس","الجمعة","السبت"))</f>
        <v>الأربعاء</v>
      </c>
      <c r="C553" s="30"/>
      <c r="D553" s="30"/>
      <c r="E553" s="31" t="str">
        <f aca="false">IF(OR(M553=0,K553="",L553=""),"",MOD(L553-K553,1))</f>
        <v/>
      </c>
      <c r="F553" s="32" t="str">
        <f aca="false">IF(OR(E553="",M553=0),"",IF(ROUND_MODE="للأعلى",CEILING(ROUND((E553*24*$N$547),3),0.25),ROUND((E553*24*$N$547)*4,0)/4))</f>
        <v/>
      </c>
      <c r="G553" s="30"/>
      <c r="H553" s="30"/>
      <c r="K553" s="33" t="str">
        <f aca="false">IF(OR(M553=0,C553=""),"",IF(ISNUMBER(C553),MOD(C553,1),IFERROR(INDEX(القوائم!$B$1:$B$288,MATCH(TRIM(C553),القوائم!$A$1:$A$288,0)),IFERROR(MOD(TIMEVALUE(C553),1),""))))</f>
        <v/>
      </c>
      <c r="L553" s="33" t="str">
        <f aca="false">IF(OR(M553=0,D553=""),"",IF(ISNUMBER(D553),MOD(D553,1),IFERROR(INDEX(القوائم!$B$1:$B$288,MATCH(TRIM(D553),القوائم!$A$1:$A$288,0)),IFERROR(MOD(TIMEVALUE(D553),1),""))))</f>
        <v/>
      </c>
      <c r="M553" s="25" t="n">
        <f aca="false">M547</f>
        <v>1</v>
      </c>
      <c r="Q553" s="25" t="n">
        <f aca="false">IF(N(F558)&gt;0,1,0)</f>
        <v>0</v>
      </c>
      <c r="S553" s="0" t="n">
        <v>46</v>
      </c>
    </row>
    <row r="554" customFormat="false" ht="15" hidden="false" customHeight="false" outlineLevel="0" collapsed="false">
      <c r="A554" s="28" t="n">
        <f aca="false">IF(46&lt;=NW,SAT1+320,"")</f>
        <v>46338</v>
      </c>
      <c r="B554" s="29" t="str">
        <f aca="false">IF(A554="","",CHOOSE(WEEKDAY(A554,1),"الأحد","الاثنين","الثلاثاء","الأربعاء","الخميس","الجمعة","السبت"))</f>
        <v>الخميس</v>
      </c>
      <c r="C554" s="30"/>
      <c r="D554" s="30"/>
      <c r="E554" s="31" t="str">
        <f aca="false">IF(OR(M554=0,K554="",L554=""),"",MOD(L554-K554,1))</f>
        <v/>
      </c>
      <c r="F554" s="32" t="str">
        <f aca="false">IF(OR(E554="",M554=0),"",IF(ROUND_MODE="للأعلى",CEILING(ROUND((E554*24*$N$547),3),0.25),ROUND((E554*24*$N$547)*4,0)/4))</f>
        <v/>
      </c>
      <c r="G554" s="30"/>
      <c r="H554" s="30"/>
      <c r="K554" s="33" t="str">
        <f aca="false">IF(OR(M554=0,C554=""),"",IF(ISNUMBER(C554),MOD(C554,1),IFERROR(INDEX(القوائم!$B$1:$B$288,MATCH(TRIM(C554),القوائم!$A$1:$A$288,0)),IFERROR(MOD(TIMEVALUE(C554),1),""))))</f>
        <v/>
      </c>
      <c r="L554" s="33" t="str">
        <f aca="false">IF(OR(M554=0,D554=""),"",IF(ISNUMBER(D554),MOD(D554,1),IFERROR(INDEX(القوائم!$B$1:$B$288,MATCH(TRIM(D554),القوائم!$A$1:$A$288,0)),IFERROR(MOD(TIMEVALUE(D554),1),""))))</f>
        <v/>
      </c>
      <c r="M554" s="25" t="n">
        <f aca="false">M547</f>
        <v>1</v>
      </c>
      <c r="Q554" s="25" t="n">
        <f aca="false">IF(N(F558)&gt;0,1,0)</f>
        <v>0</v>
      </c>
      <c r="S554" s="0" t="n">
        <v>46</v>
      </c>
    </row>
    <row r="555" customFormat="false" ht="15" hidden="false" customHeight="false" outlineLevel="0" collapsed="false">
      <c r="A555" s="34" t="n">
        <f aca="false">IF(46&lt;=NW,SAT1+321,"")</f>
        <v>46339</v>
      </c>
      <c r="B555" s="35" t="str">
        <f aca="false">IF(A555="","",CHOOSE(WEEKDAY(A555,1),"الأحد","الاثنين","الثلاثاء","الأربعاء","الخميس","الجمعة","السبت"))</f>
        <v>الجمعة</v>
      </c>
      <c r="C555" s="30"/>
      <c r="D555" s="30"/>
      <c r="E555" s="31" t="str">
        <f aca="false">IF(OR(M555=0,K555="",L555=""),"",MOD(L555-K555,1))</f>
        <v/>
      </c>
      <c r="F555" s="32" t="str">
        <f aca="false">IF(OR(E555="",M555=0),"",IF(ROUND_MODE="للأعلى",CEILING(ROUND((E555*24*$N$547),3),0.25),ROUND((E555*24*$N$547)*4,0)/4))</f>
        <v/>
      </c>
      <c r="G555" s="30"/>
      <c r="H555" s="30"/>
      <c r="K555" s="33" t="str">
        <f aca="false">IF(OR(M555=0,C555=""),"",IF(ISNUMBER(C555),MOD(C555,1),IFERROR(INDEX(القوائم!$B$1:$B$288,MATCH(TRIM(C555),القوائم!$A$1:$A$288,0)),IFERROR(MOD(TIMEVALUE(C555),1),""))))</f>
        <v/>
      </c>
      <c r="L555" s="33" t="str">
        <f aca="false">IF(OR(M555=0,D555=""),"",IF(ISNUMBER(D555),MOD(D555,1),IFERROR(INDEX(القوائم!$B$1:$B$288,MATCH(TRIM(D555),القوائم!$A$1:$A$288,0)),IFERROR(MOD(TIMEVALUE(D555),1),""))))</f>
        <v/>
      </c>
      <c r="M555" s="25" t="n">
        <f aca="false">M547</f>
        <v>1</v>
      </c>
      <c r="Q555" s="25" t="n">
        <f aca="false">IF(N(F558)&gt;0,1,0)</f>
        <v>0</v>
      </c>
      <c r="S555" s="0" t="n">
        <v>46</v>
      </c>
    </row>
    <row r="556" customFormat="false" ht="15" hidden="false" customHeight="false" outlineLevel="0" collapsed="false">
      <c r="A556" s="36" t="str">
        <f aca="false">IF(M547=1,"مجموع أيام الأسبوع 46","")</f>
        <v>مجموع أيام الأسبوع 46</v>
      </c>
      <c r="B556" s="36"/>
      <c r="C556" s="36"/>
      <c r="D556" s="36"/>
      <c r="E556" s="37" t="n">
        <f aca="false">IF(M547=1,SUM(E549:E555),"")</f>
        <v>0</v>
      </c>
      <c r="F556" s="38" t="n">
        <f aca="false">IF(M547=1,SUM(F549:F555),"")</f>
        <v>0</v>
      </c>
      <c r="G556" s="50" t="n">
        <f aca="false">IF(M547=1,SUMIFS(F549:F555,G549:G555,"نعم"),"")</f>
        <v>0</v>
      </c>
      <c r="H556" s="36"/>
      <c r="S556" s="0" t="n">
        <v>46</v>
      </c>
    </row>
    <row r="557" customFormat="false" ht="31.5" hidden="false" customHeight="true" outlineLevel="0" collapsed="false">
      <c r="A557" s="39" t="str">
        <f aca="false">IF(M547=1,"ساعات تحميل الجبسمبورد بهالأسبوع (رقم: 2 أو 1.5) ←","")</f>
        <v>ساعات تحميل الجبسمبورد بهالأسبوع (رقم: 2 أو 1.5) ←</v>
      </c>
      <c r="B557" s="39"/>
      <c r="C557" s="39"/>
      <c r="D557" s="39"/>
      <c r="E557" s="40"/>
      <c r="F557" s="42" t="n">
        <f aca="false">IF(M547=1,N(F556)+IF(ROUND_MODE="للأعلى",CEILING(ROUND((N(E557)*($P$547-$N$547)),3),0.25),ROUND((N(E557)*($P$547-$N$547))*4,0)/4)+N(C558),"")</f>
        <v>0</v>
      </c>
      <c r="G557" s="41" t="str">
        <f aca="false">IF(M547=1,"← المستحق النهائي للأسبوع مع الجبسمبورد والإكرامية","")</f>
        <v>← المستحق النهائي للأسبوع مع الجبسمبورد والإكرامية</v>
      </c>
      <c r="H557" s="41"/>
      <c r="S557" s="0" t="n">
        <v>46</v>
      </c>
    </row>
    <row r="558" customFormat="false" ht="25.5" hidden="false" customHeight="true" outlineLevel="0" collapsed="false">
      <c r="A558" s="39" t="str">
        <f aca="false">IF(M547=1,"إكرامية الأسبوع ←","")</f>
        <v>إكرامية الأسبوع ←</v>
      </c>
      <c r="B558" s="39"/>
      <c r="C558" s="44"/>
      <c r="D558" s="39" t="str">
        <f aca="false">IF(M547=1,"المدفوع (التسوية) ←","")</f>
        <v>المدفوع (التسوية) ←</v>
      </c>
      <c r="E558" s="39"/>
      <c r="F558" s="44"/>
      <c r="G558" s="45" t="str">
        <f aca="false">IF(M547=1,IF(N(F558)&gt;0,"✔ انقبض — الأسبوع مقفول","⏳ لسا ما انقبض"),"")</f>
        <v>⏳ لسا ما انقبض</v>
      </c>
      <c r="H558" s="45"/>
      <c r="S558" s="0" t="n">
        <v>46</v>
      </c>
    </row>
    <row r="559" customFormat="false" ht="27.75" hidden="false" customHeight="true" outlineLevel="0" collapsed="false">
      <c r="A559" s="48" t="str">
        <f aca="false">IF(47&lt;=NW,"من السبت "&amp;TEXT(DAY(SAT1+322),"00")&amp;"/"&amp;TEXT(MONTH(SAT1+322),"00")&amp;"/"&amp;YEAR(SAT1+322)&amp;" إلى الجمعة "&amp;TEXT(DAY(SAT1+328),"00")&amp;"/"&amp;TEXT(MONTH(SAT1+328),"00")&amp;"/"&amp;YEAR(SAT1+328)&amp;" · الأسبوع 47"&amp;"  (يوم القبض: الجمعة)"&amp;IF(47&lt;START_Z,"   — قبل أسبوع البداية (ما بينحسب)",""),"ما في أسبوع 47 هالسنة")</f>
        <v>من السبت 14/11/2026 إلى الجمعة 20/11/2026 · الأسبوع 47  (يوم القبض: الجمعة)</v>
      </c>
      <c r="B559" s="48"/>
      <c r="C559" s="48"/>
      <c r="D559" s="48"/>
      <c r="E559" s="48"/>
      <c r="F559" s="48"/>
      <c r="G559" s="48"/>
      <c r="H559" s="48"/>
      <c r="L559" s="24" t="n">
        <f aca="false">IF(47&lt;=NW,SAT1+328,"")</f>
        <v>46346</v>
      </c>
      <c r="M559" s="25" t="n">
        <f aca="false">IF(AND(47&lt;=NW,47&gt;=START_Z),1,0)</f>
        <v>1</v>
      </c>
      <c r="N559" s="26" t="n">
        <f aca="false">IFERROR(INDEX(RT_AZZ,MATCH(L559,RT_K,1)),INDEX(RT_AZZ,1))</f>
        <v>1</v>
      </c>
      <c r="P559" s="26" t="n">
        <f aca="false">IFERROR(INDEX(RT_GYP,MATCH(L559,RT_K,1)),INDEX(RT_GYP,1))</f>
        <v>2.5</v>
      </c>
      <c r="R559" s="0" t="n">
        <v>47</v>
      </c>
      <c r="S559" s="0" t="n">
        <v>47</v>
      </c>
    </row>
    <row r="560" customFormat="false" ht="25.5" hidden="false" customHeight="true" outlineLevel="0" collapsed="false">
      <c r="A560" s="49" t="s">
        <v>22</v>
      </c>
      <c r="B560" s="49" t="s">
        <v>23</v>
      </c>
      <c r="C560" s="49" t="s">
        <v>24</v>
      </c>
      <c r="D560" s="49" t="s">
        <v>25</v>
      </c>
      <c r="E560" s="49" t="s">
        <v>26</v>
      </c>
      <c r="F560" s="49" t="s">
        <v>33</v>
      </c>
      <c r="G560" s="49" t="s">
        <v>34</v>
      </c>
      <c r="H560" s="49" t="s">
        <v>30</v>
      </c>
      <c r="S560" s="0" t="n">
        <v>47</v>
      </c>
    </row>
    <row r="561" customFormat="false" ht="15" hidden="false" customHeight="false" outlineLevel="0" collapsed="false">
      <c r="A561" s="28" t="n">
        <f aca="false">IF(47&lt;=NW,SAT1+322,"")</f>
        <v>46340</v>
      </c>
      <c r="B561" s="29" t="str">
        <f aca="false">IF(A561="","",CHOOSE(WEEKDAY(A561,1),"الأحد","الاثنين","الثلاثاء","الأربعاء","الخميس","الجمعة","السبت"))</f>
        <v>السبت</v>
      </c>
      <c r="C561" s="30"/>
      <c r="D561" s="30"/>
      <c r="E561" s="31" t="str">
        <f aca="false">IF(OR(M561=0,K561="",L561=""),"",MOD(L561-K561,1))</f>
        <v/>
      </c>
      <c r="F561" s="32" t="str">
        <f aca="false">IF(OR(E561="",M561=0),"",IF(ROUND_MODE="للأعلى",CEILING(ROUND((E561*24*$N$559),3),0.25),ROUND((E561*24*$N$559)*4,0)/4))</f>
        <v/>
      </c>
      <c r="G561" s="30"/>
      <c r="H561" s="30"/>
      <c r="K561" s="33" t="str">
        <f aca="false">IF(OR(M561=0,C561=""),"",IF(ISNUMBER(C561),MOD(C561,1),IFERROR(INDEX(القوائم!$B$1:$B$288,MATCH(TRIM(C561),القوائم!$A$1:$A$288,0)),IFERROR(MOD(TIMEVALUE(C561),1),""))))</f>
        <v/>
      </c>
      <c r="L561" s="33" t="str">
        <f aca="false">IF(OR(M561=0,D561=""),"",IF(ISNUMBER(D561),MOD(D561,1),IFERROR(INDEX(القوائم!$B$1:$B$288,MATCH(TRIM(D561),القوائم!$A$1:$A$288,0)),IFERROR(MOD(TIMEVALUE(D561),1),""))))</f>
        <v/>
      </c>
      <c r="M561" s="25" t="n">
        <f aca="false">M559</f>
        <v>1</v>
      </c>
      <c r="Q561" s="25" t="n">
        <f aca="false">IF(N(F570)&gt;0,1,0)</f>
        <v>0</v>
      </c>
      <c r="S561" s="0" t="n">
        <v>47</v>
      </c>
    </row>
    <row r="562" customFormat="false" ht="15" hidden="false" customHeight="false" outlineLevel="0" collapsed="false">
      <c r="A562" s="28" t="n">
        <f aca="false">IF(47&lt;=NW,SAT1+323,"")</f>
        <v>46341</v>
      </c>
      <c r="B562" s="29" t="str">
        <f aca="false">IF(A562="","",CHOOSE(WEEKDAY(A562,1),"الأحد","الاثنين","الثلاثاء","الأربعاء","الخميس","الجمعة","السبت"))</f>
        <v>الأحد</v>
      </c>
      <c r="C562" s="30"/>
      <c r="D562" s="30"/>
      <c r="E562" s="31" t="str">
        <f aca="false">IF(OR(M562=0,K562="",L562=""),"",MOD(L562-K562,1))</f>
        <v/>
      </c>
      <c r="F562" s="32" t="str">
        <f aca="false">IF(OR(E562="",M562=0),"",IF(ROUND_MODE="للأعلى",CEILING(ROUND((E562*24*$N$559),3),0.25),ROUND((E562*24*$N$559)*4,0)/4))</f>
        <v/>
      </c>
      <c r="G562" s="30"/>
      <c r="H562" s="30"/>
      <c r="K562" s="33" t="str">
        <f aca="false">IF(OR(M562=0,C562=""),"",IF(ISNUMBER(C562),MOD(C562,1),IFERROR(INDEX(القوائم!$B$1:$B$288,MATCH(TRIM(C562),القوائم!$A$1:$A$288,0)),IFERROR(MOD(TIMEVALUE(C562),1),""))))</f>
        <v/>
      </c>
      <c r="L562" s="33" t="str">
        <f aca="false">IF(OR(M562=0,D562=""),"",IF(ISNUMBER(D562),MOD(D562,1),IFERROR(INDEX(القوائم!$B$1:$B$288,MATCH(TRIM(D562),القوائم!$A$1:$A$288,0)),IFERROR(MOD(TIMEVALUE(D562),1),""))))</f>
        <v/>
      </c>
      <c r="M562" s="25" t="n">
        <f aca="false">M559</f>
        <v>1</v>
      </c>
      <c r="Q562" s="25" t="n">
        <f aca="false">IF(N(F570)&gt;0,1,0)</f>
        <v>0</v>
      </c>
      <c r="S562" s="0" t="n">
        <v>47</v>
      </c>
    </row>
    <row r="563" customFormat="false" ht="15" hidden="false" customHeight="false" outlineLevel="0" collapsed="false">
      <c r="A563" s="28" t="n">
        <f aca="false">IF(47&lt;=NW,SAT1+324,"")</f>
        <v>46342</v>
      </c>
      <c r="B563" s="29" t="str">
        <f aca="false">IF(A563="","",CHOOSE(WEEKDAY(A563,1),"الأحد","الاثنين","الثلاثاء","الأربعاء","الخميس","الجمعة","السبت"))</f>
        <v>الاثنين</v>
      </c>
      <c r="C563" s="30"/>
      <c r="D563" s="30"/>
      <c r="E563" s="31" t="str">
        <f aca="false">IF(OR(M563=0,K563="",L563=""),"",MOD(L563-K563,1))</f>
        <v/>
      </c>
      <c r="F563" s="32" t="str">
        <f aca="false">IF(OR(E563="",M563=0),"",IF(ROUND_MODE="للأعلى",CEILING(ROUND((E563*24*$N$559),3),0.25),ROUND((E563*24*$N$559)*4,0)/4))</f>
        <v/>
      </c>
      <c r="G563" s="30"/>
      <c r="H563" s="30"/>
      <c r="K563" s="33" t="str">
        <f aca="false">IF(OR(M563=0,C563=""),"",IF(ISNUMBER(C563),MOD(C563,1),IFERROR(INDEX(القوائم!$B$1:$B$288,MATCH(TRIM(C563),القوائم!$A$1:$A$288,0)),IFERROR(MOD(TIMEVALUE(C563),1),""))))</f>
        <v/>
      </c>
      <c r="L563" s="33" t="str">
        <f aca="false">IF(OR(M563=0,D563=""),"",IF(ISNUMBER(D563),MOD(D563,1),IFERROR(INDEX(القوائم!$B$1:$B$288,MATCH(TRIM(D563),القوائم!$A$1:$A$288,0)),IFERROR(MOD(TIMEVALUE(D563),1),""))))</f>
        <v/>
      </c>
      <c r="M563" s="25" t="n">
        <f aca="false">M559</f>
        <v>1</v>
      </c>
      <c r="Q563" s="25" t="n">
        <f aca="false">IF(N(F570)&gt;0,1,0)</f>
        <v>0</v>
      </c>
      <c r="S563" s="0" t="n">
        <v>47</v>
      </c>
    </row>
    <row r="564" customFormat="false" ht="15" hidden="false" customHeight="false" outlineLevel="0" collapsed="false">
      <c r="A564" s="28" t="n">
        <f aca="false">IF(47&lt;=NW,SAT1+325,"")</f>
        <v>46343</v>
      </c>
      <c r="B564" s="29" t="str">
        <f aca="false">IF(A564="","",CHOOSE(WEEKDAY(A564,1),"الأحد","الاثنين","الثلاثاء","الأربعاء","الخميس","الجمعة","السبت"))</f>
        <v>الثلاثاء</v>
      </c>
      <c r="C564" s="30"/>
      <c r="D564" s="30"/>
      <c r="E564" s="31" t="str">
        <f aca="false">IF(OR(M564=0,K564="",L564=""),"",MOD(L564-K564,1))</f>
        <v/>
      </c>
      <c r="F564" s="32" t="str">
        <f aca="false">IF(OR(E564="",M564=0),"",IF(ROUND_MODE="للأعلى",CEILING(ROUND((E564*24*$N$559),3),0.25),ROUND((E564*24*$N$559)*4,0)/4))</f>
        <v/>
      </c>
      <c r="G564" s="30"/>
      <c r="H564" s="30"/>
      <c r="K564" s="33" t="str">
        <f aca="false">IF(OR(M564=0,C564=""),"",IF(ISNUMBER(C564),MOD(C564,1),IFERROR(INDEX(القوائم!$B$1:$B$288,MATCH(TRIM(C564),القوائم!$A$1:$A$288,0)),IFERROR(MOD(TIMEVALUE(C564),1),""))))</f>
        <v/>
      </c>
      <c r="L564" s="33" t="str">
        <f aca="false">IF(OR(M564=0,D564=""),"",IF(ISNUMBER(D564),MOD(D564,1),IFERROR(INDEX(القوائم!$B$1:$B$288,MATCH(TRIM(D564),القوائم!$A$1:$A$288,0)),IFERROR(MOD(TIMEVALUE(D564),1),""))))</f>
        <v/>
      </c>
      <c r="M564" s="25" t="n">
        <f aca="false">M559</f>
        <v>1</v>
      </c>
      <c r="Q564" s="25" t="n">
        <f aca="false">IF(N(F570)&gt;0,1,0)</f>
        <v>0</v>
      </c>
      <c r="S564" s="0" t="n">
        <v>47</v>
      </c>
    </row>
    <row r="565" customFormat="false" ht="15" hidden="false" customHeight="false" outlineLevel="0" collapsed="false">
      <c r="A565" s="28" t="n">
        <f aca="false">IF(47&lt;=NW,SAT1+326,"")</f>
        <v>46344</v>
      </c>
      <c r="B565" s="29" t="str">
        <f aca="false">IF(A565="","",CHOOSE(WEEKDAY(A565,1),"الأحد","الاثنين","الثلاثاء","الأربعاء","الخميس","الجمعة","السبت"))</f>
        <v>الأربعاء</v>
      </c>
      <c r="C565" s="30"/>
      <c r="D565" s="30"/>
      <c r="E565" s="31" t="str">
        <f aca="false">IF(OR(M565=0,K565="",L565=""),"",MOD(L565-K565,1))</f>
        <v/>
      </c>
      <c r="F565" s="32" t="str">
        <f aca="false">IF(OR(E565="",M565=0),"",IF(ROUND_MODE="للأعلى",CEILING(ROUND((E565*24*$N$559),3),0.25),ROUND((E565*24*$N$559)*4,0)/4))</f>
        <v/>
      </c>
      <c r="G565" s="30"/>
      <c r="H565" s="30"/>
      <c r="K565" s="33" t="str">
        <f aca="false">IF(OR(M565=0,C565=""),"",IF(ISNUMBER(C565),MOD(C565,1),IFERROR(INDEX(القوائم!$B$1:$B$288,MATCH(TRIM(C565),القوائم!$A$1:$A$288,0)),IFERROR(MOD(TIMEVALUE(C565),1),""))))</f>
        <v/>
      </c>
      <c r="L565" s="33" t="str">
        <f aca="false">IF(OR(M565=0,D565=""),"",IF(ISNUMBER(D565),MOD(D565,1),IFERROR(INDEX(القوائم!$B$1:$B$288,MATCH(TRIM(D565),القوائم!$A$1:$A$288,0)),IFERROR(MOD(TIMEVALUE(D565),1),""))))</f>
        <v/>
      </c>
      <c r="M565" s="25" t="n">
        <f aca="false">M559</f>
        <v>1</v>
      </c>
      <c r="Q565" s="25" t="n">
        <f aca="false">IF(N(F570)&gt;0,1,0)</f>
        <v>0</v>
      </c>
      <c r="S565" s="0" t="n">
        <v>47</v>
      </c>
    </row>
    <row r="566" customFormat="false" ht="15" hidden="false" customHeight="false" outlineLevel="0" collapsed="false">
      <c r="A566" s="28" t="n">
        <f aca="false">IF(47&lt;=NW,SAT1+327,"")</f>
        <v>46345</v>
      </c>
      <c r="B566" s="29" t="str">
        <f aca="false">IF(A566="","",CHOOSE(WEEKDAY(A566,1),"الأحد","الاثنين","الثلاثاء","الأربعاء","الخميس","الجمعة","السبت"))</f>
        <v>الخميس</v>
      </c>
      <c r="C566" s="30"/>
      <c r="D566" s="30"/>
      <c r="E566" s="31" t="str">
        <f aca="false">IF(OR(M566=0,K566="",L566=""),"",MOD(L566-K566,1))</f>
        <v/>
      </c>
      <c r="F566" s="32" t="str">
        <f aca="false">IF(OR(E566="",M566=0),"",IF(ROUND_MODE="للأعلى",CEILING(ROUND((E566*24*$N$559),3),0.25),ROUND((E566*24*$N$559)*4,0)/4))</f>
        <v/>
      </c>
      <c r="G566" s="30"/>
      <c r="H566" s="30"/>
      <c r="K566" s="33" t="str">
        <f aca="false">IF(OR(M566=0,C566=""),"",IF(ISNUMBER(C566),MOD(C566,1),IFERROR(INDEX(القوائم!$B$1:$B$288,MATCH(TRIM(C566),القوائم!$A$1:$A$288,0)),IFERROR(MOD(TIMEVALUE(C566),1),""))))</f>
        <v/>
      </c>
      <c r="L566" s="33" t="str">
        <f aca="false">IF(OR(M566=0,D566=""),"",IF(ISNUMBER(D566),MOD(D566,1),IFERROR(INDEX(القوائم!$B$1:$B$288,MATCH(TRIM(D566),القوائم!$A$1:$A$288,0)),IFERROR(MOD(TIMEVALUE(D566),1),""))))</f>
        <v/>
      </c>
      <c r="M566" s="25" t="n">
        <f aca="false">M559</f>
        <v>1</v>
      </c>
      <c r="Q566" s="25" t="n">
        <f aca="false">IF(N(F570)&gt;0,1,0)</f>
        <v>0</v>
      </c>
      <c r="S566" s="0" t="n">
        <v>47</v>
      </c>
    </row>
    <row r="567" customFormat="false" ht="15" hidden="false" customHeight="false" outlineLevel="0" collapsed="false">
      <c r="A567" s="34" t="n">
        <f aca="false">IF(47&lt;=NW,SAT1+328,"")</f>
        <v>46346</v>
      </c>
      <c r="B567" s="35" t="str">
        <f aca="false">IF(A567="","",CHOOSE(WEEKDAY(A567,1),"الأحد","الاثنين","الثلاثاء","الأربعاء","الخميس","الجمعة","السبت"))</f>
        <v>الجمعة</v>
      </c>
      <c r="C567" s="30"/>
      <c r="D567" s="30"/>
      <c r="E567" s="31" t="str">
        <f aca="false">IF(OR(M567=0,K567="",L567=""),"",MOD(L567-K567,1))</f>
        <v/>
      </c>
      <c r="F567" s="32" t="str">
        <f aca="false">IF(OR(E567="",M567=0),"",IF(ROUND_MODE="للأعلى",CEILING(ROUND((E567*24*$N$559),3),0.25),ROUND((E567*24*$N$559)*4,0)/4))</f>
        <v/>
      </c>
      <c r="G567" s="30"/>
      <c r="H567" s="30"/>
      <c r="K567" s="33" t="str">
        <f aca="false">IF(OR(M567=0,C567=""),"",IF(ISNUMBER(C567),MOD(C567,1),IFERROR(INDEX(القوائم!$B$1:$B$288,MATCH(TRIM(C567),القوائم!$A$1:$A$288,0)),IFERROR(MOD(TIMEVALUE(C567),1),""))))</f>
        <v/>
      </c>
      <c r="L567" s="33" t="str">
        <f aca="false">IF(OR(M567=0,D567=""),"",IF(ISNUMBER(D567),MOD(D567,1),IFERROR(INDEX(القوائم!$B$1:$B$288,MATCH(TRIM(D567),القوائم!$A$1:$A$288,0)),IFERROR(MOD(TIMEVALUE(D567),1),""))))</f>
        <v/>
      </c>
      <c r="M567" s="25" t="n">
        <f aca="false">M559</f>
        <v>1</v>
      </c>
      <c r="Q567" s="25" t="n">
        <f aca="false">IF(N(F570)&gt;0,1,0)</f>
        <v>0</v>
      </c>
      <c r="S567" s="0" t="n">
        <v>47</v>
      </c>
    </row>
    <row r="568" customFormat="false" ht="15" hidden="false" customHeight="false" outlineLevel="0" collapsed="false">
      <c r="A568" s="36" t="str">
        <f aca="false">IF(M559=1,"مجموع أيام الأسبوع 47","")</f>
        <v>مجموع أيام الأسبوع 47</v>
      </c>
      <c r="B568" s="36"/>
      <c r="C568" s="36"/>
      <c r="D568" s="36"/>
      <c r="E568" s="37" t="n">
        <f aca="false">IF(M559=1,SUM(E561:E567),"")</f>
        <v>0</v>
      </c>
      <c r="F568" s="38" t="n">
        <f aca="false">IF(M559=1,SUM(F561:F567),"")</f>
        <v>0</v>
      </c>
      <c r="G568" s="50" t="n">
        <f aca="false">IF(M559=1,SUMIFS(F561:F567,G561:G567,"نعم"),"")</f>
        <v>0</v>
      </c>
      <c r="H568" s="36"/>
      <c r="S568" s="0" t="n">
        <v>47</v>
      </c>
    </row>
    <row r="569" customFormat="false" ht="31.5" hidden="false" customHeight="true" outlineLevel="0" collapsed="false">
      <c r="A569" s="39" t="str">
        <f aca="false">IF(M559=1,"ساعات تحميل الجبسمبورد بهالأسبوع (رقم: 2 أو 1.5) ←","")</f>
        <v>ساعات تحميل الجبسمبورد بهالأسبوع (رقم: 2 أو 1.5) ←</v>
      </c>
      <c r="B569" s="39"/>
      <c r="C569" s="39"/>
      <c r="D569" s="39"/>
      <c r="E569" s="40"/>
      <c r="F569" s="42" t="n">
        <f aca="false">IF(M559=1,N(F568)+IF(ROUND_MODE="للأعلى",CEILING(ROUND((N(E569)*($P$559-$N$559)),3),0.25),ROUND((N(E569)*($P$559-$N$559))*4,0)/4)+N(C570),"")</f>
        <v>0</v>
      </c>
      <c r="G569" s="41" t="str">
        <f aca="false">IF(M559=1,"← المستحق النهائي للأسبوع مع الجبسمبورد والإكرامية","")</f>
        <v>← المستحق النهائي للأسبوع مع الجبسمبورد والإكرامية</v>
      </c>
      <c r="H569" s="41"/>
      <c r="S569" s="0" t="n">
        <v>47</v>
      </c>
    </row>
    <row r="570" customFormat="false" ht="25.5" hidden="false" customHeight="true" outlineLevel="0" collapsed="false">
      <c r="A570" s="39" t="str">
        <f aca="false">IF(M559=1,"إكرامية الأسبوع ←","")</f>
        <v>إكرامية الأسبوع ←</v>
      </c>
      <c r="B570" s="39"/>
      <c r="C570" s="44"/>
      <c r="D570" s="39" t="str">
        <f aca="false">IF(M559=1,"المدفوع (التسوية) ←","")</f>
        <v>المدفوع (التسوية) ←</v>
      </c>
      <c r="E570" s="39"/>
      <c r="F570" s="44"/>
      <c r="G570" s="45" t="str">
        <f aca="false">IF(M559=1,IF(N(F570)&gt;0,"✔ انقبض — الأسبوع مقفول","⏳ لسا ما انقبض"),"")</f>
        <v>⏳ لسا ما انقبض</v>
      </c>
      <c r="H570" s="45"/>
      <c r="S570" s="0" t="n">
        <v>47</v>
      </c>
    </row>
    <row r="571" customFormat="false" ht="27.75" hidden="false" customHeight="true" outlineLevel="0" collapsed="false">
      <c r="A571" s="48" t="str">
        <f aca="false">IF(48&lt;=NW,"من السبت "&amp;TEXT(DAY(SAT1+329),"00")&amp;"/"&amp;TEXT(MONTH(SAT1+329),"00")&amp;"/"&amp;YEAR(SAT1+329)&amp;" إلى الجمعة "&amp;TEXT(DAY(SAT1+335),"00")&amp;"/"&amp;TEXT(MONTH(SAT1+335),"00")&amp;"/"&amp;YEAR(SAT1+335)&amp;" · الأسبوع 48"&amp;"  (يوم القبض: الجمعة)"&amp;IF(48&lt;START_Z,"   — قبل أسبوع البداية (ما بينحسب)",""),"ما في أسبوع 48 هالسنة")</f>
        <v>من السبت 21/11/2026 إلى الجمعة 27/11/2026 · الأسبوع 48  (يوم القبض: الجمعة)</v>
      </c>
      <c r="B571" s="48"/>
      <c r="C571" s="48"/>
      <c r="D571" s="48"/>
      <c r="E571" s="48"/>
      <c r="F571" s="48"/>
      <c r="G571" s="48"/>
      <c r="H571" s="48"/>
      <c r="L571" s="24" t="n">
        <f aca="false">IF(48&lt;=NW,SAT1+335,"")</f>
        <v>46353</v>
      </c>
      <c r="M571" s="25" t="n">
        <f aca="false">IF(AND(48&lt;=NW,48&gt;=START_Z),1,0)</f>
        <v>1</v>
      </c>
      <c r="N571" s="26" t="n">
        <f aca="false">IFERROR(INDEX(RT_AZZ,MATCH(L571,RT_K,1)),INDEX(RT_AZZ,1))</f>
        <v>1</v>
      </c>
      <c r="P571" s="26" t="n">
        <f aca="false">IFERROR(INDEX(RT_GYP,MATCH(L571,RT_K,1)),INDEX(RT_GYP,1))</f>
        <v>2.5</v>
      </c>
      <c r="R571" s="0" t="n">
        <v>48</v>
      </c>
      <c r="S571" s="0" t="n">
        <v>48</v>
      </c>
    </row>
    <row r="572" customFormat="false" ht="25.5" hidden="false" customHeight="true" outlineLevel="0" collapsed="false">
      <c r="A572" s="49" t="s">
        <v>22</v>
      </c>
      <c r="B572" s="49" t="s">
        <v>23</v>
      </c>
      <c r="C572" s="49" t="s">
        <v>24</v>
      </c>
      <c r="D572" s="49" t="s">
        <v>25</v>
      </c>
      <c r="E572" s="49" t="s">
        <v>26</v>
      </c>
      <c r="F572" s="49" t="s">
        <v>33</v>
      </c>
      <c r="G572" s="49" t="s">
        <v>34</v>
      </c>
      <c r="H572" s="49" t="s">
        <v>30</v>
      </c>
      <c r="S572" s="0" t="n">
        <v>48</v>
      </c>
    </row>
    <row r="573" customFormat="false" ht="15" hidden="false" customHeight="false" outlineLevel="0" collapsed="false">
      <c r="A573" s="28" t="n">
        <f aca="false">IF(48&lt;=NW,SAT1+329,"")</f>
        <v>46347</v>
      </c>
      <c r="B573" s="29" t="str">
        <f aca="false">IF(A573="","",CHOOSE(WEEKDAY(A573,1),"الأحد","الاثنين","الثلاثاء","الأربعاء","الخميس","الجمعة","السبت"))</f>
        <v>السبت</v>
      </c>
      <c r="C573" s="30"/>
      <c r="D573" s="30"/>
      <c r="E573" s="31" t="str">
        <f aca="false">IF(OR(M573=0,K573="",L573=""),"",MOD(L573-K573,1))</f>
        <v/>
      </c>
      <c r="F573" s="32" t="str">
        <f aca="false">IF(OR(E573="",M573=0),"",IF(ROUND_MODE="للأعلى",CEILING(ROUND((E573*24*$N$571),3),0.25),ROUND((E573*24*$N$571)*4,0)/4))</f>
        <v/>
      </c>
      <c r="G573" s="30"/>
      <c r="H573" s="30"/>
      <c r="K573" s="33" t="str">
        <f aca="false">IF(OR(M573=0,C573=""),"",IF(ISNUMBER(C573),MOD(C573,1),IFERROR(INDEX(القوائم!$B$1:$B$288,MATCH(TRIM(C573),القوائم!$A$1:$A$288,0)),IFERROR(MOD(TIMEVALUE(C573),1),""))))</f>
        <v/>
      </c>
      <c r="L573" s="33" t="str">
        <f aca="false">IF(OR(M573=0,D573=""),"",IF(ISNUMBER(D573),MOD(D573,1),IFERROR(INDEX(القوائم!$B$1:$B$288,MATCH(TRIM(D573),القوائم!$A$1:$A$288,0)),IFERROR(MOD(TIMEVALUE(D573),1),""))))</f>
        <v/>
      </c>
      <c r="M573" s="25" t="n">
        <f aca="false">M571</f>
        <v>1</v>
      </c>
      <c r="Q573" s="25" t="n">
        <f aca="false">IF(N(F582)&gt;0,1,0)</f>
        <v>0</v>
      </c>
      <c r="S573" s="0" t="n">
        <v>48</v>
      </c>
    </row>
    <row r="574" customFormat="false" ht="15" hidden="false" customHeight="false" outlineLevel="0" collapsed="false">
      <c r="A574" s="28" t="n">
        <f aca="false">IF(48&lt;=NW,SAT1+330,"")</f>
        <v>46348</v>
      </c>
      <c r="B574" s="29" t="str">
        <f aca="false">IF(A574="","",CHOOSE(WEEKDAY(A574,1),"الأحد","الاثنين","الثلاثاء","الأربعاء","الخميس","الجمعة","السبت"))</f>
        <v>الأحد</v>
      </c>
      <c r="C574" s="30"/>
      <c r="D574" s="30"/>
      <c r="E574" s="31" t="str">
        <f aca="false">IF(OR(M574=0,K574="",L574=""),"",MOD(L574-K574,1))</f>
        <v/>
      </c>
      <c r="F574" s="32" t="str">
        <f aca="false">IF(OR(E574="",M574=0),"",IF(ROUND_MODE="للأعلى",CEILING(ROUND((E574*24*$N$571),3),0.25),ROUND((E574*24*$N$571)*4,0)/4))</f>
        <v/>
      </c>
      <c r="G574" s="30"/>
      <c r="H574" s="30"/>
      <c r="K574" s="33" t="str">
        <f aca="false">IF(OR(M574=0,C574=""),"",IF(ISNUMBER(C574),MOD(C574,1),IFERROR(INDEX(القوائم!$B$1:$B$288,MATCH(TRIM(C574),القوائم!$A$1:$A$288,0)),IFERROR(MOD(TIMEVALUE(C574),1),""))))</f>
        <v/>
      </c>
      <c r="L574" s="33" t="str">
        <f aca="false">IF(OR(M574=0,D574=""),"",IF(ISNUMBER(D574),MOD(D574,1),IFERROR(INDEX(القوائم!$B$1:$B$288,MATCH(TRIM(D574),القوائم!$A$1:$A$288,0)),IFERROR(MOD(TIMEVALUE(D574),1),""))))</f>
        <v/>
      </c>
      <c r="M574" s="25" t="n">
        <f aca="false">M571</f>
        <v>1</v>
      </c>
      <c r="Q574" s="25" t="n">
        <f aca="false">IF(N(F582)&gt;0,1,0)</f>
        <v>0</v>
      </c>
      <c r="S574" s="0" t="n">
        <v>48</v>
      </c>
    </row>
    <row r="575" customFormat="false" ht="15" hidden="false" customHeight="false" outlineLevel="0" collapsed="false">
      <c r="A575" s="28" t="n">
        <f aca="false">IF(48&lt;=NW,SAT1+331,"")</f>
        <v>46349</v>
      </c>
      <c r="B575" s="29" t="str">
        <f aca="false">IF(A575="","",CHOOSE(WEEKDAY(A575,1),"الأحد","الاثنين","الثلاثاء","الأربعاء","الخميس","الجمعة","السبت"))</f>
        <v>الاثنين</v>
      </c>
      <c r="C575" s="30"/>
      <c r="D575" s="30"/>
      <c r="E575" s="31" t="str">
        <f aca="false">IF(OR(M575=0,K575="",L575=""),"",MOD(L575-K575,1))</f>
        <v/>
      </c>
      <c r="F575" s="32" t="str">
        <f aca="false">IF(OR(E575="",M575=0),"",IF(ROUND_MODE="للأعلى",CEILING(ROUND((E575*24*$N$571),3),0.25),ROUND((E575*24*$N$571)*4,0)/4))</f>
        <v/>
      </c>
      <c r="G575" s="30"/>
      <c r="H575" s="30"/>
      <c r="K575" s="33" t="str">
        <f aca="false">IF(OR(M575=0,C575=""),"",IF(ISNUMBER(C575),MOD(C575,1),IFERROR(INDEX(القوائم!$B$1:$B$288,MATCH(TRIM(C575),القوائم!$A$1:$A$288,0)),IFERROR(MOD(TIMEVALUE(C575),1),""))))</f>
        <v/>
      </c>
      <c r="L575" s="33" t="str">
        <f aca="false">IF(OR(M575=0,D575=""),"",IF(ISNUMBER(D575),MOD(D575,1),IFERROR(INDEX(القوائم!$B$1:$B$288,MATCH(TRIM(D575),القوائم!$A$1:$A$288,0)),IFERROR(MOD(TIMEVALUE(D575),1),""))))</f>
        <v/>
      </c>
      <c r="M575" s="25" t="n">
        <f aca="false">M571</f>
        <v>1</v>
      </c>
      <c r="Q575" s="25" t="n">
        <f aca="false">IF(N(F582)&gt;0,1,0)</f>
        <v>0</v>
      </c>
      <c r="S575" s="0" t="n">
        <v>48</v>
      </c>
    </row>
    <row r="576" customFormat="false" ht="15" hidden="false" customHeight="false" outlineLevel="0" collapsed="false">
      <c r="A576" s="28" t="n">
        <f aca="false">IF(48&lt;=NW,SAT1+332,"")</f>
        <v>46350</v>
      </c>
      <c r="B576" s="29" t="str">
        <f aca="false">IF(A576="","",CHOOSE(WEEKDAY(A576,1),"الأحد","الاثنين","الثلاثاء","الأربعاء","الخميس","الجمعة","السبت"))</f>
        <v>الثلاثاء</v>
      </c>
      <c r="C576" s="30"/>
      <c r="D576" s="30"/>
      <c r="E576" s="31" t="str">
        <f aca="false">IF(OR(M576=0,K576="",L576=""),"",MOD(L576-K576,1))</f>
        <v/>
      </c>
      <c r="F576" s="32" t="str">
        <f aca="false">IF(OR(E576="",M576=0),"",IF(ROUND_MODE="للأعلى",CEILING(ROUND((E576*24*$N$571),3),0.25),ROUND((E576*24*$N$571)*4,0)/4))</f>
        <v/>
      </c>
      <c r="G576" s="30"/>
      <c r="H576" s="30"/>
      <c r="K576" s="33" t="str">
        <f aca="false">IF(OR(M576=0,C576=""),"",IF(ISNUMBER(C576),MOD(C576,1),IFERROR(INDEX(القوائم!$B$1:$B$288,MATCH(TRIM(C576),القوائم!$A$1:$A$288,0)),IFERROR(MOD(TIMEVALUE(C576),1),""))))</f>
        <v/>
      </c>
      <c r="L576" s="33" t="str">
        <f aca="false">IF(OR(M576=0,D576=""),"",IF(ISNUMBER(D576),MOD(D576,1),IFERROR(INDEX(القوائم!$B$1:$B$288,MATCH(TRIM(D576),القوائم!$A$1:$A$288,0)),IFERROR(MOD(TIMEVALUE(D576),1),""))))</f>
        <v/>
      </c>
      <c r="M576" s="25" t="n">
        <f aca="false">M571</f>
        <v>1</v>
      </c>
      <c r="Q576" s="25" t="n">
        <f aca="false">IF(N(F582)&gt;0,1,0)</f>
        <v>0</v>
      </c>
      <c r="S576" s="0" t="n">
        <v>48</v>
      </c>
    </row>
    <row r="577" customFormat="false" ht="15" hidden="false" customHeight="false" outlineLevel="0" collapsed="false">
      <c r="A577" s="28" t="n">
        <f aca="false">IF(48&lt;=NW,SAT1+333,"")</f>
        <v>46351</v>
      </c>
      <c r="B577" s="29" t="str">
        <f aca="false">IF(A577="","",CHOOSE(WEEKDAY(A577,1),"الأحد","الاثنين","الثلاثاء","الأربعاء","الخميس","الجمعة","السبت"))</f>
        <v>الأربعاء</v>
      </c>
      <c r="C577" s="30"/>
      <c r="D577" s="30"/>
      <c r="E577" s="31" t="str">
        <f aca="false">IF(OR(M577=0,K577="",L577=""),"",MOD(L577-K577,1))</f>
        <v/>
      </c>
      <c r="F577" s="32" t="str">
        <f aca="false">IF(OR(E577="",M577=0),"",IF(ROUND_MODE="للأعلى",CEILING(ROUND((E577*24*$N$571),3),0.25),ROUND((E577*24*$N$571)*4,0)/4))</f>
        <v/>
      </c>
      <c r="G577" s="30"/>
      <c r="H577" s="30"/>
      <c r="K577" s="33" t="str">
        <f aca="false">IF(OR(M577=0,C577=""),"",IF(ISNUMBER(C577),MOD(C577,1),IFERROR(INDEX(القوائم!$B$1:$B$288,MATCH(TRIM(C577),القوائم!$A$1:$A$288,0)),IFERROR(MOD(TIMEVALUE(C577),1),""))))</f>
        <v/>
      </c>
      <c r="L577" s="33" t="str">
        <f aca="false">IF(OR(M577=0,D577=""),"",IF(ISNUMBER(D577),MOD(D577,1),IFERROR(INDEX(القوائم!$B$1:$B$288,MATCH(TRIM(D577),القوائم!$A$1:$A$288,0)),IFERROR(MOD(TIMEVALUE(D577),1),""))))</f>
        <v/>
      </c>
      <c r="M577" s="25" t="n">
        <f aca="false">M571</f>
        <v>1</v>
      </c>
      <c r="Q577" s="25" t="n">
        <f aca="false">IF(N(F582)&gt;0,1,0)</f>
        <v>0</v>
      </c>
      <c r="S577" s="0" t="n">
        <v>48</v>
      </c>
    </row>
    <row r="578" customFormat="false" ht="15" hidden="false" customHeight="false" outlineLevel="0" collapsed="false">
      <c r="A578" s="28" t="n">
        <f aca="false">IF(48&lt;=NW,SAT1+334,"")</f>
        <v>46352</v>
      </c>
      <c r="B578" s="29" t="str">
        <f aca="false">IF(A578="","",CHOOSE(WEEKDAY(A578,1),"الأحد","الاثنين","الثلاثاء","الأربعاء","الخميس","الجمعة","السبت"))</f>
        <v>الخميس</v>
      </c>
      <c r="C578" s="30"/>
      <c r="D578" s="30"/>
      <c r="E578" s="31" t="str">
        <f aca="false">IF(OR(M578=0,K578="",L578=""),"",MOD(L578-K578,1))</f>
        <v/>
      </c>
      <c r="F578" s="32" t="str">
        <f aca="false">IF(OR(E578="",M578=0),"",IF(ROUND_MODE="للأعلى",CEILING(ROUND((E578*24*$N$571),3),0.25),ROUND((E578*24*$N$571)*4,0)/4))</f>
        <v/>
      </c>
      <c r="G578" s="30"/>
      <c r="H578" s="30"/>
      <c r="K578" s="33" t="str">
        <f aca="false">IF(OR(M578=0,C578=""),"",IF(ISNUMBER(C578),MOD(C578,1),IFERROR(INDEX(القوائم!$B$1:$B$288,MATCH(TRIM(C578),القوائم!$A$1:$A$288,0)),IFERROR(MOD(TIMEVALUE(C578),1),""))))</f>
        <v/>
      </c>
      <c r="L578" s="33" t="str">
        <f aca="false">IF(OR(M578=0,D578=""),"",IF(ISNUMBER(D578),MOD(D578,1),IFERROR(INDEX(القوائم!$B$1:$B$288,MATCH(TRIM(D578),القوائم!$A$1:$A$288,0)),IFERROR(MOD(TIMEVALUE(D578),1),""))))</f>
        <v/>
      </c>
      <c r="M578" s="25" t="n">
        <f aca="false">M571</f>
        <v>1</v>
      </c>
      <c r="Q578" s="25" t="n">
        <f aca="false">IF(N(F582)&gt;0,1,0)</f>
        <v>0</v>
      </c>
      <c r="S578" s="0" t="n">
        <v>48</v>
      </c>
    </row>
    <row r="579" customFormat="false" ht="15" hidden="false" customHeight="false" outlineLevel="0" collapsed="false">
      <c r="A579" s="34" t="n">
        <f aca="false">IF(48&lt;=NW,SAT1+335,"")</f>
        <v>46353</v>
      </c>
      <c r="B579" s="35" t="str">
        <f aca="false">IF(A579="","",CHOOSE(WEEKDAY(A579,1),"الأحد","الاثنين","الثلاثاء","الأربعاء","الخميس","الجمعة","السبت"))</f>
        <v>الجمعة</v>
      </c>
      <c r="C579" s="30"/>
      <c r="D579" s="30"/>
      <c r="E579" s="31" t="str">
        <f aca="false">IF(OR(M579=0,K579="",L579=""),"",MOD(L579-K579,1))</f>
        <v/>
      </c>
      <c r="F579" s="32" t="str">
        <f aca="false">IF(OR(E579="",M579=0),"",IF(ROUND_MODE="للأعلى",CEILING(ROUND((E579*24*$N$571),3),0.25),ROUND((E579*24*$N$571)*4,0)/4))</f>
        <v/>
      </c>
      <c r="G579" s="30"/>
      <c r="H579" s="30"/>
      <c r="K579" s="33" t="str">
        <f aca="false">IF(OR(M579=0,C579=""),"",IF(ISNUMBER(C579),MOD(C579,1),IFERROR(INDEX(القوائم!$B$1:$B$288,MATCH(TRIM(C579),القوائم!$A$1:$A$288,0)),IFERROR(MOD(TIMEVALUE(C579),1),""))))</f>
        <v/>
      </c>
      <c r="L579" s="33" t="str">
        <f aca="false">IF(OR(M579=0,D579=""),"",IF(ISNUMBER(D579),MOD(D579,1),IFERROR(INDEX(القوائم!$B$1:$B$288,MATCH(TRIM(D579),القوائم!$A$1:$A$288,0)),IFERROR(MOD(TIMEVALUE(D579),1),""))))</f>
        <v/>
      </c>
      <c r="M579" s="25" t="n">
        <f aca="false">M571</f>
        <v>1</v>
      </c>
      <c r="Q579" s="25" t="n">
        <f aca="false">IF(N(F582)&gt;0,1,0)</f>
        <v>0</v>
      </c>
      <c r="S579" s="0" t="n">
        <v>48</v>
      </c>
    </row>
    <row r="580" customFormat="false" ht="15" hidden="false" customHeight="false" outlineLevel="0" collapsed="false">
      <c r="A580" s="36" t="str">
        <f aca="false">IF(M571=1,"مجموع أيام الأسبوع 48","")</f>
        <v>مجموع أيام الأسبوع 48</v>
      </c>
      <c r="B580" s="36"/>
      <c r="C580" s="36"/>
      <c r="D580" s="36"/>
      <c r="E580" s="37" t="n">
        <f aca="false">IF(M571=1,SUM(E573:E579),"")</f>
        <v>0</v>
      </c>
      <c r="F580" s="38" t="n">
        <f aca="false">IF(M571=1,SUM(F573:F579),"")</f>
        <v>0</v>
      </c>
      <c r="G580" s="50" t="n">
        <f aca="false">IF(M571=1,SUMIFS(F573:F579,G573:G579,"نعم"),"")</f>
        <v>0</v>
      </c>
      <c r="H580" s="36"/>
      <c r="S580" s="0" t="n">
        <v>48</v>
      </c>
    </row>
    <row r="581" customFormat="false" ht="31.5" hidden="false" customHeight="true" outlineLevel="0" collapsed="false">
      <c r="A581" s="39" t="str">
        <f aca="false">IF(M571=1,"ساعات تحميل الجبسمبورد بهالأسبوع (رقم: 2 أو 1.5) ←","")</f>
        <v>ساعات تحميل الجبسمبورد بهالأسبوع (رقم: 2 أو 1.5) ←</v>
      </c>
      <c r="B581" s="39"/>
      <c r="C581" s="39"/>
      <c r="D581" s="39"/>
      <c r="E581" s="40"/>
      <c r="F581" s="42" t="n">
        <f aca="false">IF(M571=1,N(F580)+IF(ROUND_MODE="للأعلى",CEILING(ROUND((N(E581)*($P$571-$N$571)),3),0.25),ROUND((N(E581)*($P$571-$N$571))*4,0)/4)+N(C582),"")</f>
        <v>0</v>
      </c>
      <c r="G581" s="41" t="str">
        <f aca="false">IF(M571=1,"← المستحق النهائي للأسبوع مع الجبسمبورد والإكرامية","")</f>
        <v>← المستحق النهائي للأسبوع مع الجبسمبورد والإكرامية</v>
      </c>
      <c r="H581" s="41"/>
      <c r="S581" s="0" t="n">
        <v>48</v>
      </c>
    </row>
    <row r="582" customFormat="false" ht="25.5" hidden="false" customHeight="true" outlineLevel="0" collapsed="false">
      <c r="A582" s="39" t="str">
        <f aca="false">IF(M571=1,"إكرامية الأسبوع ←","")</f>
        <v>إكرامية الأسبوع ←</v>
      </c>
      <c r="B582" s="39"/>
      <c r="C582" s="44"/>
      <c r="D582" s="39" t="str">
        <f aca="false">IF(M571=1,"المدفوع (التسوية) ←","")</f>
        <v>المدفوع (التسوية) ←</v>
      </c>
      <c r="E582" s="39"/>
      <c r="F582" s="44"/>
      <c r="G582" s="45" t="str">
        <f aca="false">IF(M571=1,IF(N(F582)&gt;0,"✔ انقبض — الأسبوع مقفول","⏳ لسا ما انقبض"),"")</f>
        <v>⏳ لسا ما انقبض</v>
      </c>
      <c r="H582" s="45"/>
      <c r="S582" s="0" t="n">
        <v>48</v>
      </c>
    </row>
    <row r="583" customFormat="false" ht="27.75" hidden="false" customHeight="true" outlineLevel="0" collapsed="false">
      <c r="A583" s="48" t="str">
        <f aca="false">IF(49&lt;=NW,"من السبت "&amp;TEXT(DAY(SAT1+336),"00")&amp;"/"&amp;TEXT(MONTH(SAT1+336),"00")&amp;"/"&amp;YEAR(SAT1+336)&amp;" إلى الجمعة "&amp;TEXT(DAY(SAT1+342),"00")&amp;"/"&amp;TEXT(MONTH(SAT1+342),"00")&amp;"/"&amp;YEAR(SAT1+342)&amp;" · الأسبوع 49"&amp;"  (يوم القبض: الجمعة)"&amp;IF(49&lt;START_Z,"   — قبل أسبوع البداية (ما بينحسب)",""),"ما في أسبوع 49 هالسنة")</f>
        <v>من السبت 28/11/2026 إلى الجمعة 04/12/2026 · الأسبوع 49  (يوم القبض: الجمعة)</v>
      </c>
      <c r="B583" s="48"/>
      <c r="C583" s="48"/>
      <c r="D583" s="48"/>
      <c r="E583" s="48"/>
      <c r="F583" s="48"/>
      <c r="G583" s="48"/>
      <c r="H583" s="48"/>
      <c r="L583" s="24" t="n">
        <f aca="false">IF(49&lt;=NW,SAT1+342,"")</f>
        <v>46360</v>
      </c>
      <c r="M583" s="25" t="n">
        <f aca="false">IF(AND(49&lt;=NW,49&gt;=START_Z),1,0)</f>
        <v>1</v>
      </c>
      <c r="N583" s="26" t="n">
        <f aca="false">IFERROR(INDEX(RT_AZZ,MATCH(L583,RT_K,1)),INDEX(RT_AZZ,1))</f>
        <v>1</v>
      </c>
      <c r="P583" s="26" t="n">
        <f aca="false">IFERROR(INDEX(RT_GYP,MATCH(L583,RT_K,1)),INDEX(RT_GYP,1))</f>
        <v>2.5</v>
      </c>
      <c r="R583" s="0" t="n">
        <v>49</v>
      </c>
      <c r="S583" s="0" t="n">
        <v>49</v>
      </c>
    </row>
    <row r="584" customFormat="false" ht="25.5" hidden="false" customHeight="true" outlineLevel="0" collapsed="false">
      <c r="A584" s="49" t="s">
        <v>22</v>
      </c>
      <c r="B584" s="49" t="s">
        <v>23</v>
      </c>
      <c r="C584" s="49" t="s">
        <v>24</v>
      </c>
      <c r="D584" s="49" t="s">
        <v>25</v>
      </c>
      <c r="E584" s="49" t="s">
        <v>26</v>
      </c>
      <c r="F584" s="49" t="s">
        <v>33</v>
      </c>
      <c r="G584" s="49" t="s">
        <v>34</v>
      </c>
      <c r="H584" s="49" t="s">
        <v>30</v>
      </c>
      <c r="S584" s="0" t="n">
        <v>49</v>
      </c>
    </row>
    <row r="585" customFormat="false" ht="15" hidden="false" customHeight="false" outlineLevel="0" collapsed="false">
      <c r="A585" s="28" t="n">
        <f aca="false">IF(49&lt;=NW,SAT1+336,"")</f>
        <v>46354</v>
      </c>
      <c r="B585" s="29" t="str">
        <f aca="false">IF(A585="","",CHOOSE(WEEKDAY(A585,1),"الأحد","الاثنين","الثلاثاء","الأربعاء","الخميس","الجمعة","السبت"))</f>
        <v>السبت</v>
      </c>
      <c r="C585" s="30"/>
      <c r="D585" s="30"/>
      <c r="E585" s="31" t="str">
        <f aca="false">IF(OR(M585=0,K585="",L585=""),"",MOD(L585-K585,1))</f>
        <v/>
      </c>
      <c r="F585" s="32" t="str">
        <f aca="false">IF(OR(E585="",M585=0),"",IF(ROUND_MODE="للأعلى",CEILING(ROUND((E585*24*$N$583),3),0.25),ROUND((E585*24*$N$583)*4,0)/4))</f>
        <v/>
      </c>
      <c r="G585" s="30"/>
      <c r="H585" s="30"/>
      <c r="K585" s="33" t="str">
        <f aca="false">IF(OR(M585=0,C585=""),"",IF(ISNUMBER(C585),MOD(C585,1),IFERROR(INDEX(القوائم!$B$1:$B$288,MATCH(TRIM(C585),القوائم!$A$1:$A$288,0)),IFERROR(MOD(TIMEVALUE(C585),1),""))))</f>
        <v/>
      </c>
      <c r="L585" s="33" t="str">
        <f aca="false">IF(OR(M585=0,D585=""),"",IF(ISNUMBER(D585),MOD(D585,1),IFERROR(INDEX(القوائم!$B$1:$B$288,MATCH(TRIM(D585),القوائم!$A$1:$A$288,0)),IFERROR(MOD(TIMEVALUE(D585),1),""))))</f>
        <v/>
      </c>
      <c r="M585" s="25" t="n">
        <f aca="false">M583</f>
        <v>1</v>
      </c>
      <c r="Q585" s="25" t="n">
        <f aca="false">IF(N(F594)&gt;0,1,0)</f>
        <v>0</v>
      </c>
      <c r="S585" s="0" t="n">
        <v>49</v>
      </c>
    </row>
    <row r="586" customFormat="false" ht="15" hidden="false" customHeight="false" outlineLevel="0" collapsed="false">
      <c r="A586" s="28" t="n">
        <f aca="false">IF(49&lt;=NW,SAT1+337,"")</f>
        <v>46355</v>
      </c>
      <c r="B586" s="29" t="str">
        <f aca="false">IF(A586="","",CHOOSE(WEEKDAY(A586,1),"الأحد","الاثنين","الثلاثاء","الأربعاء","الخميس","الجمعة","السبت"))</f>
        <v>الأحد</v>
      </c>
      <c r="C586" s="30"/>
      <c r="D586" s="30"/>
      <c r="E586" s="31" t="str">
        <f aca="false">IF(OR(M586=0,K586="",L586=""),"",MOD(L586-K586,1))</f>
        <v/>
      </c>
      <c r="F586" s="32" t="str">
        <f aca="false">IF(OR(E586="",M586=0),"",IF(ROUND_MODE="للأعلى",CEILING(ROUND((E586*24*$N$583),3),0.25),ROUND((E586*24*$N$583)*4,0)/4))</f>
        <v/>
      </c>
      <c r="G586" s="30"/>
      <c r="H586" s="30"/>
      <c r="K586" s="33" t="str">
        <f aca="false">IF(OR(M586=0,C586=""),"",IF(ISNUMBER(C586),MOD(C586,1),IFERROR(INDEX(القوائم!$B$1:$B$288,MATCH(TRIM(C586),القوائم!$A$1:$A$288,0)),IFERROR(MOD(TIMEVALUE(C586),1),""))))</f>
        <v/>
      </c>
      <c r="L586" s="33" t="str">
        <f aca="false">IF(OR(M586=0,D586=""),"",IF(ISNUMBER(D586),MOD(D586,1),IFERROR(INDEX(القوائم!$B$1:$B$288,MATCH(TRIM(D586),القوائم!$A$1:$A$288,0)),IFERROR(MOD(TIMEVALUE(D586),1),""))))</f>
        <v/>
      </c>
      <c r="M586" s="25" t="n">
        <f aca="false">M583</f>
        <v>1</v>
      </c>
      <c r="Q586" s="25" t="n">
        <f aca="false">IF(N(F594)&gt;0,1,0)</f>
        <v>0</v>
      </c>
      <c r="S586" s="0" t="n">
        <v>49</v>
      </c>
    </row>
    <row r="587" customFormat="false" ht="15" hidden="false" customHeight="false" outlineLevel="0" collapsed="false">
      <c r="A587" s="28" t="n">
        <f aca="false">IF(49&lt;=NW,SAT1+338,"")</f>
        <v>46356</v>
      </c>
      <c r="B587" s="29" t="str">
        <f aca="false">IF(A587="","",CHOOSE(WEEKDAY(A587,1),"الأحد","الاثنين","الثلاثاء","الأربعاء","الخميس","الجمعة","السبت"))</f>
        <v>الاثنين</v>
      </c>
      <c r="C587" s="30"/>
      <c r="D587" s="30"/>
      <c r="E587" s="31" t="str">
        <f aca="false">IF(OR(M587=0,K587="",L587=""),"",MOD(L587-K587,1))</f>
        <v/>
      </c>
      <c r="F587" s="32" t="str">
        <f aca="false">IF(OR(E587="",M587=0),"",IF(ROUND_MODE="للأعلى",CEILING(ROUND((E587*24*$N$583),3),0.25),ROUND((E587*24*$N$583)*4,0)/4))</f>
        <v/>
      </c>
      <c r="G587" s="30"/>
      <c r="H587" s="30"/>
      <c r="K587" s="33" t="str">
        <f aca="false">IF(OR(M587=0,C587=""),"",IF(ISNUMBER(C587),MOD(C587,1),IFERROR(INDEX(القوائم!$B$1:$B$288,MATCH(TRIM(C587),القوائم!$A$1:$A$288,0)),IFERROR(MOD(TIMEVALUE(C587),1),""))))</f>
        <v/>
      </c>
      <c r="L587" s="33" t="str">
        <f aca="false">IF(OR(M587=0,D587=""),"",IF(ISNUMBER(D587),MOD(D587,1),IFERROR(INDEX(القوائم!$B$1:$B$288,MATCH(TRIM(D587),القوائم!$A$1:$A$288,0)),IFERROR(MOD(TIMEVALUE(D587),1),""))))</f>
        <v/>
      </c>
      <c r="M587" s="25" t="n">
        <f aca="false">M583</f>
        <v>1</v>
      </c>
      <c r="Q587" s="25" t="n">
        <f aca="false">IF(N(F594)&gt;0,1,0)</f>
        <v>0</v>
      </c>
      <c r="S587" s="0" t="n">
        <v>49</v>
      </c>
    </row>
    <row r="588" customFormat="false" ht="15" hidden="false" customHeight="false" outlineLevel="0" collapsed="false">
      <c r="A588" s="28" t="n">
        <f aca="false">IF(49&lt;=NW,SAT1+339,"")</f>
        <v>46357</v>
      </c>
      <c r="B588" s="29" t="str">
        <f aca="false">IF(A588="","",CHOOSE(WEEKDAY(A588,1),"الأحد","الاثنين","الثلاثاء","الأربعاء","الخميس","الجمعة","السبت"))</f>
        <v>الثلاثاء</v>
      </c>
      <c r="C588" s="30"/>
      <c r="D588" s="30"/>
      <c r="E588" s="31" t="str">
        <f aca="false">IF(OR(M588=0,K588="",L588=""),"",MOD(L588-K588,1))</f>
        <v/>
      </c>
      <c r="F588" s="32" t="str">
        <f aca="false">IF(OR(E588="",M588=0),"",IF(ROUND_MODE="للأعلى",CEILING(ROUND((E588*24*$N$583),3),0.25),ROUND((E588*24*$N$583)*4,0)/4))</f>
        <v/>
      </c>
      <c r="G588" s="30"/>
      <c r="H588" s="30"/>
      <c r="K588" s="33" t="str">
        <f aca="false">IF(OR(M588=0,C588=""),"",IF(ISNUMBER(C588),MOD(C588,1),IFERROR(INDEX(القوائم!$B$1:$B$288,MATCH(TRIM(C588),القوائم!$A$1:$A$288,0)),IFERROR(MOD(TIMEVALUE(C588),1),""))))</f>
        <v/>
      </c>
      <c r="L588" s="33" t="str">
        <f aca="false">IF(OR(M588=0,D588=""),"",IF(ISNUMBER(D588),MOD(D588,1),IFERROR(INDEX(القوائم!$B$1:$B$288,MATCH(TRIM(D588),القوائم!$A$1:$A$288,0)),IFERROR(MOD(TIMEVALUE(D588),1),""))))</f>
        <v/>
      </c>
      <c r="M588" s="25" t="n">
        <f aca="false">M583</f>
        <v>1</v>
      </c>
      <c r="Q588" s="25" t="n">
        <f aca="false">IF(N(F594)&gt;0,1,0)</f>
        <v>0</v>
      </c>
      <c r="S588" s="0" t="n">
        <v>49</v>
      </c>
    </row>
    <row r="589" customFormat="false" ht="15" hidden="false" customHeight="false" outlineLevel="0" collapsed="false">
      <c r="A589" s="28" t="n">
        <f aca="false">IF(49&lt;=NW,SAT1+340,"")</f>
        <v>46358</v>
      </c>
      <c r="B589" s="29" t="str">
        <f aca="false">IF(A589="","",CHOOSE(WEEKDAY(A589,1),"الأحد","الاثنين","الثلاثاء","الأربعاء","الخميس","الجمعة","السبت"))</f>
        <v>الأربعاء</v>
      </c>
      <c r="C589" s="30"/>
      <c r="D589" s="30"/>
      <c r="E589" s="31" t="str">
        <f aca="false">IF(OR(M589=0,K589="",L589=""),"",MOD(L589-K589,1))</f>
        <v/>
      </c>
      <c r="F589" s="32" t="str">
        <f aca="false">IF(OR(E589="",M589=0),"",IF(ROUND_MODE="للأعلى",CEILING(ROUND((E589*24*$N$583),3),0.25),ROUND((E589*24*$N$583)*4,0)/4))</f>
        <v/>
      </c>
      <c r="G589" s="30"/>
      <c r="H589" s="30"/>
      <c r="K589" s="33" t="str">
        <f aca="false">IF(OR(M589=0,C589=""),"",IF(ISNUMBER(C589),MOD(C589,1),IFERROR(INDEX(القوائم!$B$1:$B$288,MATCH(TRIM(C589),القوائم!$A$1:$A$288,0)),IFERROR(MOD(TIMEVALUE(C589),1),""))))</f>
        <v/>
      </c>
      <c r="L589" s="33" t="str">
        <f aca="false">IF(OR(M589=0,D589=""),"",IF(ISNUMBER(D589),MOD(D589,1),IFERROR(INDEX(القوائم!$B$1:$B$288,MATCH(TRIM(D589),القوائم!$A$1:$A$288,0)),IFERROR(MOD(TIMEVALUE(D589),1),""))))</f>
        <v/>
      </c>
      <c r="M589" s="25" t="n">
        <f aca="false">M583</f>
        <v>1</v>
      </c>
      <c r="Q589" s="25" t="n">
        <f aca="false">IF(N(F594)&gt;0,1,0)</f>
        <v>0</v>
      </c>
      <c r="S589" s="0" t="n">
        <v>49</v>
      </c>
    </row>
    <row r="590" customFormat="false" ht="15" hidden="false" customHeight="false" outlineLevel="0" collapsed="false">
      <c r="A590" s="28" t="n">
        <f aca="false">IF(49&lt;=NW,SAT1+341,"")</f>
        <v>46359</v>
      </c>
      <c r="B590" s="29" t="str">
        <f aca="false">IF(A590="","",CHOOSE(WEEKDAY(A590,1),"الأحد","الاثنين","الثلاثاء","الأربعاء","الخميس","الجمعة","السبت"))</f>
        <v>الخميس</v>
      </c>
      <c r="C590" s="30"/>
      <c r="D590" s="30"/>
      <c r="E590" s="31" t="str">
        <f aca="false">IF(OR(M590=0,K590="",L590=""),"",MOD(L590-K590,1))</f>
        <v/>
      </c>
      <c r="F590" s="32" t="str">
        <f aca="false">IF(OR(E590="",M590=0),"",IF(ROUND_MODE="للأعلى",CEILING(ROUND((E590*24*$N$583),3),0.25),ROUND((E590*24*$N$583)*4,0)/4))</f>
        <v/>
      </c>
      <c r="G590" s="30"/>
      <c r="H590" s="30"/>
      <c r="K590" s="33" t="str">
        <f aca="false">IF(OR(M590=0,C590=""),"",IF(ISNUMBER(C590),MOD(C590,1),IFERROR(INDEX(القوائم!$B$1:$B$288,MATCH(TRIM(C590),القوائم!$A$1:$A$288,0)),IFERROR(MOD(TIMEVALUE(C590),1),""))))</f>
        <v/>
      </c>
      <c r="L590" s="33" t="str">
        <f aca="false">IF(OR(M590=0,D590=""),"",IF(ISNUMBER(D590),MOD(D590,1),IFERROR(INDEX(القوائم!$B$1:$B$288,MATCH(TRIM(D590),القوائم!$A$1:$A$288,0)),IFERROR(MOD(TIMEVALUE(D590),1),""))))</f>
        <v/>
      </c>
      <c r="M590" s="25" t="n">
        <f aca="false">M583</f>
        <v>1</v>
      </c>
      <c r="Q590" s="25" t="n">
        <f aca="false">IF(N(F594)&gt;0,1,0)</f>
        <v>0</v>
      </c>
      <c r="S590" s="0" t="n">
        <v>49</v>
      </c>
    </row>
    <row r="591" customFormat="false" ht="15" hidden="false" customHeight="false" outlineLevel="0" collapsed="false">
      <c r="A591" s="34" t="n">
        <f aca="false">IF(49&lt;=NW,SAT1+342,"")</f>
        <v>46360</v>
      </c>
      <c r="B591" s="35" t="str">
        <f aca="false">IF(A591="","",CHOOSE(WEEKDAY(A591,1),"الأحد","الاثنين","الثلاثاء","الأربعاء","الخميس","الجمعة","السبت"))</f>
        <v>الجمعة</v>
      </c>
      <c r="C591" s="30"/>
      <c r="D591" s="30"/>
      <c r="E591" s="31" t="str">
        <f aca="false">IF(OR(M591=0,K591="",L591=""),"",MOD(L591-K591,1))</f>
        <v/>
      </c>
      <c r="F591" s="32" t="str">
        <f aca="false">IF(OR(E591="",M591=0),"",IF(ROUND_MODE="للأعلى",CEILING(ROUND((E591*24*$N$583),3),0.25),ROUND((E591*24*$N$583)*4,0)/4))</f>
        <v/>
      </c>
      <c r="G591" s="30"/>
      <c r="H591" s="30"/>
      <c r="K591" s="33" t="str">
        <f aca="false">IF(OR(M591=0,C591=""),"",IF(ISNUMBER(C591),MOD(C591,1),IFERROR(INDEX(القوائم!$B$1:$B$288,MATCH(TRIM(C591),القوائم!$A$1:$A$288,0)),IFERROR(MOD(TIMEVALUE(C591),1),""))))</f>
        <v/>
      </c>
      <c r="L591" s="33" t="str">
        <f aca="false">IF(OR(M591=0,D591=""),"",IF(ISNUMBER(D591),MOD(D591,1),IFERROR(INDEX(القوائم!$B$1:$B$288,MATCH(TRIM(D591),القوائم!$A$1:$A$288,0)),IFERROR(MOD(TIMEVALUE(D591),1),""))))</f>
        <v/>
      </c>
      <c r="M591" s="25" t="n">
        <f aca="false">M583</f>
        <v>1</v>
      </c>
      <c r="Q591" s="25" t="n">
        <f aca="false">IF(N(F594)&gt;0,1,0)</f>
        <v>0</v>
      </c>
      <c r="S591" s="0" t="n">
        <v>49</v>
      </c>
    </row>
    <row r="592" customFormat="false" ht="15" hidden="false" customHeight="false" outlineLevel="0" collapsed="false">
      <c r="A592" s="36" t="str">
        <f aca="false">IF(M583=1,"مجموع أيام الأسبوع 49","")</f>
        <v>مجموع أيام الأسبوع 49</v>
      </c>
      <c r="B592" s="36"/>
      <c r="C592" s="36"/>
      <c r="D592" s="36"/>
      <c r="E592" s="37" t="n">
        <f aca="false">IF(M583=1,SUM(E585:E591),"")</f>
        <v>0</v>
      </c>
      <c r="F592" s="38" t="n">
        <f aca="false">IF(M583=1,SUM(F585:F591),"")</f>
        <v>0</v>
      </c>
      <c r="G592" s="50" t="n">
        <f aca="false">IF(M583=1,SUMIFS(F585:F591,G585:G591,"نعم"),"")</f>
        <v>0</v>
      </c>
      <c r="H592" s="36"/>
      <c r="S592" s="0" t="n">
        <v>49</v>
      </c>
    </row>
    <row r="593" customFormat="false" ht="31.5" hidden="false" customHeight="true" outlineLevel="0" collapsed="false">
      <c r="A593" s="39" t="str">
        <f aca="false">IF(M583=1,"ساعات تحميل الجبسمبورد بهالأسبوع (رقم: 2 أو 1.5) ←","")</f>
        <v>ساعات تحميل الجبسمبورد بهالأسبوع (رقم: 2 أو 1.5) ←</v>
      </c>
      <c r="B593" s="39"/>
      <c r="C593" s="39"/>
      <c r="D593" s="39"/>
      <c r="E593" s="40"/>
      <c r="F593" s="42" t="n">
        <f aca="false">IF(M583=1,N(F592)+IF(ROUND_MODE="للأعلى",CEILING(ROUND((N(E593)*($P$583-$N$583)),3),0.25),ROUND((N(E593)*($P$583-$N$583))*4,0)/4)+N(C594),"")</f>
        <v>0</v>
      </c>
      <c r="G593" s="41" t="str">
        <f aca="false">IF(M583=1,"← المستحق النهائي للأسبوع مع الجبسمبورد والإكرامية","")</f>
        <v>← المستحق النهائي للأسبوع مع الجبسمبورد والإكرامية</v>
      </c>
      <c r="H593" s="41"/>
      <c r="S593" s="0" t="n">
        <v>49</v>
      </c>
    </row>
    <row r="594" customFormat="false" ht="25.5" hidden="false" customHeight="true" outlineLevel="0" collapsed="false">
      <c r="A594" s="39" t="str">
        <f aca="false">IF(M583=1,"إكرامية الأسبوع ←","")</f>
        <v>إكرامية الأسبوع ←</v>
      </c>
      <c r="B594" s="39"/>
      <c r="C594" s="44"/>
      <c r="D594" s="39" t="str">
        <f aca="false">IF(M583=1,"المدفوع (التسوية) ←","")</f>
        <v>المدفوع (التسوية) ←</v>
      </c>
      <c r="E594" s="39"/>
      <c r="F594" s="44"/>
      <c r="G594" s="45" t="str">
        <f aca="false">IF(M583=1,IF(N(F594)&gt;0,"✔ انقبض — الأسبوع مقفول","⏳ لسا ما انقبض"),"")</f>
        <v>⏳ لسا ما انقبض</v>
      </c>
      <c r="H594" s="45"/>
      <c r="S594" s="0" t="n">
        <v>49</v>
      </c>
    </row>
    <row r="595" customFormat="false" ht="27.75" hidden="false" customHeight="true" outlineLevel="0" collapsed="false">
      <c r="A595" s="48" t="str">
        <f aca="false">IF(50&lt;=NW,"من السبت "&amp;TEXT(DAY(SAT1+343),"00")&amp;"/"&amp;TEXT(MONTH(SAT1+343),"00")&amp;"/"&amp;YEAR(SAT1+343)&amp;" إلى الجمعة "&amp;TEXT(DAY(SAT1+349),"00")&amp;"/"&amp;TEXT(MONTH(SAT1+349),"00")&amp;"/"&amp;YEAR(SAT1+349)&amp;" · الأسبوع 50"&amp;"  (يوم القبض: الجمعة)"&amp;IF(50&lt;START_Z,"   — قبل أسبوع البداية (ما بينحسب)",""),"ما في أسبوع 50 هالسنة")</f>
        <v>من السبت 05/12/2026 إلى الجمعة 11/12/2026 · الأسبوع 50  (يوم القبض: الجمعة)</v>
      </c>
      <c r="B595" s="48"/>
      <c r="C595" s="48"/>
      <c r="D595" s="48"/>
      <c r="E595" s="48"/>
      <c r="F595" s="48"/>
      <c r="G595" s="48"/>
      <c r="H595" s="48"/>
      <c r="L595" s="24" t="n">
        <f aca="false">IF(50&lt;=NW,SAT1+349,"")</f>
        <v>46367</v>
      </c>
      <c r="M595" s="25" t="n">
        <f aca="false">IF(AND(50&lt;=NW,50&gt;=START_Z),1,0)</f>
        <v>1</v>
      </c>
      <c r="N595" s="26" t="n">
        <f aca="false">IFERROR(INDEX(RT_AZZ,MATCH(L595,RT_K,1)),INDEX(RT_AZZ,1))</f>
        <v>1</v>
      </c>
      <c r="P595" s="26" t="n">
        <f aca="false">IFERROR(INDEX(RT_GYP,MATCH(L595,RT_K,1)),INDEX(RT_GYP,1))</f>
        <v>2.5</v>
      </c>
      <c r="R595" s="0" t="n">
        <v>50</v>
      </c>
      <c r="S595" s="0" t="n">
        <v>50</v>
      </c>
    </row>
    <row r="596" customFormat="false" ht="25.5" hidden="false" customHeight="true" outlineLevel="0" collapsed="false">
      <c r="A596" s="49" t="s">
        <v>22</v>
      </c>
      <c r="B596" s="49" t="s">
        <v>23</v>
      </c>
      <c r="C596" s="49" t="s">
        <v>24</v>
      </c>
      <c r="D596" s="49" t="s">
        <v>25</v>
      </c>
      <c r="E596" s="49" t="s">
        <v>26</v>
      </c>
      <c r="F596" s="49" t="s">
        <v>33</v>
      </c>
      <c r="G596" s="49" t="s">
        <v>34</v>
      </c>
      <c r="H596" s="49" t="s">
        <v>30</v>
      </c>
      <c r="S596" s="0" t="n">
        <v>50</v>
      </c>
    </row>
    <row r="597" customFormat="false" ht="15" hidden="false" customHeight="false" outlineLevel="0" collapsed="false">
      <c r="A597" s="28" t="n">
        <f aca="false">IF(50&lt;=NW,SAT1+343,"")</f>
        <v>46361</v>
      </c>
      <c r="B597" s="29" t="str">
        <f aca="false">IF(A597="","",CHOOSE(WEEKDAY(A597,1),"الأحد","الاثنين","الثلاثاء","الأربعاء","الخميس","الجمعة","السبت"))</f>
        <v>السبت</v>
      </c>
      <c r="C597" s="30"/>
      <c r="D597" s="30"/>
      <c r="E597" s="31" t="str">
        <f aca="false">IF(OR(M597=0,K597="",L597=""),"",MOD(L597-K597,1))</f>
        <v/>
      </c>
      <c r="F597" s="32" t="str">
        <f aca="false">IF(OR(E597="",M597=0),"",IF(ROUND_MODE="للأعلى",CEILING(ROUND((E597*24*$N$595),3),0.25),ROUND((E597*24*$N$595)*4,0)/4))</f>
        <v/>
      </c>
      <c r="G597" s="30"/>
      <c r="H597" s="30"/>
      <c r="K597" s="33" t="str">
        <f aca="false">IF(OR(M597=0,C597=""),"",IF(ISNUMBER(C597),MOD(C597,1),IFERROR(INDEX(القوائم!$B$1:$B$288,MATCH(TRIM(C597),القوائم!$A$1:$A$288,0)),IFERROR(MOD(TIMEVALUE(C597),1),""))))</f>
        <v/>
      </c>
      <c r="L597" s="33" t="str">
        <f aca="false">IF(OR(M597=0,D597=""),"",IF(ISNUMBER(D597),MOD(D597,1),IFERROR(INDEX(القوائم!$B$1:$B$288,MATCH(TRIM(D597),القوائم!$A$1:$A$288,0)),IFERROR(MOD(TIMEVALUE(D597),1),""))))</f>
        <v/>
      </c>
      <c r="M597" s="25" t="n">
        <f aca="false">M595</f>
        <v>1</v>
      </c>
      <c r="Q597" s="25" t="n">
        <f aca="false">IF(N(F606)&gt;0,1,0)</f>
        <v>0</v>
      </c>
      <c r="S597" s="0" t="n">
        <v>50</v>
      </c>
    </row>
    <row r="598" customFormat="false" ht="15" hidden="false" customHeight="false" outlineLevel="0" collapsed="false">
      <c r="A598" s="28" t="n">
        <f aca="false">IF(50&lt;=NW,SAT1+344,"")</f>
        <v>46362</v>
      </c>
      <c r="B598" s="29" t="str">
        <f aca="false">IF(A598="","",CHOOSE(WEEKDAY(A598,1),"الأحد","الاثنين","الثلاثاء","الأربعاء","الخميس","الجمعة","السبت"))</f>
        <v>الأحد</v>
      </c>
      <c r="C598" s="30"/>
      <c r="D598" s="30"/>
      <c r="E598" s="31" t="str">
        <f aca="false">IF(OR(M598=0,K598="",L598=""),"",MOD(L598-K598,1))</f>
        <v/>
      </c>
      <c r="F598" s="32" t="str">
        <f aca="false">IF(OR(E598="",M598=0),"",IF(ROUND_MODE="للأعلى",CEILING(ROUND((E598*24*$N$595),3),0.25),ROUND((E598*24*$N$595)*4,0)/4))</f>
        <v/>
      </c>
      <c r="G598" s="30"/>
      <c r="H598" s="30"/>
      <c r="K598" s="33" t="str">
        <f aca="false">IF(OR(M598=0,C598=""),"",IF(ISNUMBER(C598),MOD(C598,1),IFERROR(INDEX(القوائم!$B$1:$B$288,MATCH(TRIM(C598),القوائم!$A$1:$A$288,0)),IFERROR(MOD(TIMEVALUE(C598),1),""))))</f>
        <v/>
      </c>
      <c r="L598" s="33" t="str">
        <f aca="false">IF(OR(M598=0,D598=""),"",IF(ISNUMBER(D598),MOD(D598,1),IFERROR(INDEX(القوائم!$B$1:$B$288,MATCH(TRIM(D598),القوائم!$A$1:$A$288,0)),IFERROR(MOD(TIMEVALUE(D598),1),""))))</f>
        <v/>
      </c>
      <c r="M598" s="25" t="n">
        <f aca="false">M595</f>
        <v>1</v>
      </c>
      <c r="Q598" s="25" t="n">
        <f aca="false">IF(N(F606)&gt;0,1,0)</f>
        <v>0</v>
      </c>
      <c r="S598" s="0" t="n">
        <v>50</v>
      </c>
    </row>
    <row r="599" customFormat="false" ht="15" hidden="false" customHeight="false" outlineLevel="0" collapsed="false">
      <c r="A599" s="28" t="n">
        <f aca="false">IF(50&lt;=NW,SAT1+345,"")</f>
        <v>46363</v>
      </c>
      <c r="B599" s="29" t="str">
        <f aca="false">IF(A599="","",CHOOSE(WEEKDAY(A599,1),"الأحد","الاثنين","الثلاثاء","الأربعاء","الخميس","الجمعة","السبت"))</f>
        <v>الاثنين</v>
      </c>
      <c r="C599" s="30"/>
      <c r="D599" s="30"/>
      <c r="E599" s="31" t="str">
        <f aca="false">IF(OR(M599=0,K599="",L599=""),"",MOD(L599-K599,1))</f>
        <v/>
      </c>
      <c r="F599" s="32" t="str">
        <f aca="false">IF(OR(E599="",M599=0),"",IF(ROUND_MODE="للأعلى",CEILING(ROUND((E599*24*$N$595),3),0.25),ROUND((E599*24*$N$595)*4,0)/4))</f>
        <v/>
      </c>
      <c r="G599" s="30"/>
      <c r="H599" s="30"/>
      <c r="K599" s="33" t="str">
        <f aca="false">IF(OR(M599=0,C599=""),"",IF(ISNUMBER(C599),MOD(C599,1),IFERROR(INDEX(القوائم!$B$1:$B$288,MATCH(TRIM(C599),القوائم!$A$1:$A$288,0)),IFERROR(MOD(TIMEVALUE(C599),1),""))))</f>
        <v/>
      </c>
      <c r="L599" s="33" t="str">
        <f aca="false">IF(OR(M599=0,D599=""),"",IF(ISNUMBER(D599),MOD(D599,1),IFERROR(INDEX(القوائم!$B$1:$B$288,MATCH(TRIM(D599),القوائم!$A$1:$A$288,0)),IFERROR(MOD(TIMEVALUE(D599),1),""))))</f>
        <v/>
      </c>
      <c r="M599" s="25" t="n">
        <f aca="false">M595</f>
        <v>1</v>
      </c>
      <c r="Q599" s="25" t="n">
        <f aca="false">IF(N(F606)&gt;0,1,0)</f>
        <v>0</v>
      </c>
      <c r="S599" s="0" t="n">
        <v>50</v>
      </c>
    </row>
    <row r="600" customFormat="false" ht="15" hidden="false" customHeight="false" outlineLevel="0" collapsed="false">
      <c r="A600" s="28" t="n">
        <f aca="false">IF(50&lt;=NW,SAT1+346,"")</f>
        <v>46364</v>
      </c>
      <c r="B600" s="29" t="str">
        <f aca="false">IF(A600="","",CHOOSE(WEEKDAY(A600,1),"الأحد","الاثنين","الثلاثاء","الأربعاء","الخميس","الجمعة","السبت"))</f>
        <v>الثلاثاء</v>
      </c>
      <c r="C600" s="30"/>
      <c r="D600" s="30"/>
      <c r="E600" s="31" t="str">
        <f aca="false">IF(OR(M600=0,K600="",L600=""),"",MOD(L600-K600,1))</f>
        <v/>
      </c>
      <c r="F600" s="32" t="str">
        <f aca="false">IF(OR(E600="",M600=0),"",IF(ROUND_MODE="للأعلى",CEILING(ROUND((E600*24*$N$595),3),0.25),ROUND((E600*24*$N$595)*4,0)/4))</f>
        <v/>
      </c>
      <c r="G600" s="30"/>
      <c r="H600" s="30"/>
      <c r="K600" s="33" t="str">
        <f aca="false">IF(OR(M600=0,C600=""),"",IF(ISNUMBER(C600),MOD(C600,1),IFERROR(INDEX(القوائم!$B$1:$B$288,MATCH(TRIM(C600),القوائم!$A$1:$A$288,0)),IFERROR(MOD(TIMEVALUE(C600),1),""))))</f>
        <v/>
      </c>
      <c r="L600" s="33" t="str">
        <f aca="false">IF(OR(M600=0,D600=""),"",IF(ISNUMBER(D600),MOD(D600,1),IFERROR(INDEX(القوائم!$B$1:$B$288,MATCH(TRIM(D600),القوائم!$A$1:$A$288,0)),IFERROR(MOD(TIMEVALUE(D600),1),""))))</f>
        <v/>
      </c>
      <c r="M600" s="25" t="n">
        <f aca="false">M595</f>
        <v>1</v>
      </c>
      <c r="Q600" s="25" t="n">
        <f aca="false">IF(N(F606)&gt;0,1,0)</f>
        <v>0</v>
      </c>
      <c r="S600" s="0" t="n">
        <v>50</v>
      </c>
    </row>
    <row r="601" customFormat="false" ht="15" hidden="false" customHeight="false" outlineLevel="0" collapsed="false">
      <c r="A601" s="28" t="n">
        <f aca="false">IF(50&lt;=NW,SAT1+347,"")</f>
        <v>46365</v>
      </c>
      <c r="B601" s="29" t="str">
        <f aca="false">IF(A601="","",CHOOSE(WEEKDAY(A601,1),"الأحد","الاثنين","الثلاثاء","الأربعاء","الخميس","الجمعة","السبت"))</f>
        <v>الأربعاء</v>
      </c>
      <c r="C601" s="30"/>
      <c r="D601" s="30"/>
      <c r="E601" s="31" t="str">
        <f aca="false">IF(OR(M601=0,K601="",L601=""),"",MOD(L601-K601,1))</f>
        <v/>
      </c>
      <c r="F601" s="32" t="str">
        <f aca="false">IF(OR(E601="",M601=0),"",IF(ROUND_MODE="للأعلى",CEILING(ROUND((E601*24*$N$595),3),0.25),ROUND((E601*24*$N$595)*4,0)/4))</f>
        <v/>
      </c>
      <c r="G601" s="30"/>
      <c r="H601" s="30"/>
      <c r="K601" s="33" t="str">
        <f aca="false">IF(OR(M601=0,C601=""),"",IF(ISNUMBER(C601),MOD(C601,1),IFERROR(INDEX(القوائم!$B$1:$B$288,MATCH(TRIM(C601),القوائم!$A$1:$A$288,0)),IFERROR(MOD(TIMEVALUE(C601),1),""))))</f>
        <v/>
      </c>
      <c r="L601" s="33" t="str">
        <f aca="false">IF(OR(M601=0,D601=""),"",IF(ISNUMBER(D601),MOD(D601,1),IFERROR(INDEX(القوائم!$B$1:$B$288,MATCH(TRIM(D601),القوائم!$A$1:$A$288,0)),IFERROR(MOD(TIMEVALUE(D601),1),""))))</f>
        <v/>
      </c>
      <c r="M601" s="25" t="n">
        <f aca="false">M595</f>
        <v>1</v>
      </c>
      <c r="Q601" s="25" t="n">
        <f aca="false">IF(N(F606)&gt;0,1,0)</f>
        <v>0</v>
      </c>
      <c r="S601" s="0" t="n">
        <v>50</v>
      </c>
    </row>
    <row r="602" customFormat="false" ht="15" hidden="false" customHeight="false" outlineLevel="0" collapsed="false">
      <c r="A602" s="28" t="n">
        <f aca="false">IF(50&lt;=NW,SAT1+348,"")</f>
        <v>46366</v>
      </c>
      <c r="B602" s="29" t="str">
        <f aca="false">IF(A602="","",CHOOSE(WEEKDAY(A602,1),"الأحد","الاثنين","الثلاثاء","الأربعاء","الخميس","الجمعة","السبت"))</f>
        <v>الخميس</v>
      </c>
      <c r="C602" s="30"/>
      <c r="D602" s="30"/>
      <c r="E602" s="31" t="str">
        <f aca="false">IF(OR(M602=0,K602="",L602=""),"",MOD(L602-K602,1))</f>
        <v/>
      </c>
      <c r="F602" s="32" t="str">
        <f aca="false">IF(OR(E602="",M602=0),"",IF(ROUND_MODE="للأعلى",CEILING(ROUND((E602*24*$N$595),3),0.25),ROUND((E602*24*$N$595)*4,0)/4))</f>
        <v/>
      </c>
      <c r="G602" s="30"/>
      <c r="H602" s="30"/>
      <c r="K602" s="33" t="str">
        <f aca="false">IF(OR(M602=0,C602=""),"",IF(ISNUMBER(C602),MOD(C602,1),IFERROR(INDEX(القوائم!$B$1:$B$288,MATCH(TRIM(C602),القوائم!$A$1:$A$288,0)),IFERROR(MOD(TIMEVALUE(C602),1),""))))</f>
        <v/>
      </c>
      <c r="L602" s="33" t="str">
        <f aca="false">IF(OR(M602=0,D602=""),"",IF(ISNUMBER(D602),MOD(D602,1),IFERROR(INDEX(القوائم!$B$1:$B$288,MATCH(TRIM(D602),القوائم!$A$1:$A$288,0)),IFERROR(MOD(TIMEVALUE(D602),1),""))))</f>
        <v/>
      </c>
      <c r="M602" s="25" t="n">
        <f aca="false">M595</f>
        <v>1</v>
      </c>
      <c r="Q602" s="25" t="n">
        <f aca="false">IF(N(F606)&gt;0,1,0)</f>
        <v>0</v>
      </c>
      <c r="S602" s="0" t="n">
        <v>50</v>
      </c>
    </row>
    <row r="603" customFormat="false" ht="15" hidden="false" customHeight="false" outlineLevel="0" collapsed="false">
      <c r="A603" s="34" t="n">
        <f aca="false">IF(50&lt;=NW,SAT1+349,"")</f>
        <v>46367</v>
      </c>
      <c r="B603" s="35" t="str">
        <f aca="false">IF(A603="","",CHOOSE(WEEKDAY(A603,1),"الأحد","الاثنين","الثلاثاء","الأربعاء","الخميس","الجمعة","السبت"))</f>
        <v>الجمعة</v>
      </c>
      <c r="C603" s="30"/>
      <c r="D603" s="30"/>
      <c r="E603" s="31" t="str">
        <f aca="false">IF(OR(M603=0,K603="",L603=""),"",MOD(L603-K603,1))</f>
        <v/>
      </c>
      <c r="F603" s="32" t="str">
        <f aca="false">IF(OR(E603="",M603=0),"",IF(ROUND_MODE="للأعلى",CEILING(ROUND((E603*24*$N$595),3),0.25),ROUND((E603*24*$N$595)*4,0)/4))</f>
        <v/>
      </c>
      <c r="G603" s="30"/>
      <c r="H603" s="30"/>
      <c r="K603" s="33" t="str">
        <f aca="false">IF(OR(M603=0,C603=""),"",IF(ISNUMBER(C603),MOD(C603,1),IFERROR(INDEX(القوائم!$B$1:$B$288,MATCH(TRIM(C603),القوائم!$A$1:$A$288,0)),IFERROR(MOD(TIMEVALUE(C603),1),""))))</f>
        <v/>
      </c>
      <c r="L603" s="33" t="str">
        <f aca="false">IF(OR(M603=0,D603=""),"",IF(ISNUMBER(D603),MOD(D603,1),IFERROR(INDEX(القوائم!$B$1:$B$288,MATCH(TRIM(D603),القوائم!$A$1:$A$288,0)),IFERROR(MOD(TIMEVALUE(D603),1),""))))</f>
        <v/>
      </c>
      <c r="M603" s="25" t="n">
        <f aca="false">M595</f>
        <v>1</v>
      </c>
      <c r="Q603" s="25" t="n">
        <f aca="false">IF(N(F606)&gt;0,1,0)</f>
        <v>0</v>
      </c>
      <c r="S603" s="0" t="n">
        <v>50</v>
      </c>
    </row>
    <row r="604" customFormat="false" ht="15" hidden="false" customHeight="false" outlineLevel="0" collapsed="false">
      <c r="A604" s="36" t="str">
        <f aca="false">IF(M595=1,"مجموع أيام الأسبوع 50","")</f>
        <v>مجموع أيام الأسبوع 50</v>
      </c>
      <c r="B604" s="36"/>
      <c r="C604" s="36"/>
      <c r="D604" s="36"/>
      <c r="E604" s="37" t="n">
        <f aca="false">IF(M595=1,SUM(E597:E603),"")</f>
        <v>0</v>
      </c>
      <c r="F604" s="38" t="n">
        <f aca="false">IF(M595=1,SUM(F597:F603),"")</f>
        <v>0</v>
      </c>
      <c r="G604" s="50" t="n">
        <f aca="false">IF(M595=1,SUMIFS(F597:F603,G597:G603,"نعم"),"")</f>
        <v>0</v>
      </c>
      <c r="H604" s="36"/>
      <c r="S604" s="0" t="n">
        <v>50</v>
      </c>
    </row>
    <row r="605" customFormat="false" ht="31.5" hidden="false" customHeight="true" outlineLevel="0" collapsed="false">
      <c r="A605" s="39" t="str">
        <f aca="false">IF(M595=1,"ساعات تحميل الجبسمبورد بهالأسبوع (رقم: 2 أو 1.5) ←","")</f>
        <v>ساعات تحميل الجبسمبورد بهالأسبوع (رقم: 2 أو 1.5) ←</v>
      </c>
      <c r="B605" s="39"/>
      <c r="C605" s="39"/>
      <c r="D605" s="39"/>
      <c r="E605" s="40"/>
      <c r="F605" s="42" t="n">
        <f aca="false">IF(M595=1,N(F604)+IF(ROUND_MODE="للأعلى",CEILING(ROUND((N(E605)*($P$595-$N$595)),3),0.25),ROUND((N(E605)*($P$595-$N$595))*4,0)/4)+N(C606),"")</f>
        <v>0</v>
      </c>
      <c r="G605" s="41" t="str">
        <f aca="false">IF(M595=1,"← المستحق النهائي للأسبوع مع الجبسمبورد والإكرامية","")</f>
        <v>← المستحق النهائي للأسبوع مع الجبسمبورد والإكرامية</v>
      </c>
      <c r="H605" s="41"/>
      <c r="S605" s="0" t="n">
        <v>50</v>
      </c>
    </row>
    <row r="606" customFormat="false" ht="25.5" hidden="false" customHeight="true" outlineLevel="0" collapsed="false">
      <c r="A606" s="39" t="str">
        <f aca="false">IF(M595=1,"إكرامية الأسبوع ←","")</f>
        <v>إكرامية الأسبوع ←</v>
      </c>
      <c r="B606" s="39"/>
      <c r="C606" s="44"/>
      <c r="D606" s="39" t="str">
        <f aca="false">IF(M595=1,"المدفوع (التسوية) ←","")</f>
        <v>المدفوع (التسوية) ←</v>
      </c>
      <c r="E606" s="39"/>
      <c r="F606" s="44"/>
      <c r="G606" s="45" t="str">
        <f aca="false">IF(M595=1,IF(N(F606)&gt;0,"✔ انقبض — الأسبوع مقفول","⏳ لسا ما انقبض"),"")</f>
        <v>⏳ لسا ما انقبض</v>
      </c>
      <c r="H606" s="45"/>
      <c r="S606" s="0" t="n">
        <v>50</v>
      </c>
    </row>
    <row r="607" customFormat="false" ht="27.75" hidden="false" customHeight="true" outlineLevel="0" collapsed="false">
      <c r="A607" s="48" t="str">
        <f aca="false">IF(51&lt;=NW,"من السبت "&amp;TEXT(DAY(SAT1+350),"00")&amp;"/"&amp;TEXT(MONTH(SAT1+350),"00")&amp;"/"&amp;YEAR(SAT1+350)&amp;" إلى الجمعة "&amp;TEXT(DAY(SAT1+356),"00")&amp;"/"&amp;TEXT(MONTH(SAT1+356),"00")&amp;"/"&amp;YEAR(SAT1+356)&amp;" · الأسبوع 51"&amp;"  (يوم القبض: الجمعة)"&amp;IF(51&lt;START_Z,"   — قبل أسبوع البداية (ما بينحسب)",""),"ما في أسبوع 51 هالسنة")</f>
        <v>من السبت 12/12/2026 إلى الجمعة 18/12/2026 · الأسبوع 51  (يوم القبض: الجمعة)</v>
      </c>
      <c r="B607" s="48"/>
      <c r="C607" s="48"/>
      <c r="D607" s="48"/>
      <c r="E607" s="48"/>
      <c r="F607" s="48"/>
      <c r="G607" s="48"/>
      <c r="H607" s="48"/>
      <c r="L607" s="24" t="n">
        <f aca="false">IF(51&lt;=NW,SAT1+356,"")</f>
        <v>46374</v>
      </c>
      <c r="M607" s="25" t="n">
        <f aca="false">IF(AND(51&lt;=NW,51&gt;=START_Z),1,0)</f>
        <v>1</v>
      </c>
      <c r="N607" s="26" t="n">
        <f aca="false">IFERROR(INDEX(RT_AZZ,MATCH(L607,RT_K,1)),INDEX(RT_AZZ,1))</f>
        <v>1</v>
      </c>
      <c r="P607" s="26" t="n">
        <f aca="false">IFERROR(INDEX(RT_GYP,MATCH(L607,RT_K,1)),INDEX(RT_GYP,1))</f>
        <v>2.5</v>
      </c>
      <c r="R607" s="0" t="n">
        <v>51</v>
      </c>
      <c r="S607" s="0" t="n">
        <v>51</v>
      </c>
    </row>
    <row r="608" customFormat="false" ht="25.5" hidden="false" customHeight="true" outlineLevel="0" collapsed="false">
      <c r="A608" s="49" t="s">
        <v>22</v>
      </c>
      <c r="B608" s="49" t="s">
        <v>23</v>
      </c>
      <c r="C608" s="49" t="s">
        <v>24</v>
      </c>
      <c r="D608" s="49" t="s">
        <v>25</v>
      </c>
      <c r="E608" s="49" t="s">
        <v>26</v>
      </c>
      <c r="F608" s="49" t="s">
        <v>33</v>
      </c>
      <c r="G608" s="49" t="s">
        <v>34</v>
      </c>
      <c r="H608" s="49" t="s">
        <v>30</v>
      </c>
      <c r="S608" s="0" t="n">
        <v>51</v>
      </c>
    </row>
    <row r="609" customFormat="false" ht="15" hidden="false" customHeight="false" outlineLevel="0" collapsed="false">
      <c r="A609" s="28" t="n">
        <f aca="false">IF(51&lt;=NW,SAT1+350,"")</f>
        <v>46368</v>
      </c>
      <c r="B609" s="29" t="str">
        <f aca="false">IF(A609="","",CHOOSE(WEEKDAY(A609,1),"الأحد","الاثنين","الثلاثاء","الأربعاء","الخميس","الجمعة","السبت"))</f>
        <v>السبت</v>
      </c>
      <c r="C609" s="30"/>
      <c r="D609" s="30"/>
      <c r="E609" s="31" t="str">
        <f aca="false">IF(OR(M609=0,K609="",L609=""),"",MOD(L609-K609,1))</f>
        <v/>
      </c>
      <c r="F609" s="32" t="str">
        <f aca="false">IF(OR(E609="",M609=0),"",IF(ROUND_MODE="للأعلى",CEILING(ROUND((E609*24*$N$607),3),0.25),ROUND((E609*24*$N$607)*4,0)/4))</f>
        <v/>
      </c>
      <c r="G609" s="30"/>
      <c r="H609" s="30"/>
      <c r="K609" s="33" t="str">
        <f aca="false">IF(OR(M609=0,C609=""),"",IF(ISNUMBER(C609),MOD(C609,1),IFERROR(INDEX(القوائم!$B$1:$B$288,MATCH(TRIM(C609),القوائم!$A$1:$A$288,0)),IFERROR(MOD(TIMEVALUE(C609),1),""))))</f>
        <v/>
      </c>
      <c r="L609" s="33" t="str">
        <f aca="false">IF(OR(M609=0,D609=""),"",IF(ISNUMBER(D609),MOD(D609,1),IFERROR(INDEX(القوائم!$B$1:$B$288,MATCH(TRIM(D609),القوائم!$A$1:$A$288,0)),IFERROR(MOD(TIMEVALUE(D609),1),""))))</f>
        <v/>
      </c>
      <c r="M609" s="25" t="n">
        <f aca="false">M607</f>
        <v>1</v>
      </c>
      <c r="Q609" s="25" t="n">
        <f aca="false">IF(N(F618)&gt;0,1,0)</f>
        <v>0</v>
      </c>
      <c r="S609" s="0" t="n">
        <v>51</v>
      </c>
    </row>
    <row r="610" customFormat="false" ht="15" hidden="false" customHeight="false" outlineLevel="0" collapsed="false">
      <c r="A610" s="28" t="n">
        <f aca="false">IF(51&lt;=NW,SAT1+351,"")</f>
        <v>46369</v>
      </c>
      <c r="B610" s="29" t="str">
        <f aca="false">IF(A610="","",CHOOSE(WEEKDAY(A610,1),"الأحد","الاثنين","الثلاثاء","الأربعاء","الخميس","الجمعة","السبت"))</f>
        <v>الأحد</v>
      </c>
      <c r="C610" s="30"/>
      <c r="D610" s="30"/>
      <c r="E610" s="31" t="str">
        <f aca="false">IF(OR(M610=0,K610="",L610=""),"",MOD(L610-K610,1))</f>
        <v/>
      </c>
      <c r="F610" s="32" t="str">
        <f aca="false">IF(OR(E610="",M610=0),"",IF(ROUND_MODE="للأعلى",CEILING(ROUND((E610*24*$N$607),3),0.25),ROUND((E610*24*$N$607)*4,0)/4))</f>
        <v/>
      </c>
      <c r="G610" s="30"/>
      <c r="H610" s="30"/>
      <c r="K610" s="33" t="str">
        <f aca="false">IF(OR(M610=0,C610=""),"",IF(ISNUMBER(C610),MOD(C610,1),IFERROR(INDEX(القوائم!$B$1:$B$288,MATCH(TRIM(C610),القوائم!$A$1:$A$288,0)),IFERROR(MOD(TIMEVALUE(C610),1),""))))</f>
        <v/>
      </c>
      <c r="L610" s="33" t="str">
        <f aca="false">IF(OR(M610=0,D610=""),"",IF(ISNUMBER(D610),MOD(D610,1),IFERROR(INDEX(القوائم!$B$1:$B$288,MATCH(TRIM(D610),القوائم!$A$1:$A$288,0)),IFERROR(MOD(TIMEVALUE(D610),1),""))))</f>
        <v/>
      </c>
      <c r="M610" s="25" t="n">
        <f aca="false">M607</f>
        <v>1</v>
      </c>
      <c r="Q610" s="25" t="n">
        <f aca="false">IF(N(F618)&gt;0,1,0)</f>
        <v>0</v>
      </c>
      <c r="S610" s="0" t="n">
        <v>51</v>
      </c>
    </row>
    <row r="611" customFormat="false" ht="15" hidden="false" customHeight="false" outlineLevel="0" collapsed="false">
      <c r="A611" s="28" t="n">
        <f aca="false">IF(51&lt;=NW,SAT1+352,"")</f>
        <v>46370</v>
      </c>
      <c r="B611" s="29" t="str">
        <f aca="false">IF(A611="","",CHOOSE(WEEKDAY(A611,1),"الأحد","الاثنين","الثلاثاء","الأربعاء","الخميس","الجمعة","السبت"))</f>
        <v>الاثنين</v>
      </c>
      <c r="C611" s="30"/>
      <c r="D611" s="30"/>
      <c r="E611" s="31" t="str">
        <f aca="false">IF(OR(M611=0,K611="",L611=""),"",MOD(L611-K611,1))</f>
        <v/>
      </c>
      <c r="F611" s="32" t="str">
        <f aca="false">IF(OR(E611="",M611=0),"",IF(ROUND_MODE="للأعلى",CEILING(ROUND((E611*24*$N$607),3),0.25),ROUND((E611*24*$N$607)*4,0)/4))</f>
        <v/>
      </c>
      <c r="G611" s="30"/>
      <c r="H611" s="30"/>
      <c r="K611" s="33" t="str">
        <f aca="false">IF(OR(M611=0,C611=""),"",IF(ISNUMBER(C611),MOD(C611,1),IFERROR(INDEX(القوائم!$B$1:$B$288,MATCH(TRIM(C611),القوائم!$A$1:$A$288,0)),IFERROR(MOD(TIMEVALUE(C611),1),""))))</f>
        <v/>
      </c>
      <c r="L611" s="33" t="str">
        <f aca="false">IF(OR(M611=0,D611=""),"",IF(ISNUMBER(D611),MOD(D611,1),IFERROR(INDEX(القوائم!$B$1:$B$288,MATCH(TRIM(D611),القوائم!$A$1:$A$288,0)),IFERROR(MOD(TIMEVALUE(D611),1),""))))</f>
        <v/>
      </c>
      <c r="M611" s="25" t="n">
        <f aca="false">M607</f>
        <v>1</v>
      </c>
      <c r="Q611" s="25" t="n">
        <f aca="false">IF(N(F618)&gt;0,1,0)</f>
        <v>0</v>
      </c>
      <c r="S611" s="0" t="n">
        <v>51</v>
      </c>
    </row>
    <row r="612" customFormat="false" ht="15" hidden="false" customHeight="false" outlineLevel="0" collapsed="false">
      <c r="A612" s="28" t="n">
        <f aca="false">IF(51&lt;=NW,SAT1+353,"")</f>
        <v>46371</v>
      </c>
      <c r="B612" s="29" t="str">
        <f aca="false">IF(A612="","",CHOOSE(WEEKDAY(A612,1),"الأحد","الاثنين","الثلاثاء","الأربعاء","الخميس","الجمعة","السبت"))</f>
        <v>الثلاثاء</v>
      </c>
      <c r="C612" s="30"/>
      <c r="D612" s="30"/>
      <c r="E612" s="31" t="str">
        <f aca="false">IF(OR(M612=0,K612="",L612=""),"",MOD(L612-K612,1))</f>
        <v/>
      </c>
      <c r="F612" s="32" t="str">
        <f aca="false">IF(OR(E612="",M612=0),"",IF(ROUND_MODE="للأعلى",CEILING(ROUND((E612*24*$N$607),3),0.25),ROUND((E612*24*$N$607)*4,0)/4))</f>
        <v/>
      </c>
      <c r="G612" s="30"/>
      <c r="H612" s="30"/>
      <c r="K612" s="33" t="str">
        <f aca="false">IF(OR(M612=0,C612=""),"",IF(ISNUMBER(C612),MOD(C612,1),IFERROR(INDEX(القوائم!$B$1:$B$288,MATCH(TRIM(C612),القوائم!$A$1:$A$288,0)),IFERROR(MOD(TIMEVALUE(C612),1),""))))</f>
        <v/>
      </c>
      <c r="L612" s="33" t="str">
        <f aca="false">IF(OR(M612=0,D612=""),"",IF(ISNUMBER(D612),MOD(D612,1),IFERROR(INDEX(القوائم!$B$1:$B$288,MATCH(TRIM(D612),القوائم!$A$1:$A$288,0)),IFERROR(MOD(TIMEVALUE(D612),1),""))))</f>
        <v/>
      </c>
      <c r="M612" s="25" t="n">
        <f aca="false">M607</f>
        <v>1</v>
      </c>
      <c r="Q612" s="25" t="n">
        <f aca="false">IF(N(F618)&gt;0,1,0)</f>
        <v>0</v>
      </c>
      <c r="S612" s="0" t="n">
        <v>51</v>
      </c>
    </row>
    <row r="613" customFormat="false" ht="15" hidden="false" customHeight="false" outlineLevel="0" collapsed="false">
      <c r="A613" s="28" t="n">
        <f aca="false">IF(51&lt;=NW,SAT1+354,"")</f>
        <v>46372</v>
      </c>
      <c r="B613" s="29" t="str">
        <f aca="false">IF(A613="","",CHOOSE(WEEKDAY(A613,1),"الأحد","الاثنين","الثلاثاء","الأربعاء","الخميس","الجمعة","السبت"))</f>
        <v>الأربعاء</v>
      </c>
      <c r="C613" s="30"/>
      <c r="D613" s="30"/>
      <c r="E613" s="31" t="str">
        <f aca="false">IF(OR(M613=0,K613="",L613=""),"",MOD(L613-K613,1))</f>
        <v/>
      </c>
      <c r="F613" s="32" t="str">
        <f aca="false">IF(OR(E613="",M613=0),"",IF(ROUND_MODE="للأعلى",CEILING(ROUND((E613*24*$N$607),3),0.25),ROUND((E613*24*$N$607)*4,0)/4))</f>
        <v/>
      </c>
      <c r="G613" s="30"/>
      <c r="H613" s="30"/>
      <c r="K613" s="33" t="str">
        <f aca="false">IF(OR(M613=0,C613=""),"",IF(ISNUMBER(C613),MOD(C613,1),IFERROR(INDEX(القوائم!$B$1:$B$288,MATCH(TRIM(C613),القوائم!$A$1:$A$288,0)),IFERROR(MOD(TIMEVALUE(C613),1),""))))</f>
        <v/>
      </c>
      <c r="L613" s="33" t="str">
        <f aca="false">IF(OR(M613=0,D613=""),"",IF(ISNUMBER(D613),MOD(D613,1),IFERROR(INDEX(القوائم!$B$1:$B$288,MATCH(TRIM(D613),القوائم!$A$1:$A$288,0)),IFERROR(MOD(TIMEVALUE(D613),1),""))))</f>
        <v/>
      </c>
      <c r="M613" s="25" t="n">
        <f aca="false">M607</f>
        <v>1</v>
      </c>
      <c r="Q613" s="25" t="n">
        <f aca="false">IF(N(F618)&gt;0,1,0)</f>
        <v>0</v>
      </c>
      <c r="S613" s="0" t="n">
        <v>51</v>
      </c>
    </row>
    <row r="614" customFormat="false" ht="15" hidden="false" customHeight="false" outlineLevel="0" collapsed="false">
      <c r="A614" s="28" t="n">
        <f aca="false">IF(51&lt;=NW,SAT1+355,"")</f>
        <v>46373</v>
      </c>
      <c r="B614" s="29" t="str">
        <f aca="false">IF(A614="","",CHOOSE(WEEKDAY(A614,1),"الأحد","الاثنين","الثلاثاء","الأربعاء","الخميس","الجمعة","السبت"))</f>
        <v>الخميس</v>
      </c>
      <c r="C614" s="30"/>
      <c r="D614" s="30"/>
      <c r="E614" s="31" t="str">
        <f aca="false">IF(OR(M614=0,K614="",L614=""),"",MOD(L614-K614,1))</f>
        <v/>
      </c>
      <c r="F614" s="32" t="str">
        <f aca="false">IF(OR(E614="",M614=0),"",IF(ROUND_MODE="للأعلى",CEILING(ROUND((E614*24*$N$607),3),0.25),ROUND((E614*24*$N$607)*4,0)/4))</f>
        <v/>
      </c>
      <c r="G614" s="30"/>
      <c r="H614" s="30"/>
      <c r="K614" s="33" t="str">
        <f aca="false">IF(OR(M614=0,C614=""),"",IF(ISNUMBER(C614),MOD(C614,1),IFERROR(INDEX(القوائم!$B$1:$B$288,MATCH(TRIM(C614),القوائم!$A$1:$A$288,0)),IFERROR(MOD(TIMEVALUE(C614),1),""))))</f>
        <v/>
      </c>
      <c r="L614" s="33" t="str">
        <f aca="false">IF(OR(M614=0,D614=""),"",IF(ISNUMBER(D614),MOD(D614,1),IFERROR(INDEX(القوائم!$B$1:$B$288,MATCH(TRIM(D614),القوائم!$A$1:$A$288,0)),IFERROR(MOD(TIMEVALUE(D614),1),""))))</f>
        <v/>
      </c>
      <c r="M614" s="25" t="n">
        <f aca="false">M607</f>
        <v>1</v>
      </c>
      <c r="Q614" s="25" t="n">
        <f aca="false">IF(N(F618)&gt;0,1,0)</f>
        <v>0</v>
      </c>
      <c r="S614" s="0" t="n">
        <v>51</v>
      </c>
    </row>
    <row r="615" customFormat="false" ht="15" hidden="false" customHeight="false" outlineLevel="0" collapsed="false">
      <c r="A615" s="34" t="n">
        <f aca="false">IF(51&lt;=NW,SAT1+356,"")</f>
        <v>46374</v>
      </c>
      <c r="B615" s="35" t="str">
        <f aca="false">IF(A615="","",CHOOSE(WEEKDAY(A615,1),"الأحد","الاثنين","الثلاثاء","الأربعاء","الخميس","الجمعة","السبت"))</f>
        <v>الجمعة</v>
      </c>
      <c r="C615" s="30"/>
      <c r="D615" s="30"/>
      <c r="E615" s="31" t="str">
        <f aca="false">IF(OR(M615=0,K615="",L615=""),"",MOD(L615-K615,1))</f>
        <v/>
      </c>
      <c r="F615" s="32" t="str">
        <f aca="false">IF(OR(E615="",M615=0),"",IF(ROUND_MODE="للأعلى",CEILING(ROUND((E615*24*$N$607),3),0.25),ROUND((E615*24*$N$607)*4,0)/4))</f>
        <v/>
      </c>
      <c r="G615" s="30"/>
      <c r="H615" s="30"/>
      <c r="K615" s="33" t="str">
        <f aca="false">IF(OR(M615=0,C615=""),"",IF(ISNUMBER(C615),MOD(C615,1),IFERROR(INDEX(القوائم!$B$1:$B$288,MATCH(TRIM(C615),القوائم!$A$1:$A$288,0)),IFERROR(MOD(TIMEVALUE(C615),1),""))))</f>
        <v/>
      </c>
      <c r="L615" s="33" t="str">
        <f aca="false">IF(OR(M615=0,D615=""),"",IF(ISNUMBER(D615),MOD(D615,1),IFERROR(INDEX(القوائم!$B$1:$B$288,MATCH(TRIM(D615),القوائم!$A$1:$A$288,0)),IFERROR(MOD(TIMEVALUE(D615),1),""))))</f>
        <v/>
      </c>
      <c r="M615" s="25" t="n">
        <f aca="false">M607</f>
        <v>1</v>
      </c>
      <c r="Q615" s="25" t="n">
        <f aca="false">IF(N(F618)&gt;0,1,0)</f>
        <v>0</v>
      </c>
      <c r="S615" s="0" t="n">
        <v>51</v>
      </c>
    </row>
    <row r="616" customFormat="false" ht="15" hidden="false" customHeight="false" outlineLevel="0" collapsed="false">
      <c r="A616" s="36" t="str">
        <f aca="false">IF(M607=1,"مجموع أيام الأسبوع 51","")</f>
        <v>مجموع أيام الأسبوع 51</v>
      </c>
      <c r="B616" s="36"/>
      <c r="C616" s="36"/>
      <c r="D616" s="36"/>
      <c r="E616" s="37" t="n">
        <f aca="false">IF(M607=1,SUM(E609:E615),"")</f>
        <v>0</v>
      </c>
      <c r="F616" s="38" t="n">
        <f aca="false">IF(M607=1,SUM(F609:F615),"")</f>
        <v>0</v>
      </c>
      <c r="G616" s="50" t="n">
        <f aca="false">IF(M607=1,SUMIFS(F609:F615,G609:G615,"نعم"),"")</f>
        <v>0</v>
      </c>
      <c r="H616" s="36"/>
      <c r="S616" s="0" t="n">
        <v>51</v>
      </c>
    </row>
    <row r="617" customFormat="false" ht="31.5" hidden="false" customHeight="true" outlineLevel="0" collapsed="false">
      <c r="A617" s="39" t="str">
        <f aca="false">IF(M607=1,"ساعات تحميل الجبسمبورد بهالأسبوع (رقم: 2 أو 1.5) ←","")</f>
        <v>ساعات تحميل الجبسمبورد بهالأسبوع (رقم: 2 أو 1.5) ←</v>
      </c>
      <c r="B617" s="39"/>
      <c r="C617" s="39"/>
      <c r="D617" s="39"/>
      <c r="E617" s="40"/>
      <c r="F617" s="42" t="n">
        <f aca="false">IF(M607=1,N(F616)+IF(ROUND_MODE="للأعلى",CEILING(ROUND((N(E617)*($P$607-$N$607)),3),0.25),ROUND((N(E617)*($P$607-$N$607))*4,0)/4)+N(C618),"")</f>
        <v>0</v>
      </c>
      <c r="G617" s="41" t="str">
        <f aca="false">IF(M607=1,"← المستحق النهائي للأسبوع مع الجبسمبورد والإكرامية","")</f>
        <v>← المستحق النهائي للأسبوع مع الجبسمبورد والإكرامية</v>
      </c>
      <c r="H617" s="41"/>
      <c r="S617" s="0" t="n">
        <v>51</v>
      </c>
    </row>
    <row r="618" customFormat="false" ht="25.5" hidden="false" customHeight="true" outlineLevel="0" collapsed="false">
      <c r="A618" s="39" t="str">
        <f aca="false">IF(M607=1,"إكرامية الأسبوع ←","")</f>
        <v>إكرامية الأسبوع ←</v>
      </c>
      <c r="B618" s="39"/>
      <c r="C618" s="44"/>
      <c r="D618" s="39" t="str">
        <f aca="false">IF(M607=1,"المدفوع (التسوية) ←","")</f>
        <v>المدفوع (التسوية) ←</v>
      </c>
      <c r="E618" s="39"/>
      <c r="F618" s="44"/>
      <c r="G618" s="45" t="str">
        <f aca="false">IF(M607=1,IF(N(F618)&gt;0,"✔ انقبض — الأسبوع مقفول","⏳ لسا ما انقبض"),"")</f>
        <v>⏳ لسا ما انقبض</v>
      </c>
      <c r="H618" s="45"/>
      <c r="S618" s="0" t="n">
        <v>51</v>
      </c>
    </row>
    <row r="619" customFormat="false" ht="27.75" hidden="false" customHeight="true" outlineLevel="0" collapsed="false">
      <c r="A619" s="48" t="str">
        <f aca="false">IF(52&lt;=NW,"من السبت "&amp;TEXT(DAY(SAT1+357),"00")&amp;"/"&amp;TEXT(MONTH(SAT1+357),"00")&amp;"/"&amp;YEAR(SAT1+357)&amp;" إلى الجمعة "&amp;TEXT(DAY(SAT1+363),"00")&amp;"/"&amp;TEXT(MONTH(SAT1+363),"00")&amp;"/"&amp;YEAR(SAT1+363)&amp;" · الأسبوع 52"&amp;"  (يوم القبض: الجمعة)"&amp;IF(52&lt;START_Z,"   — قبل أسبوع البداية (ما بينحسب)",""),"ما في أسبوع 52 هالسنة")</f>
        <v>من السبت 19/12/2026 إلى الجمعة 25/12/2026 · الأسبوع 52  (يوم القبض: الجمعة)</v>
      </c>
      <c r="B619" s="48"/>
      <c r="C619" s="48"/>
      <c r="D619" s="48"/>
      <c r="E619" s="48"/>
      <c r="F619" s="48"/>
      <c r="G619" s="48"/>
      <c r="H619" s="48"/>
      <c r="L619" s="24" t="n">
        <f aca="false">IF(52&lt;=NW,SAT1+363,"")</f>
        <v>46381</v>
      </c>
      <c r="M619" s="25" t="n">
        <f aca="false">IF(AND(52&lt;=NW,52&gt;=START_Z),1,0)</f>
        <v>1</v>
      </c>
      <c r="N619" s="26" t="n">
        <f aca="false">IFERROR(INDEX(RT_AZZ,MATCH(L619,RT_K,1)),INDEX(RT_AZZ,1))</f>
        <v>1</v>
      </c>
      <c r="P619" s="26" t="n">
        <f aca="false">IFERROR(INDEX(RT_GYP,MATCH(L619,RT_K,1)),INDEX(RT_GYP,1))</f>
        <v>2.5</v>
      </c>
      <c r="R619" s="0" t="n">
        <v>52</v>
      </c>
      <c r="S619" s="0" t="n">
        <v>52</v>
      </c>
    </row>
    <row r="620" customFormat="false" ht="25.5" hidden="false" customHeight="true" outlineLevel="0" collapsed="false">
      <c r="A620" s="49" t="s">
        <v>22</v>
      </c>
      <c r="B620" s="49" t="s">
        <v>23</v>
      </c>
      <c r="C620" s="49" t="s">
        <v>24</v>
      </c>
      <c r="D620" s="49" t="s">
        <v>25</v>
      </c>
      <c r="E620" s="49" t="s">
        <v>26</v>
      </c>
      <c r="F620" s="49" t="s">
        <v>33</v>
      </c>
      <c r="G620" s="49" t="s">
        <v>34</v>
      </c>
      <c r="H620" s="49" t="s">
        <v>30</v>
      </c>
      <c r="S620" s="0" t="n">
        <v>52</v>
      </c>
    </row>
    <row r="621" customFormat="false" ht="15" hidden="false" customHeight="false" outlineLevel="0" collapsed="false">
      <c r="A621" s="28" t="n">
        <f aca="false">IF(52&lt;=NW,SAT1+357,"")</f>
        <v>46375</v>
      </c>
      <c r="B621" s="29" t="str">
        <f aca="false">IF(A621="","",CHOOSE(WEEKDAY(A621,1),"الأحد","الاثنين","الثلاثاء","الأربعاء","الخميس","الجمعة","السبت"))</f>
        <v>السبت</v>
      </c>
      <c r="C621" s="30"/>
      <c r="D621" s="30"/>
      <c r="E621" s="31" t="str">
        <f aca="false">IF(OR(M621=0,K621="",L621=""),"",MOD(L621-K621,1))</f>
        <v/>
      </c>
      <c r="F621" s="32" t="str">
        <f aca="false">IF(OR(E621="",M621=0),"",IF(ROUND_MODE="للأعلى",CEILING(ROUND((E621*24*$N$619),3),0.25),ROUND((E621*24*$N$619)*4,0)/4))</f>
        <v/>
      </c>
      <c r="G621" s="30"/>
      <c r="H621" s="30"/>
      <c r="K621" s="33" t="str">
        <f aca="false">IF(OR(M621=0,C621=""),"",IF(ISNUMBER(C621),MOD(C621,1),IFERROR(INDEX(القوائم!$B$1:$B$288,MATCH(TRIM(C621),القوائم!$A$1:$A$288,0)),IFERROR(MOD(TIMEVALUE(C621),1),""))))</f>
        <v/>
      </c>
      <c r="L621" s="33" t="str">
        <f aca="false">IF(OR(M621=0,D621=""),"",IF(ISNUMBER(D621),MOD(D621,1),IFERROR(INDEX(القوائم!$B$1:$B$288,MATCH(TRIM(D621),القوائم!$A$1:$A$288,0)),IFERROR(MOD(TIMEVALUE(D621),1),""))))</f>
        <v/>
      </c>
      <c r="M621" s="25" t="n">
        <f aca="false">M619</f>
        <v>1</v>
      </c>
      <c r="Q621" s="25" t="n">
        <f aca="false">IF(N(F630)&gt;0,1,0)</f>
        <v>0</v>
      </c>
      <c r="S621" s="0" t="n">
        <v>52</v>
      </c>
    </row>
    <row r="622" customFormat="false" ht="15" hidden="false" customHeight="false" outlineLevel="0" collapsed="false">
      <c r="A622" s="28" t="n">
        <f aca="false">IF(52&lt;=NW,SAT1+358,"")</f>
        <v>46376</v>
      </c>
      <c r="B622" s="29" t="str">
        <f aca="false">IF(A622="","",CHOOSE(WEEKDAY(A622,1),"الأحد","الاثنين","الثلاثاء","الأربعاء","الخميس","الجمعة","السبت"))</f>
        <v>الأحد</v>
      </c>
      <c r="C622" s="30"/>
      <c r="D622" s="30"/>
      <c r="E622" s="31" t="str">
        <f aca="false">IF(OR(M622=0,K622="",L622=""),"",MOD(L622-K622,1))</f>
        <v/>
      </c>
      <c r="F622" s="32" t="str">
        <f aca="false">IF(OR(E622="",M622=0),"",IF(ROUND_MODE="للأعلى",CEILING(ROUND((E622*24*$N$619),3),0.25),ROUND((E622*24*$N$619)*4,0)/4))</f>
        <v/>
      </c>
      <c r="G622" s="30"/>
      <c r="H622" s="30"/>
      <c r="K622" s="33" t="str">
        <f aca="false">IF(OR(M622=0,C622=""),"",IF(ISNUMBER(C622),MOD(C622,1),IFERROR(INDEX(القوائم!$B$1:$B$288,MATCH(TRIM(C622),القوائم!$A$1:$A$288,0)),IFERROR(MOD(TIMEVALUE(C622),1),""))))</f>
        <v/>
      </c>
      <c r="L622" s="33" t="str">
        <f aca="false">IF(OR(M622=0,D622=""),"",IF(ISNUMBER(D622),MOD(D622,1),IFERROR(INDEX(القوائم!$B$1:$B$288,MATCH(TRIM(D622),القوائم!$A$1:$A$288,0)),IFERROR(MOD(TIMEVALUE(D622),1),""))))</f>
        <v/>
      </c>
      <c r="M622" s="25" t="n">
        <f aca="false">M619</f>
        <v>1</v>
      </c>
      <c r="Q622" s="25" t="n">
        <f aca="false">IF(N(F630)&gt;0,1,0)</f>
        <v>0</v>
      </c>
      <c r="S622" s="0" t="n">
        <v>52</v>
      </c>
    </row>
    <row r="623" customFormat="false" ht="15" hidden="false" customHeight="false" outlineLevel="0" collapsed="false">
      <c r="A623" s="28" t="n">
        <f aca="false">IF(52&lt;=NW,SAT1+359,"")</f>
        <v>46377</v>
      </c>
      <c r="B623" s="29" t="str">
        <f aca="false">IF(A623="","",CHOOSE(WEEKDAY(A623,1),"الأحد","الاثنين","الثلاثاء","الأربعاء","الخميس","الجمعة","السبت"))</f>
        <v>الاثنين</v>
      </c>
      <c r="C623" s="30"/>
      <c r="D623" s="30"/>
      <c r="E623" s="31" t="str">
        <f aca="false">IF(OR(M623=0,K623="",L623=""),"",MOD(L623-K623,1))</f>
        <v/>
      </c>
      <c r="F623" s="32" t="str">
        <f aca="false">IF(OR(E623="",M623=0),"",IF(ROUND_MODE="للأعلى",CEILING(ROUND((E623*24*$N$619),3),0.25),ROUND((E623*24*$N$619)*4,0)/4))</f>
        <v/>
      </c>
      <c r="G623" s="30"/>
      <c r="H623" s="30"/>
      <c r="K623" s="33" t="str">
        <f aca="false">IF(OR(M623=0,C623=""),"",IF(ISNUMBER(C623),MOD(C623,1),IFERROR(INDEX(القوائم!$B$1:$B$288,MATCH(TRIM(C623),القوائم!$A$1:$A$288,0)),IFERROR(MOD(TIMEVALUE(C623),1),""))))</f>
        <v/>
      </c>
      <c r="L623" s="33" t="str">
        <f aca="false">IF(OR(M623=0,D623=""),"",IF(ISNUMBER(D623),MOD(D623,1),IFERROR(INDEX(القوائم!$B$1:$B$288,MATCH(TRIM(D623),القوائم!$A$1:$A$288,0)),IFERROR(MOD(TIMEVALUE(D623),1),""))))</f>
        <v/>
      </c>
      <c r="M623" s="25" t="n">
        <f aca="false">M619</f>
        <v>1</v>
      </c>
      <c r="Q623" s="25" t="n">
        <f aca="false">IF(N(F630)&gt;0,1,0)</f>
        <v>0</v>
      </c>
      <c r="S623" s="0" t="n">
        <v>52</v>
      </c>
    </row>
    <row r="624" customFormat="false" ht="15" hidden="false" customHeight="false" outlineLevel="0" collapsed="false">
      <c r="A624" s="28" t="n">
        <f aca="false">IF(52&lt;=NW,SAT1+360,"")</f>
        <v>46378</v>
      </c>
      <c r="B624" s="29" t="str">
        <f aca="false">IF(A624="","",CHOOSE(WEEKDAY(A624,1),"الأحد","الاثنين","الثلاثاء","الأربعاء","الخميس","الجمعة","السبت"))</f>
        <v>الثلاثاء</v>
      </c>
      <c r="C624" s="30"/>
      <c r="D624" s="30"/>
      <c r="E624" s="31" t="str">
        <f aca="false">IF(OR(M624=0,K624="",L624=""),"",MOD(L624-K624,1))</f>
        <v/>
      </c>
      <c r="F624" s="32" t="str">
        <f aca="false">IF(OR(E624="",M624=0),"",IF(ROUND_MODE="للأعلى",CEILING(ROUND((E624*24*$N$619),3),0.25),ROUND((E624*24*$N$619)*4,0)/4))</f>
        <v/>
      </c>
      <c r="G624" s="30"/>
      <c r="H624" s="30"/>
      <c r="K624" s="33" t="str">
        <f aca="false">IF(OR(M624=0,C624=""),"",IF(ISNUMBER(C624),MOD(C624,1),IFERROR(INDEX(القوائم!$B$1:$B$288,MATCH(TRIM(C624),القوائم!$A$1:$A$288,0)),IFERROR(MOD(TIMEVALUE(C624),1),""))))</f>
        <v/>
      </c>
      <c r="L624" s="33" t="str">
        <f aca="false">IF(OR(M624=0,D624=""),"",IF(ISNUMBER(D624),MOD(D624,1),IFERROR(INDEX(القوائم!$B$1:$B$288,MATCH(TRIM(D624),القوائم!$A$1:$A$288,0)),IFERROR(MOD(TIMEVALUE(D624),1),""))))</f>
        <v/>
      </c>
      <c r="M624" s="25" t="n">
        <f aca="false">M619</f>
        <v>1</v>
      </c>
      <c r="Q624" s="25" t="n">
        <f aca="false">IF(N(F630)&gt;0,1,0)</f>
        <v>0</v>
      </c>
      <c r="S624" s="0" t="n">
        <v>52</v>
      </c>
    </row>
    <row r="625" customFormat="false" ht="15" hidden="false" customHeight="false" outlineLevel="0" collapsed="false">
      <c r="A625" s="28" t="n">
        <f aca="false">IF(52&lt;=NW,SAT1+361,"")</f>
        <v>46379</v>
      </c>
      <c r="B625" s="29" t="str">
        <f aca="false">IF(A625="","",CHOOSE(WEEKDAY(A625,1),"الأحد","الاثنين","الثلاثاء","الأربعاء","الخميس","الجمعة","السبت"))</f>
        <v>الأربعاء</v>
      </c>
      <c r="C625" s="30"/>
      <c r="D625" s="30"/>
      <c r="E625" s="31" t="str">
        <f aca="false">IF(OR(M625=0,K625="",L625=""),"",MOD(L625-K625,1))</f>
        <v/>
      </c>
      <c r="F625" s="32" t="str">
        <f aca="false">IF(OR(E625="",M625=0),"",IF(ROUND_MODE="للأعلى",CEILING(ROUND((E625*24*$N$619),3),0.25),ROUND((E625*24*$N$619)*4,0)/4))</f>
        <v/>
      </c>
      <c r="G625" s="30"/>
      <c r="H625" s="30"/>
      <c r="K625" s="33" t="str">
        <f aca="false">IF(OR(M625=0,C625=""),"",IF(ISNUMBER(C625),MOD(C625,1),IFERROR(INDEX(القوائم!$B$1:$B$288,MATCH(TRIM(C625),القوائم!$A$1:$A$288,0)),IFERROR(MOD(TIMEVALUE(C625),1),""))))</f>
        <v/>
      </c>
      <c r="L625" s="33" t="str">
        <f aca="false">IF(OR(M625=0,D625=""),"",IF(ISNUMBER(D625),MOD(D625,1),IFERROR(INDEX(القوائم!$B$1:$B$288,MATCH(TRIM(D625),القوائم!$A$1:$A$288,0)),IFERROR(MOD(TIMEVALUE(D625),1),""))))</f>
        <v/>
      </c>
      <c r="M625" s="25" t="n">
        <f aca="false">M619</f>
        <v>1</v>
      </c>
      <c r="Q625" s="25" t="n">
        <f aca="false">IF(N(F630)&gt;0,1,0)</f>
        <v>0</v>
      </c>
      <c r="S625" s="0" t="n">
        <v>52</v>
      </c>
    </row>
    <row r="626" customFormat="false" ht="15" hidden="false" customHeight="false" outlineLevel="0" collapsed="false">
      <c r="A626" s="28" t="n">
        <f aca="false">IF(52&lt;=NW,SAT1+362,"")</f>
        <v>46380</v>
      </c>
      <c r="B626" s="29" t="str">
        <f aca="false">IF(A626="","",CHOOSE(WEEKDAY(A626,1),"الأحد","الاثنين","الثلاثاء","الأربعاء","الخميس","الجمعة","السبت"))</f>
        <v>الخميس</v>
      </c>
      <c r="C626" s="30"/>
      <c r="D626" s="30"/>
      <c r="E626" s="31" t="str">
        <f aca="false">IF(OR(M626=0,K626="",L626=""),"",MOD(L626-K626,1))</f>
        <v/>
      </c>
      <c r="F626" s="32" t="str">
        <f aca="false">IF(OR(E626="",M626=0),"",IF(ROUND_MODE="للأعلى",CEILING(ROUND((E626*24*$N$619),3),0.25),ROUND((E626*24*$N$619)*4,0)/4))</f>
        <v/>
      </c>
      <c r="G626" s="30"/>
      <c r="H626" s="30"/>
      <c r="K626" s="33" t="str">
        <f aca="false">IF(OR(M626=0,C626=""),"",IF(ISNUMBER(C626),MOD(C626,1),IFERROR(INDEX(القوائم!$B$1:$B$288,MATCH(TRIM(C626),القوائم!$A$1:$A$288,0)),IFERROR(MOD(TIMEVALUE(C626),1),""))))</f>
        <v/>
      </c>
      <c r="L626" s="33" t="str">
        <f aca="false">IF(OR(M626=0,D626=""),"",IF(ISNUMBER(D626),MOD(D626,1),IFERROR(INDEX(القوائم!$B$1:$B$288,MATCH(TRIM(D626),القوائم!$A$1:$A$288,0)),IFERROR(MOD(TIMEVALUE(D626),1),""))))</f>
        <v/>
      </c>
      <c r="M626" s="25" t="n">
        <f aca="false">M619</f>
        <v>1</v>
      </c>
      <c r="Q626" s="25" t="n">
        <f aca="false">IF(N(F630)&gt;0,1,0)</f>
        <v>0</v>
      </c>
      <c r="S626" s="0" t="n">
        <v>52</v>
      </c>
    </row>
    <row r="627" customFormat="false" ht="15" hidden="false" customHeight="false" outlineLevel="0" collapsed="false">
      <c r="A627" s="34" t="n">
        <f aca="false">IF(52&lt;=NW,SAT1+363,"")</f>
        <v>46381</v>
      </c>
      <c r="B627" s="35" t="str">
        <f aca="false">IF(A627="","",CHOOSE(WEEKDAY(A627,1),"الأحد","الاثنين","الثلاثاء","الأربعاء","الخميس","الجمعة","السبت"))</f>
        <v>الجمعة</v>
      </c>
      <c r="C627" s="30"/>
      <c r="D627" s="30"/>
      <c r="E627" s="31" t="str">
        <f aca="false">IF(OR(M627=0,K627="",L627=""),"",MOD(L627-K627,1))</f>
        <v/>
      </c>
      <c r="F627" s="32" t="str">
        <f aca="false">IF(OR(E627="",M627=0),"",IF(ROUND_MODE="للأعلى",CEILING(ROUND((E627*24*$N$619),3),0.25),ROUND((E627*24*$N$619)*4,0)/4))</f>
        <v/>
      </c>
      <c r="G627" s="30"/>
      <c r="H627" s="30"/>
      <c r="K627" s="33" t="str">
        <f aca="false">IF(OR(M627=0,C627=""),"",IF(ISNUMBER(C627),MOD(C627,1),IFERROR(INDEX(القوائم!$B$1:$B$288,MATCH(TRIM(C627),القوائم!$A$1:$A$288,0)),IFERROR(MOD(TIMEVALUE(C627),1),""))))</f>
        <v/>
      </c>
      <c r="L627" s="33" t="str">
        <f aca="false">IF(OR(M627=0,D627=""),"",IF(ISNUMBER(D627),MOD(D627,1),IFERROR(INDEX(القوائم!$B$1:$B$288,MATCH(TRIM(D627),القوائم!$A$1:$A$288,0)),IFERROR(MOD(TIMEVALUE(D627),1),""))))</f>
        <v/>
      </c>
      <c r="M627" s="25" t="n">
        <f aca="false">M619</f>
        <v>1</v>
      </c>
      <c r="Q627" s="25" t="n">
        <f aca="false">IF(N(F630)&gt;0,1,0)</f>
        <v>0</v>
      </c>
      <c r="S627" s="0" t="n">
        <v>52</v>
      </c>
    </row>
    <row r="628" customFormat="false" ht="15" hidden="false" customHeight="false" outlineLevel="0" collapsed="false">
      <c r="A628" s="36" t="str">
        <f aca="false">IF(M619=1,"مجموع أيام الأسبوع 52","")</f>
        <v>مجموع أيام الأسبوع 52</v>
      </c>
      <c r="B628" s="36"/>
      <c r="C628" s="36"/>
      <c r="D628" s="36"/>
      <c r="E628" s="37" t="n">
        <f aca="false">IF(M619=1,SUM(E621:E627),"")</f>
        <v>0</v>
      </c>
      <c r="F628" s="38" t="n">
        <f aca="false">IF(M619=1,SUM(F621:F627),"")</f>
        <v>0</v>
      </c>
      <c r="G628" s="50" t="n">
        <f aca="false">IF(M619=1,SUMIFS(F621:F627,G621:G627,"نعم"),"")</f>
        <v>0</v>
      </c>
      <c r="H628" s="36"/>
      <c r="S628" s="0" t="n">
        <v>52</v>
      </c>
    </row>
    <row r="629" customFormat="false" ht="31.5" hidden="false" customHeight="true" outlineLevel="0" collapsed="false">
      <c r="A629" s="39" t="str">
        <f aca="false">IF(M619=1,"ساعات تحميل الجبسمبورد بهالأسبوع (رقم: 2 أو 1.5) ←","")</f>
        <v>ساعات تحميل الجبسمبورد بهالأسبوع (رقم: 2 أو 1.5) ←</v>
      </c>
      <c r="B629" s="39"/>
      <c r="C629" s="39"/>
      <c r="D629" s="39"/>
      <c r="E629" s="40"/>
      <c r="F629" s="42" t="n">
        <f aca="false">IF(M619=1,N(F628)+IF(ROUND_MODE="للأعلى",CEILING(ROUND((N(E629)*($P$619-$N$619)),3),0.25),ROUND((N(E629)*($P$619-$N$619))*4,0)/4)+N(C630),"")</f>
        <v>0</v>
      </c>
      <c r="G629" s="41" t="str">
        <f aca="false">IF(M619=1,"← المستحق النهائي للأسبوع مع الجبسمبورد والإكرامية","")</f>
        <v>← المستحق النهائي للأسبوع مع الجبسمبورد والإكرامية</v>
      </c>
      <c r="H629" s="41"/>
      <c r="S629" s="0" t="n">
        <v>52</v>
      </c>
    </row>
    <row r="630" customFormat="false" ht="25.5" hidden="false" customHeight="true" outlineLevel="0" collapsed="false">
      <c r="A630" s="39" t="str">
        <f aca="false">IF(M619=1,"إكرامية الأسبوع ←","")</f>
        <v>إكرامية الأسبوع ←</v>
      </c>
      <c r="B630" s="39"/>
      <c r="C630" s="44"/>
      <c r="D630" s="39" t="str">
        <f aca="false">IF(M619=1,"المدفوع (التسوية) ←","")</f>
        <v>المدفوع (التسوية) ←</v>
      </c>
      <c r="E630" s="39"/>
      <c r="F630" s="44"/>
      <c r="G630" s="45" t="str">
        <f aca="false">IF(M619=1,IF(N(F630)&gt;0,"✔ انقبض — الأسبوع مقفول","⏳ لسا ما انقبض"),"")</f>
        <v>⏳ لسا ما انقبض</v>
      </c>
      <c r="H630" s="45"/>
      <c r="S630" s="0" t="n">
        <v>52</v>
      </c>
    </row>
    <row r="631" customFormat="false" ht="27.75" hidden="false" customHeight="true" outlineLevel="0" collapsed="false">
      <c r="A631" s="48" t="str">
        <f aca="false">IF(53&lt;=NW,"من السبت "&amp;TEXT(DAY(SAT1+364),"00")&amp;"/"&amp;TEXT(MONTH(SAT1+364),"00")&amp;"/"&amp;YEAR(SAT1+364)&amp;" إلى الجمعة "&amp;TEXT(DAY(SAT1+370),"00")&amp;"/"&amp;TEXT(MONTH(SAT1+370),"00")&amp;"/"&amp;YEAR(SAT1+370)&amp;" · الأسبوع 53"&amp;"  (يوم القبض: الجمعة)"&amp;IF(53&lt;START_Z,"   — قبل أسبوع البداية (ما بينحسب)",""),"ما في أسبوع 53 هالسنة")</f>
        <v>ما في أسبوع 53 هالسنة</v>
      </c>
      <c r="B631" s="48"/>
      <c r="C631" s="48"/>
      <c r="D631" s="48"/>
      <c r="E631" s="48"/>
      <c r="F631" s="48"/>
      <c r="G631" s="48"/>
      <c r="H631" s="48"/>
      <c r="L631" s="24" t="str">
        <f aca="false">IF(53&lt;=NW,SAT1+370,"")</f>
        <v/>
      </c>
      <c r="M631" s="25" t="n">
        <f aca="false">IF(AND(53&lt;=NW,53&gt;=START_Z),1,0)</f>
        <v>0</v>
      </c>
      <c r="N631" s="26" t="n">
        <f aca="false">IFERROR(INDEX(RT_AZZ,MATCH(L631,RT_K,1)),INDEX(RT_AZZ,1))</f>
        <v>1</v>
      </c>
      <c r="P631" s="26" t="n">
        <f aca="false">IFERROR(INDEX(RT_GYP,MATCH(L631,RT_K,1)),INDEX(RT_GYP,1))</f>
        <v>2.5</v>
      </c>
      <c r="R631" s="0" t="n">
        <v>53</v>
      </c>
      <c r="S631" s="0" t="n">
        <v>53</v>
      </c>
    </row>
    <row r="632" customFormat="false" ht="25.5" hidden="false" customHeight="true" outlineLevel="0" collapsed="false">
      <c r="A632" s="49" t="s">
        <v>22</v>
      </c>
      <c r="B632" s="49" t="s">
        <v>23</v>
      </c>
      <c r="C632" s="49" t="s">
        <v>24</v>
      </c>
      <c r="D632" s="49" t="s">
        <v>25</v>
      </c>
      <c r="E632" s="49" t="s">
        <v>26</v>
      </c>
      <c r="F632" s="49" t="s">
        <v>33</v>
      </c>
      <c r="G632" s="49" t="s">
        <v>34</v>
      </c>
      <c r="H632" s="49" t="s">
        <v>30</v>
      </c>
      <c r="S632" s="0" t="n">
        <v>53</v>
      </c>
    </row>
    <row r="633" customFormat="false" ht="15" hidden="false" customHeight="false" outlineLevel="0" collapsed="false">
      <c r="A633" s="28" t="str">
        <f aca="false">IF(53&lt;=NW,SAT1+364,"")</f>
        <v/>
      </c>
      <c r="B633" s="29" t="str">
        <f aca="false">IF(A633="","",CHOOSE(WEEKDAY(A633,1),"الأحد","الاثنين","الثلاثاء","الأربعاء","الخميس","الجمعة","السبت"))</f>
        <v/>
      </c>
      <c r="C633" s="30"/>
      <c r="D633" s="30"/>
      <c r="E633" s="31" t="str">
        <f aca="false">IF(OR(M633=0,K633="",L633=""),"",MOD(L633-K633,1))</f>
        <v/>
      </c>
      <c r="F633" s="32" t="str">
        <f aca="false">IF(OR(E633="",M633=0),"",IF(ROUND_MODE="للأعلى",CEILING(ROUND((E633*24*$N$631),3),0.25),ROUND((E633*24*$N$631)*4,0)/4))</f>
        <v/>
      </c>
      <c r="G633" s="30"/>
      <c r="H633" s="30"/>
      <c r="K633" s="33" t="str">
        <f aca="false">IF(OR(M633=0,C633=""),"",IF(ISNUMBER(C633),MOD(C633,1),IFERROR(INDEX(القوائم!$B$1:$B$288,MATCH(TRIM(C633),القوائم!$A$1:$A$288,0)),IFERROR(MOD(TIMEVALUE(C633),1),""))))</f>
        <v/>
      </c>
      <c r="L633" s="33" t="str">
        <f aca="false">IF(OR(M633=0,D633=""),"",IF(ISNUMBER(D633),MOD(D633,1),IFERROR(INDEX(القوائم!$B$1:$B$288,MATCH(TRIM(D633),القوائم!$A$1:$A$288,0)),IFERROR(MOD(TIMEVALUE(D633),1),""))))</f>
        <v/>
      </c>
      <c r="M633" s="25" t="n">
        <f aca="false">M631</f>
        <v>0</v>
      </c>
      <c r="Q633" s="25" t="n">
        <f aca="false">IF(N(F642)&gt;0,1,0)</f>
        <v>0</v>
      </c>
      <c r="S633" s="0" t="n">
        <v>53</v>
      </c>
    </row>
    <row r="634" customFormat="false" ht="15" hidden="false" customHeight="false" outlineLevel="0" collapsed="false">
      <c r="A634" s="28" t="str">
        <f aca="false">IF(53&lt;=NW,SAT1+365,"")</f>
        <v/>
      </c>
      <c r="B634" s="29" t="str">
        <f aca="false">IF(A634="","",CHOOSE(WEEKDAY(A634,1),"الأحد","الاثنين","الثلاثاء","الأربعاء","الخميس","الجمعة","السبت"))</f>
        <v/>
      </c>
      <c r="C634" s="30"/>
      <c r="D634" s="30"/>
      <c r="E634" s="31" t="str">
        <f aca="false">IF(OR(M634=0,K634="",L634=""),"",MOD(L634-K634,1))</f>
        <v/>
      </c>
      <c r="F634" s="32" t="str">
        <f aca="false">IF(OR(E634="",M634=0),"",IF(ROUND_MODE="للأعلى",CEILING(ROUND((E634*24*$N$631),3),0.25),ROUND((E634*24*$N$631)*4,0)/4))</f>
        <v/>
      </c>
      <c r="G634" s="30"/>
      <c r="H634" s="30"/>
      <c r="K634" s="33" t="str">
        <f aca="false">IF(OR(M634=0,C634=""),"",IF(ISNUMBER(C634),MOD(C634,1),IFERROR(INDEX(القوائم!$B$1:$B$288,MATCH(TRIM(C634),القوائم!$A$1:$A$288,0)),IFERROR(MOD(TIMEVALUE(C634),1),""))))</f>
        <v/>
      </c>
      <c r="L634" s="33" t="str">
        <f aca="false">IF(OR(M634=0,D634=""),"",IF(ISNUMBER(D634),MOD(D634,1),IFERROR(INDEX(القوائم!$B$1:$B$288,MATCH(TRIM(D634),القوائم!$A$1:$A$288,0)),IFERROR(MOD(TIMEVALUE(D634),1),""))))</f>
        <v/>
      </c>
      <c r="M634" s="25" t="n">
        <f aca="false">M631</f>
        <v>0</v>
      </c>
      <c r="Q634" s="25" t="n">
        <f aca="false">IF(N(F642)&gt;0,1,0)</f>
        <v>0</v>
      </c>
      <c r="S634" s="0" t="n">
        <v>53</v>
      </c>
    </row>
    <row r="635" customFormat="false" ht="15" hidden="false" customHeight="false" outlineLevel="0" collapsed="false">
      <c r="A635" s="28" t="str">
        <f aca="false">IF(53&lt;=NW,SAT1+366,"")</f>
        <v/>
      </c>
      <c r="B635" s="29" t="str">
        <f aca="false">IF(A635="","",CHOOSE(WEEKDAY(A635,1),"الأحد","الاثنين","الثلاثاء","الأربعاء","الخميس","الجمعة","السبت"))</f>
        <v/>
      </c>
      <c r="C635" s="30"/>
      <c r="D635" s="30"/>
      <c r="E635" s="31" t="str">
        <f aca="false">IF(OR(M635=0,K635="",L635=""),"",MOD(L635-K635,1))</f>
        <v/>
      </c>
      <c r="F635" s="32" t="str">
        <f aca="false">IF(OR(E635="",M635=0),"",IF(ROUND_MODE="للأعلى",CEILING(ROUND((E635*24*$N$631),3),0.25),ROUND((E635*24*$N$631)*4,0)/4))</f>
        <v/>
      </c>
      <c r="G635" s="30"/>
      <c r="H635" s="30"/>
      <c r="K635" s="33" t="str">
        <f aca="false">IF(OR(M635=0,C635=""),"",IF(ISNUMBER(C635),MOD(C635,1),IFERROR(INDEX(القوائم!$B$1:$B$288,MATCH(TRIM(C635),القوائم!$A$1:$A$288,0)),IFERROR(MOD(TIMEVALUE(C635),1),""))))</f>
        <v/>
      </c>
      <c r="L635" s="33" t="str">
        <f aca="false">IF(OR(M635=0,D635=""),"",IF(ISNUMBER(D635),MOD(D635,1),IFERROR(INDEX(القوائم!$B$1:$B$288,MATCH(TRIM(D635),القوائم!$A$1:$A$288,0)),IFERROR(MOD(TIMEVALUE(D635),1),""))))</f>
        <v/>
      </c>
      <c r="M635" s="25" t="n">
        <f aca="false">M631</f>
        <v>0</v>
      </c>
      <c r="Q635" s="25" t="n">
        <f aca="false">IF(N(F642)&gt;0,1,0)</f>
        <v>0</v>
      </c>
      <c r="S635" s="0" t="n">
        <v>53</v>
      </c>
    </row>
    <row r="636" customFormat="false" ht="15" hidden="false" customHeight="false" outlineLevel="0" collapsed="false">
      <c r="A636" s="28" t="str">
        <f aca="false">IF(53&lt;=NW,SAT1+367,"")</f>
        <v/>
      </c>
      <c r="B636" s="29" t="str">
        <f aca="false">IF(A636="","",CHOOSE(WEEKDAY(A636,1),"الأحد","الاثنين","الثلاثاء","الأربعاء","الخميس","الجمعة","السبت"))</f>
        <v/>
      </c>
      <c r="C636" s="30"/>
      <c r="D636" s="30"/>
      <c r="E636" s="31" t="str">
        <f aca="false">IF(OR(M636=0,K636="",L636=""),"",MOD(L636-K636,1))</f>
        <v/>
      </c>
      <c r="F636" s="32" t="str">
        <f aca="false">IF(OR(E636="",M636=0),"",IF(ROUND_MODE="للأعلى",CEILING(ROUND((E636*24*$N$631),3),0.25),ROUND((E636*24*$N$631)*4,0)/4))</f>
        <v/>
      </c>
      <c r="G636" s="30"/>
      <c r="H636" s="30"/>
      <c r="K636" s="33" t="str">
        <f aca="false">IF(OR(M636=0,C636=""),"",IF(ISNUMBER(C636),MOD(C636,1),IFERROR(INDEX(القوائم!$B$1:$B$288,MATCH(TRIM(C636),القوائم!$A$1:$A$288,0)),IFERROR(MOD(TIMEVALUE(C636),1),""))))</f>
        <v/>
      </c>
      <c r="L636" s="33" t="str">
        <f aca="false">IF(OR(M636=0,D636=""),"",IF(ISNUMBER(D636),MOD(D636,1),IFERROR(INDEX(القوائم!$B$1:$B$288,MATCH(TRIM(D636),القوائم!$A$1:$A$288,0)),IFERROR(MOD(TIMEVALUE(D636),1),""))))</f>
        <v/>
      </c>
      <c r="M636" s="25" t="n">
        <f aca="false">M631</f>
        <v>0</v>
      </c>
      <c r="Q636" s="25" t="n">
        <f aca="false">IF(N(F642)&gt;0,1,0)</f>
        <v>0</v>
      </c>
      <c r="S636" s="0" t="n">
        <v>53</v>
      </c>
    </row>
    <row r="637" customFormat="false" ht="15" hidden="false" customHeight="false" outlineLevel="0" collapsed="false">
      <c r="A637" s="28" t="str">
        <f aca="false">IF(53&lt;=NW,SAT1+368,"")</f>
        <v/>
      </c>
      <c r="B637" s="29" t="str">
        <f aca="false">IF(A637="","",CHOOSE(WEEKDAY(A637,1),"الأحد","الاثنين","الثلاثاء","الأربعاء","الخميس","الجمعة","السبت"))</f>
        <v/>
      </c>
      <c r="C637" s="30"/>
      <c r="D637" s="30"/>
      <c r="E637" s="31" t="str">
        <f aca="false">IF(OR(M637=0,K637="",L637=""),"",MOD(L637-K637,1))</f>
        <v/>
      </c>
      <c r="F637" s="32" t="str">
        <f aca="false">IF(OR(E637="",M637=0),"",IF(ROUND_MODE="للأعلى",CEILING(ROUND((E637*24*$N$631),3),0.25),ROUND((E637*24*$N$631)*4,0)/4))</f>
        <v/>
      </c>
      <c r="G637" s="30"/>
      <c r="H637" s="30"/>
      <c r="K637" s="33" t="str">
        <f aca="false">IF(OR(M637=0,C637=""),"",IF(ISNUMBER(C637),MOD(C637,1),IFERROR(INDEX(القوائم!$B$1:$B$288,MATCH(TRIM(C637),القوائم!$A$1:$A$288,0)),IFERROR(MOD(TIMEVALUE(C637),1),""))))</f>
        <v/>
      </c>
      <c r="L637" s="33" t="str">
        <f aca="false">IF(OR(M637=0,D637=""),"",IF(ISNUMBER(D637),MOD(D637,1),IFERROR(INDEX(القوائم!$B$1:$B$288,MATCH(TRIM(D637),القوائم!$A$1:$A$288,0)),IFERROR(MOD(TIMEVALUE(D637),1),""))))</f>
        <v/>
      </c>
      <c r="M637" s="25" t="n">
        <f aca="false">M631</f>
        <v>0</v>
      </c>
      <c r="Q637" s="25" t="n">
        <f aca="false">IF(N(F642)&gt;0,1,0)</f>
        <v>0</v>
      </c>
      <c r="S637" s="0" t="n">
        <v>53</v>
      </c>
    </row>
    <row r="638" customFormat="false" ht="15" hidden="false" customHeight="false" outlineLevel="0" collapsed="false">
      <c r="A638" s="28" t="str">
        <f aca="false">IF(53&lt;=NW,SAT1+369,"")</f>
        <v/>
      </c>
      <c r="B638" s="29" t="str">
        <f aca="false">IF(A638="","",CHOOSE(WEEKDAY(A638,1),"الأحد","الاثنين","الثلاثاء","الأربعاء","الخميس","الجمعة","السبت"))</f>
        <v/>
      </c>
      <c r="C638" s="30"/>
      <c r="D638" s="30"/>
      <c r="E638" s="31" t="str">
        <f aca="false">IF(OR(M638=0,K638="",L638=""),"",MOD(L638-K638,1))</f>
        <v/>
      </c>
      <c r="F638" s="32" t="str">
        <f aca="false">IF(OR(E638="",M638=0),"",IF(ROUND_MODE="للأعلى",CEILING(ROUND((E638*24*$N$631),3),0.25),ROUND((E638*24*$N$631)*4,0)/4))</f>
        <v/>
      </c>
      <c r="G638" s="30"/>
      <c r="H638" s="30"/>
      <c r="K638" s="33" t="str">
        <f aca="false">IF(OR(M638=0,C638=""),"",IF(ISNUMBER(C638),MOD(C638,1),IFERROR(INDEX(القوائم!$B$1:$B$288,MATCH(TRIM(C638),القوائم!$A$1:$A$288,0)),IFERROR(MOD(TIMEVALUE(C638),1),""))))</f>
        <v/>
      </c>
      <c r="L638" s="33" t="str">
        <f aca="false">IF(OR(M638=0,D638=""),"",IF(ISNUMBER(D638),MOD(D638,1),IFERROR(INDEX(القوائم!$B$1:$B$288,MATCH(TRIM(D638),القوائم!$A$1:$A$288,0)),IFERROR(MOD(TIMEVALUE(D638),1),""))))</f>
        <v/>
      </c>
      <c r="M638" s="25" t="n">
        <f aca="false">M631</f>
        <v>0</v>
      </c>
      <c r="Q638" s="25" t="n">
        <f aca="false">IF(N(F642)&gt;0,1,0)</f>
        <v>0</v>
      </c>
      <c r="S638" s="0" t="n">
        <v>53</v>
      </c>
    </row>
    <row r="639" customFormat="false" ht="15" hidden="false" customHeight="false" outlineLevel="0" collapsed="false">
      <c r="A639" s="34" t="str">
        <f aca="false">IF(53&lt;=NW,SAT1+370,"")</f>
        <v/>
      </c>
      <c r="B639" s="35" t="str">
        <f aca="false">IF(A639="","",CHOOSE(WEEKDAY(A639,1),"الأحد","الاثنين","الثلاثاء","الأربعاء","الخميس","الجمعة","السبت"))</f>
        <v/>
      </c>
      <c r="C639" s="30"/>
      <c r="D639" s="30"/>
      <c r="E639" s="31" t="str">
        <f aca="false">IF(OR(M639=0,K639="",L639=""),"",MOD(L639-K639,1))</f>
        <v/>
      </c>
      <c r="F639" s="32" t="str">
        <f aca="false">IF(OR(E639="",M639=0),"",IF(ROUND_MODE="للأعلى",CEILING(ROUND((E639*24*$N$631),3),0.25),ROUND((E639*24*$N$631)*4,0)/4))</f>
        <v/>
      </c>
      <c r="G639" s="30"/>
      <c r="H639" s="30"/>
      <c r="K639" s="33" t="str">
        <f aca="false">IF(OR(M639=0,C639=""),"",IF(ISNUMBER(C639),MOD(C639,1),IFERROR(INDEX(القوائم!$B$1:$B$288,MATCH(TRIM(C639),القوائم!$A$1:$A$288,0)),IFERROR(MOD(TIMEVALUE(C639),1),""))))</f>
        <v/>
      </c>
      <c r="L639" s="33" t="str">
        <f aca="false">IF(OR(M639=0,D639=""),"",IF(ISNUMBER(D639),MOD(D639,1),IFERROR(INDEX(القوائم!$B$1:$B$288,MATCH(TRIM(D639),القوائم!$A$1:$A$288,0)),IFERROR(MOD(TIMEVALUE(D639),1),""))))</f>
        <v/>
      </c>
      <c r="M639" s="25" t="n">
        <f aca="false">M631</f>
        <v>0</v>
      </c>
      <c r="Q639" s="25" t="n">
        <f aca="false">IF(N(F642)&gt;0,1,0)</f>
        <v>0</v>
      </c>
      <c r="S639" s="0" t="n">
        <v>53</v>
      </c>
    </row>
    <row r="640" customFormat="false" ht="15" hidden="false" customHeight="false" outlineLevel="0" collapsed="false">
      <c r="A640" s="36" t="str">
        <f aca="false">IF(M631=1,"مجموع أيام الأسبوع 53","")</f>
        <v/>
      </c>
      <c r="B640" s="36"/>
      <c r="C640" s="36"/>
      <c r="D640" s="36"/>
      <c r="E640" s="37" t="str">
        <f aca="false">IF(M631=1,SUM(E633:E639),"")</f>
        <v/>
      </c>
      <c r="F640" s="38" t="str">
        <f aca="false">IF(M631=1,SUM(F633:F639),"")</f>
        <v/>
      </c>
      <c r="G640" s="50" t="str">
        <f aca="false">IF(M631=1,SUMIFS(F633:F639,G633:G639,"نعم"),"")</f>
        <v/>
      </c>
      <c r="H640" s="36"/>
      <c r="S640" s="0" t="n">
        <v>53</v>
      </c>
    </row>
    <row r="641" customFormat="false" ht="31.5" hidden="false" customHeight="true" outlineLevel="0" collapsed="false">
      <c r="A641" s="39" t="str">
        <f aca="false">IF(M631=1,"ساعات تحميل الجبسمبورد بهالأسبوع (رقم: 2 أو 1.5) ←","")</f>
        <v/>
      </c>
      <c r="B641" s="39"/>
      <c r="C641" s="39"/>
      <c r="D641" s="39"/>
      <c r="E641" s="40"/>
      <c r="F641" s="42" t="str">
        <f aca="false">IF(M631=1,N(F640)+IF(ROUND_MODE="للأعلى",CEILING(ROUND((N(E641)*($P$631-$N$631)),3),0.25),ROUND((N(E641)*($P$631-$N$631))*4,0)/4)+N(C642),"")</f>
        <v/>
      </c>
      <c r="G641" s="41" t="str">
        <f aca="false">IF(M631=1,"← المستحق النهائي للأسبوع مع الجبسمبورد والإكرامية","")</f>
        <v/>
      </c>
      <c r="H641" s="41"/>
      <c r="S641" s="0" t="n">
        <v>53</v>
      </c>
    </row>
    <row r="642" customFormat="false" ht="25.5" hidden="false" customHeight="true" outlineLevel="0" collapsed="false">
      <c r="A642" s="39" t="str">
        <f aca="false">IF(M631=1,"إكرامية الأسبوع ←","")</f>
        <v/>
      </c>
      <c r="B642" s="39"/>
      <c r="C642" s="44"/>
      <c r="D642" s="39" t="str">
        <f aca="false">IF(M631=1,"المدفوع (التسوية) ←","")</f>
        <v/>
      </c>
      <c r="E642" s="39"/>
      <c r="F642" s="44"/>
      <c r="G642" s="45" t="str">
        <f aca="false">IF(M631=1,IF(N(F642)&gt;0,"✔ انقبض — الأسبوع مقفول","⏳ لسا ما انقبض"),"")</f>
        <v/>
      </c>
      <c r="H642" s="45"/>
      <c r="S642" s="0" t="n">
        <v>53</v>
      </c>
    </row>
  </sheetData>
  <sheetProtection sheet="true" formatColumns="false" formatRows="false"/>
  <mergeCells count="374">
    <mergeCell ref="A1:H1"/>
    <mergeCell ref="A2:H2"/>
    <mergeCell ref="A3:H3"/>
    <mergeCell ref="A7:H7"/>
    <mergeCell ref="A16:D16"/>
    <mergeCell ref="A17:D17"/>
    <mergeCell ref="G17:H17"/>
    <mergeCell ref="A18:B18"/>
    <mergeCell ref="D18:E18"/>
    <mergeCell ref="G18:H18"/>
    <mergeCell ref="A19:H19"/>
    <mergeCell ref="A28:D28"/>
    <mergeCell ref="A29:D29"/>
    <mergeCell ref="G29:H29"/>
    <mergeCell ref="A30:B30"/>
    <mergeCell ref="D30:E30"/>
    <mergeCell ref="G30:H30"/>
    <mergeCell ref="A31:H31"/>
    <mergeCell ref="A40:D40"/>
    <mergeCell ref="A41:D41"/>
    <mergeCell ref="G41:H41"/>
    <mergeCell ref="A42:B42"/>
    <mergeCell ref="D42:E42"/>
    <mergeCell ref="G42:H42"/>
    <mergeCell ref="A43:H43"/>
    <mergeCell ref="A52:D52"/>
    <mergeCell ref="A53:D53"/>
    <mergeCell ref="G53:H53"/>
    <mergeCell ref="A54:B54"/>
    <mergeCell ref="D54:E54"/>
    <mergeCell ref="G54:H54"/>
    <mergeCell ref="A55:H55"/>
    <mergeCell ref="A64:D64"/>
    <mergeCell ref="A65:D65"/>
    <mergeCell ref="G65:H65"/>
    <mergeCell ref="A66:B66"/>
    <mergeCell ref="D66:E66"/>
    <mergeCell ref="G66:H66"/>
    <mergeCell ref="A67:H67"/>
    <mergeCell ref="A76:D76"/>
    <mergeCell ref="A77:D77"/>
    <mergeCell ref="G77:H77"/>
    <mergeCell ref="A78:B78"/>
    <mergeCell ref="D78:E78"/>
    <mergeCell ref="G78:H78"/>
    <mergeCell ref="A79:H79"/>
    <mergeCell ref="A88:D88"/>
    <mergeCell ref="A89:D89"/>
    <mergeCell ref="G89:H89"/>
    <mergeCell ref="A90:B90"/>
    <mergeCell ref="D90:E90"/>
    <mergeCell ref="G90:H90"/>
    <mergeCell ref="A91:H91"/>
    <mergeCell ref="A100:D100"/>
    <mergeCell ref="A101:D101"/>
    <mergeCell ref="G101:H101"/>
    <mergeCell ref="A102:B102"/>
    <mergeCell ref="D102:E102"/>
    <mergeCell ref="G102:H102"/>
    <mergeCell ref="A103:H103"/>
    <mergeCell ref="A112:D112"/>
    <mergeCell ref="A113:D113"/>
    <mergeCell ref="G113:H113"/>
    <mergeCell ref="A114:B114"/>
    <mergeCell ref="D114:E114"/>
    <mergeCell ref="G114:H114"/>
    <mergeCell ref="A115:H115"/>
    <mergeCell ref="A124:D124"/>
    <mergeCell ref="A125:D125"/>
    <mergeCell ref="G125:H125"/>
    <mergeCell ref="A126:B126"/>
    <mergeCell ref="D126:E126"/>
    <mergeCell ref="G126:H126"/>
    <mergeCell ref="A127:H127"/>
    <mergeCell ref="A136:D136"/>
    <mergeCell ref="A137:D137"/>
    <mergeCell ref="G137:H137"/>
    <mergeCell ref="A138:B138"/>
    <mergeCell ref="D138:E138"/>
    <mergeCell ref="G138:H138"/>
    <mergeCell ref="A139:H139"/>
    <mergeCell ref="A148:D148"/>
    <mergeCell ref="A149:D149"/>
    <mergeCell ref="G149:H149"/>
    <mergeCell ref="A150:B150"/>
    <mergeCell ref="D150:E150"/>
    <mergeCell ref="G150:H150"/>
    <mergeCell ref="A151:H151"/>
    <mergeCell ref="A160:D160"/>
    <mergeCell ref="A161:D161"/>
    <mergeCell ref="G161:H161"/>
    <mergeCell ref="A162:B162"/>
    <mergeCell ref="D162:E162"/>
    <mergeCell ref="G162:H162"/>
    <mergeCell ref="A163:H163"/>
    <mergeCell ref="A172:D172"/>
    <mergeCell ref="A173:D173"/>
    <mergeCell ref="G173:H173"/>
    <mergeCell ref="A174:B174"/>
    <mergeCell ref="D174:E174"/>
    <mergeCell ref="G174:H174"/>
    <mergeCell ref="A175:H175"/>
    <mergeCell ref="A184:D184"/>
    <mergeCell ref="A185:D185"/>
    <mergeCell ref="G185:H185"/>
    <mergeCell ref="A186:B186"/>
    <mergeCell ref="D186:E186"/>
    <mergeCell ref="G186:H186"/>
    <mergeCell ref="A187:H187"/>
    <mergeCell ref="A196:D196"/>
    <mergeCell ref="A197:D197"/>
    <mergeCell ref="G197:H197"/>
    <mergeCell ref="A198:B198"/>
    <mergeCell ref="D198:E198"/>
    <mergeCell ref="G198:H198"/>
    <mergeCell ref="A199:H199"/>
    <mergeCell ref="A208:D208"/>
    <mergeCell ref="A209:D209"/>
    <mergeCell ref="G209:H209"/>
    <mergeCell ref="A210:B210"/>
    <mergeCell ref="D210:E210"/>
    <mergeCell ref="G210:H210"/>
    <mergeCell ref="A211:H211"/>
    <mergeCell ref="A220:D220"/>
    <mergeCell ref="A221:D221"/>
    <mergeCell ref="G221:H221"/>
    <mergeCell ref="A222:B222"/>
    <mergeCell ref="D222:E222"/>
    <mergeCell ref="G222:H222"/>
    <mergeCell ref="A223:H223"/>
    <mergeCell ref="A232:D232"/>
    <mergeCell ref="A233:D233"/>
    <mergeCell ref="G233:H233"/>
    <mergeCell ref="A234:B234"/>
    <mergeCell ref="D234:E234"/>
    <mergeCell ref="G234:H234"/>
    <mergeCell ref="A235:H235"/>
    <mergeCell ref="A244:D244"/>
    <mergeCell ref="A245:D245"/>
    <mergeCell ref="G245:H245"/>
    <mergeCell ref="A246:B246"/>
    <mergeCell ref="D246:E246"/>
    <mergeCell ref="G246:H246"/>
    <mergeCell ref="A247:H247"/>
    <mergeCell ref="A256:D256"/>
    <mergeCell ref="A257:D257"/>
    <mergeCell ref="G257:H257"/>
    <mergeCell ref="A258:B258"/>
    <mergeCell ref="D258:E258"/>
    <mergeCell ref="G258:H258"/>
    <mergeCell ref="A259:H259"/>
    <mergeCell ref="A268:D268"/>
    <mergeCell ref="A269:D269"/>
    <mergeCell ref="G269:H269"/>
    <mergeCell ref="A270:B270"/>
    <mergeCell ref="D270:E270"/>
    <mergeCell ref="G270:H270"/>
    <mergeCell ref="A271:H271"/>
    <mergeCell ref="A280:D280"/>
    <mergeCell ref="A281:D281"/>
    <mergeCell ref="G281:H281"/>
    <mergeCell ref="A282:B282"/>
    <mergeCell ref="D282:E282"/>
    <mergeCell ref="G282:H282"/>
    <mergeCell ref="A283:H283"/>
    <mergeCell ref="A292:D292"/>
    <mergeCell ref="A293:D293"/>
    <mergeCell ref="G293:H293"/>
    <mergeCell ref="A294:B294"/>
    <mergeCell ref="D294:E294"/>
    <mergeCell ref="G294:H294"/>
    <mergeCell ref="A295:H295"/>
    <mergeCell ref="A304:D304"/>
    <mergeCell ref="A305:D305"/>
    <mergeCell ref="G305:H305"/>
    <mergeCell ref="A306:B306"/>
    <mergeCell ref="D306:E306"/>
    <mergeCell ref="G306:H306"/>
    <mergeCell ref="A307:H307"/>
    <mergeCell ref="A316:D316"/>
    <mergeCell ref="A317:D317"/>
    <mergeCell ref="G317:H317"/>
    <mergeCell ref="A318:B318"/>
    <mergeCell ref="D318:E318"/>
    <mergeCell ref="G318:H318"/>
    <mergeCell ref="A319:H319"/>
    <mergeCell ref="A328:D328"/>
    <mergeCell ref="A329:D329"/>
    <mergeCell ref="G329:H329"/>
    <mergeCell ref="A330:B330"/>
    <mergeCell ref="D330:E330"/>
    <mergeCell ref="G330:H330"/>
    <mergeCell ref="A331:H331"/>
    <mergeCell ref="A340:D340"/>
    <mergeCell ref="A341:D341"/>
    <mergeCell ref="G341:H341"/>
    <mergeCell ref="A342:B342"/>
    <mergeCell ref="D342:E342"/>
    <mergeCell ref="G342:H342"/>
    <mergeCell ref="A343:H343"/>
    <mergeCell ref="A352:D352"/>
    <mergeCell ref="A353:D353"/>
    <mergeCell ref="G353:H353"/>
    <mergeCell ref="A354:B354"/>
    <mergeCell ref="D354:E354"/>
    <mergeCell ref="G354:H354"/>
    <mergeCell ref="A355:H355"/>
    <mergeCell ref="A364:D364"/>
    <mergeCell ref="A365:D365"/>
    <mergeCell ref="G365:H365"/>
    <mergeCell ref="A366:B366"/>
    <mergeCell ref="D366:E366"/>
    <mergeCell ref="G366:H366"/>
    <mergeCell ref="A367:H367"/>
    <mergeCell ref="A376:D376"/>
    <mergeCell ref="A377:D377"/>
    <mergeCell ref="G377:H377"/>
    <mergeCell ref="A378:B378"/>
    <mergeCell ref="D378:E378"/>
    <mergeCell ref="G378:H378"/>
    <mergeCell ref="A379:H379"/>
    <mergeCell ref="A388:D388"/>
    <mergeCell ref="A389:D389"/>
    <mergeCell ref="G389:H389"/>
    <mergeCell ref="A390:B390"/>
    <mergeCell ref="D390:E390"/>
    <mergeCell ref="G390:H390"/>
    <mergeCell ref="A391:H391"/>
    <mergeCell ref="A400:D400"/>
    <mergeCell ref="A401:D401"/>
    <mergeCell ref="G401:H401"/>
    <mergeCell ref="A402:B402"/>
    <mergeCell ref="D402:E402"/>
    <mergeCell ref="G402:H402"/>
    <mergeCell ref="A403:H403"/>
    <mergeCell ref="A412:D412"/>
    <mergeCell ref="A413:D413"/>
    <mergeCell ref="G413:H413"/>
    <mergeCell ref="A414:B414"/>
    <mergeCell ref="D414:E414"/>
    <mergeCell ref="G414:H414"/>
    <mergeCell ref="A415:H415"/>
    <mergeCell ref="A424:D424"/>
    <mergeCell ref="A425:D425"/>
    <mergeCell ref="G425:H425"/>
    <mergeCell ref="A426:B426"/>
    <mergeCell ref="D426:E426"/>
    <mergeCell ref="G426:H426"/>
    <mergeCell ref="A427:H427"/>
    <mergeCell ref="A436:D436"/>
    <mergeCell ref="A437:D437"/>
    <mergeCell ref="G437:H437"/>
    <mergeCell ref="A438:B438"/>
    <mergeCell ref="D438:E438"/>
    <mergeCell ref="G438:H438"/>
    <mergeCell ref="A439:H439"/>
    <mergeCell ref="A448:D448"/>
    <mergeCell ref="A449:D449"/>
    <mergeCell ref="G449:H449"/>
    <mergeCell ref="A450:B450"/>
    <mergeCell ref="D450:E450"/>
    <mergeCell ref="G450:H450"/>
    <mergeCell ref="A451:H451"/>
    <mergeCell ref="A460:D460"/>
    <mergeCell ref="A461:D461"/>
    <mergeCell ref="G461:H461"/>
    <mergeCell ref="A462:B462"/>
    <mergeCell ref="D462:E462"/>
    <mergeCell ref="G462:H462"/>
    <mergeCell ref="A463:H463"/>
    <mergeCell ref="A472:D472"/>
    <mergeCell ref="A473:D473"/>
    <mergeCell ref="G473:H473"/>
    <mergeCell ref="A474:B474"/>
    <mergeCell ref="D474:E474"/>
    <mergeCell ref="G474:H474"/>
    <mergeCell ref="A475:H475"/>
    <mergeCell ref="A484:D484"/>
    <mergeCell ref="A485:D485"/>
    <mergeCell ref="G485:H485"/>
    <mergeCell ref="A486:B486"/>
    <mergeCell ref="D486:E486"/>
    <mergeCell ref="G486:H486"/>
    <mergeCell ref="A487:H487"/>
    <mergeCell ref="A496:D496"/>
    <mergeCell ref="A497:D497"/>
    <mergeCell ref="G497:H497"/>
    <mergeCell ref="A498:B498"/>
    <mergeCell ref="D498:E498"/>
    <mergeCell ref="G498:H498"/>
    <mergeCell ref="A499:H499"/>
    <mergeCell ref="A508:D508"/>
    <mergeCell ref="A509:D509"/>
    <mergeCell ref="G509:H509"/>
    <mergeCell ref="A510:B510"/>
    <mergeCell ref="D510:E510"/>
    <mergeCell ref="G510:H510"/>
    <mergeCell ref="A511:H511"/>
    <mergeCell ref="A520:D520"/>
    <mergeCell ref="A521:D521"/>
    <mergeCell ref="G521:H521"/>
    <mergeCell ref="A522:B522"/>
    <mergeCell ref="D522:E522"/>
    <mergeCell ref="G522:H522"/>
    <mergeCell ref="A523:H523"/>
    <mergeCell ref="A532:D532"/>
    <mergeCell ref="A533:D533"/>
    <mergeCell ref="G533:H533"/>
    <mergeCell ref="A534:B534"/>
    <mergeCell ref="D534:E534"/>
    <mergeCell ref="G534:H534"/>
    <mergeCell ref="A535:H535"/>
    <mergeCell ref="A544:D544"/>
    <mergeCell ref="A545:D545"/>
    <mergeCell ref="G545:H545"/>
    <mergeCell ref="A546:B546"/>
    <mergeCell ref="D546:E546"/>
    <mergeCell ref="G546:H546"/>
    <mergeCell ref="A547:H547"/>
    <mergeCell ref="A556:D556"/>
    <mergeCell ref="A557:D557"/>
    <mergeCell ref="G557:H557"/>
    <mergeCell ref="A558:B558"/>
    <mergeCell ref="D558:E558"/>
    <mergeCell ref="G558:H558"/>
    <mergeCell ref="A559:H559"/>
    <mergeCell ref="A568:D568"/>
    <mergeCell ref="A569:D569"/>
    <mergeCell ref="G569:H569"/>
    <mergeCell ref="A570:B570"/>
    <mergeCell ref="D570:E570"/>
    <mergeCell ref="G570:H570"/>
    <mergeCell ref="A571:H571"/>
    <mergeCell ref="A580:D580"/>
    <mergeCell ref="A581:D581"/>
    <mergeCell ref="G581:H581"/>
    <mergeCell ref="A582:B582"/>
    <mergeCell ref="D582:E582"/>
    <mergeCell ref="G582:H582"/>
    <mergeCell ref="A583:H583"/>
    <mergeCell ref="A592:D592"/>
    <mergeCell ref="A593:D593"/>
    <mergeCell ref="G593:H593"/>
    <mergeCell ref="A594:B594"/>
    <mergeCell ref="D594:E594"/>
    <mergeCell ref="G594:H594"/>
    <mergeCell ref="A595:H595"/>
    <mergeCell ref="A604:D604"/>
    <mergeCell ref="A605:D605"/>
    <mergeCell ref="G605:H605"/>
    <mergeCell ref="A606:B606"/>
    <mergeCell ref="D606:E606"/>
    <mergeCell ref="G606:H606"/>
    <mergeCell ref="A607:H607"/>
    <mergeCell ref="A616:D616"/>
    <mergeCell ref="A617:D617"/>
    <mergeCell ref="G617:H617"/>
    <mergeCell ref="A618:B618"/>
    <mergeCell ref="D618:E618"/>
    <mergeCell ref="G618:H618"/>
    <mergeCell ref="A619:H619"/>
    <mergeCell ref="A628:D628"/>
    <mergeCell ref="A629:D629"/>
    <mergeCell ref="G629:H629"/>
    <mergeCell ref="A630:B630"/>
    <mergeCell ref="D630:E630"/>
    <mergeCell ref="G630:H630"/>
    <mergeCell ref="A631:H631"/>
    <mergeCell ref="A640:D640"/>
    <mergeCell ref="A641:D641"/>
    <mergeCell ref="G641:H641"/>
    <mergeCell ref="A642:B642"/>
    <mergeCell ref="D642:E642"/>
    <mergeCell ref="G642:H642"/>
  </mergeCells>
  <conditionalFormatting sqref="A7:H642">
    <cfRule type="expression" priority="2" aboveAverage="0" equalAverage="0" bottom="0" percent="0" rank="0" text="" dxfId="1">
      <formula>$M7=0</formula>
    </cfRule>
    <cfRule type="expression" priority="3" aboveAverage="0" equalAverage="0" bottom="0" percent="0" rank="0" text="" dxfId="2">
      <formula>AND($M7=1,$Q7=1)</formula>
    </cfRule>
    <cfRule type="expression" priority="4" aboveAverage="0" equalAverage="0" bottom="0" percent="0" rank="0" text="" dxfId="3">
      <formula>$R7=CURWK</formula>
    </cfRule>
    <cfRule type="expression" priority="5" aboveAverage="0" equalAverage="0" bottom="0" percent="0" rank="0" text="" dxfId="4">
      <formula>AND($S7=CURWK,$R7&lt;&gt;CURWK)</formula>
    </cfRule>
  </conditionalFormatting>
  <conditionalFormatting sqref="F17">
    <cfRule type="expression" priority="6" aboveAverage="0" equalAverage="0" bottom="0" percent="0" rank="0" text="" dxfId="5">
      <formula>F17&lt;&gt;""</formula>
    </cfRule>
  </conditionalFormatting>
  <conditionalFormatting sqref="F29">
    <cfRule type="expression" priority="7" aboveAverage="0" equalAverage="0" bottom="0" percent="0" rank="0" text="" dxfId="5">
      <formula>F29&lt;&gt;""</formula>
    </cfRule>
  </conditionalFormatting>
  <conditionalFormatting sqref="F41">
    <cfRule type="expression" priority="8" aboveAverage="0" equalAverage="0" bottom="0" percent="0" rank="0" text="" dxfId="5">
      <formula>F41&lt;&gt;""</formula>
    </cfRule>
  </conditionalFormatting>
  <conditionalFormatting sqref="F53">
    <cfRule type="expression" priority="9" aboveAverage="0" equalAverage="0" bottom="0" percent="0" rank="0" text="" dxfId="5">
      <formula>F53&lt;&gt;""</formula>
    </cfRule>
  </conditionalFormatting>
  <conditionalFormatting sqref="F65">
    <cfRule type="expression" priority="10" aboveAverage="0" equalAverage="0" bottom="0" percent="0" rank="0" text="" dxfId="5">
      <formula>F65&lt;&gt;""</formula>
    </cfRule>
  </conditionalFormatting>
  <conditionalFormatting sqref="F77">
    <cfRule type="expression" priority="11" aboveAverage="0" equalAverage="0" bottom="0" percent="0" rank="0" text="" dxfId="5">
      <formula>F77&lt;&gt;""</formula>
    </cfRule>
  </conditionalFormatting>
  <conditionalFormatting sqref="F89">
    <cfRule type="expression" priority="12" aboveAverage="0" equalAverage="0" bottom="0" percent="0" rank="0" text="" dxfId="5">
      <formula>F89&lt;&gt;""</formula>
    </cfRule>
  </conditionalFormatting>
  <conditionalFormatting sqref="F101">
    <cfRule type="expression" priority="13" aboveAverage="0" equalAverage="0" bottom="0" percent="0" rank="0" text="" dxfId="5">
      <formula>F101&lt;&gt;""</formula>
    </cfRule>
  </conditionalFormatting>
  <conditionalFormatting sqref="F113">
    <cfRule type="expression" priority="14" aboveAverage="0" equalAverage="0" bottom="0" percent="0" rank="0" text="" dxfId="5">
      <formula>F113&lt;&gt;""</formula>
    </cfRule>
  </conditionalFormatting>
  <conditionalFormatting sqref="F125">
    <cfRule type="expression" priority="15" aboveAverage="0" equalAverage="0" bottom="0" percent="0" rank="0" text="" dxfId="5">
      <formula>F125&lt;&gt;""</formula>
    </cfRule>
  </conditionalFormatting>
  <conditionalFormatting sqref="F137">
    <cfRule type="expression" priority="16" aboveAverage="0" equalAverage="0" bottom="0" percent="0" rank="0" text="" dxfId="5">
      <formula>F137&lt;&gt;""</formula>
    </cfRule>
  </conditionalFormatting>
  <conditionalFormatting sqref="F149">
    <cfRule type="expression" priority="17" aboveAverage="0" equalAverage="0" bottom="0" percent="0" rank="0" text="" dxfId="5">
      <formula>F149&lt;&gt;""</formula>
    </cfRule>
  </conditionalFormatting>
  <conditionalFormatting sqref="F161">
    <cfRule type="expression" priority="18" aboveAverage="0" equalAverage="0" bottom="0" percent="0" rank="0" text="" dxfId="5">
      <formula>F161&lt;&gt;""</formula>
    </cfRule>
  </conditionalFormatting>
  <conditionalFormatting sqref="F173">
    <cfRule type="expression" priority="19" aboveAverage="0" equalAverage="0" bottom="0" percent="0" rank="0" text="" dxfId="5">
      <formula>F173&lt;&gt;""</formula>
    </cfRule>
  </conditionalFormatting>
  <conditionalFormatting sqref="F185">
    <cfRule type="expression" priority="20" aboveAverage="0" equalAverage="0" bottom="0" percent="0" rank="0" text="" dxfId="5">
      <formula>F185&lt;&gt;""</formula>
    </cfRule>
  </conditionalFormatting>
  <conditionalFormatting sqref="F197">
    <cfRule type="expression" priority="21" aboveAverage="0" equalAverage="0" bottom="0" percent="0" rank="0" text="" dxfId="5">
      <formula>F197&lt;&gt;""</formula>
    </cfRule>
  </conditionalFormatting>
  <conditionalFormatting sqref="F209">
    <cfRule type="expression" priority="22" aboveAverage="0" equalAverage="0" bottom="0" percent="0" rank="0" text="" dxfId="5">
      <formula>F209&lt;&gt;""</formula>
    </cfRule>
  </conditionalFormatting>
  <conditionalFormatting sqref="F221">
    <cfRule type="expression" priority="23" aboveAverage="0" equalAverage="0" bottom="0" percent="0" rank="0" text="" dxfId="5">
      <formula>F221&lt;&gt;""</formula>
    </cfRule>
  </conditionalFormatting>
  <conditionalFormatting sqref="F233">
    <cfRule type="expression" priority="24" aboveAverage="0" equalAverage="0" bottom="0" percent="0" rank="0" text="" dxfId="5">
      <formula>F233&lt;&gt;""</formula>
    </cfRule>
  </conditionalFormatting>
  <conditionalFormatting sqref="F245">
    <cfRule type="expression" priority="25" aboveAverage="0" equalAverage="0" bottom="0" percent="0" rank="0" text="" dxfId="5">
      <formula>F245&lt;&gt;""</formula>
    </cfRule>
  </conditionalFormatting>
  <conditionalFormatting sqref="F257">
    <cfRule type="expression" priority="26" aboveAverage="0" equalAverage="0" bottom="0" percent="0" rank="0" text="" dxfId="5">
      <formula>F257&lt;&gt;""</formula>
    </cfRule>
  </conditionalFormatting>
  <conditionalFormatting sqref="F269">
    <cfRule type="expression" priority="27" aboveAverage="0" equalAverage="0" bottom="0" percent="0" rank="0" text="" dxfId="5">
      <formula>F269&lt;&gt;""</formula>
    </cfRule>
  </conditionalFormatting>
  <conditionalFormatting sqref="F281">
    <cfRule type="expression" priority="28" aboveAverage="0" equalAverage="0" bottom="0" percent="0" rank="0" text="" dxfId="5">
      <formula>F281&lt;&gt;""</formula>
    </cfRule>
  </conditionalFormatting>
  <conditionalFormatting sqref="F293">
    <cfRule type="expression" priority="29" aboveAverage="0" equalAverage="0" bottom="0" percent="0" rank="0" text="" dxfId="5">
      <formula>F293&lt;&gt;""</formula>
    </cfRule>
  </conditionalFormatting>
  <conditionalFormatting sqref="F305">
    <cfRule type="expression" priority="30" aboveAverage="0" equalAverage="0" bottom="0" percent="0" rank="0" text="" dxfId="5">
      <formula>F305&lt;&gt;""</formula>
    </cfRule>
  </conditionalFormatting>
  <conditionalFormatting sqref="F317">
    <cfRule type="expression" priority="31" aboveAverage="0" equalAverage="0" bottom="0" percent="0" rank="0" text="" dxfId="5">
      <formula>F317&lt;&gt;""</formula>
    </cfRule>
  </conditionalFormatting>
  <conditionalFormatting sqref="F329">
    <cfRule type="expression" priority="32" aboveAverage="0" equalAverage="0" bottom="0" percent="0" rank="0" text="" dxfId="5">
      <formula>F329&lt;&gt;""</formula>
    </cfRule>
  </conditionalFormatting>
  <conditionalFormatting sqref="F341">
    <cfRule type="expression" priority="33" aboveAverage="0" equalAverage="0" bottom="0" percent="0" rank="0" text="" dxfId="5">
      <formula>F341&lt;&gt;""</formula>
    </cfRule>
  </conditionalFormatting>
  <conditionalFormatting sqref="F353">
    <cfRule type="expression" priority="34" aboveAverage="0" equalAverage="0" bottom="0" percent="0" rank="0" text="" dxfId="5">
      <formula>F353&lt;&gt;""</formula>
    </cfRule>
  </conditionalFormatting>
  <conditionalFormatting sqref="F365">
    <cfRule type="expression" priority="35" aboveAverage="0" equalAverage="0" bottom="0" percent="0" rank="0" text="" dxfId="5">
      <formula>F365&lt;&gt;""</formula>
    </cfRule>
  </conditionalFormatting>
  <conditionalFormatting sqref="F377">
    <cfRule type="expression" priority="36" aboveAverage="0" equalAverage="0" bottom="0" percent="0" rank="0" text="" dxfId="5">
      <formula>F377&lt;&gt;""</formula>
    </cfRule>
  </conditionalFormatting>
  <conditionalFormatting sqref="F389">
    <cfRule type="expression" priority="37" aboveAverage="0" equalAverage="0" bottom="0" percent="0" rank="0" text="" dxfId="5">
      <formula>F389&lt;&gt;""</formula>
    </cfRule>
  </conditionalFormatting>
  <conditionalFormatting sqref="F401">
    <cfRule type="expression" priority="38" aboveAverage="0" equalAverage="0" bottom="0" percent="0" rank="0" text="" dxfId="5">
      <formula>F401&lt;&gt;""</formula>
    </cfRule>
  </conditionalFormatting>
  <conditionalFormatting sqref="F413">
    <cfRule type="expression" priority="39" aboveAverage="0" equalAverage="0" bottom="0" percent="0" rank="0" text="" dxfId="5">
      <formula>F413&lt;&gt;""</formula>
    </cfRule>
  </conditionalFormatting>
  <conditionalFormatting sqref="F425">
    <cfRule type="expression" priority="40" aboveAverage="0" equalAverage="0" bottom="0" percent="0" rank="0" text="" dxfId="5">
      <formula>F425&lt;&gt;""</formula>
    </cfRule>
  </conditionalFormatting>
  <conditionalFormatting sqref="F437">
    <cfRule type="expression" priority="41" aboveAverage="0" equalAverage="0" bottom="0" percent="0" rank="0" text="" dxfId="5">
      <formula>F437&lt;&gt;""</formula>
    </cfRule>
  </conditionalFormatting>
  <conditionalFormatting sqref="F449">
    <cfRule type="expression" priority="42" aboveAverage="0" equalAverage="0" bottom="0" percent="0" rank="0" text="" dxfId="5">
      <formula>F449&lt;&gt;""</formula>
    </cfRule>
  </conditionalFormatting>
  <conditionalFormatting sqref="F461">
    <cfRule type="expression" priority="43" aboveAverage="0" equalAverage="0" bottom="0" percent="0" rank="0" text="" dxfId="5">
      <formula>F461&lt;&gt;""</formula>
    </cfRule>
  </conditionalFormatting>
  <conditionalFormatting sqref="F473">
    <cfRule type="expression" priority="44" aboveAverage="0" equalAverage="0" bottom="0" percent="0" rank="0" text="" dxfId="5">
      <formula>F473&lt;&gt;""</formula>
    </cfRule>
  </conditionalFormatting>
  <conditionalFormatting sqref="F485">
    <cfRule type="expression" priority="45" aboveAverage="0" equalAverage="0" bottom="0" percent="0" rank="0" text="" dxfId="5">
      <formula>F485&lt;&gt;""</formula>
    </cfRule>
  </conditionalFormatting>
  <conditionalFormatting sqref="F497">
    <cfRule type="expression" priority="46" aboveAverage="0" equalAverage="0" bottom="0" percent="0" rank="0" text="" dxfId="5">
      <formula>F497&lt;&gt;""</formula>
    </cfRule>
  </conditionalFormatting>
  <conditionalFormatting sqref="F509">
    <cfRule type="expression" priority="47" aboveAverage="0" equalAverage="0" bottom="0" percent="0" rank="0" text="" dxfId="5">
      <formula>F509&lt;&gt;""</formula>
    </cfRule>
  </conditionalFormatting>
  <conditionalFormatting sqref="F521">
    <cfRule type="expression" priority="48" aboveAverage="0" equalAverage="0" bottom="0" percent="0" rank="0" text="" dxfId="5">
      <formula>F521&lt;&gt;""</formula>
    </cfRule>
  </conditionalFormatting>
  <conditionalFormatting sqref="F533">
    <cfRule type="expression" priority="49" aboveAverage="0" equalAverage="0" bottom="0" percent="0" rank="0" text="" dxfId="5">
      <formula>F533&lt;&gt;""</formula>
    </cfRule>
  </conditionalFormatting>
  <conditionalFormatting sqref="F545">
    <cfRule type="expression" priority="50" aboveAverage="0" equalAverage="0" bottom="0" percent="0" rank="0" text="" dxfId="5">
      <formula>F545&lt;&gt;""</formula>
    </cfRule>
  </conditionalFormatting>
  <conditionalFormatting sqref="F557">
    <cfRule type="expression" priority="51" aboveAverage="0" equalAverage="0" bottom="0" percent="0" rank="0" text="" dxfId="5">
      <formula>F557&lt;&gt;""</formula>
    </cfRule>
  </conditionalFormatting>
  <conditionalFormatting sqref="F569">
    <cfRule type="expression" priority="52" aboveAverage="0" equalAverage="0" bottom="0" percent="0" rank="0" text="" dxfId="5">
      <formula>F569&lt;&gt;""</formula>
    </cfRule>
  </conditionalFormatting>
  <conditionalFormatting sqref="F581">
    <cfRule type="expression" priority="53" aboveAverage="0" equalAverage="0" bottom="0" percent="0" rank="0" text="" dxfId="5">
      <formula>F581&lt;&gt;""</formula>
    </cfRule>
  </conditionalFormatting>
  <conditionalFormatting sqref="F593">
    <cfRule type="expression" priority="54" aboveAverage="0" equalAverage="0" bottom="0" percent="0" rank="0" text="" dxfId="5">
      <formula>F593&lt;&gt;""</formula>
    </cfRule>
  </conditionalFormatting>
  <conditionalFormatting sqref="F605">
    <cfRule type="expression" priority="55" aboveAverage="0" equalAverage="0" bottom="0" percent="0" rank="0" text="" dxfId="5">
      <formula>F605&lt;&gt;""</formula>
    </cfRule>
  </conditionalFormatting>
  <conditionalFormatting sqref="F617">
    <cfRule type="expression" priority="56" aboveAverage="0" equalAverage="0" bottom="0" percent="0" rank="0" text="" dxfId="5">
      <formula>F617&lt;&gt;""</formula>
    </cfRule>
  </conditionalFormatting>
  <conditionalFormatting sqref="F629">
    <cfRule type="expression" priority="57" aboveAverage="0" equalAverage="0" bottom="0" percent="0" rank="0" text="" dxfId="5">
      <formula>F629&lt;&gt;""</formula>
    </cfRule>
  </conditionalFormatting>
  <conditionalFormatting sqref="F641">
    <cfRule type="expression" priority="58" aboveAverage="0" equalAverage="0" bottom="0" percent="0" rank="0" text="" dxfId="5">
      <formula>F641&lt;&gt;""</formula>
    </cfRule>
  </conditionalFormatting>
  <dataValidations count="2">
    <dataValidation allowBlank="true" errorStyle="stop" operator="between" showDropDown="false" showErrorMessage="false" showInputMessage="false" sqref="C7:D642" type="list">
      <formula1>القوائم!$A$1:$A$288</formula1>
      <formula2>0</formula2>
    </dataValidation>
    <dataValidation allowBlank="true" errorStyle="stop" operator="between" showDropDown="false" showErrorMessage="false" showInputMessage="false" sqref="G7:G642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5" min="5" style="0" width="26"/>
    <col collapsed="false" customWidth="true" hidden="true" outlineLevel="0" max="10" min="7" style="0" width="13"/>
  </cols>
  <sheetData>
    <row r="1" customFormat="false" ht="31.5" hidden="false" customHeight="true" outlineLevel="0" collapsed="false">
      <c r="A1" s="51" t="s">
        <v>35</v>
      </c>
      <c r="B1" s="51"/>
      <c r="C1" s="51"/>
      <c r="D1" s="51"/>
      <c r="E1" s="51"/>
      <c r="F1" s="51"/>
    </row>
    <row r="2" customFormat="false" ht="21.75" hidden="false" customHeight="true" outlineLevel="0" collapsed="false">
      <c r="A2" s="52" t="str">
        <f aca="false">"سنة "&amp;YR&amp;"   (السنة بتنختار من ورقة «السنة»)"</f>
        <v>سنة 2026   (السنة بتنختار من ورقة «السنة»)</v>
      </c>
      <c r="B2" s="52"/>
      <c r="C2" s="52"/>
      <c r="D2" s="52"/>
      <c r="E2" s="52"/>
      <c r="F2" s="52"/>
    </row>
    <row r="3" customFormat="false" ht="31.5" hidden="false" customHeight="true" outlineLevel="0" collapsed="false">
      <c r="A3" s="53" t="s">
        <v>7</v>
      </c>
      <c r="B3" s="53" t="s">
        <v>36</v>
      </c>
      <c r="C3" s="53" t="s">
        <v>37</v>
      </c>
      <c r="D3" s="53"/>
      <c r="E3" s="53"/>
    </row>
    <row r="4" customFormat="false" ht="15" hidden="false" customHeight="false" outlineLevel="0" collapsed="false">
      <c r="A4" s="13" t="s">
        <v>15</v>
      </c>
      <c r="B4" s="54" t="n">
        <f aca="false">SUMIFS(ADV_AMT,ADV_E,A4)</f>
        <v>0</v>
      </c>
      <c r="C4" s="54" t="n">
        <f aca="false">SUMIFS(ADV_AMT,ADV_E,A4,ADV_W,WK)</f>
        <v>0</v>
      </c>
    </row>
    <row r="5" customFormat="false" ht="15" hidden="false" customHeight="false" outlineLevel="0" collapsed="false">
      <c r="A5" s="13" t="s">
        <v>16</v>
      </c>
      <c r="B5" s="54" t="n">
        <f aca="false">SUMIFS(ADV_AMT,ADV_E,A5)</f>
        <v>0</v>
      </c>
      <c r="C5" s="54" t="n">
        <f aca="false">SUMIFS(ADV_AMT,ADV_E,A5,ADV_W,WK)</f>
        <v>0</v>
      </c>
    </row>
    <row r="7" customFormat="false" ht="30" hidden="false" customHeight="true" outlineLevel="0" collapsed="false">
      <c r="A7" s="55" t="s">
        <v>38</v>
      </c>
      <c r="B7" s="55"/>
      <c r="C7" s="55"/>
      <c r="D7" s="55"/>
      <c r="E7" s="55"/>
    </row>
    <row r="8" customFormat="false" ht="21.75" hidden="false" customHeight="true" outlineLevel="0" collapsed="false">
      <c r="A8" s="7" t="s">
        <v>3</v>
      </c>
      <c r="B8" s="8" t="s">
        <v>4</v>
      </c>
    </row>
    <row r="9" customFormat="false" ht="30" hidden="false" customHeight="true" outlineLevel="0" collapsed="false">
      <c r="A9" s="56" t="s">
        <v>22</v>
      </c>
      <c r="B9" s="56" t="s">
        <v>7</v>
      </c>
      <c r="C9" s="56" t="s">
        <v>39</v>
      </c>
      <c r="D9" s="56" t="s">
        <v>40</v>
      </c>
      <c r="E9" s="56" t="s">
        <v>41</v>
      </c>
    </row>
    <row r="10" customFormat="false" ht="15" hidden="false" customHeight="false" outlineLevel="0" collapsed="false">
      <c r="A10" s="57"/>
      <c r="B10" s="30"/>
      <c r="C10" s="58"/>
      <c r="D10" s="59"/>
      <c r="E10" s="60" t="str">
        <f aca="false">IF(A10="","",IF(G10="","⛔ التاريخ غلط — اكتبه كامل 05/10/2026 أو اختاره من القائمة",IF(OR(H10&lt;1,H10&gt;NW),"⛔ التاريخ برّا السنة",IF(AND(N(C10)&gt;0,N(J10)&gt;0,C10&gt;ADV_CAP*J10),"⚠️ أكثر من "&amp;TEXT(ADV_CAP,"0%")&amp;" من شغله ("&amp;TEXT(J10,"0.000")&amp;")",""))))</f>
        <v/>
      </c>
      <c r="G10" s="0" t="str">
        <f aca="false">IF(A10="","",IF(ISNUMBER(A10),IF(A10&gt;=36526,A10,""),IFERROR(DATEVALUE(A10),"")))</f>
        <v/>
      </c>
      <c r="H10" s="0" t="str">
        <f aca="false">IF(G10="","",INT((G10-SAT1)/7)+1)</f>
        <v/>
      </c>
      <c r="I10" s="0" t="str">
        <f aca="false">IF(H10="","",IF(OR(H10&lt;1,H10&gt;NW),"",INDEX(WMON,H10)))</f>
        <v/>
      </c>
      <c r="J10" s="0" t="str">
        <f aca="false">IF(OR(G10="",H10="",B10=""),"",IF(B10="عمر المصري",SUMIFS('ساعات عمر'!$H$7:$H$642,'ساعات عمر'!$A$7:$A$642,"&gt;="&amp;(SAT1+7*(H10-1)),'ساعات عمر'!$A$7:$A$642,"&lt;="&amp;G10),SUMIFS('ساعات عبدالعزيز'!$F$7:$F$642,'ساعات عبدالعزيز'!$A$7:$A$642,"&gt;="&amp;(SAT1+7*(H10-1)),'ساعات عبدالعزيز'!$A$7:$A$642,"&lt;="&amp;G10)))</f>
        <v/>
      </c>
    </row>
    <row r="11" customFormat="false" ht="15" hidden="false" customHeight="false" outlineLevel="0" collapsed="false">
      <c r="A11" s="57"/>
      <c r="B11" s="30"/>
      <c r="C11" s="58"/>
      <c r="D11" s="59"/>
      <c r="E11" s="60" t="str">
        <f aca="false">IF(A11="","",IF(G11="","⛔ التاريخ غلط — اكتبه كامل 05/10/2026 أو اختاره من القائمة",IF(OR(H11&lt;1,H11&gt;NW),"⛔ التاريخ برّا السنة",IF(AND(N(C11)&gt;0,N(J11)&gt;0,C11&gt;ADV_CAP*J11),"⚠️ أكثر من "&amp;TEXT(ADV_CAP,"0%")&amp;" من شغله ("&amp;TEXT(J11,"0.000")&amp;")",""))))</f>
        <v/>
      </c>
      <c r="G11" s="0" t="str">
        <f aca="false">IF(A11="","",IF(ISNUMBER(A11),IF(A11&gt;=36526,A11,""),IFERROR(DATEVALUE(A11),"")))</f>
        <v/>
      </c>
      <c r="H11" s="0" t="str">
        <f aca="false">IF(G11="","",INT((G11-SAT1)/7)+1)</f>
        <v/>
      </c>
      <c r="I11" s="0" t="str">
        <f aca="false">IF(H11="","",IF(OR(H11&lt;1,H11&gt;NW),"",INDEX(WMON,H11)))</f>
        <v/>
      </c>
      <c r="J11" s="0" t="str">
        <f aca="false">IF(OR(G11="",H11="",B11=""),"",IF(B11="عمر المصري",SUMIFS('ساعات عمر'!$H$7:$H$642,'ساعات عمر'!$A$7:$A$642,"&gt;="&amp;(SAT1+7*(H11-1)),'ساعات عمر'!$A$7:$A$642,"&lt;="&amp;G11),SUMIFS('ساعات عبدالعزيز'!$F$7:$F$642,'ساعات عبدالعزيز'!$A$7:$A$642,"&gt;="&amp;(SAT1+7*(H11-1)),'ساعات عبدالعزيز'!$A$7:$A$642,"&lt;="&amp;G11)))</f>
        <v/>
      </c>
    </row>
    <row r="12" customFormat="false" ht="15" hidden="false" customHeight="false" outlineLevel="0" collapsed="false">
      <c r="A12" s="57"/>
      <c r="B12" s="30"/>
      <c r="C12" s="58"/>
      <c r="D12" s="59"/>
      <c r="E12" s="60" t="str">
        <f aca="false">IF(A12="","",IF(G12="","⛔ التاريخ غلط — اكتبه كامل 05/10/2026 أو اختاره من القائمة",IF(OR(H12&lt;1,H12&gt;NW),"⛔ التاريخ برّا السنة",IF(AND(N(C12)&gt;0,N(J12)&gt;0,C12&gt;ADV_CAP*J12),"⚠️ أكثر من "&amp;TEXT(ADV_CAP,"0%")&amp;" من شغله ("&amp;TEXT(J12,"0.000")&amp;")",""))))</f>
        <v/>
      </c>
      <c r="G12" s="0" t="str">
        <f aca="false">IF(A12="","",IF(ISNUMBER(A12),IF(A12&gt;=36526,A12,""),IFERROR(DATEVALUE(A12),"")))</f>
        <v/>
      </c>
      <c r="H12" s="0" t="str">
        <f aca="false">IF(G12="","",INT((G12-SAT1)/7)+1)</f>
        <v/>
      </c>
      <c r="I12" s="0" t="str">
        <f aca="false">IF(H12="","",IF(OR(H12&lt;1,H12&gt;NW),"",INDEX(WMON,H12)))</f>
        <v/>
      </c>
      <c r="J12" s="0" t="str">
        <f aca="false">IF(OR(G12="",H12="",B12=""),"",IF(B12="عمر المصري",SUMIFS('ساعات عمر'!$H$7:$H$642,'ساعات عمر'!$A$7:$A$642,"&gt;="&amp;(SAT1+7*(H12-1)),'ساعات عمر'!$A$7:$A$642,"&lt;="&amp;G12),SUMIFS('ساعات عبدالعزيز'!$F$7:$F$642,'ساعات عبدالعزيز'!$A$7:$A$642,"&gt;="&amp;(SAT1+7*(H12-1)),'ساعات عبدالعزيز'!$A$7:$A$642,"&lt;="&amp;G12)))</f>
        <v/>
      </c>
    </row>
    <row r="13" customFormat="false" ht="15" hidden="false" customHeight="false" outlineLevel="0" collapsed="false">
      <c r="A13" s="57"/>
      <c r="B13" s="30"/>
      <c r="C13" s="58"/>
      <c r="D13" s="59"/>
      <c r="E13" s="60" t="str">
        <f aca="false">IF(A13="","",IF(G13="","⛔ التاريخ غلط — اكتبه كامل 05/10/2026 أو اختاره من القائمة",IF(OR(H13&lt;1,H13&gt;NW),"⛔ التاريخ برّا السنة",IF(AND(N(C13)&gt;0,N(J13)&gt;0,C13&gt;ADV_CAP*J13),"⚠️ أكثر من "&amp;TEXT(ADV_CAP,"0%")&amp;" من شغله ("&amp;TEXT(J13,"0.000")&amp;")",""))))</f>
        <v/>
      </c>
      <c r="G13" s="0" t="str">
        <f aca="false">IF(A13="","",IF(ISNUMBER(A13),IF(A13&gt;=36526,A13,""),IFERROR(DATEVALUE(A13),"")))</f>
        <v/>
      </c>
      <c r="H13" s="0" t="str">
        <f aca="false">IF(G13="","",INT((G13-SAT1)/7)+1)</f>
        <v/>
      </c>
      <c r="I13" s="0" t="str">
        <f aca="false">IF(H13="","",IF(OR(H13&lt;1,H13&gt;NW),"",INDEX(WMON,H13)))</f>
        <v/>
      </c>
      <c r="J13" s="0" t="str">
        <f aca="false">IF(OR(G13="",H13="",B13=""),"",IF(B13="عمر المصري",SUMIFS('ساعات عمر'!$H$7:$H$642,'ساعات عمر'!$A$7:$A$642,"&gt;="&amp;(SAT1+7*(H13-1)),'ساعات عمر'!$A$7:$A$642,"&lt;="&amp;G13),SUMIFS('ساعات عبدالعزيز'!$F$7:$F$642,'ساعات عبدالعزيز'!$A$7:$A$642,"&gt;="&amp;(SAT1+7*(H13-1)),'ساعات عبدالعزيز'!$A$7:$A$642,"&lt;="&amp;G13)))</f>
        <v/>
      </c>
    </row>
    <row r="14" customFormat="false" ht="15" hidden="false" customHeight="false" outlineLevel="0" collapsed="false">
      <c r="A14" s="57"/>
      <c r="B14" s="30"/>
      <c r="C14" s="58"/>
      <c r="D14" s="59"/>
      <c r="E14" s="60" t="str">
        <f aca="false">IF(A14="","",IF(G14="","⛔ التاريخ غلط — اكتبه كامل 05/10/2026 أو اختاره من القائمة",IF(OR(H14&lt;1,H14&gt;NW),"⛔ التاريخ برّا السنة",IF(AND(N(C14)&gt;0,N(J14)&gt;0,C14&gt;ADV_CAP*J14),"⚠️ أكثر من "&amp;TEXT(ADV_CAP,"0%")&amp;" من شغله ("&amp;TEXT(J14,"0.000")&amp;")",""))))</f>
        <v/>
      </c>
      <c r="G14" s="0" t="str">
        <f aca="false">IF(A14="","",IF(ISNUMBER(A14),IF(A14&gt;=36526,A14,""),IFERROR(DATEVALUE(A14),"")))</f>
        <v/>
      </c>
      <c r="H14" s="0" t="str">
        <f aca="false">IF(G14="","",INT((G14-SAT1)/7)+1)</f>
        <v/>
      </c>
      <c r="I14" s="0" t="str">
        <f aca="false">IF(H14="","",IF(OR(H14&lt;1,H14&gt;NW),"",INDEX(WMON,H14)))</f>
        <v/>
      </c>
      <c r="J14" s="0" t="str">
        <f aca="false">IF(OR(G14="",H14="",B14=""),"",IF(B14="عمر المصري",SUMIFS('ساعات عمر'!$H$7:$H$642,'ساعات عمر'!$A$7:$A$642,"&gt;="&amp;(SAT1+7*(H14-1)),'ساعات عمر'!$A$7:$A$642,"&lt;="&amp;G14),SUMIFS('ساعات عبدالعزيز'!$F$7:$F$642,'ساعات عبدالعزيز'!$A$7:$A$642,"&gt;="&amp;(SAT1+7*(H14-1)),'ساعات عبدالعزيز'!$A$7:$A$642,"&lt;="&amp;G14)))</f>
        <v/>
      </c>
    </row>
    <row r="15" customFormat="false" ht="15" hidden="false" customHeight="false" outlineLevel="0" collapsed="false">
      <c r="A15" s="57"/>
      <c r="B15" s="30"/>
      <c r="C15" s="58"/>
      <c r="D15" s="59"/>
      <c r="E15" s="60" t="str">
        <f aca="false">IF(A15="","",IF(G15="","⛔ التاريخ غلط — اكتبه كامل 05/10/2026 أو اختاره من القائمة",IF(OR(H15&lt;1,H15&gt;NW),"⛔ التاريخ برّا السنة",IF(AND(N(C15)&gt;0,N(J15)&gt;0,C15&gt;ADV_CAP*J15),"⚠️ أكثر من "&amp;TEXT(ADV_CAP,"0%")&amp;" من شغله ("&amp;TEXT(J15,"0.000")&amp;")",""))))</f>
        <v/>
      </c>
      <c r="G15" s="0" t="str">
        <f aca="false">IF(A15="","",IF(ISNUMBER(A15),IF(A15&gt;=36526,A15,""),IFERROR(DATEVALUE(A15),"")))</f>
        <v/>
      </c>
      <c r="H15" s="0" t="str">
        <f aca="false">IF(G15="","",INT((G15-SAT1)/7)+1)</f>
        <v/>
      </c>
      <c r="I15" s="0" t="str">
        <f aca="false">IF(H15="","",IF(OR(H15&lt;1,H15&gt;NW),"",INDEX(WMON,H15)))</f>
        <v/>
      </c>
      <c r="J15" s="0" t="str">
        <f aca="false">IF(OR(G15="",H15="",B15=""),"",IF(B15="عمر المصري",SUMIFS('ساعات عمر'!$H$7:$H$642,'ساعات عمر'!$A$7:$A$642,"&gt;="&amp;(SAT1+7*(H15-1)),'ساعات عمر'!$A$7:$A$642,"&lt;="&amp;G15),SUMIFS('ساعات عبدالعزيز'!$F$7:$F$642,'ساعات عبدالعزيز'!$A$7:$A$642,"&gt;="&amp;(SAT1+7*(H15-1)),'ساعات عبدالعزيز'!$A$7:$A$642,"&lt;="&amp;G15)))</f>
        <v/>
      </c>
    </row>
    <row r="16" customFormat="false" ht="15" hidden="false" customHeight="false" outlineLevel="0" collapsed="false">
      <c r="A16" s="57"/>
      <c r="B16" s="30"/>
      <c r="C16" s="58"/>
      <c r="D16" s="59"/>
      <c r="E16" s="60" t="str">
        <f aca="false">IF(A16="","",IF(G16="","⛔ التاريخ غلط — اكتبه كامل 05/10/2026 أو اختاره من القائمة",IF(OR(H16&lt;1,H16&gt;NW),"⛔ التاريخ برّا السنة",IF(AND(N(C16)&gt;0,N(J16)&gt;0,C16&gt;ADV_CAP*J16),"⚠️ أكثر من "&amp;TEXT(ADV_CAP,"0%")&amp;" من شغله ("&amp;TEXT(J16,"0.000")&amp;")",""))))</f>
        <v/>
      </c>
      <c r="G16" s="0" t="str">
        <f aca="false">IF(A16="","",IF(ISNUMBER(A16),IF(A16&gt;=36526,A16,""),IFERROR(DATEVALUE(A16),"")))</f>
        <v/>
      </c>
      <c r="H16" s="0" t="str">
        <f aca="false">IF(G16="","",INT((G16-SAT1)/7)+1)</f>
        <v/>
      </c>
      <c r="I16" s="0" t="str">
        <f aca="false">IF(H16="","",IF(OR(H16&lt;1,H16&gt;NW),"",INDEX(WMON,H16)))</f>
        <v/>
      </c>
      <c r="J16" s="0" t="str">
        <f aca="false">IF(OR(G16="",H16="",B16=""),"",IF(B16="عمر المصري",SUMIFS('ساعات عمر'!$H$7:$H$642,'ساعات عمر'!$A$7:$A$642,"&gt;="&amp;(SAT1+7*(H16-1)),'ساعات عمر'!$A$7:$A$642,"&lt;="&amp;G16),SUMIFS('ساعات عبدالعزيز'!$F$7:$F$642,'ساعات عبدالعزيز'!$A$7:$A$642,"&gt;="&amp;(SAT1+7*(H16-1)),'ساعات عبدالعزيز'!$A$7:$A$642,"&lt;="&amp;G16)))</f>
        <v/>
      </c>
    </row>
    <row r="17" customFormat="false" ht="15" hidden="false" customHeight="false" outlineLevel="0" collapsed="false">
      <c r="A17" s="57"/>
      <c r="B17" s="30"/>
      <c r="C17" s="58"/>
      <c r="D17" s="59"/>
      <c r="E17" s="60" t="str">
        <f aca="false">IF(A17="","",IF(G17="","⛔ التاريخ غلط — اكتبه كامل 05/10/2026 أو اختاره من القائمة",IF(OR(H17&lt;1,H17&gt;NW),"⛔ التاريخ برّا السنة",IF(AND(N(C17)&gt;0,N(J17)&gt;0,C17&gt;ADV_CAP*J17),"⚠️ أكثر من "&amp;TEXT(ADV_CAP,"0%")&amp;" من شغله ("&amp;TEXT(J17,"0.000")&amp;")",""))))</f>
        <v/>
      </c>
      <c r="G17" s="0" t="str">
        <f aca="false">IF(A17="","",IF(ISNUMBER(A17),IF(A17&gt;=36526,A17,""),IFERROR(DATEVALUE(A17),"")))</f>
        <v/>
      </c>
      <c r="H17" s="0" t="str">
        <f aca="false">IF(G17="","",INT((G17-SAT1)/7)+1)</f>
        <v/>
      </c>
      <c r="I17" s="0" t="str">
        <f aca="false">IF(H17="","",IF(OR(H17&lt;1,H17&gt;NW),"",INDEX(WMON,H17)))</f>
        <v/>
      </c>
      <c r="J17" s="0" t="str">
        <f aca="false">IF(OR(G17="",H17="",B17=""),"",IF(B17="عمر المصري",SUMIFS('ساعات عمر'!$H$7:$H$642,'ساعات عمر'!$A$7:$A$642,"&gt;="&amp;(SAT1+7*(H17-1)),'ساعات عمر'!$A$7:$A$642,"&lt;="&amp;G17),SUMIFS('ساعات عبدالعزيز'!$F$7:$F$642,'ساعات عبدالعزيز'!$A$7:$A$642,"&gt;="&amp;(SAT1+7*(H17-1)),'ساعات عبدالعزيز'!$A$7:$A$642,"&lt;="&amp;G17)))</f>
        <v/>
      </c>
    </row>
    <row r="18" customFormat="false" ht="15" hidden="false" customHeight="false" outlineLevel="0" collapsed="false">
      <c r="A18" s="57"/>
      <c r="B18" s="30"/>
      <c r="C18" s="58"/>
      <c r="D18" s="59"/>
      <c r="E18" s="60" t="str">
        <f aca="false">IF(A18="","",IF(G18="","⛔ التاريخ غلط — اكتبه كامل 05/10/2026 أو اختاره من القائمة",IF(OR(H18&lt;1,H18&gt;NW),"⛔ التاريخ برّا السنة",IF(AND(N(C18)&gt;0,N(J18)&gt;0,C18&gt;ADV_CAP*J18),"⚠️ أكثر من "&amp;TEXT(ADV_CAP,"0%")&amp;" من شغله ("&amp;TEXT(J18,"0.000")&amp;")",""))))</f>
        <v/>
      </c>
      <c r="G18" s="0" t="str">
        <f aca="false">IF(A18="","",IF(ISNUMBER(A18),IF(A18&gt;=36526,A18,""),IFERROR(DATEVALUE(A18),"")))</f>
        <v/>
      </c>
      <c r="H18" s="0" t="str">
        <f aca="false">IF(G18="","",INT((G18-SAT1)/7)+1)</f>
        <v/>
      </c>
      <c r="I18" s="0" t="str">
        <f aca="false">IF(H18="","",IF(OR(H18&lt;1,H18&gt;NW),"",INDEX(WMON,H18)))</f>
        <v/>
      </c>
      <c r="J18" s="0" t="str">
        <f aca="false">IF(OR(G18="",H18="",B18=""),"",IF(B18="عمر المصري",SUMIFS('ساعات عمر'!$H$7:$H$642,'ساعات عمر'!$A$7:$A$642,"&gt;="&amp;(SAT1+7*(H18-1)),'ساعات عمر'!$A$7:$A$642,"&lt;="&amp;G18),SUMIFS('ساعات عبدالعزيز'!$F$7:$F$642,'ساعات عبدالعزيز'!$A$7:$A$642,"&gt;="&amp;(SAT1+7*(H18-1)),'ساعات عبدالعزيز'!$A$7:$A$642,"&lt;="&amp;G18)))</f>
        <v/>
      </c>
    </row>
    <row r="19" customFormat="false" ht="15" hidden="false" customHeight="false" outlineLevel="0" collapsed="false">
      <c r="A19" s="57"/>
      <c r="B19" s="30"/>
      <c r="C19" s="58"/>
      <c r="D19" s="59"/>
      <c r="E19" s="60" t="str">
        <f aca="false">IF(A19="","",IF(G19="","⛔ التاريخ غلط — اكتبه كامل 05/10/2026 أو اختاره من القائمة",IF(OR(H19&lt;1,H19&gt;NW),"⛔ التاريخ برّا السنة",IF(AND(N(C19)&gt;0,N(J19)&gt;0,C19&gt;ADV_CAP*J19),"⚠️ أكثر من "&amp;TEXT(ADV_CAP,"0%")&amp;" من شغله ("&amp;TEXT(J19,"0.000")&amp;")",""))))</f>
        <v/>
      </c>
      <c r="G19" s="0" t="str">
        <f aca="false">IF(A19="","",IF(ISNUMBER(A19),IF(A19&gt;=36526,A19,""),IFERROR(DATEVALUE(A19),"")))</f>
        <v/>
      </c>
      <c r="H19" s="0" t="str">
        <f aca="false">IF(G19="","",INT((G19-SAT1)/7)+1)</f>
        <v/>
      </c>
      <c r="I19" s="0" t="str">
        <f aca="false">IF(H19="","",IF(OR(H19&lt;1,H19&gt;NW),"",INDEX(WMON,H19)))</f>
        <v/>
      </c>
      <c r="J19" s="0" t="str">
        <f aca="false">IF(OR(G19="",H19="",B19=""),"",IF(B19="عمر المصري",SUMIFS('ساعات عمر'!$H$7:$H$642,'ساعات عمر'!$A$7:$A$642,"&gt;="&amp;(SAT1+7*(H19-1)),'ساعات عمر'!$A$7:$A$642,"&lt;="&amp;G19),SUMIFS('ساعات عبدالعزيز'!$F$7:$F$642,'ساعات عبدالعزيز'!$A$7:$A$642,"&gt;="&amp;(SAT1+7*(H19-1)),'ساعات عبدالعزيز'!$A$7:$A$642,"&lt;="&amp;G19)))</f>
        <v/>
      </c>
    </row>
    <row r="20" customFormat="false" ht="15" hidden="false" customHeight="false" outlineLevel="0" collapsed="false">
      <c r="A20" s="57"/>
      <c r="B20" s="30"/>
      <c r="C20" s="58"/>
      <c r="D20" s="59"/>
      <c r="E20" s="60" t="str">
        <f aca="false">IF(A20="","",IF(G20="","⛔ التاريخ غلط — اكتبه كامل 05/10/2026 أو اختاره من القائمة",IF(OR(H20&lt;1,H20&gt;NW),"⛔ التاريخ برّا السنة",IF(AND(N(C20)&gt;0,N(J20)&gt;0,C20&gt;ADV_CAP*J20),"⚠️ أكثر من "&amp;TEXT(ADV_CAP,"0%")&amp;" من شغله ("&amp;TEXT(J20,"0.000")&amp;")",""))))</f>
        <v/>
      </c>
      <c r="G20" s="0" t="str">
        <f aca="false">IF(A20="","",IF(ISNUMBER(A20),IF(A20&gt;=36526,A20,""),IFERROR(DATEVALUE(A20),"")))</f>
        <v/>
      </c>
      <c r="H20" s="0" t="str">
        <f aca="false">IF(G20="","",INT((G20-SAT1)/7)+1)</f>
        <v/>
      </c>
      <c r="I20" s="0" t="str">
        <f aca="false">IF(H20="","",IF(OR(H20&lt;1,H20&gt;NW),"",INDEX(WMON,H20)))</f>
        <v/>
      </c>
      <c r="J20" s="0" t="str">
        <f aca="false">IF(OR(G20="",H20="",B20=""),"",IF(B20="عمر المصري",SUMIFS('ساعات عمر'!$H$7:$H$642,'ساعات عمر'!$A$7:$A$642,"&gt;="&amp;(SAT1+7*(H20-1)),'ساعات عمر'!$A$7:$A$642,"&lt;="&amp;G20),SUMIFS('ساعات عبدالعزيز'!$F$7:$F$642,'ساعات عبدالعزيز'!$A$7:$A$642,"&gt;="&amp;(SAT1+7*(H20-1)),'ساعات عبدالعزيز'!$A$7:$A$642,"&lt;="&amp;G20)))</f>
        <v/>
      </c>
    </row>
    <row r="21" customFormat="false" ht="15" hidden="false" customHeight="false" outlineLevel="0" collapsed="false">
      <c r="A21" s="57"/>
      <c r="B21" s="30"/>
      <c r="C21" s="58"/>
      <c r="D21" s="59"/>
      <c r="E21" s="60" t="str">
        <f aca="false">IF(A21="","",IF(G21="","⛔ التاريخ غلط — اكتبه كامل 05/10/2026 أو اختاره من القائمة",IF(OR(H21&lt;1,H21&gt;NW),"⛔ التاريخ برّا السنة",IF(AND(N(C21)&gt;0,N(J21)&gt;0,C21&gt;ADV_CAP*J21),"⚠️ أكثر من "&amp;TEXT(ADV_CAP,"0%")&amp;" من شغله ("&amp;TEXT(J21,"0.000")&amp;")",""))))</f>
        <v/>
      </c>
      <c r="G21" s="0" t="str">
        <f aca="false">IF(A21="","",IF(ISNUMBER(A21),IF(A21&gt;=36526,A21,""),IFERROR(DATEVALUE(A21),"")))</f>
        <v/>
      </c>
      <c r="H21" s="0" t="str">
        <f aca="false">IF(G21="","",INT((G21-SAT1)/7)+1)</f>
        <v/>
      </c>
      <c r="I21" s="0" t="str">
        <f aca="false">IF(H21="","",IF(OR(H21&lt;1,H21&gt;NW),"",INDEX(WMON,H21)))</f>
        <v/>
      </c>
      <c r="J21" s="0" t="str">
        <f aca="false">IF(OR(G21="",H21="",B21=""),"",IF(B21="عمر المصري",SUMIFS('ساعات عمر'!$H$7:$H$642,'ساعات عمر'!$A$7:$A$642,"&gt;="&amp;(SAT1+7*(H21-1)),'ساعات عمر'!$A$7:$A$642,"&lt;="&amp;G21),SUMIFS('ساعات عبدالعزيز'!$F$7:$F$642,'ساعات عبدالعزيز'!$A$7:$A$642,"&gt;="&amp;(SAT1+7*(H21-1)),'ساعات عبدالعزيز'!$A$7:$A$642,"&lt;="&amp;G21)))</f>
        <v/>
      </c>
    </row>
    <row r="22" customFormat="false" ht="15" hidden="false" customHeight="false" outlineLevel="0" collapsed="false">
      <c r="A22" s="57"/>
      <c r="B22" s="30"/>
      <c r="C22" s="58"/>
      <c r="D22" s="59"/>
      <c r="E22" s="60" t="str">
        <f aca="false">IF(A22="","",IF(G22="","⛔ التاريخ غلط — اكتبه كامل 05/10/2026 أو اختاره من القائمة",IF(OR(H22&lt;1,H22&gt;NW),"⛔ التاريخ برّا السنة",IF(AND(N(C22)&gt;0,N(J22)&gt;0,C22&gt;ADV_CAP*J22),"⚠️ أكثر من "&amp;TEXT(ADV_CAP,"0%")&amp;" من شغله ("&amp;TEXT(J22,"0.000")&amp;")",""))))</f>
        <v/>
      </c>
      <c r="G22" s="0" t="str">
        <f aca="false">IF(A22="","",IF(ISNUMBER(A22),IF(A22&gt;=36526,A22,""),IFERROR(DATEVALUE(A22),"")))</f>
        <v/>
      </c>
      <c r="H22" s="0" t="str">
        <f aca="false">IF(G22="","",INT((G22-SAT1)/7)+1)</f>
        <v/>
      </c>
      <c r="I22" s="0" t="str">
        <f aca="false">IF(H22="","",IF(OR(H22&lt;1,H22&gt;NW),"",INDEX(WMON,H22)))</f>
        <v/>
      </c>
      <c r="J22" s="0" t="str">
        <f aca="false">IF(OR(G22="",H22="",B22=""),"",IF(B22="عمر المصري",SUMIFS('ساعات عمر'!$H$7:$H$642,'ساعات عمر'!$A$7:$A$642,"&gt;="&amp;(SAT1+7*(H22-1)),'ساعات عمر'!$A$7:$A$642,"&lt;="&amp;G22),SUMIFS('ساعات عبدالعزيز'!$F$7:$F$642,'ساعات عبدالعزيز'!$A$7:$A$642,"&gt;="&amp;(SAT1+7*(H22-1)),'ساعات عبدالعزيز'!$A$7:$A$642,"&lt;="&amp;G22)))</f>
        <v/>
      </c>
    </row>
    <row r="23" customFormat="false" ht="15" hidden="false" customHeight="false" outlineLevel="0" collapsed="false">
      <c r="A23" s="57"/>
      <c r="B23" s="30"/>
      <c r="C23" s="58"/>
      <c r="D23" s="59"/>
      <c r="E23" s="60" t="str">
        <f aca="false">IF(A23="","",IF(G23="","⛔ التاريخ غلط — اكتبه كامل 05/10/2026 أو اختاره من القائمة",IF(OR(H23&lt;1,H23&gt;NW),"⛔ التاريخ برّا السنة",IF(AND(N(C23)&gt;0,N(J23)&gt;0,C23&gt;ADV_CAP*J23),"⚠️ أكثر من "&amp;TEXT(ADV_CAP,"0%")&amp;" من شغله ("&amp;TEXT(J23,"0.000")&amp;")",""))))</f>
        <v/>
      </c>
      <c r="G23" s="0" t="str">
        <f aca="false">IF(A23="","",IF(ISNUMBER(A23),IF(A23&gt;=36526,A23,""),IFERROR(DATEVALUE(A23),"")))</f>
        <v/>
      </c>
      <c r="H23" s="0" t="str">
        <f aca="false">IF(G23="","",INT((G23-SAT1)/7)+1)</f>
        <v/>
      </c>
      <c r="I23" s="0" t="str">
        <f aca="false">IF(H23="","",IF(OR(H23&lt;1,H23&gt;NW),"",INDEX(WMON,H23)))</f>
        <v/>
      </c>
      <c r="J23" s="0" t="str">
        <f aca="false">IF(OR(G23="",H23="",B23=""),"",IF(B23="عمر المصري",SUMIFS('ساعات عمر'!$H$7:$H$642,'ساعات عمر'!$A$7:$A$642,"&gt;="&amp;(SAT1+7*(H23-1)),'ساعات عمر'!$A$7:$A$642,"&lt;="&amp;G23),SUMIFS('ساعات عبدالعزيز'!$F$7:$F$642,'ساعات عبدالعزيز'!$A$7:$A$642,"&gt;="&amp;(SAT1+7*(H23-1)),'ساعات عبدالعزيز'!$A$7:$A$642,"&lt;="&amp;G23)))</f>
        <v/>
      </c>
    </row>
    <row r="24" customFormat="false" ht="15" hidden="false" customHeight="false" outlineLevel="0" collapsed="false">
      <c r="A24" s="57"/>
      <c r="B24" s="30"/>
      <c r="C24" s="58"/>
      <c r="D24" s="59"/>
      <c r="E24" s="60" t="str">
        <f aca="false">IF(A24="","",IF(G24="","⛔ التاريخ غلط — اكتبه كامل 05/10/2026 أو اختاره من القائمة",IF(OR(H24&lt;1,H24&gt;NW),"⛔ التاريخ برّا السنة",IF(AND(N(C24)&gt;0,N(J24)&gt;0,C24&gt;ADV_CAP*J24),"⚠️ أكثر من "&amp;TEXT(ADV_CAP,"0%")&amp;" من شغله ("&amp;TEXT(J24,"0.000")&amp;")",""))))</f>
        <v/>
      </c>
      <c r="G24" s="0" t="str">
        <f aca="false">IF(A24="","",IF(ISNUMBER(A24),IF(A24&gt;=36526,A24,""),IFERROR(DATEVALUE(A24),"")))</f>
        <v/>
      </c>
      <c r="H24" s="0" t="str">
        <f aca="false">IF(G24="","",INT((G24-SAT1)/7)+1)</f>
        <v/>
      </c>
      <c r="I24" s="0" t="str">
        <f aca="false">IF(H24="","",IF(OR(H24&lt;1,H24&gt;NW),"",INDEX(WMON,H24)))</f>
        <v/>
      </c>
      <c r="J24" s="0" t="str">
        <f aca="false">IF(OR(G24="",H24="",B24=""),"",IF(B24="عمر المصري",SUMIFS('ساعات عمر'!$H$7:$H$642,'ساعات عمر'!$A$7:$A$642,"&gt;="&amp;(SAT1+7*(H24-1)),'ساعات عمر'!$A$7:$A$642,"&lt;="&amp;G24),SUMIFS('ساعات عبدالعزيز'!$F$7:$F$642,'ساعات عبدالعزيز'!$A$7:$A$642,"&gt;="&amp;(SAT1+7*(H24-1)),'ساعات عبدالعزيز'!$A$7:$A$642,"&lt;="&amp;G24)))</f>
        <v/>
      </c>
    </row>
    <row r="25" customFormat="false" ht="15" hidden="false" customHeight="false" outlineLevel="0" collapsed="false">
      <c r="A25" s="57"/>
      <c r="B25" s="30"/>
      <c r="C25" s="58"/>
      <c r="D25" s="59"/>
      <c r="E25" s="60" t="str">
        <f aca="false">IF(A25="","",IF(G25="","⛔ التاريخ غلط — اكتبه كامل 05/10/2026 أو اختاره من القائمة",IF(OR(H25&lt;1,H25&gt;NW),"⛔ التاريخ برّا السنة",IF(AND(N(C25)&gt;0,N(J25)&gt;0,C25&gt;ADV_CAP*J25),"⚠️ أكثر من "&amp;TEXT(ADV_CAP,"0%")&amp;" من شغله ("&amp;TEXT(J25,"0.000")&amp;")",""))))</f>
        <v/>
      </c>
      <c r="G25" s="0" t="str">
        <f aca="false">IF(A25="","",IF(ISNUMBER(A25),IF(A25&gt;=36526,A25,""),IFERROR(DATEVALUE(A25),"")))</f>
        <v/>
      </c>
      <c r="H25" s="0" t="str">
        <f aca="false">IF(G25="","",INT((G25-SAT1)/7)+1)</f>
        <v/>
      </c>
      <c r="I25" s="0" t="str">
        <f aca="false">IF(H25="","",IF(OR(H25&lt;1,H25&gt;NW),"",INDEX(WMON,H25)))</f>
        <v/>
      </c>
      <c r="J25" s="0" t="str">
        <f aca="false">IF(OR(G25="",H25="",B25=""),"",IF(B25="عمر المصري",SUMIFS('ساعات عمر'!$H$7:$H$642,'ساعات عمر'!$A$7:$A$642,"&gt;="&amp;(SAT1+7*(H25-1)),'ساعات عمر'!$A$7:$A$642,"&lt;="&amp;G25),SUMIFS('ساعات عبدالعزيز'!$F$7:$F$642,'ساعات عبدالعزيز'!$A$7:$A$642,"&gt;="&amp;(SAT1+7*(H25-1)),'ساعات عبدالعزيز'!$A$7:$A$642,"&lt;="&amp;G25)))</f>
        <v/>
      </c>
    </row>
    <row r="26" customFormat="false" ht="15" hidden="false" customHeight="false" outlineLevel="0" collapsed="false">
      <c r="A26" s="57"/>
      <c r="B26" s="30"/>
      <c r="C26" s="58"/>
      <c r="D26" s="59"/>
      <c r="E26" s="60" t="str">
        <f aca="false">IF(A26="","",IF(G26="","⛔ التاريخ غلط — اكتبه كامل 05/10/2026 أو اختاره من القائمة",IF(OR(H26&lt;1,H26&gt;NW),"⛔ التاريخ برّا السنة",IF(AND(N(C26)&gt;0,N(J26)&gt;0,C26&gt;ADV_CAP*J26),"⚠️ أكثر من "&amp;TEXT(ADV_CAP,"0%")&amp;" من شغله ("&amp;TEXT(J26,"0.000")&amp;")",""))))</f>
        <v/>
      </c>
      <c r="G26" s="0" t="str">
        <f aca="false">IF(A26="","",IF(ISNUMBER(A26),IF(A26&gt;=36526,A26,""),IFERROR(DATEVALUE(A26),"")))</f>
        <v/>
      </c>
      <c r="H26" s="0" t="str">
        <f aca="false">IF(G26="","",INT((G26-SAT1)/7)+1)</f>
        <v/>
      </c>
      <c r="I26" s="0" t="str">
        <f aca="false">IF(H26="","",IF(OR(H26&lt;1,H26&gt;NW),"",INDEX(WMON,H26)))</f>
        <v/>
      </c>
      <c r="J26" s="0" t="str">
        <f aca="false">IF(OR(G26="",H26="",B26=""),"",IF(B26="عمر المصري",SUMIFS('ساعات عمر'!$H$7:$H$642,'ساعات عمر'!$A$7:$A$642,"&gt;="&amp;(SAT1+7*(H26-1)),'ساعات عمر'!$A$7:$A$642,"&lt;="&amp;G26),SUMIFS('ساعات عبدالعزيز'!$F$7:$F$642,'ساعات عبدالعزيز'!$A$7:$A$642,"&gt;="&amp;(SAT1+7*(H26-1)),'ساعات عبدالعزيز'!$A$7:$A$642,"&lt;="&amp;G26)))</f>
        <v/>
      </c>
    </row>
    <row r="27" customFormat="false" ht="15" hidden="false" customHeight="false" outlineLevel="0" collapsed="false">
      <c r="A27" s="57"/>
      <c r="B27" s="30"/>
      <c r="C27" s="58"/>
      <c r="D27" s="59"/>
      <c r="E27" s="60" t="str">
        <f aca="false">IF(A27="","",IF(G27="","⛔ التاريخ غلط — اكتبه كامل 05/10/2026 أو اختاره من القائمة",IF(OR(H27&lt;1,H27&gt;NW),"⛔ التاريخ برّا السنة",IF(AND(N(C27)&gt;0,N(J27)&gt;0,C27&gt;ADV_CAP*J27),"⚠️ أكثر من "&amp;TEXT(ADV_CAP,"0%")&amp;" من شغله ("&amp;TEXT(J27,"0.000")&amp;")",""))))</f>
        <v/>
      </c>
      <c r="G27" s="0" t="str">
        <f aca="false">IF(A27="","",IF(ISNUMBER(A27),IF(A27&gt;=36526,A27,""),IFERROR(DATEVALUE(A27),"")))</f>
        <v/>
      </c>
      <c r="H27" s="0" t="str">
        <f aca="false">IF(G27="","",INT((G27-SAT1)/7)+1)</f>
        <v/>
      </c>
      <c r="I27" s="0" t="str">
        <f aca="false">IF(H27="","",IF(OR(H27&lt;1,H27&gt;NW),"",INDEX(WMON,H27)))</f>
        <v/>
      </c>
      <c r="J27" s="0" t="str">
        <f aca="false">IF(OR(G27="",H27="",B27=""),"",IF(B27="عمر المصري",SUMIFS('ساعات عمر'!$H$7:$H$642,'ساعات عمر'!$A$7:$A$642,"&gt;="&amp;(SAT1+7*(H27-1)),'ساعات عمر'!$A$7:$A$642,"&lt;="&amp;G27),SUMIFS('ساعات عبدالعزيز'!$F$7:$F$642,'ساعات عبدالعزيز'!$A$7:$A$642,"&gt;="&amp;(SAT1+7*(H27-1)),'ساعات عبدالعزيز'!$A$7:$A$642,"&lt;="&amp;G27)))</f>
        <v/>
      </c>
    </row>
    <row r="28" customFormat="false" ht="15" hidden="false" customHeight="false" outlineLevel="0" collapsed="false">
      <c r="A28" s="57"/>
      <c r="B28" s="30"/>
      <c r="C28" s="58"/>
      <c r="D28" s="59"/>
      <c r="E28" s="60" t="str">
        <f aca="false">IF(A28="","",IF(G28="","⛔ التاريخ غلط — اكتبه كامل 05/10/2026 أو اختاره من القائمة",IF(OR(H28&lt;1,H28&gt;NW),"⛔ التاريخ برّا السنة",IF(AND(N(C28)&gt;0,N(J28)&gt;0,C28&gt;ADV_CAP*J28),"⚠️ أكثر من "&amp;TEXT(ADV_CAP,"0%")&amp;" من شغله ("&amp;TEXT(J28,"0.000")&amp;")",""))))</f>
        <v/>
      </c>
      <c r="G28" s="0" t="str">
        <f aca="false">IF(A28="","",IF(ISNUMBER(A28),IF(A28&gt;=36526,A28,""),IFERROR(DATEVALUE(A28),"")))</f>
        <v/>
      </c>
      <c r="H28" s="0" t="str">
        <f aca="false">IF(G28="","",INT((G28-SAT1)/7)+1)</f>
        <v/>
      </c>
      <c r="I28" s="0" t="str">
        <f aca="false">IF(H28="","",IF(OR(H28&lt;1,H28&gt;NW),"",INDEX(WMON,H28)))</f>
        <v/>
      </c>
      <c r="J28" s="0" t="str">
        <f aca="false">IF(OR(G28="",H28="",B28=""),"",IF(B28="عمر المصري",SUMIFS('ساعات عمر'!$H$7:$H$642,'ساعات عمر'!$A$7:$A$642,"&gt;="&amp;(SAT1+7*(H28-1)),'ساعات عمر'!$A$7:$A$642,"&lt;="&amp;G28),SUMIFS('ساعات عبدالعزيز'!$F$7:$F$642,'ساعات عبدالعزيز'!$A$7:$A$642,"&gt;="&amp;(SAT1+7*(H28-1)),'ساعات عبدالعزيز'!$A$7:$A$642,"&lt;="&amp;G28)))</f>
        <v/>
      </c>
    </row>
    <row r="29" customFormat="false" ht="15" hidden="false" customHeight="false" outlineLevel="0" collapsed="false">
      <c r="A29" s="57"/>
      <c r="B29" s="30"/>
      <c r="C29" s="58"/>
      <c r="D29" s="59"/>
      <c r="E29" s="60" t="str">
        <f aca="false">IF(A29="","",IF(G29="","⛔ التاريخ غلط — اكتبه كامل 05/10/2026 أو اختاره من القائمة",IF(OR(H29&lt;1,H29&gt;NW),"⛔ التاريخ برّا السنة",IF(AND(N(C29)&gt;0,N(J29)&gt;0,C29&gt;ADV_CAP*J29),"⚠️ أكثر من "&amp;TEXT(ADV_CAP,"0%")&amp;" من شغله ("&amp;TEXT(J29,"0.000")&amp;")",""))))</f>
        <v/>
      </c>
      <c r="G29" s="0" t="str">
        <f aca="false">IF(A29="","",IF(ISNUMBER(A29),IF(A29&gt;=36526,A29,""),IFERROR(DATEVALUE(A29),"")))</f>
        <v/>
      </c>
      <c r="H29" s="0" t="str">
        <f aca="false">IF(G29="","",INT((G29-SAT1)/7)+1)</f>
        <v/>
      </c>
      <c r="I29" s="0" t="str">
        <f aca="false">IF(H29="","",IF(OR(H29&lt;1,H29&gt;NW),"",INDEX(WMON,H29)))</f>
        <v/>
      </c>
      <c r="J29" s="0" t="str">
        <f aca="false">IF(OR(G29="",H29="",B29=""),"",IF(B29="عمر المصري",SUMIFS('ساعات عمر'!$H$7:$H$642,'ساعات عمر'!$A$7:$A$642,"&gt;="&amp;(SAT1+7*(H29-1)),'ساعات عمر'!$A$7:$A$642,"&lt;="&amp;G29),SUMIFS('ساعات عبدالعزيز'!$F$7:$F$642,'ساعات عبدالعزيز'!$A$7:$A$642,"&gt;="&amp;(SAT1+7*(H29-1)),'ساعات عبدالعزيز'!$A$7:$A$642,"&lt;="&amp;G29)))</f>
        <v/>
      </c>
    </row>
    <row r="30" customFormat="false" ht="15" hidden="false" customHeight="false" outlineLevel="0" collapsed="false">
      <c r="A30" s="57"/>
      <c r="B30" s="30"/>
      <c r="C30" s="58"/>
      <c r="D30" s="59"/>
      <c r="E30" s="60" t="str">
        <f aca="false">IF(A30="","",IF(G30="","⛔ التاريخ غلط — اكتبه كامل 05/10/2026 أو اختاره من القائمة",IF(OR(H30&lt;1,H30&gt;NW),"⛔ التاريخ برّا السنة",IF(AND(N(C30)&gt;0,N(J30)&gt;0,C30&gt;ADV_CAP*J30),"⚠️ أكثر من "&amp;TEXT(ADV_CAP,"0%")&amp;" من شغله ("&amp;TEXT(J30,"0.000")&amp;")",""))))</f>
        <v/>
      </c>
      <c r="G30" s="0" t="str">
        <f aca="false">IF(A30="","",IF(ISNUMBER(A30),IF(A30&gt;=36526,A30,""),IFERROR(DATEVALUE(A30),"")))</f>
        <v/>
      </c>
      <c r="H30" s="0" t="str">
        <f aca="false">IF(G30="","",INT((G30-SAT1)/7)+1)</f>
        <v/>
      </c>
      <c r="I30" s="0" t="str">
        <f aca="false">IF(H30="","",IF(OR(H30&lt;1,H30&gt;NW),"",INDEX(WMON,H30)))</f>
        <v/>
      </c>
      <c r="J30" s="0" t="str">
        <f aca="false">IF(OR(G30="",H30="",B30=""),"",IF(B30="عمر المصري",SUMIFS('ساعات عمر'!$H$7:$H$642,'ساعات عمر'!$A$7:$A$642,"&gt;="&amp;(SAT1+7*(H30-1)),'ساعات عمر'!$A$7:$A$642,"&lt;="&amp;G30),SUMIFS('ساعات عبدالعزيز'!$F$7:$F$642,'ساعات عبدالعزيز'!$A$7:$A$642,"&gt;="&amp;(SAT1+7*(H30-1)),'ساعات عبدالعزيز'!$A$7:$A$642,"&lt;="&amp;G30)))</f>
        <v/>
      </c>
    </row>
    <row r="31" customFormat="false" ht="15" hidden="false" customHeight="false" outlineLevel="0" collapsed="false">
      <c r="A31" s="57"/>
      <c r="B31" s="30"/>
      <c r="C31" s="58"/>
      <c r="D31" s="59"/>
      <c r="E31" s="60" t="str">
        <f aca="false">IF(A31="","",IF(G31="","⛔ التاريخ غلط — اكتبه كامل 05/10/2026 أو اختاره من القائمة",IF(OR(H31&lt;1,H31&gt;NW),"⛔ التاريخ برّا السنة",IF(AND(N(C31)&gt;0,N(J31)&gt;0,C31&gt;ADV_CAP*J31),"⚠️ أكثر من "&amp;TEXT(ADV_CAP,"0%")&amp;" من شغله ("&amp;TEXT(J31,"0.000")&amp;")",""))))</f>
        <v/>
      </c>
      <c r="G31" s="0" t="str">
        <f aca="false">IF(A31="","",IF(ISNUMBER(A31),IF(A31&gt;=36526,A31,""),IFERROR(DATEVALUE(A31),"")))</f>
        <v/>
      </c>
      <c r="H31" s="0" t="str">
        <f aca="false">IF(G31="","",INT((G31-SAT1)/7)+1)</f>
        <v/>
      </c>
      <c r="I31" s="0" t="str">
        <f aca="false">IF(H31="","",IF(OR(H31&lt;1,H31&gt;NW),"",INDEX(WMON,H31)))</f>
        <v/>
      </c>
      <c r="J31" s="0" t="str">
        <f aca="false">IF(OR(G31="",H31="",B31=""),"",IF(B31="عمر المصري",SUMIFS('ساعات عمر'!$H$7:$H$642,'ساعات عمر'!$A$7:$A$642,"&gt;="&amp;(SAT1+7*(H31-1)),'ساعات عمر'!$A$7:$A$642,"&lt;="&amp;G31),SUMIFS('ساعات عبدالعزيز'!$F$7:$F$642,'ساعات عبدالعزيز'!$A$7:$A$642,"&gt;="&amp;(SAT1+7*(H31-1)),'ساعات عبدالعزيز'!$A$7:$A$642,"&lt;="&amp;G31)))</f>
        <v/>
      </c>
    </row>
    <row r="32" customFormat="false" ht="15" hidden="false" customHeight="false" outlineLevel="0" collapsed="false">
      <c r="A32" s="57"/>
      <c r="B32" s="30"/>
      <c r="C32" s="58"/>
      <c r="D32" s="59"/>
      <c r="E32" s="60" t="str">
        <f aca="false">IF(A32="","",IF(G32="","⛔ التاريخ غلط — اكتبه كامل 05/10/2026 أو اختاره من القائمة",IF(OR(H32&lt;1,H32&gt;NW),"⛔ التاريخ برّا السنة",IF(AND(N(C32)&gt;0,N(J32)&gt;0,C32&gt;ADV_CAP*J32),"⚠️ أكثر من "&amp;TEXT(ADV_CAP,"0%")&amp;" من شغله ("&amp;TEXT(J32,"0.000")&amp;")",""))))</f>
        <v/>
      </c>
      <c r="G32" s="0" t="str">
        <f aca="false">IF(A32="","",IF(ISNUMBER(A32),IF(A32&gt;=36526,A32,""),IFERROR(DATEVALUE(A32),"")))</f>
        <v/>
      </c>
      <c r="H32" s="0" t="str">
        <f aca="false">IF(G32="","",INT((G32-SAT1)/7)+1)</f>
        <v/>
      </c>
      <c r="I32" s="0" t="str">
        <f aca="false">IF(H32="","",IF(OR(H32&lt;1,H32&gt;NW),"",INDEX(WMON,H32)))</f>
        <v/>
      </c>
      <c r="J32" s="0" t="str">
        <f aca="false">IF(OR(G32="",H32="",B32=""),"",IF(B32="عمر المصري",SUMIFS('ساعات عمر'!$H$7:$H$642,'ساعات عمر'!$A$7:$A$642,"&gt;="&amp;(SAT1+7*(H32-1)),'ساعات عمر'!$A$7:$A$642,"&lt;="&amp;G32),SUMIFS('ساعات عبدالعزيز'!$F$7:$F$642,'ساعات عبدالعزيز'!$A$7:$A$642,"&gt;="&amp;(SAT1+7*(H32-1)),'ساعات عبدالعزيز'!$A$7:$A$642,"&lt;="&amp;G32)))</f>
        <v/>
      </c>
    </row>
    <row r="33" customFormat="false" ht="15" hidden="false" customHeight="false" outlineLevel="0" collapsed="false">
      <c r="A33" s="57"/>
      <c r="B33" s="30"/>
      <c r="C33" s="58"/>
      <c r="D33" s="59"/>
      <c r="E33" s="60" t="str">
        <f aca="false">IF(A33="","",IF(G33="","⛔ التاريخ غلط — اكتبه كامل 05/10/2026 أو اختاره من القائمة",IF(OR(H33&lt;1,H33&gt;NW),"⛔ التاريخ برّا السنة",IF(AND(N(C33)&gt;0,N(J33)&gt;0,C33&gt;ADV_CAP*J33),"⚠️ أكثر من "&amp;TEXT(ADV_CAP,"0%")&amp;" من شغله ("&amp;TEXT(J33,"0.000")&amp;")",""))))</f>
        <v/>
      </c>
      <c r="G33" s="0" t="str">
        <f aca="false">IF(A33="","",IF(ISNUMBER(A33),IF(A33&gt;=36526,A33,""),IFERROR(DATEVALUE(A33),"")))</f>
        <v/>
      </c>
      <c r="H33" s="0" t="str">
        <f aca="false">IF(G33="","",INT((G33-SAT1)/7)+1)</f>
        <v/>
      </c>
      <c r="I33" s="0" t="str">
        <f aca="false">IF(H33="","",IF(OR(H33&lt;1,H33&gt;NW),"",INDEX(WMON,H33)))</f>
        <v/>
      </c>
      <c r="J33" s="0" t="str">
        <f aca="false">IF(OR(G33="",H33="",B33=""),"",IF(B33="عمر المصري",SUMIFS('ساعات عمر'!$H$7:$H$642,'ساعات عمر'!$A$7:$A$642,"&gt;="&amp;(SAT1+7*(H33-1)),'ساعات عمر'!$A$7:$A$642,"&lt;="&amp;G33),SUMIFS('ساعات عبدالعزيز'!$F$7:$F$642,'ساعات عبدالعزيز'!$A$7:$A$642,"&gt;="&amp;(SAT1+7*(H33-1)),'ساعات عبدالعزيز'!$A$7:$A$642,"&lt;="&amp;G33)))</f>
        <v/>
      </c>
    </row>
    <row r="34" customFormat="false" ht="15" hidden="false" customHeight="false" outlineLevel="0" collapsed="false">
      <c r="A34" s="57"/>
      <c r="B34" s="30"/>
      <c r="C34" s="58"/>
      <c r="D34" s="59"/>
      <c r="E34" s="60" t="str">
        <f aca="false">IF(A34="","",IF(G34="","⛔ التاريخ غلط — اكتبه كامل 05/10/2026 أو اختاره من القائمة",IF(OR(H34&lt;1,H34&gt;NW),"⛔ التاريخ برّا السنة",IF(AND(N(C34)&gt;0,N(J34)&gt;0,C34&gt;ADV_CAP*J34),"⚠️ أكثر من "&amp;TEXT(ADV_CAP,"0%")&amp;" من شغله ("&amp;TEXT(J34,"0.000")&amp;")",""))))</f>
        <v/>
      </c>
      <c r="G34" s="0" t="str">
        <f aca="false">IF(A34="","",IF(ISNUMBER(A34),IF(A34&gt;=36526,A34,""),IFERROR(DATEVALUE(A34),"")))</f>
        <v/>
      </c>
      <c r="H34" s="0" t="str">
        <f aca="false">IF(G34="","",INT((G34-SAT1)/7)+1)</f>
        <v/>
      </c>
      <c r="I34" s="0" t="str">
        <f aca="false">IF(H34="","",IF(OR(H34&lt;1,H34&gt;NW),"",INDEX(WMON,H34)))</f>
        <v/>
      </c>
      <c r="J34" s="0" t="str">
        <f aca="false">IF(OR(G34="",H34="",B34=""),"",IF(B34="عمر المصري",SUMIFS('ساعات عمر'!$H$7:$H$642,'ساعات عمر'!$A$7:$A$642,"&gt;="&amp;(SAT1+7*(H34-1)),'ساعات عمر'!$A$7:$A$642,"&lt;="&amp;G34),SUMIFS('ساعات عبدالعزيز'!$F$7:$F$642,'ساعات عبدالعزيز'!$A$7:$A$642,"&gt;="&amp;(SAT1+7*(H34-1)),'ساعات عبدالعزيز'!$A$7:$A$642,"&lt;="&amp;G34)))</f>
        <v/>
      </c>
    </row>
    <row r="35" customFormat="false" ht="15" hidden="false" customHeight="false" outlineLevel="0" collapsed="false">
      <c r="A35" s="57"/>
      <c r="B35" s="30"/>
      <c r="C35" s="58"/>
      <c r="D35" s="59"/>
      <c r="E35" s="60" t="str">
        <f aca="false">IF(A35="","",IF(G35="","⛔ التاريخ غلط — اكتبه كامل 05/10/2026 أو اختاره من القائمة",IF(OR(H35&lt;1,H35&gt;NW),"⛔ التاريخ برّا السنة",IF(AND(N(C35)&gt;0,N(J35)&gt;0,C35&gt;ADV_CAP*J35),"⚠️ أكثر من "&amp;TEXT(ADV_CAP,"0%")&amp;" من شغله ("&amp;TEXT(J35,"0.000")&amp;")",""))))</f>
        <v/>
      </c>
      <c r="G35" s="0" t="str">
        <f aca="false">IF(A35="","",IF(ISNUMBER(A35),IF(A35&gt;=36526,A35,""),IFERROR(DATEVALUE(A35),"")))</f>
        <v/>
      </c>
      <c r="H35" s="0" t="str">
        <f aca="false">IF(G35="","",INT((G35-SAT1)/7)+1)</f>
        <v/>
      </c>
      <c r="I35" s="0" t="str">
        <f aca="false">IF(H35="","",IF(OR(H35&lt;1,H35&gt;NW),"",INDEX(WMON,H35)))</f>
        <v/>
      </c>
      <c r="J35" s="0" t="str">
        <f aca="false">IF(OR(G35="",H35="",B35=""),"",IF(B35="عمر المصري",SUMIFS('ساعات عمر'!$H$7:$H$642,'ساعات عمر'!$A$7:$A$642,"&gt;="&amp;(SAT1+7*(H35-1)),'ساعات عمر'!$A$7:$A$642,"&lt;="&amp;G35),SUMIFS('ساعات عبدالعزيز'!$F$7:$F$642,'ساعات عبدالعزيز'!$A$7:$A$642,"&gt;="&amp;(SAT1+7*(H35-1)),'ساعات عبدالعزيز'!$A$7:$A$642,"&lt;="&amp;G35)))</f>
        <v/>
      </c>
    </row>
    <row r="36" customFormat="false" ht="15" hidden="false" customHeight="false" outlineLevel="0" collapsed="false">
      <c r="A36" s="57"/>
      <c r="B36" s="30"/>
      <c r="C36" s="58"/>
      <c r="D36" s="59"/>
      <c r="E36" s="60" t="str">
        <f aca="false">IF(A36="","",IF(G36="","⛔ التاريخ غلط — اكتبه كامل 05/10/2026 أو اختاره من القائمة",IF(OR(H36&lt;1,H36&gt;NW),"⛔ التاريخ برّا السنة",IF(AND(N(C36)&gt;0,N(J36)&gt;0,C36&gt;ADV_CAP*J36),"⚠️ أكثر من "&amp;TEXT(ADV_CAP,"0%")&amp;" من شغله ("&amp;TEXT(J36,"0.000")&amp;")",""))))</f>
        <v/>
      </c>
      <c r="G36" s="0" t="str">
        <f aca="false">IF(A36="","",IF(ISNUMBER(A36),IF(A36&gt;=36526,A36,""),IFERROR(DATEVALUE(A36),"")))</f>
        <v/>
      </c>
      <c r="H36" s="0" t="str">
        <f aca="false">IF(G36="","",INT((G36-SAT1)/7)+1)</f>
        <v/>
      </c>
      <c r="I36" s="0" t="str">
        <f aca="false">IF(H36="","",IF(OR(H36&lt;1,H36&gt;NW),"",INDEX(WMON,H36)))</f>
        <v/>
      </c>
      <c r="J36" s="0" t="str">
        <f aca="false">IF(OR(G36="",H36="",B36=""),"",IF(B36="عمر المصري",SUMIFS('ساعات عمر'!$H$7:$H$642,'ساعات عمر'!$A$7:$A$642,"&gt;="&amp;(SAT1+7*(H36-1)),'ساعات عمر'!$A$7:$A$642,"&lt;="&amp;G36),SUMIFS('ساعات عبدالعزيز'!$F$7:$F$642,'ساعات عبدالعزيز'!$A$7:$A$642,"&gt;="&amp;(SAT1+7*(H36-1)),'ساعات عبدالعزيز'!$A$7:$A$642,"&lt;="&amp;G36)))</f>
        <v/>
      </c>
    </row>
    <row r="37" customFormat="false" ht="15" hidden="false" customHeight="false" outlineLevel="0" collapsed="false">
      <c r="A37" s="57"/>
      <c r="B37" s="30"/>
      <c r="C37" s="58"/>
      <c r="D37" s="59"/>
      <c r="E37" s="60" t="str">
        <f aca="false">IF(A37="","",IF(G37="","⛔ التاريخ غلط — اكتبه كامل 05/10/2026 أو اختاره من القائمة",IF(OR(H37&lt;1,H37&gt;NW),"⛔ التاريخ برّا السنة",IF(AND(N(C37)&gt;0,N(J37)&gt;0,C37&gt;ADV_CAP*J37),"⚠️ أكثر من "&amp;TEXT(ADV_CAP,"0%")&amp;" من شغله ("&amp;TEXT(J37,"0.000")&amp;")",""))))</f>
        <v/>
      </c>
      <c r="G37" s="0" t="str">
        <f aca="false">IF(A37="","",IF(ISNUMBER(A37),IF(A37&gt;=36526,A37,""),IFERROR(DATEVALUE(A37),"")))</f>
        <v/>
      </c>
      <c r="H37" s="0" t="str">
        <f aca="false">IF(G37="","",INT((G37-SAT1)/7)+1)</f>
        <v/>
      </c>
      <c r="I37" s="0" t="str">
        <f aca="false">IF(H37="","",IF(OR(H37&lt;1,H37&gt;NW),"",INDEX(WMON,H37)))</f>
        <v/>
      </c>
      <c r="J37" s="0" t="str">
        <f aca="false">IF(OR(G37="",H37="",B37=""),"",IF(B37="عمر المصري",SUMIFS('ساعات عمر'!$H$7:$H$642,'ساعات عمر'!$A$7:$A$642,"&gt;="&amp;(SAT1+7*(H37-1)),'ساعات عمر'!$A$7:$A$642,"&lt;="&amp;G37),SUMIFS('ساعات عبدالعزيز'!$F$7:$F$642,'ساعات عبدالعزيز'!$A$7:$A$642,"&gt;="&amp;(SAT1+7*(H37-1)),'ساعات عبدالعزيز'!$A$7:$A$642,"&lt;="&amp;G37)))</f>
        <v/>
      </c>
    </row>
    <row r="38" customFormat="false" ht="15" hidden="false" customHeight="false" outlineLevel="0" collapsed="false">
      <c r="A38" s="57"/>
      <c r="B38" s="30"/>
      <c r="C38" s="58"/>
      <c r="D38" s="59"/>
      <c r="E38" s="60" t="str">
        <f aca="false">IF(A38="","",IF(G38="","⛔ التاريخ غلط — اكتبه كامل 05/10/2026 أو اختاره من القائمة",IF(OR(H38&lt;1,H38&gt;NW),"⛔ التاريخ برّا السنة",IF(AND(N(C38)&gt;0,N(J38)&gt;0,C38&gt;ADV_CAP*J38),"⚠️ أكثر من "&amp;TEXT(ADV_CAP,"0%")&amp;" من شغله ("&amp;TEXT(J38,"0.000")&amp;")",""))))</f>
        <v/>
      </c>
      <c r="G38" s="0" t="str">
        <f aca="false">IF(A38="","",IF(ISNUMBER(A38),IF(A38&gt;=36526,A38,""),IFERROR(DATEVALUE(A38),"")))</f>
        <v/>
      </c>
      <c r="H38" s="0" t="str">
        <f aca="false">IF(G38="","",INT((G38-SAT1)/7)+1)</f>
        <v/>
      </c>
      <c r="I38" s="0" t="str">
        <f aca="false">IF(H38="","",IF(OR(H38&lt;1,H38&gt;NW),"",INDEX(WMON,H38)))</f>
        <v/>
      </c>
      <c r="J38" s="0" t="str">
        <f aca="false">IF(OR(G38="",H38="",B38=""),"",IF(B38="عمر المصري",SUMIFS('ساعات عمر'!$H$7:$H$642,'ساعات عمر'!$A$7:$A$642,"&gt;="&amp;(SAT1+7*(H38-1)),'ساعات عمر'!$A$7:$A$642,"&lt;="&amp;G38),SUMIFS('ساعات عبدالعزيز'!$F$7:$F$642,'ساعات عبدالعزيز'!$A$7:$A$642,"&gt;="&amp;(SAT1+7*(H38-1)),'ساعات عبدالعزيز'!$A$7:$A$642,"&lt;="&amp;G38)))</f>
        <v/>
      </c>
    </row>
    <row r="39" customFormat="false" ht="15" hidden="false" customHeight="false" outlineLevel="0" collapsed="false">
      <c r="A39" s="57"/>
      <c r="B39" s="30"/>
      <c r="C39" s="58"/>
      <c r="D39" s="59"/>
      <c r="E39" s="60" t="str">
        <f aca="false">IF(A39="","",IF(G39="","⛔ التاريخ غلط — اكتبه كامل 05/10/2026 أو اختاره من القائمة",IF(OR(H39&lt;1,H39&gt;NW),"⛔ التاريخ برّا السنة",IF(AND(N(C39)&gt;0,N(J39)&gt;0,C39&gt;ADV_CAP*J39),"⚠️ أكثر من "&amp;TEXT(ADV_CAP,"0%")&amp;" من شغله ("&amp;TEXT(J39,"0.000")&amp;")",""))))</f>
        <v/>
      </c>
      <c r="G39" s="0" t="str">
        <f aca="false">IF(A39="","",IF(ISNUMBER(A39),IF(A39&gt;=36526,A39,""),IFERROR(DATEVALUE(A39),"")))</f>
        <v/>
      </c>
      <c r="H39" s="0" t="str">
        <f aca="false">IF(G39="","",INT((G39-SAT1)/7)+1)</f>
        <v/>
      </c>
      <c r="I39" s="0" t="str">
        <f aca="false">IF(H39="","",IF(OR(H39&lt;1,H39&gt;NW),"",INDEX(WMON,H39)))</f>
        <v/>
      </c>
      <c r="J39" s="0" t="str">
        <f aca="false">IF(OR(G39="",H39="",B39=""),"",IF(B39="عمر المصري",SUMIFS('ساعات عمر'!$H$7:$H$642,'ساعات عمر'!$A$7:$A$642,"&gt;="&amp;(SAT1+7*(H39-1)),'ساعات عمر'!$A$7:$A$642,"&lt;="&amp;G39),SUMIFS('ساعات عبدالعزيز'!$F$7:$F$642,'ساعات عبدالعزيز'!$A$7:$A$642,"&gt;="&amp;(SAT1+7*(H39-1)),'ساعات عبدالعزيز'!$A$7:$A$642,"&lt;="&amp;G39)))</f>
        <v/>
      </c>
    </row>
    <row r="40" customFormat="false" ht="15" hidden="false" customHeight="false" outlineLevel="0" collapsed="false">
      <c r="A40" s="57"/>
      <c r="B40" s="30"/>
      <c r="C40" s="58"/>
      <c r="D40" s="59"/>
      <c r="E40" s="60" t="str">
        <f aca="false">IF(A40="","",IF(G40="","⛔ التاريخ غلط — اكتبه كامل 05/10/2026 أو اختاره من القائمة",IF(OR(H40&lt;1,H40&gt;NW),"⛔ التاريخ برّا السنة",IF(AND(N(C40)&gt;0,N(J40)&gt;0,C40&gt;ADV_CAP*J40),"⚠️ أكثر من "&amp;TEXT(ADV_CAP,"0%")&amp;" من شغله ("&amp;TEXT(J40,"0.000")&amp;")",""))))</f>
        <v/>
      </c>
      <c r="G40" s="0" t="str">
        <f aca="false">IF(A40="","",IF(ISNUMBER(A40),IF(A40&gt;=36526,A40,""),IFERROR(DATEVALUE(A40),"")))</f>
        <v/>
      </c>
      <c r="H40" s="0" t="str">
        <f aca="false">IF(G40="","",INT((G40-SAT1)/7)+1)</f>
        <v/>
      </c>
      <c r="I40" s="0" t="str">
        <f aca="false">IF(H40="","",IF(OR(H40&lt;1,H40&gt;NW),"",INDEX(WMON,H40)))</f>
        <v/>
      </c>
      <c r="J40" s="0" t="str">
        <f aca="false">IF(OR(G40="",H40="",B40=""),"",IF(B40="عمر المصري",SUMIFS('ساعات عمر'!$H$7:$H$642,'ساعات عمر'!$A$7:$A$642,"&gt;="&amp;(SAT1+7*(H40-1)),'ساعات عمر'!$A$7:$A$642,"&lt;="&amp;G40),SUMIFS('ساعات عبدالعزيز'!$F$7:$F$642,'ساعات عبدالعزيز'!$A$7:$A$642,"&gt;="&amp;(SAT1+7*(H40-1)),'ساعات عبدالعزيز'!$A$7:$A$642,"&lt;="&amp;G40)))</f>
        <v/>
      </c>
    </row>
    <row r="41" customFormat="false" ht="15" hidden="false" customHeight="false" outlineLevel="0" collapsed="false">
      <c r="A41" s="57"/>
      <c r="B41" s="30"/>
      <c r="C41" s="58"/>
      <c r="D41" s="59"/>
      <c r="E41" s="60" t="str">
        <f aca="false">IF(A41="","",IF(G41="","⛔ التاريخ غلط — اكتبه كامل 05/10/2026 أو اختاره من القائمة",IF(OR(H41&lt;1,H41&gt;NW),"⛔ التاريخ برّا السنة",IF(AND(N(C41)&gt;0,N(J41)&gt;0,C41&gt;ADV_CAP*J41),"⚠️ أكثر من "&amp;TEXT(ADV_CAP,"0%")&amp;" من شغله ("&amp;TEXT(J41,"0.000")&amp;")",""))))</f>
        <v/>
      </c>
      <c r="G41" s="0" t="str">
        <f aca="false">IF(A41="","",IF(ISNUMBER(A41),IF(A41&gt;=36526,A41,""),IFERROR(DATEVALUE(A41),"")))</f>
        <v/>
      </c>
      <c r="H41" s="0" t="str">
        <f aca="false">IF(G41="","",INT((G41-SAT1)/7)+1)</f>
        <v/>
      </c>
      <c r="I41" s="0" t="str">
        <f aca="false">IF(H41="","",IF(OR(H41&lt;1,H41&gt;NW),"",INDEX(WMON,H41)))</f>
        <v/>
      </c>
      <c r="J41" s="0" t="str">
        <f aca="false">IF(OR(G41="",H41="",B41=""),"",IF(B41="عمر المصري",SUMIFS('ساعات عمر'!$H$7:$H$642,'ساعات عمر'!$A$7:$A$642,"&gt;="&amp;(SAT1+7*(H41-1)),'ساعات عمر'!$A$7:$A$642,"&lt;="&amp;G41),SUMIFS('ساعات عبدالعزيز'!$F$7:$F$642,'ساعات عبدالعزيز'!$A$7:$A$642,"&gt;="&amp;(SAT1+7*(H41-1)),'ساعات عبدالعزيز'!$A$7:$A$642,"&lt;="&amp;G41)))</f>
        <v/>
      </c>
    </row>
    <row r="42" customFormat="false" ht="15" hidden="false" customHeight="false" outlineLevel="0" collapsed="false">
      <c r="A42" s="57"/>
      <c r="B42" s="30"/>
      <c r="C42" s="58"/>
      <c r="D42" s="59"/>
      <c r="E42" s="60" t="str">
        <f aca="false">IF(A42="","",IF(G42="","⛔ التاريخ غلط — اكتبه كامل 05/10/2026 أو اختاره من القائمة",IF(OR(H42&lt;1,H42&gt;NW),"⛔ التاريخ برّا السنة",IF(AND(N(C42)&gt;0,N(J42)&gt;0,C42&gt;ADV_CAP*J42),"⚠️ أكثر من "&amp;TEXT(ADV_CAP,"0%")&amp;" من شغله ("&amp;TEXT(J42,"0.000")&amp;")",""))))</f>
        <v/>
      </c>
      <c r="G42" s="0" t="str">
        <f aca="false">IF(A42="","",IF(ISNUMBER(A42),IF(A42&gt;=36526,A42,""),IFERROR(DATEVALUE(A42),"")))</f>
        <v/>
      </c>
      <c r="H42" s="0" t="str">
        <f aca="false">IF(G42="","",INT((G42-SAT1)/7)+1)</f>
        <v/>
      </c>
      <c r="I42" s="0" t="str">
        <f aca="false">IF(H42="","",IF(OR(H42&lt;1,H42&gt;NW),"",INDEX(WMON,H42)))</f>
        <v/>
      </c>
      <c r="J42" s="0" t="str">
        <f aca="false">IF(OR(G42="",H42="",B42=""),"",IF(B42="عمر المصري",SUMIFS('ساعات عمر'!$H$7:$H$642,'ساعات عمر'!$A$7:$A$642,"&gt;="&amp;(SAT1+7*(H42-1)),'ساعات عمر'!$A$7:$A$642,"&lt;="&amp;G42),SUMIFS('ساعات عبدالعزيز'!$F$7:$F$642,'ساعات عبدالعزيز'!$A$7:$A$642,"&gt;="&amp;(SAT1+7*(H42-1)),'ساعات عبدالعزيز'!$A$7:$A$642,"&lt;="&amp;G42)))</f>
        <v/>
      </c>
    </row>
    <row r="43" customFormat="false" ht="15" hidden="false" customHeight="false" outlineLevel="0" collapsed="false">
      <c r="A43" s="57"/>
      <c r="B43" s="30"/>
      <c r="C43" s="58"/>
      <c r="D43" s="59"/>
      <c r="E43" s="60" t="str">
        <f aca="false">IF(A43="","",IF(G43="","⛔ التاريخ غلط — اكتبه كامل 05/10/2026 أو اختاره من القائمة",IF(OR(H43&lt;1,H43&gt;NW),"⛔ التاريخ برّا السنة",IF(AND(N(C43)&gt;0,N(J43)&gt;0,C43&gt;ADV_CAP*J43),"⚠️ أكثر من "&amp;TEXT(ADV_CAP,"0%")&amp;" من شغله ("&amp;TEXT(J43,"0.000")&amp;")",""))))</f>
        <v/>
      </c>
      <c r="G43" s="0" t="str">
        <f aca="false">IF(A43="","",IF(ISNUMBER(A43),IF(A43&gt;=36526,A43,""),IFERROR(DATEVALUE(A43),"")))</f>
        <v/>
      </c>
      <c r="H43" s="0" t="str">
        <f aca="false">IF(G43="","",INT((G43-SAT1)/7)+1)</f>
        <v/>
      </c>
      <c r="I43" s="0" t="str">
        <f aca="false">IF(H43="","",IF(OR(H43&lt;1,H43&gt;NW),"",INDEX(WMON,H43)))</f>
        <v/>
      </c>
      <c r="J43" s="0" t="str">
        <f aca="false">IF(OR(G43="",H43="",B43=""),"",IF(B43="عمر المصري",SUMIFS('ساعات عمر'!$H$7:$H$642,'ساعات عمر'!$A$7:$A$642,"&gt;="&amp;(SAT1+7*(H43-1)),'ساعات عمر'!$A$7:$A$642,"&lt;="&amp;G43),SUMIFS('ساعات عبدالعزيز'!$F$7:$F$642,'ساعات عبدالعزيز'!$A$7:$A$642,"&gt;="&amp;(SAT1+7*(H43-1)),'ساعات عبدالعزيز'!$A$7:$A$642,"&lt;="&amp;G43)))</f>
        <v/>
      </c>
    </row>
    <row r="44" customFormat="false" ht="15" hidden="false" customHeight="false" outlineLevel="0" collapsed="false">
      <c r="A44" s="57"/>
      <c r="B44" s="30"/>
      <c r="C44" s="58"/>
      <c r="D44" s="59"/>
      <c r="E44" s="60" t="str">
        <f aca="false">IF(A44="","",IF(G44="","⛔ التاريخ غلط — اكتبه كامل 05/10/2026 أو اختاره من القائمة",IF(OR(H44&lt;1,H44&gt;NW),"⛔ التاريخ برّا السنة",IF(AND(N(C44)&gt;0,N(J44)&gt;0,C44&gt;ADV_CAP*J44),"⚠️ أكثر من "&amp;TEXT(ADV_CAP,"0%")&amp;" من شغله ("&amp;TEXT(J44,"0.000")&amp;")",""))))</f>
        <v/>
      </c>
      <c r="G44" s="0" t="str">
        <f aca="false">IF(A44="","",IF(ISNUMBER(A44),IF(A44&gt;=36526,A44,""),IFERROR(DATEVALUE(A44),"")))</f>
        <v/>
      </c>
      <c r="H44" s="0" t="str">
        <f aca="false">IF(G44="","",INT((G44-SAT1)/7)+1)</f>
        <v/>
      </c>
      <c r="I44" s="0" t="str">
        <f aca="false">IF(H44="","",IF(OR(H44&lt;1,H44&gt;NW),"",INDEX(WMON,H44)))</f>
        <v/>
      </c>
      <c r="J44" s="0" t="str">
        <f aca="false">IF(OR(G44="",H44="",B44=""),"",IF(B44="عمر المصري",SUMIFS('ساعات عمر'!$H$7:$H$642,'ساعات عمر'!$A$7:$A$642,"&gt;="&amp;(SAT1+7*(H44-1)),'ساعات عمر'!$A$7:$A$642,"&lt;="&amp;G44),SUMIFS('ساعات عبدالعزيز'!$F$7:$F$642,'ساعات عبدالعزيز'!$A$7:$A$642,"&gt;="&amp;(SAT1+7*(H44-1)),'ساعات عبدالعزيز'!$A$7:$A$642,"&lt;="&amp;G44)))</f>
        <v/>
      </c>
    </row>
    <row r="45" customFormat="false" ht="15" hidden="false" customHeight="false" outlineLevel="0" collapsed="false">
      <c r="A45" s="57"/>
      <c r="B45" s="30"/>
      <c r="C45" s="58"/>
      <c r="D45" s="59"/>
      <c r="E45" s="60" t="str">
        <f aca="false">IF(A45="","",IF(G45="","⛔ التاريخ غلط — اكتبه كامل 05/10/2026 أو اختاره من القائمة",IF(OR(H45&lt;1,H45&gt;NW),"⛔ التاريخ برّا السنة",IF(AND(N(C45)&gt;0,N(J45)&gt;0,C45&gt;ADV_CAP*J45),"⚠️ أكثر من "&amp;TEXT(ADV_CAP,"0%")&amp;" من شغله ("&amp;TEXT(J45,"0.000")&amp;")",""))))</f>
        <v/>
      </c>
      <c r="G45" s="0" t="str">
        <f aca="false">IF(A45="","",IF(ISNUMBER(A45),IF(A45&gt;=36526,A45,""),IFERROR(DATEVALUE(A45),"")))</f>
        <v/>
      </c>
      <c r="H45" s="0" t="str">
        <f aca="false">IF(G45="","",INT((G45-SAT1)/7)+1)</f>
        <v/>
      </c>
      <c r="I45" s="0" t="str">
        <f aca="false">IF(H45="","",IF(OR(H45&lt;1,H45&gt;NW),"",INDEX(WMON,H45)))</f>
        <v/>
      </c>
      <c r="J45" s="0" t="str">
        <f aca="false">IF(OR(G45="",H45="",B45=""),"",IF(B45="عمر المصري",SUMIFS('ساعات عمر'!$H$7:$H$642,'ساعات عمر'!$A$7:$A$642,"&gt;="&amp;(SAT1+7*(H45-1)),'ساعات عمر'!$A$7:$A$642,"&lt;="&amp;G45),SUMIFS('ساعات عبدالعزيز'!$F$7:$F$642,'ساعات عبدالعزيز'!$A$7:$A$642,"&gt;="&amp;(SAT1+7*(H45-1)),'ساعات عبدالعزيز'!$A$7:$A$642,"&lt;="&amp;G45)))</f>
        <v/>
      </c>
    </row>
    <row r="46" customFormat="false" ht="15" hidden="false" customHeight="false" outlineLevel="0" collapsed="false">
      <c r="A46" s="57"/>
      <c r="B46" s="30"/>
      <c r="C46" s="58"/>
      <c r="D46" s="59"/>
      <c r="E46" s="60" t="str">
        <f aca="false">IF(A46="","",IF(G46="","⛔ التاريخ غلط — اكتبه كامل 05/10/2026 أو اختاره من القائمة",IF(OR(H46&lt;1,H46&gt;NW),"⛔ التاريخ برّا السنة",IF(AND(N(C46)&gt;0,N(J46)&gt;0,C46&gt;ADV_CAP*J46),"⚠️ أكثر من "&amp;TEXT(ADV_CAP,"0%")&amp;" من شغله ("&amp;TEXT(J46,"0.000")&amp;")",""))))</f>
        <v/>
      </c>
      <c r="G46" s="0" t="str">
        <f aca="false">IF(A46="","",IF(ISNUMBER(A46),IF(A46&gt;=36526,A46,""),IFERROR(DATEVALUE(A46),"")))</f>
        <v/>
      </c>
      <c r="H46" s="0" t="str">
        <f aca="false">IF(G46="","",INT((G46-SAT1)/7)+1)</f>
        <v/>
      </c>
      <c r="I46" s="0" t="str">
        <f aca="false">IF(H46="","",IF(OR(H46&lt;1,H46&gt;NW),"",INDEX(WMON,H46)))</f>
        <v/>
      </c>
      <c r="J46" s="0" t="str">
        <f aca="false">IF(OR(G46="",H46="",B46=""),"",IF(B46="عمر المصري",SUMIFS('ساعات عمر'!$H$7:$H$642,'ساعات عمر'!$A$7:$A$642,"&gt;="&amp;(SAT1+7*(H46-1)),'ساعات عمر'!$A$7:$A$642,"&lt;="&amp;G46),SUMIFS('ساعات عبدالعزيز'!$F$7:$F$642,'ساعات عبدالعزيز'!$A$7:$A$642,"&gt;="&amp;(SAT1+7*(H46-1)),'ساعات عبدالعزيز'!$A$7:$A$642,"&lt;="&amp;G46)))</f>
        <v/>
      </c>
    </row>
    <row r="47" customFormat="false" ht="15" hidden="false" customHeight="false" outlineLevel="0" collapsed="false">
      <c r="A47" s="57"/>
      <c r="B47" s="30"/>
      <c r="C47" s="58"/>
      <c r="D47" s="59"/>
      <c r="E47" s="60" t="str">
        <f aca="false">IF(A47="","",IF(G47="","⛔ التاريخ غلط — اكتبه كامل 05/10/2026 أو اختاره من القائمة",IF(OR(H47&lt;1,H47&gt;NW),"⛔ التاريخ برّا السنة",IF(AND(N(C47)&gt;0,N(J47)&gt;0,C47&gt;ADV_CAP*J47),"⚠️ أكثر من "&amp;TEXT(ADV_CAP,"0%")&amp;" من شغله ("&amp;TEXT(J47,"0.000")&amp;")",""))))</f>
        <v/>
      </c>
      <c r="G47" s="0" t="str">
        <f aca="false">IF(A47="","",IF(ISNUMBER(A47),IF(A47&gt;=36526,A47,""),IFERROR(DATEVALUE(A47),"")))</f>
        <v/>
      </c>
      <c r="H47" s="0" t="str">
        <f aca="false">IF(G47="","",INT((G47-SAT1)/7)+1)</f>
        <v/>
      </c>
      <c r="I47" s="0" t="str">
        <f aca="false">IF(H47="","",IF(OR(H47&lt;1,H47&gt;NW),"",INDEX(WMON,H47)))</f>
        <v/>
      </c>
      <c r="J47" s="0" t="str">
        <f aca="false">IF(OR(G47="",H47="",B47=""),"",IF(B47="عمر المصري",SUMIFS('ساعات عمر'!$H$7:$H$642,'ساعات عمر'!$A$7:$A$642,"&gt;="&amp;(SAT1+7*(H47-1)),'ساعات عمر'!$A$7:$A$642,"&lt;="&amp;G47),SUMIFS('ساعات عبدالعزيز'!$F$7:$F$642,'ساعات عبدالعزيز'!$A$7:$A$642,"&gt;="&amp;(SAT1+7*(H47-1)),'ساعات عبدالعزيز'!$A$7:$A$642,"&lt;="&amp;G47)))</f>
        <v/>
      </c>
    </row>
    <row r="48" customFormat="false" ht="15" hidden="false" customHeight="false" outlineLevel="0" collapsed="false">
      <c r="A48" s="57"/>
      <c r="B48" s="30"/>
      <c r="C48" s="58"/>
      <c r="D48" s="59"/>
      <c r="E48" s="60" t="str">
        <f aca="false">IF(A48="","",IF(G48="","⛔ التاريخ غلط — اكتبه كامل 05/10/2026 أو اختاره من القائمة",IF(OR(H48&lt;1,H48&gt;NW),"⛔ التاريخ برّا السنة",IF(AND(N(C48)&gt;0,N(J48)&gt;0,C48&gt;ADV_CAP*J48),"⚠️ أكثر من "&amp;TEXT(ADV_CAP,"0%")&amp;" من شغله ("&amp;TEXT(J48,"0.000")&amp;")",""))))</f>
        <v/>
      </c>
      <c r="G48" s="0" t="str">
        <f aca="false">IF(A48="","",IF(ISNUMBER(A48),IF(A48&gt;=36526,A48,""),IFERROR(DATEVALUE(A48),"")))</f>
        <v/>
      </c>
      <c r="H48" s="0" t="str">
        <f aca="false">IF(G48="","",INT((G48-SAT1)/7)+1)</f>
        <v/>
      </c>
      <c r="I48" s="0" t="str">
        <f aca="false">IF(H48="","",IF(OR(H48&lt;1,H48&gt;NW),"",INDEX(WMON,H48)))</f>
        <v/>
      </c>
      <c r="J48" s="0" t="str">
        <f aca="false">IF(OR(G48="",H48="",B48=""),"",IF(B48="عمر المصري",SUMIFS('ساعات عمر'!$H$7:$H$642,'ساعات عمر'!$A$7:$A$642,"&gt;="&amp;(SAT1+7*(H48-1)),'ساعات عمر'!$A$7:$A$642,"&lt;="&amp;G48),SUMIFS('ساعات عبدالعزيز'!$F$7:$F$642,'ساعات عبدالعزيز'!$A$7:$A$642,"&gt;="&amp;(SAT1+7*(H48-1)),'ساعات عبدالعزيز'!$A$7:$A$642,"&lt;="&amp;G48)))</f>
        <v/>
      </c>
    </row>
    <row r="49" customFormat="false" ht="15" hidden="false" customHeight="false" outlineLevel="0" collapsed="false">
      <c r="A49" s="57"/>
      <c r="B49" s="30"/>
      <c r="C49" s="58"/>
      <c r="D49" s="59"/>
      <c r="E49" s="60" t="str">
        <f aca="false">IF(A49="","",IF(G49="","⛔ التاريخ غلط — اكتبه كامل 05/10/2026 أو اختاره من القائمة",IF(OR(H49&lt;1,H49&gt;NW),"⛔ التاريخ برّا السنة",IF(AND(N(C49)&gt;0,N(J49)&gt;0,C49&gt;ADV_CAP*J49),"⚠️ أكثر من "&amp;TEXT(ADV_CAP,"0%")&amp;" من شغله ("&amp;TEXT(J49,"0.000")&amp;")",""))))</f>
        <v/>
      </c>
      <c r="G49" s="0" t="str">
        <f aca="false">IF(A49="","",IF(ISNUMBER(A49),IF(A49&gt;=36526,A49,""),IFERROR(DATEVALUE(A49),"")))</f>
        <v/>
      </c>
      <c r="H49" s="0" t="str">
        <f aca="false">IF(G49="","",INT((G49-SAT1)/7)+1)</f>
        <v/>
      </c>
      <c r="I49" s="0" t="str">
        <f aca="false">IF(H49="","",IF(OR(H49&lt;1,H49&gt;NW),"",INDEX(WMON,H49)))</f>
        <v/>
      </c>
      <c r="J49" s="0" t="str">
        <f aca="false">IF(OR(G49="",H49="",B49=""),"",IF(B49="عمر المصري",SUMIFS('ساعات عمر'!$H$7:$H$642,'ساعات عمر'!$A$7:$A$642,"&gt;="&amp;(SAT1+7*(H49-1)),'ساعات عمر'!$A$7:$A$642,"&lt;="&amp;G49),SUMIFS('ساعات عبدالعزيز'!$F$7:$F$642,'ساعات عبدالعزيز'!$A$7:$A$642,"&gt;="&amp;(SAT1+7*(H49-1)),'ساعات عبدالعزيز'!$A$7:$A$642,"&lt;="&amp;G49)))</f>
        <v/>
      </c>
    </row>
    <row r="50" customFormat="false" ht="15" hidden="false" customHeight="false" outlineLevel="0" collapsed="false">
      <c r="A50" s="57"/>
      <c r="B50" s="30"/>
      <c r="C50" s="58"/>
      <c r="D50" s="59"/>
      <c r="E50" s="60" t="str">
        <f aca="false">IF(A50="","",IF(G50="","⛔ التاريخ غلط — اكتبه كامل 05/10/2026 أو اختاره من القائمة",IF(OR(H50&lt;1,H50&gt;NW),"⛔ التاريخ برّا السنة",IF(AND(N(C50)&gt;0,N(J50)&gt;0,C50&gt;ADV_CAP*J50),"⚠️ أكثر من "&amp;TEXT(ADV_CAP,"0%")&amp;" من شغله ("&amp;TEXT(J50,"0.000")&amp;")",""))))</f>
        <v/>
      </c>
      <c r="G50" s="0" t="str">
        <f aca="false">IF(A50="","",IF(ISNUMBER(A50),IF(A50&gt;=36526,A50,""),IFERROR(DATEVALUE(A50),"")))</f>
        <v/>
      </c>
      <c r="H50" s="0" t="str">
        <f aca="false">IF(G50="","",INT((G50-SAT1)/7)+1)</f>
        <v/>
      </c>
      <c r="I50" s="0" t="str">
        <f aca="false">IF(H50="","",IF(OR(H50&lt;1,H50&gt;NW),"",INDEX(WMON,H50)))</f>
        <v/>
      </c>
      <c r="J50" s="0" t="str">
        <f aca="false">IF(OR(G50="",H50="",B50=""),"",IF(B50="عمر المصري",SUMIFS('ساعات عمر'!$H$7:$H$642,'ساعات عمر'!$A$7:$A$642,"&gt;="&amp;(SAT1+7*(H50-1)),'ساعات عمر'!$A$7:$A$642,"&lt;="&amp;G50),SUMIFS('ساعات عبدالعزيز'!$F$7:$F$642,'ساعات عبدالعزيز'!$A$7:$A$642,"&gt;="&amp;(SAT1+7*(H50-1)),'ساعات عبدالعزيز'!$A$7:$A$642,"&lt;="&amp;G50)))</f>
        <v/>
      </c>
    </row>
    <row r="51" customFormat="false" ht="15" hidden="false" customHeight="false" outlineLevel="0" collapsed="false">
      <c r="A51" s="57"/>
      <c r="B51" s="30"/>
      <c r="C51" s="58"/>
      <c r="D51" s="59"/>
      <c r="E51" s="60" t="str">
        <f aca="false">IF(A51="","",IF(G51="","⛔ التاريخ غلط — اكتبه كامل 05/10/2026 أو اختاره من القائمة",IF(OR(H51&lt;1,H51&gt;NW),"⛔ التاريخ برّا السنة",IF(AND(N(C51)&gt;0,N(J51)&gt;0,C51&gt;ADV_CAP*J51),"⚠️ أكثر من "&amp;TEXT(ADV_CAP,"0%")&amp;" من شغله ("&amp;TEXT(J51,"0.000")&amp;")",""))))</f>
        <v/>
      </c>
      <c r="G51" s="0" t="str">
        <f aca="false">IF(A51="","",IF(ISNUMBER(A51),IF(A51&gt;=36526,A51,""),IFERROR(DATEVALUE(A51),"")))</f>
        <v/>
      </c>
      <c r="H51" s="0" t="str">
        <f aca="false">IF(G51="","",INT((G51-SAT1)/7)+1)</f>
        <v/>
      </c>
      <c r="I51" s="0" t="str">
        <f aca="false">IF(H51="","",IF(OR(H51&lt;1,H51&gt;NW),"",INDEX(WMON,H51)))</f>
        <v/>
      </c>
      <c r="J51" s="0" t="str">
        <f aca="false">IF(OR(G51="",H51="",B51=""),"",IF(B51="عمر المصري",SUMIFS('ساعات عمر'!$H$7:$H$642,'ساعات عمر'!$A$7:$A$642,"&gt;="&amp;(SAT1+7*(H51-1)),'ساعات عمر'!$A$7:$A$642,"&lt;="&amp;G51),SUMIFS('ساعات عبدالعزيز'!$F$7:$F$642,'ساعات عبدالعزيز'!$A$7:$A$642,"&gt;="&amp;(SAT1+7*(H51-1)),'ساعات عبدالعزيز'!$A$7:$A$642,"&lt;="&amp;G51)))</f>
        <v/>
      </c>
    </row>
    <row r="52" customFormat="false" ht="15" hidden="false" customHeight="false" outlineLevel="0" collapsed="false">
      <c r="A52" s="57"/>
      <c r="B52" s="30"/>
      <c r="C52" s="58"/>
      <c r="D52" s="59"/>
      <c r="E52" s="60" t="str">
        <f aca="false">IF(A52="","",IF(G52="","⛔ التاريخ غلط — اكتبه كامل 05/10/2026 أو اختاره من القائمة",IF(OR(H52&lt;1,H52&gt;NW),"⛔ التاريخ برّا السنة",IF(AND(N(C52)&gt;0,N(J52)&gt;0,C52&gt;ADV_CAP*J52),"⚠️ أكثر من "&amp;TEXT(ADV_CAP,"0%")&amp;" من شغله ("&amp;TEXT(J52,"0.000")&amp;")",""))))</f>
        <v/>
      </c>
      <c r="G52" s="0" t="str">
        <f aca="false">IF(A52="","",IF(ISNUMBER(A52),IF(A52&gt;=36526,A52,""),IFERROR(DATEVALUE(A52),"")))</f>
        <v/>
      </c>
      <c r="H52" s="0" t="str">
        <f aca="false">IF(G52="","",INT((G52-SAT1)/7)+1)</f>
        <v/>
      </c>
      <c r="I52" s="0" t="str">
        <f aca="false">IF(H52="","",IF(OR(H52&lt;1,H52&gt;NW),"",INDEX(WMON,H52)))</f>
        <v/>
      </c>
      <c r="J52" s="0" t="str">
        <f aca="false">IF(OR(G52="",H52="",B52=""),"",IF(B52="عمر المصري",SUMIFS('ساعات عمر'!$H$7:$H$642,'ساعات عمر'!$A$7:$A$642,"&gt;="&amp;(SAT1+7*(H52-1)),'ساعات عمر'!$A$7:$A$642,"&lt;="&amp;G52),SUMIFS('ساعات عبدالعزيز'!$F$7:$F$642,'ساعات عبدالعزيز'!$A$7:$A$642,"&gt;="&amp;(SAT1+7*(H52-1)),'ساعات عبدالعزيز'!$A$7:$A$642,"&lt;="&amp;G52)))</f>
        <v/>
      </c>
    </row>
    <row r="53" customFormat="false" ht="15" hidden="false" customHeight="false" outlineLevel="0" collapsed="false">
      <c r="A53" s="57"/>
      <c r="B53" s="30"/>
      <c r="C53" s="58"/>
      <c r="D53" s="59"/>
      <c r="E53" s="60" t="str">
        <f aca="false">IF(A53="","",IF(G53="","⛔ التاريخ غلط — اكتبه كامل 05/10/2026 أو اختاره من القائمة",IF(OR(H53&lt;1,H53&gt;NW),"⛔ التاريخ برّا السنة",IF(AND(N(C53)&gt;0,N(J53)&gt;0,C53&gt;ADV_CAP*J53),"⚠️ أكثر من "&amp;TEXT(ADV_CAP,"0%")&amp;" من شغله ("&amp;TEXT(J53,"0.000")&amp;")",""))))</f>
        <v/>
      </c>
      <c r="G53" s="0" t="str">
        <f aca="false">IF(A53="","",IF(ISNUMBER(A53),IF(A53&gt;=36526,A53,""),IFERROR(DATEVALUE(A53),"")))</f>
        <v/>
      </c>
      <c r="H53" s="0" t="str">
        <f aca="false">IF(G53="","",INT((G53-SAT1)/7)+1)</f>
        <v/>
      </c>
      <c r="I53" s="0" t="str">
        <f aca="false">IF(H53="","",IF(OR(H53&lt;1,H53&gt;NW),"",INDEX(WMON,H53)))</f>
        <v/>
      </c>
      <c r="J53" s="0" t="str">
        <f aca="false">IF(OR(G53="",H53="",B53=""),"",IF(B53="عمر المصري",SUMIFS('ساعات عمر'!$H$7:$H$642,'ساعات عمر'!$A$7:$A$642,"&gt;="&amp;(SAT1+7*(H53-1)),'ساعات عمر'!$A$7:$A$642,"&lt;="&amp;G53),SUMIFS('ساعات عبدالعزيز'!$F$7:$F$642,'ساعات عبدالعزيز'!$A$7:$A$642,"&gt;="&amp;(SAT1+7*(H53-1)),'ساعات عبدالعزيز'!$A$7:$A$642,"&lt;="&amp;G53)))</f>
        <v/>
      </c>
    </row>
    <row r="54" customFormat="false" ht="15" hidden="false" customHeight="false" outlineLevel="0" collapsed="false">
      <c r="A54" s="57"/>
      <c r="B54" s="30"/>
      <c r="C54" s="58"/>
      <c r="D54" s="59"/>
      <c r="E54" s="60" t="str">
        <f aca="false">IF(A54="","",IF(G54="","⛔ التاريخ غلط — اكتبه كامل 05/10/2026 أو اختاره من القائمة",IF(OR(H54&lt;1,H54&gt;NW),"⛔ التاريخ برّا السنة",IF(AND(N(C54)&gt;0,N(J54)&gt;0,C54&gt;ADV_CAP*J54),"⚠️ أكثر من "&amp;TEXT(ADV_CAP,"0%")&amp;" من شغله ("&amp;TEXT(J54,"0.000")&amp;")",""))))</f>
        <v/>
      </c>
      <c r="G54" s="0" t="str">
        <f aca="false">IF(A54="","",IF(ISNUMBER(A54),IF(A54&gt;=36526,A54,""),IFERROR(DATEVALUE(A54),"")))</f>
        <v/>
      </c>
      <c r="H54" s="0" t="str">
        <f aca="false">IF(G54="","",INT((G54-SAT1)/7)+1)</f>
        <v/>
      </c>
      <c r="I54" s="0" t="str">
        <f aca="false">IF(H54="","",IF(OR(H54&lt;1,H54&gt;NW),"",INDEX(WMON,H54)))</f>
        <v/>
      </c>
      <c r="J54" s="0" t="str">
        <f aca="false">IF(OR(G54="",H54="",B54=""),"",IF(B54="عمر المصري",SUMIFS('ساعات عمر'!$H$7:$H$642,'ساعات عمر'!$A$7:$A$642,"&gt;="&amp;(SAT1+7*(H54-1)),'ساعات عمر'!$A$7:$A$642,"&lt;="&amp;G54),SUMIFS('ساعات عبدالعزيز'!$F$7:$F$642,'ساعات عبدالعزيز'!$A$7:$A$642,"&gt;="&amp;(SAT1+7*(H54-1)),'ساعات عبدالعزيز'!$A$7:$A$642,"&lt;="&amp;G54)))</f>
        <v/>
      </c>
    </row>
    <row r="55" customFormat="false" ht="15" hidden="false" customHeight="false" outlineLevel="0" collapsed="false">
      <c r="A55" s="57"/>
      <c r="B55" s="30"/>
      <c r="C55" s="58"/>
      <c r="D55" s="59"/>
      <c r="E55" s="60" t="str">
        <f aca="false">IF(A55="","",IF(G55="","⛔ التاريخ غلط — اكتبه كامل 05/10/2026 أو اختاره من القائمة",IF(OR(H55&lt;1,H55&gt;NW),"⛔ التاريخ برّا السنة",IF(AND(N(C55)&gt;0,N(J55)&gt;0,C55&gt;ADV_CAP*J55),"⚠️ أكثر من "&amp;TEXT(ADV_CAP,"0%")&amp;" من شغله ("&amp;TEXT(J55,"0.000")&amp;")",""))))</f>
        <v/>
      </c>
      <c r="G55" s="0" t="str">
        <f aca="false">IF(A55="","",IF(ISNUMBER(A55),IF(A55&gt;=36526,A55,""),IFERROR(DATEVALUE(A55),"")))</f>
        <v/>
      </c>
      <c r="H55" s="0" t="str">
        <f aca="false">IF(G55="","",INT((G55-SAT1)/7)+1)</f>
        <v/>
      </c>
      <c r="I55" s="0" t="str">
        <f aca="false">IF(H55="","",IF(OR(H55&lt;1,H55&gt;NW),"",INDEX(WMON,H55)))</f>
        <v/>
      </c>
      <c r="J55" s="0" t="str">
        <f aca="false">IF(OR(G55="",H55="",B55=""),"",IF(B55="عمر المصري",SUMIFS('ساعات عمر'!$H$7:$H$642,'ساعات عمر'!$A$7:$A$642,"&gt;="&amp;(SAT1+7*(H55-1)),'ساعات عمر'!$A$7:$A$642,"&lt;="&amp;G55),SUMIFS('ساعات عبدالعزيز'!$F$7:$F$642,'ساعات عبدالعزيز'!$A$7:$A$642,"&gt;="&amp;(SAT1+7*(H55-1)),'ساعات عبدالعزيز'!$A$7:$A$642,"&lt;="&amp;G55)))</f>
        <v/>
      </c>
    </row>
    <row r="56" customFormat="false" ht="15" hidden="false" customHeight="false" outlineLevel="0" collapsed="false">
      <c r="A56" s="57"/>
      <c r="B56" s="30"/>
      <c r="C56" s="58"/>
      <c r="D56" s="59"/>
      <c r="E56" s="60" t="str">
        <f aca="false">IF(A56="","",IF(G56="","⛔ التاريخ غلط — اكتبه كامل 05/10/2026 أو اختاره من القائمة",IF(OR(H56&lt;1,H56&gt;NW),"⛔ التاريخ برّا السنة",IF(AND(N(C56)&gt;0,N(J56)&gt;0,C56&gt;ADV_CAP*J56),"⚠️ أكثر من "&amp;TEXT(ADV_CAP,"0%")&amp;" من شغله ("&amp;TEXT(J56,"0.000")&amp;")",""))))</f>
        <v/>
      </c>
      <c r="G56" s="0" t="str">
        <f aca="false">IF(A56="","",IF(ISNUMBER(A56),IF(A56&gt;=36526,A56,""),IFERROR(DATEVALUE(A56),"")))</f>
        <v/>
      </c>
      <c r="H56" s="0" t="str">
        <f aca="false">IF(G56="","",INT((G56-SAT1)/7)+1)</f>
        <v/>
      </c>
      <c r="I56" s="0" t="str">
        <f aca="false">IF(H56="","",IF(OR(H56&lt;1,H56&gt;NW),"",INDEX(WMON,H56)))</f>
        <v/>
      </c>
      <c r="J56" s="0" t="str">
        <f aca="false">IF(OR(G56="",H56="",B56=""),"",IF(B56="عمر المصري",SUMIFS('ساعات عمر'!$H$7:$H$642,'ساعات عمر'!$A$7:$A$642,"&gt;="&amp;(SAT1+7*(H56-1)),'ساعات عمر'!$A$7:$A$642,"&lt;="&amp;G56),SUMIFS('ساعات عبدالعزيز'!$F$7:$F$642,'ساعات عبدالعزيز'!$A$7:$A$642,"&gt;="&amp;(SAT1+7*(H56-1)),'ساعات عبدالعزيز'!$A$7:$A$642,"&lt;="&amp;G56)))</f>
        <v/>
      </c>
    </row>
    <row r="57" customFormat="false" ht="15" hidden="false" customHeight="false" outlineLevel="0" collapsed="false">
      <c r="A57" s="57"/>
      <c r="B57" s="30"/>
      <c r="C57" s="58"/>
      <c r="D57" s="59"/>
      <c r="E57" s="60" t="str">
        <f aca="false">IF(A57="","",IF(G57="","⛔ التاريخ غلط — اكتبه كامل 05/10/2026 أو اختاره من القائمة",IF(OR(H57&lt;1,H57&gt;NW),"⛔ التاريخ برّا السنة",IF(AND(N(C57)&gt;0,N(J57)&gt;0,C57&gt;ADV_CAP*J57),"⚠️ أكثر من "&amp;TEXT(ADV_CAP,"0%")&amp;" من شغله ("&amp;TEXT(J57,"0.000")&amp;")",""))))</f>
        <v/>
      </c>
      <c r="G57" s="0" t="str">
        <f aca="false">IF(A57="","",IF(ISNUMBER(A57),IF(A57&gt;=36526,A57,""),IFERROR(DATEVALUE(A57),"")))</f>
        <v/>
      </c>
      <c r="H57" s="0" t="str">
        <f aca="false">IF(G57="","",INT((G57-SAT1)/7)+1)</f>
        <v/>
      </c>
      <c r="I57" s="0" t="str">
        <f aca="false">IF(H57="","",IF(OR(H57&lt;1,H57&gt;NW),"",INDEX(WMON,H57)))</f>
        <v/>
      </c>
      <c r="J57" s="0" t="str">
        <f aca="false">IF(OR(G57="",H57="",B57=""),"",IF(B57="عمر المصري",SUMIFS('ساعات عمر'!$H$7:$H$642,'ساعات عمر'!$A$7:$A$642,"&gt;="&amp;(SAT1+7*(H57-1)),'ساعات عمر'!$A$7:$A$642,"&lt;="&amp;G57),SUMIFS('ساعات عبدالعزيز'!$F$7:$F$642,'ساعات عبدالعزيز'!$A$7:$A$642,"&gt;="&amp;(SAT1+7*(H57-1)),'ساعات عبدالعزيز'!$A$7:$A$642,"&lt;="&amp;G57)))</f>
        <v/>
      </c>
    </row>
    <row r="58" customFormat="false" ht="15" hidden="false" customHeight="false" outlineLevel="0" collapsed="false">
      <c r="A58" s="57"/>
      <c r="B58" s="30"/>
      <c r="C58" s="58"/>
      <c r="D58" s="59"/>
      <c r="E58" s="60" t="str">
        <f aca="false">IF(A58="","",IF(G58="","⛔ التاريخ غلط — اكتبه كامل 05/10/2026 أو اختاره من القائمة",IF(OR(H58&lt;1,H58&gt;NW),"⛔ التاريخ برّا السنة",IF(AND(N(C58)&gt;0,N(J58)&gt;0,C58&gt;ADV_CAP*J58),"⚠️ أكثر من "&amp;TEXT(ADV_CAP,"0%")&amp;" من شغله ("&amp;TEXT(J58,"0.000")&amp;")",""))))</f>
        <v/>
      </c>
      <c r="G58" s="0" t="str">
        <f aca="false">IF(A58="","",IF(ISNUMBER(A58),IF(A58&gt;=36526,A58,""),IFERROR(DATEVALUE(A58),"")))</f>
        <v/>
      </c>
      <c r="H58" s="0" t="str">
        <f aca="false">IF(G58="","",INT((G58-SAT1)/7)+1)</f>
        <v/>
      </c>
      <c r="I58" s="0" t="str">
        <f aca="false">IF(H58="","",IF(OR(H58&lt;1,H58&gt;NW),"",INDEX(WMON,H58)))</f>
        <v/>
      </c>
      <c r="J58" s="0" t="str">
        <f aca="false">IF(OR(G58="",H58="",B58=""),"",IF(B58="عمر المصري",SUMIFS('ساعات عمر'!$H$7:$H$642,'ساعات عمر'!$A$7:$A$642,"&gt;="&amp;(SAT1+7*(H58-1)),'ساعات عمر'!$A$7:$A$642,"&lt;="&amp;G58),SUMIFS('ساعات عبدالعزيز'!$F$7:$F$642,'ساعات عبدالعزيز'!$A$7:$A$642,"&gt;="&amp;(SAT1+7*(H58-1)),'ساعات عبدالعزيز'!$A$7:$A$642,"&lt;="&amp;G58)))</f>
        <v/>
      </c>
    </row>
    <row r="59" customFormat="false" ht="15" hidden="false" customHeight="false" outlineLevel="0" collapsed="false">
      <c r="A59" s="57"/>
      <c r="B59" s="30"/>
      <c r="C59" s="58"/>
      <c r="D59" s="59"/>
      <c r="E59" s="60" t="str">
        <f aca="false">IF(A59="","",IF(G59="","⛔ التاريخ غلط — اكتبه كامل 05/10/2026 أو اختاره من القائمة",IF(OR(H59&lt;1,H59&gt;NW),"⛔ التاريخ برّا السنة",IF(AND(N(C59)&gt;0,N(J59)&gt;0,C59&gt;ADV_CAP*J59),"⚠️ أكثر من "&amp;TEXT(ADV_CAP,"0%")&amp;" من شغله ("&amp;TEXT(J59,"0.000")&amp;")",""))))</f>
        <v/>
      </c>
      <c r="G59" s="0" t="str">
        <f aca="false">IF(A59="","",IF(ISNUMBER(A59),IF(A59&gt;=36526,A59,""),IFERROR(DATEVALUE(A59),"")))</f>
        <v/>
      </c>
      <c r="H59" s="0" t="str">
        <f aca="false">IF(G59="","",INT((G59-SAT1)/7)+1)</f>
        <v/>
      </c>
      <c r="I59" s="0" t="str">
        <f aca="false">IF(H59="","",IF(OR(H59&lt;1,H59&gt;NW),"",INDEX(WMON,H59)))</f>
        <v/>
      </c>
      <c r="J59" s="0" t="str">
        <f aca="false">IF(OR(G59="",H59="",B59=""),"",IF(B59="عمر المصري",SUMIFS('ساعات عمر'!$H$7:$H$642,'ساعات عمر'!$A$7:$A$642,"&gt;="&amp;(SAT1+7*(H59-1)),'ساعات عمر'!$A$7:$A$642,"&lt;="&amp;G59),SUMIFS('ساعات عبدالعزيز'!$F$7:$F$642,'ساعات عبدالعزيز'!$A$7:$A$642,"&gt;="&amp;(SAT1+7*(H59-1)),'ساعات عبدالعزيز'!$A$7:$A$642,"&lt;="&amp;G59)))</f>
        <v/>
      </c>
    </row>
    <row r="60" customFormat="false" ht="15" hidden="false" customHeight="false" outlineLevel="0" collapsed="false">
      <c r="A60" s="57"/>
      <c r="B60" s="30"/>
      <c r="C60" s="58"/>
      <c r="D60" s="59"/>
      <c r="E60" s="60" t="str">
        <f aca="false">IF(A60="","",IF(G60="","⛔ التاريخ غلط — اكتبه كامل 05/10/2026 أو اختاره من القائمة",IF(OR(H60&lt;1,H60&gt;NW),"⛔ التاريخ برّا السنة",IF(AND(N(C60)&gt;0,N(J60)&gt;0,C60&gt;ADV_CAP*J60),"⚠️ أكثر من "&amp;TEXT(ADV_CAP,"0%")&amp;" من شغله ("&amp;TEXT(J60,"0.000")&amp;")",""))))</f>
        <v/>
      </c>
      <c r="G60" s="0" t="str">
        <f aca="false">IF(A60="","",IF(ISNUMBER(A60),IF(A60&gt;=36526,A60,""),IFERROR(DATEVALUE(A60),"")))</f>
        <v/>
      </c>
      <c r="H60" s="0" t="str">
        <f aca="false">IF(G60="","",INT((G60-SAT1)/7)+1)</f>
        <v/>
      </c>
      <c r="I60" s="0" t="str">
        <f aca="false">IF(H60="","",IF(OR(H60&lt;1,H60&gt;NW),"",INDEX(WMON,H60)))</f>
        <v/>
      </c>
      <c r="J60" s="0" t="str">
        <f aca="false">IF(OR(G60="",H60="",B60=""),"",IF(B60="عمر المصري",SUMIFS('ساعات عمر'!$H$7:$H$642,'ساعات عمر'!$A$7:$A$642,"&gt;="&amp;(SAT1+7*(H60-1)),'ساعات عمر'!$A$7:$A$642,"&lt;="&amp;G60),SUMIFS('ساعات عبدالعزيز'!$F$7:$F$642,'ساعات عبدالعزيز'!$A$7:$A$642,"&gt;="&amp;(SAT1+7*(H60-1)),'ساعات عبدالعزيز'!$A$7:$A$642,"&lt;="&amp;G60)))</f>
        <v/>
      </c>
    </row>
    <row r="61" customFormat="false" ht="15" hidden="false" customHeight="false" outlineLevel="0" collapsed="false">
      <c r="A61" s="57"/>
      <c r="B61" s="30"/>
      <c r="C61" s="58"/>
      <c r="D61" s="59"/>
      <c r="E61" s="60" t="str">
        <f aca="false">IF(A61="","",IF(G61="","⛔ التاريخ غلط — اكتبه كامل 05/10/2026 أو اختاره من القائمة",IF(OR(H61&lt;1,H61&gt;NW),"⛔ التاريخ برّا السنة",IF(AND(N(C61)&gt;0,N(J61)&gt;0,C61&gt;ADV_CAP*J61),"⚠️ أكثر من "&amp;TEXT(ADV_CAP,"0%")&amp;" من شغله ("&amp;TEXT(J61,"0.000")&amp;")",""))))</f>
        <v/>
      </c>
      <c r="G61" s="0" t="str">
        <f aca="false">IF(A61="","",IF(ISNUMBER(A61),IF(A61&gt;=36526,A61,""),IFERROR(DATEVALUE(A61),"")))</f>
        <v/>
      </c>
      <c r="H61" s="0" t="str">
        <f aca="false">IF(G61="","",INT((G61-SAT1)/7)+1)</f>
        <v/>
      </c>
      <c r="I61" s="0" t="str">
        <f aca="false">IF(H61="","",IF(OR(H61&lt;1,H61&gt;NW),"",INDEX(WMON,H61)))</f>
        <v/>
      </c>
      <c r="J61" s="0" t="str">
        <f aca="false">IF(OR(G61="",H61="",B61=""),"",IF(B61="عمر المصري",SUMIFS('ساعات عمر'!$H$7:$H$642,'ساعات عمر'!$A$7:$A$642,"&gt;="&amp;(SAT1+7*(H61-1)),'ساعات عمر'!$A$7:$A$642,"&lt;="&amp;G61),SUMIFS('ساعات عبدالعزيز'!$F$7:$F$642,'ساعات عبدالعزيز'!$A$7:$A$642,"&gt;="&amp;(SAT1+7*(H61-1)),'ساعات عبدالعزيز'!$A$7:$A$642,"&lt;="&amp;G61)))</f>
        <v/>
      </c>
    </row>
    <row r="62" customFormat="false" ht="15" hidden="false" customHeight="false" outlineLevel="0" collapsed="false">
      <c r="A62" s="57"/>
      <c r="B62" s="30"/>
      <c r="C62" s="58"/>
      <c r="D62" s="59"/>
      <c r="E62" s="60" t="str">
        <f aca="false">IF(A62="","",IF(G62="","⛔ التاريخ غلط — اكتبه كامل 05/10/2026 أو اختاره من القائمة",IF(OR(H62&lt;1,H62&gt;NW),"⛔ التاريخ برّا السنة",IF(AND(N(C62)&gt;0,N(J62)&gt;0,C62&gt;ADV_CAP*J62),"⚠️ أكثر من "&amp;TEXT(ADV_CAP,"0%")&amp;" من شغله ("&amp;TEXT(J62,"0.000")&amp;")",""))))</f>
        <v/>
      </c>
      <c r="G62" s="0" t="str">
        <f aca="false">IF(A62="","",IF(ISNUMBER(A62),IF(A62&gt;=36526,A62,""),IFERROR(DATEVALUE(A62),"")))</f>
        <v/>
      </c>
      <c r="H62" s="0" t="str">
        <f aca="false">IF(G62="","",INT((G62-SAT1)/7)+1)</f>
        <v/>
      </c>
      <c r="I62" s="0" t="str">
        <f aca="false">IF(H62="","",IF(OR(H62&lt;1,H62&gt;NW),"",INDEX(WMON,H62)))</f>
        <v/>
      </c>
      <c r="J62" s="0" t="str">
        <f aca="false">IF(OR(G62="",H62="",B62=""),"",IF(B62="عمر المصري",SUMIFS('ساعات عمر'!$H$7:$H$642,'ساعات عمر'!$A$7:$A$642,"&gt;="&amp;(SAT1+7*(H62-1)),'ساعات عمر'!$A$7:$A$642,"&lt;="&amp;G62),SUMIFS('ساعات عبدالعزيز'!$F$7:$F$642,'ساعات عبدالعزيز'!$A$7:$A$642,"&gt;="&amp;(SAT1+7*(H62-1)),'ساعات عبدالعزيز'!$A$7:$A$642,"&lt;="&amp;G62)))</f>
        <v/>
      </c>
    </row>
    <row r="63" customFormat="false" ht="15" hidden="false" customHeight="false" outlineLevel="0" collapsed="false">
      <c r="A63" s="57"/>
      <c r="B63" s="30"/>
      <c r="C63" s="58"/>
      <c r="D63" s="59"/>
      <c r="E63" s="60" t="str">
        <f aca="false">IF(A63="","",IF(G63="","⛔ التاريخ غلط — اكتبه كامل 05/10/2026 أو اختاره من القائمة",IF(OR(H63&lt;1,H63&gt;NW),"⛔ التاريخ برّا السنة",IF(AND(N(C63)&gt;0,N(J63)&gt;0,C63&gt;ADV_CAP*J63),"⚠️ أكثر من "&amp;TEXT(ADV_CAP,"0%")&amp;" من شغله ("&amp;TEXT(J63,"0.000")&amp;")",""))))</f>
        <v/>
      </c>
      <c r="G63" s="0" t="str">
        <f aca="false">IF(A63="","",IF(ISNUMBER(A63),IF(A63&gt;=36526,A63,""),IFERROR(DATEVALUE(A63),"")))</f>
        <v/>
      </c>
      <c r="H63" s="0" t="str">
        <f aca="false">IF(G63="","",INT((G63-SAT1)/7)+1)</f>
        <v/>
      </c>
      <c r="I63" s="0" t="str">
        <f aca="false">IF(H63="","",IF(OR(H63&lt;1,H63&gt;NW),"",INDEX(WMON,H63)))</f>
        <v/>
      </c>
      <c r="J63" s="0" t="str">
        <f aca="false">IF(OR(G63="",H63="",B63=""),"",IF(B63="عمر المصري",SUMIFS('ساعات عمر'!$H$7:$H$642,'ساعات عمر'!$A$7:$A$642,"&gt;="&amp;(SAT1+7*(H63-1)),'ساعات عمر'!$A$7:$A$642,"&lt;="&amp;G63),SUMIFS('ساعات عبدالعزيز'!$F$7:$F$642,'ساعات عبدالعزيز'!$A$7:$A$642,"&gt;="&amp;(SAT1+7*(H63-1)),'ساعات عبدالعزيز'!$A$7:$A$642,"&lt;="&amp;G63)))</f>
        <v/>
      </c>
    </row>
    <row r="64" customFormat="false" ht="15" hidden="false" customHeight="false" outlineLevel="0" collapsed="false">
      <c r="A64" s="57"/>
      <c r="B64" s="30"/>
      <c r="C64" s="58"/>
      <c r="D64" s="59"/>
      <c r="E64" s="60" t="str">
        <f aca="false">IF(A64="","",IF(G64="","⛔ التاريخ غلط — اكتبه كامل 05/10/2026 أو اختاره من القائمة",IF(OR(H64&lt;1,H64&gt;NW),"⛔ التاريخ برّا السنة",IF(AND(N(C64)&gt;0,N(J64)&gt;0,C64&gt;ADV_CAP*J64),"⚠️ أكثر من "&amp;TEXT(ADV_CAP,"0%")&amp;" من شغله ("&amp;TEXT(J64,"0.000")&amp;")",""))))</f>
        <v/>
      </c>
      <c r="G64" s="0" t="str">
        <f aca="false">IF(A64="","",IF(ISNUMBER(A64),IF(A64&gt;=36526,A64,""),IFERROR(DATEVALUE(A64),"")))</f>
        <v/>
      </c>
      <c r="H64" s="0" t="str">
        <f aca="false">IF(G64="","",INT((G64-SAT1)/7)+1)</f>
        <v/>
      </c>
      <c r="I64" s="0" t="str">
        <f aca="false">IF(H64="","",IF(OR(H64&lt;1,H64&gt;NW),"",INDEX(WMON,H64)))</f>
        <v/>
      </c>
      <c r="J64" s="0" t="str">
        <f aca="false">IF(OR(G64="",H64="",B64=""),"",IF(B64="عمر المصري",SUMIFS('ساعات عمر'!$H$7:$H$642,'ساعات عمر'!$A$7:$A$642,"&gt;="&amp;(SAT1+7*(H64-1)),'ساعات عمر'!$A$7:$A$642,"&lt;="&amp;G64),SUMIFS('ساعات عبدالعزيز'!$F$7:$F$642,'ساعات عبدالعزيز'!$A$7:$A$642,"&gt;="&amp;(SAT1+7*(H64-1)),'ساعات عبدالعزيز'!$A$7:$A$642,"&lt;="&amp;G64)))</f>
        <v/>
      </c>
    </row>
    <row r="65" customFormat="false" ht="15" hidden="false" customHeight="false" outlineLevel="0" collapsed="false">
      <c r="A65" s="57"/>
      <c r="B65" s="30"/>
      <c r="C65" s="58"/>
      <c r="D65" s="59"/>
      <c r="E65" s="60" t="str">
        <f aca="false">IF(A65="","",IF(G65="","⛔ التاريخ غلط — اكتبه كامل 05/10/2026 أو اختاره من القائمة",IF(OR(H65&lt;1,H65&gt;NW),"⛔ التاريخ برّا السنة",IF(AND(N(C65)&gt;0,N(J65)&gt;0,C65&gt;ADV_CAP*J65),"⚠️ أكثر من "&amp;TEXT(ADV_CAP,"0%")&amp;" من شغله ("&amp;TEXT(J65,"0.000")&amp;")",""))))</f>
        <v/>
      </c>
      <c r="G65" s="0" t="str">
        <f aca="false">IF(A65="","",IF(ISNUMBER(A65),IF(A65&gt;=36526,A65,""),IFERROR(DATEVALUE(A65),"")))</f>
        <v/>
      </c>
      <c r="H65" s="0" t="str">
        <f aca="false">IF(G65="","",INT((G65-SAT1)/7)+1)</f>
        <v/>
      </c>
      <c r="I65" s="0" t="str">
        <f aca="false">IF(H65="","",IF(OR(H65&lt;1,H65&gt;NW),"",INDEX(WMON,H65)))</f>
        <v/>
      </c>
      <c r="J65" s="0" t="str">
        <f aca="false">IF(OR(G65="",H65="",B65=""),"",IF(B65="عمر المصري",SUMIFS('ساعات عمر'!$H$7:$H$642,'ساعات عمر'!$A$7:$A$642,"&gt;="&amp;(SAT1+7*(H65-1)),'ساعات عمر'!$A$7:$A$642,"&lt;="&amp;G65),SUMIFS('ساعات عبدالعزيز'!$F$7:$F$642,'ساعات عبدالعزيز'!$A$7:$A$642,"&gt;="&amp;(SAT1+7*(H65-1)),'ساعات عبدالعزيز'!$A$7:$A$642,"&lt;="&amp;G65)))</f>
        <v/>
      </c>
    </row>
    <row r="66" customFormat="false" ht="15" hidden="false" customHeight="false" outlineLevel="0" collapsed="false">
      <c r="A66" s="57"/>
      <c r="B66" s="30"/>
      <c r="C66" s="58"/>
      <c r="D66" s="59"/>
      <c r="E66" s="60" t="str">
        <f aca="false">IF(A66="","",IF(G66="","⛔ التاريخ غلط — اكتبه كامل 05/10/2026 أو اختاره من القائمة",IF(OR(H66&lt;1,H66&gt;NW),"⛔ التاريخ برّا السنة",IF(AND(N(C66)&gt;0,N(J66)&gt;0,C66&gt;ADV_CAP*J66),"⚠️ أكثر من "&amp;TEXT(ADV_CAP,"0%")&amp;" من شغله ("&amp;TEXT(J66,"0.000")&amp;")",""))))</f>
        <v/>
      </c>
      <c r="G66" s="0" t="str">
        <f aca="false">IF(A66="","",IF(ISNUMBER(A66),IF(A66&gt;=36526,A66,""),IFERROR(DATEVALUE(A66),"")))</f>
        <v/>
      </c>
      <c r="H66" s="0" t="str">
        <f aca="false">IF(G66="","",INT((G66-SAT1)/7)+1)</f>
        <v/>
      </c>
      <c r="I66" s="0" t="str">
        <f aca="false">IF(H66="","",IF(OR(H66&lt;1,H66&gt;NW),"",INDEX(WMON,H66)))</f>
        <v/>
      </c>
      <c r="J66" s="0" t="str">
        <f aca="false">IF(OR(G66="",H66="",B66=""),"",IF(B66="عمر المصري",SUMIFS('ساعات عمر'!$H$7:$H$642,'ساعات عمر'!$A$7:$A$642,"&gt;="&amp;(SAT1+7*(H66-1)),'ساعات عمر'!$A$7:$A$642,"&lt;="&amp;G66),SUMIFS('ساعات عبدالعزيز'!$F$7:$F$642,'ساعات عبدالعزيز'!$A$7:$A$642,"&gt;="&amp;(SAT1+7*(H66-1)),'ساعات عبدالعزيز'!$A$7:$A$642,"&lt;="&amp;G66)))</f>
        <v/>
      </c>
    </row>
    <row r="67" customFormat="false" ht="15" hidden="false" customHeight="false" outlineLevel="0" collapsed="false">
      <c r="A67" s="57"/>
      <c r="B67" s="30"/>
      <c r="C67" s="58"/>
      <c r="D67" s="59"/>
      <c r="E67" s="60" t="str">
        <f aca="false">IF(A67="","",IF(G67="","⛔ التاريخ غلط — اكتبه كامل 05/10/2026 أو اختاره من القائمة",IF(OR(H67&lt;1,H67&gt;NW),"⛔ التاريخ برّا السنة",IF(AND(N(C67)&gt;0,N(J67)&gt;0,C67&gt;ADV_CAP*J67),"⚠️ أكثر من "&amp;TEXT(ADV_CAP,"0%")&amp;" من شغله ("&amp;TEXT(J67,"0.000")&amp;")",""))))</f>
        <v/>
      </c>
      <c r="G67" s="0" t="str">
        <f aca="false">IF(A67="","",IF(ISNUMBER(A67),IF(A67&gt;=36526,A67,""),IFERROR(DATEVALUE(A67),"")))</f>
        <v/>
      </c>
      <c r="H67" s="0" t="str">
        <f aca="false">IF(G67="","",INT((G67-SAT1)/7)+1)</f>
        <v/>
      </c>
      <c r="I67" s="0" t="str">
        <f aca="false">IF(H67="","",IF(OR(H67&lt;1,H67&gt;NW),"",INDEX(WMON,H67)))</f>
        <v/>
      </c>
      <c r="J67" s="0" t="str">
        <f aca="false">IF(OR(G67="",H67="",B67=""),"",IF(B67="عمر المصري",SUMIFS('ساعات عمر'!$H$7:$H$642,'ساعات عمر'!$A$7:$A$642,"&gt;="&amp;(SAT1+7*(H67-1)),'ساعات عمر'!$A$7:$A$642,"&lt;="&amp;G67),SUMIFS('ساعات عبدالعزيز'!$F$7:$F$642,'ساعات عبدالعزيز'!$A$7:$A$642,"&gt;="&amp;(SAT1+7*(H67-1)),'ساعات عبدالعزيز'!$A$7:$A$642,"&lt;="&amp;G67)))</f>
        <v/>
      </c>
    </row>
    <row r="68" customFormat="false" ht="15" hidden="false" customHeight="false" outlineLevel="0" collapsed="false">
      <c r="A68" s="57"/>
      <c r="B68" s="30"/>
      <c r="C68" s="58"/>
      <c r="D68" s="59"/>
      <c r="E68" s="60" t="str">
        <f aca="false">IF(A68="","",IF(G68="","⛔ التاريخ غلط — اكتبه كامل 05/10/2026 أو اختاره من القائمة",IF(OR(H68&lt;1,H68&gt;NW),"⛔ التاريخ برّا السنة",IF(AND(N(C68)&gt;0,N(J68)&gt;0,C68&gt;ADV_CAP*J68),"⚠️ أكثر من "&amp;TEXT(ADV_CAP,"0%")&amp;" من شغله ("&amp;TEXT(J68,"0.000")&amp;")",""))))</f>
        <v/>
      </c>
      <c r="G68" s="0" t="str">
        <f aca="false">IF(A68="","",IF(ISNUMBER(A68),IF(A68&gt;=36526,A68,""),IFERROR(DATEVALUE(A68),"")))</f>
        <v/>
      </c>
      <c r="H68" s="0" t="str">
        <f aca="false">IF(G68="","",INT((G68-SAT1)/7)+1)</f>
        <v/>
      </c>
      <c r="I68" s="0" t="str">
        <f aca="false">IF(H68="","",IF(OR(H68&lt;1,H68&gt;NW),"",INDEX(WMON,H68)))</f>
        <v/>
      </c>
      <c r="J68" s="0" t="str">
        <f aca="false">IF(OR(G68="",H68="",B68=""),"",IF(B68="عمر المصري",SUMIFS('ساعات عمر'!$H$7:$H$642,'ساعات عمر'!$A$7:$A$642,"&gt;="&amp;(SAT1+7*(H68-1)),'ساعات عمر'!$A$7:$A$642,"&lt;="&amp;G68),SUMIFS('ساعات عبدالعزيز'!$F$7:$F$642,'ساعات عبدالعزيز'!$A$7:$A$642,"&gt;="&amp;(SAT1+7*(H68-1)),'ساعات عبدالعزيز'!$A$7:$A$642,"&lt;="&amp;G68)))</f>
        <v/>
      </c>
    </row>
    <row r="69" customFormat="false" ht="15" hidden="false" customHeight="false" outlineLevel="0" collapsed="false">
      <c r="A69" s="57"/>
      <c r="B69" s="30"/>
      <c r="C69" s="58"/>
      <c r="D69" s="59"/>
      <c r="E69" s="60" t="str">
        <f aca="false">IF(A69="","",IF(G69="","⛔ التاريخ غلط — اكتبه كامل 05/10/2026 أو اختاره من القائمة",IF(OR(H69&lt;1,H69&gt;NW),"⛔ التاريخ برّا السنة",IF(AND(N(C69)&gt;0,N(J69)&gt;0,C69&gt;ADV_CAP*J69),"⚠️ أكثر من "&amp;TEXT(ADV_CAP,"0%")&amp;" من شغله ("&amp;TEXT(J69,"0.000")&amp;")",""))))</f>
        <v/>
      </c>
      <c r="G69" s="0" t="str">
        <f aca="false">IF(A69="","",IF(ISNUMBER(A69),IF(A69&gt;=36526,A69,""),IFERROR(DATEVALUE(A69),"")))</f>
        <v/>
      </c>
      <c r="H69" s="0" t="str">
        <f aca="false">IF(G69="","",INT((G69-SAT1)/7)+1)</f>
        <v/>
      </c>
      <c r="I69" s="0" t="str">
        <f aca="false">IF(H69="","",IF(OR(H69&lt;1,H69&gt;NW),"",INDEX(WMON,H69)))</f>
        <v/>
      </c>
      <c r="J69" s="0" t="str">
        <f aca="false">IF(OR(G69="",H69="",B69=""),"",IF(B69="عمر المصري",SUMIFS('ساعات عمر'!$H$7:$H$642,'ساعات عمر'!$A$7:$A$642,"&gt;="&amp;(SAT1+7*(H69-1)),'ساعات عمر'!$A$7:$A$642,"&lt;="&amp;G69),SUMIFS('ساعات عبدالعزيز'!$F$7:$F$642,'ساعات عبدالعزيز'!$A$7:$A$642,"&gt;="&amp;(SAT1+7*(H69-1)),'ساعات عبدالعزيز'!$A$7:$A$642,"&lt;="&amp;G69)))</f>
        <v/>
      </c>
    </row>
    <row r="70" customFormat="false" ht="15" hidden="false" customHeight="false" outlineLevel="0" collapsed="false">
      <c r="A70" s="57"/>
      <c r="B70" s="30"/>
      <c r="C70" s="58"/>
      <c r="D70" s="59"/>
      <c r="E70" s="60" t="str">
        <f aca="false">IF(A70="","",IF(G70="","⛔ التاريخ غلط — اكتبه كامل 05/10/2026 أو اختاره من القائمة",IF(OR(H70&lt;1,H70&gt;NW),"⛔ التاريخ برّا السنة",IF(AND(N(C70)&gt;0,N(J70)&gt;0,C70&gt;ADV_CAP*J70),"⚠️ أكثر من "&amp;TEXT(ADV_CAP,"0%")&amp;" من شغله ("&amp;TEXT(J70,"0.000")&amp;")",""))))</f>
        <v/>
      </c>
      <c r="G70" s="0" t="str">
        <f aca="false">IF(A70="","",IF(ISNUMBER(A70),IF(A70&gt;=36526,A70,""),IFERROR(DATEVALUE(A70),"")))</f>
        <v/>
      </c>
      <c r="H70" s="0" t="str">
        <f aca="false">IF(G70="","",INT((G70-SAT1)/7)+1)</f>
        <v/>
      </c>
      <c r="I70" s="0" t="str">
        <f aca="false">IF(H70="","",IF(OR(H70&lt;1,H70&gt;NW),"",INDEX(WMON,H70)))</f>
        <v/>
      </c>
      <c r="J70" s="0" t="str">
        <f aca="false">IF(OR(G70="",H70="",B70=""),"",IF(B70="عمر المصري",SUMIFS('ساعات عمر'!$H$7:$H$642,'ساعات عمر'!$A$7:$A$642,"&gt;="&amp;(SAT1+7*(H70-1)),'ساعات عمر'!$A$7:$A$642,"&lt;="&amp;G70),SUMIFS('ساعات عبدالعزيز'!$F$7:$F$642,'ساعات عبدالعزيز'!$A$7:$A$642,"&gt;="&amp;(SAT1+7*(H70-1)),'ساعات عبدالعزيز'!$A$7:$A$642,"&lt;="&amp;G70)))</f>
        <v/>
      </c>
    </row>
    <row r="71" customFormat="false" ht="15" hidden="false" customHeight="false" outlineLevel="0" collapsed="false">
      <c r="A71" s="57"/>
      <c r="B71" s="30"/>
      <c r="C71" s="58"/>
      <c r="D71" s="59"/>
      <c r="E71" s="60" t="str">
        <f aca="false">IF(A71="","",IF(G71="","⛔ التاريخ غلط — اكتبه كامل 05/10/2026 أو اختاره من القائمة",IF(OR(H71&lt;1,H71&gt;NW),"⛔ التاريخ برّا السنة",IF(AND(N(C71)&gt;0,N(J71)&gt;0,C71&gt;ADV_CAP*J71),"⚠️ أكثر من "&amp;TEXT(ADV_CAP,"0%")&amp;" من شغله ("&amp;TEXT(J71,"0.000")&amp;")",""))))</f>
        <v/>
      </c>
      <c r="G71" s="0" t="str">
        <f aca="false">IF(A71="","",IF(ISNUMBER(A71),IF(A71&gt;=36526,A71,""),IFERROR(DATEVALUE(A71),"")))</f>
        <v/>
      </c>
      <c r="H71" s="0" t="str">
        <f aca="false">IF(G71="","",INT((G71-SAT1)/7)+1)</f>
        <v/>
      </c>
      <c r="I71" s="0" t="str">
        <f aca="false">IF(H71="","",IF(OR(H71&lt;1,H71&gt;NW),"",INDEX(WMON,H71)))</f>
        <v/>
      </c>
      <c r="J71" s="0" t="str">
        <f aca="false">IF(OR(G71="",H71="",B71=""),"",IF(B71="عمر المصري",SUMIFS('ساعات عمر'!$H$7:$H$642,'ساعات عمر'!$A$7:$A$642,"&gt;="&amp;(SAT1+7*(H71-1)),'ساعات عمر'!$A$7:$A$642,"&lt;="&amp;G71),SUMIFS('ساعات عبدالعزيز'!$F$7:$F$642,'ساعات عبدالعزيز'!$A$7:$A$642,"&gt;="&amp;(SAT1+7*(H71-1)),'ساعات عبدالعزيز'!$A$7:$A$642,"&lt;="&amp;G71)))</f>
        <v/>
      </c>
    </row>
    <row r="72" customFormat="false" ht="15" hidden="false" customHeight="false" outlineLevel="0" collapsed="false">
      <c r="A72" s="57"/>
      <c r="B72" s="30"/>
      <c r="C72" s="58"/>
      <c r="D72" s="59"/>
      <c r="E72" s="60" t="str">
        <f aca="false">IF(A72="","",IF(G72="","⛔ التاريخ غلط — اكتبه كامل 05/10/2026 أو اختاره من القائمة",IF(OR(H72&lt;1,H72&gt;NW),"⛔ التاريخ برّا السنة",IF(AND(N(C72)&gt;0,N(J72)&gt;0,C72&gt;ADV_CAP*J72),"⚠️ أكثر من "&amp;TEXT(ADV_CAP,"0%")&amp;" من شغله ("&amp;TEXT(J72,"0.000")&amp;")",""))))</f>
        <v/>
      </c>
      <c r="G72" s="0" t="str">
        <f aca="false">IF(A72="","",IF(ISNUMBER(A72),IF(A72&gt;=36526,A72,""),IFERROR(DATEVALUE(A72),"")))</f>
        <v/>
      </c>
      <c r="H72" s="0" t="str">
        <f aca="false">IF(G72="","",INT((G72-SAT1)/7)+1)</f>
        <v/>
      </c>
      <c r="I72" s="0" t="str">
        <f aca="false">IF(H72="","",IF(OR(H72&lt;1,H72&gt;NW),"",INDEX(WMON,H72)))</f>
        <v/>
      </c>
      <c r="J72" s="0" t="str">
        <f aca="false">IF(OR(G72="",H72="",B72=""),"",IF(B72="عمر المصري",SUMIFS('ساعات عمر'!$H$7:$H$642,'ساعات عمر'!$A$7:$A$642,"&gt;="&amp;(SAT1+7*(H72-1)),'ساعات عمر'!$A$7:$A$642,"&lt;="&amp;G72),SUMIFS('ساعات عبدالعزيز'!$F$7:$F$642,'ساعات عبدالعزيز'!$A$7:$A$642,"&gt;="&amp;(SAT1+7*(H72-1)),'ساعات عبدالعزيز'!$A$7:$A$642,"&lt;="&amp;G72)))</f>
        <v/>
      </c>
    </row>
    <row r="73" customFormat="false" ht="15" hidden="false" customHeight="false" outlineLevel="0" collapsed="false">
      <c r="A73" s="57"/>
      <c r="B73" s="30"/>
      <c r="C73" s="58"/>
      <c r="D73" s="59"/>
      <c r="E73" s="60" t="str">
        <f aca="false">IF(A73="","",IF(G73="","⛔ التاريخ غلط — اكتبه كامل 05/10/2026 أو اختاره من القائمة",IF(OR(H73&lt;1,H73&gt;NW),"⛔ التاريخ برّا السنة",IF(AND(N(C73)&gt;0,N(J73)&gt;0,C73&gt;ADV_CAP*J73),"⚠️ أكثر من "&amp;TEXT(ADV_CAP,"0%")&amp;" من شغله ("&amp;TEXT(J73,"0.000")&amp;")",""))))</f>
        <v/>
      </c>
      <c r="G73" s="0" t="str">
        <f aca="false">IF(A73="","",IF(ISNUMBER(A73),IF(A73&gt;=36526,A73,""),IFERROR(DATEVALUE(A73),"")))</f>
        <v/>
      </c>
      <c r="H73" s="0" t="str">
        <f aca="false">IF(G73="","",INT((G73-SAT1)/7)+1)</f>
        <v/>
      </c>
      <c r="I73" s="0" t="str">
        <f aca="false">IF(H73="","",IF(OR(H73&lt;1,H73&gt;NW),"",INDEX(WMON,H73)))</f>
        <v/>
      </c>
      <c r="J73" s="0" t="str">
        <f aca="false">IF(OR(G73="",H73="",B73=""),"",IF(B73="عمر المصري",SUMIFS('ساعات عمر'!$H$7:$H$642,'ساعات عمر'!$A$7:$A$642,"&gt;="&amp;(SAT1+7*(H73-1)),'ساعات عمر'!$A$7:$A$642,"&lt;="&amp;G73),SUMIFS('ساعات عبدالعزيز'!$F$7:$F$642,'ساعات عبدالعزيز'!$A$7:$A$642,"&gt;="&amp;(SAT1+7*(H73-1)),'ساعات عبدالعزيز'!$A$7:$A$642,"&lt;="&amp;G73)))</f>
        <v/>
      </c>
    </row>
    <row r="74" customFormat="false" ht="15" hidden="false" customHeight="false" outlineLevel="0" collapsed="false">
      <c r="A74" s="57"/>
      <c r="B74" s="30"/>
      <c r="C74" s="58"/>
      <c r="D74" s="59"/>
      <c r="E74" s="60" t="str">
        <f aca="false">IF(A74="","",IF(G74="","⛔ التاريخ غلط — اكتبه كامل 05/10/2026 أو اختاره من القائمة",IF(OR(H74&lt;1,H74&gt;NW),"⛔ التاريخ برّا السنة",IF(AND(N(C74)&gt;0,N(J74)&gt;0,C74&gt;ADV_CAP*J74),"⚠️ أكثر من "&amp;TEXT(ADV_CAP,"0%")&amp;" من شغله ("&amp;TEXT(J74,"0.000")&amp;")",""))))</f>
        <v/>
      </c>
      <c r="G74" s="0" t="str">
        <f aca="false">IF(A74="","",IF(ISNUMBER(A74),IF(A74&gt;=36526,A74,""),IFERROR(DATEVALUE(A74),"")))</f>
        <v/>
      </c>
      <c r="H74" s="0" t="str">
        <f aca="false">IF(G74="","",INT((G74-SAT1)/7)+1)</f>
        <v/>
      </c>
      <c r="I74" s="0" t="str">
        <f aca="false">IF(H74="","",IF(OR(H74&lt;1,H74&gt;NW),"",INDEX(WMON,H74)))</f>
        <v/>
      </c>
      <c r="J74" s="0" t="str">
        <f aca="false">IF(OR(G74="",H74="",B74=""),"",IF(B74="عمر المصري",SUMIFS('ساعات عمر'!$H$7:$H$642,'ساعات عمر'!$A$7:$A$642,"&gt;="&amp;(SAT1+7*(H74-1)),'ساعات عمر'!$A$7:$A$642,"&lt;="&amp;G74),SUMIFS('ساعات عبدالعزيز'!$F$7:$F$642,'ساعات عبدالعزيز'!$A$7:$A$642,"&gt;="&amp;(SAT1+7*(H74-1)),'ساعات عبدالعزيز'!$A$7:$A$642,"&lt;="&amp;G74)))</f>
        <v/>
      </c>
    </row>
    <row r="75" customFormat="false" ht="15" hidden="false" customHeight="false" outlineLevel="0" collapsed="false">
      <c r="A75" s="57"/>
      <c r="B75" s="30"/>
      <c r="C75" s="58"/>
      <c r="D75" s="59"/>
      <c r="E75" s="60" t="str">
        <f aca="false">IF(A75="","",IF(G75="","⛔ التاريخ غلط — اكتبه كامل 05/10/2026 أو اختاره من القائمة",IF(OR(H75&lt;1,H75&gt;NW),"⛔ التاريخ برّا السنة",IF(AND(N(C75)&gt;0,N(J75)&gt;0,C75&gt;ADV_CAP*J75),"⚠️ أكثر من "&amp;TEXT(ADV_CAP,"0%")&amp;" من شغله ("&amp;TEXT(J75,"0.000")&amp;")",""))))</f>
        <v/>
      </c>
      <c r="G75" s="0" t="str">
        <f aca="false">IF(A75="","",IF(ISNUMBER(A75),IF(A75&gt;=36526,A75,""),IFERROR(DATEVALUE(A75),"")))</f>
        <v/>
      </c>
      <c r="H75" s="0" t="str">
        <f aca="false">IF(G75="","",INT((G75-SAT1)/7)+1)</f>
        <v/>
      </c>
      <c r="I75" s="0" t="str">
        <f aca="false">IF(H75="","",IF(OR(H75&lt;1,H75&gt;NW),"",INDEX(WMON,H75)))</f>
        <v/>
      </c>
      <c r="J75" s="0" t="str">
        <f aca="false">IF(OR(G75="",H75="",B75=""),"",IF(B75="عمر المصري",SUMIFS('ساعات عمر'!$H$7:$H$642,'ساعات عمر'!$A$7:$A$642,"&gt;="&amp;(SAT1+7*(H75-1)),'ساعات عمر'!$A$7:$A$642,"&lt;="&amp;G75),SUMIFS('ساعات عبدالعزيز'!$F$7:$F$642,'ساعات عبدالعزيز'!$A$7:$A$642,"&gt;="&amp;(SAT1+7*(H75-1)),'ساعات عبدالعزيز'!$A$7:$A$642,"&lt;="&amp;G75)))</f>
        <v/>
      </c>
    </row>
    <row r="76" customFormat="false" ht="15" hidden="false" customHeight="false" outlineLevel="0" collapsed="false">
      <c r="A76" s="57"/>
      <c r="B76" s="30"/>
      <c r="C76" s="58"/>
      <c r="D76" s="59"/>
      <c r="E76" s="60" t="str">
        <f aca="false">IF(A76="","",IF(G76="","⛔ التاريخ غلط — اكتبه كامل 05/10/2026 أو اختاره من القائمة",IF(OR(H76&lt;1,H76&gt;NW),"⛔ التاريخ برّا السنة",IF(AND(N(C76)&gt;0,N(J76)&gt;0,C76&gt;ADV_CAP*J76),"⚠️ أكثر من "&amp;TEXT(ADV_CAP,"0%")&amp;" من شغله ("&amp;TEXT(J76,"0.000")&amp;")",""))))</f>
        <v/>
      </c>
      <c r="G76" s="0" t="str">
        <f aca="false">IF(A76="","",IF(ISNUMBER(A76),IF(A76&gt;=36526,A76,""),IFERROR(DATEVALUE(A76),"")))</f>
        <v/>
      </c>
      <c r="H76" s="0" t="str">
        <f aca="false">IF(G76="","",INT((G76-SAT1)/7)+1)</f>
        <v/>
      </c>
      <c r="I76" s="0" t="str">
        <f aca="false">IF(H76="","",IF(OR(H76&lt;1,H76&gt;NW),"",INDEX(WMON,H76)))</f>
        <v/>
      </c>
      <c r="J76" s="0" t="str">
        <f aca="false">IF(OR(G76="",H76="",B76=""),"",IF(B76="عمر المصري",SUMIFS('ساعات عمر'!$H$7:$H$642,'ساعات عمر'!$A$7:$A$642,"&gt;="&amp;(SAT1+7*(H76-1)),'ساعات عمر'!$A$7:$A$642,"&lt;="&amp;G76),SUMIFS('ساعات عبدالعزيز'!$F$7:$F$642,'ساعات عبدالعزيز'!$A$7:$A$642,"&gt;="&amp;(SAT1+7*(H76-1)),'ساعات عبدالعزيز'!$A$7:$A$642,"&lt;="&amp;G76)))</f>
        <v/>
      </c>
    </row>
    <row r="77" customFormat="false" ht="15" hidden="false" customHeight="false" outlineLevel="0" collapsed="false">
      <c r="A77" s="57"/>
      <c r="B77" s="30"/>
      <c r="C77" s="58"/>
      <c r="D77" s="59"/>
      <c r="E77" s="60" t="str">
        <f aca="false">IF(A77="","",IF(G77="","⛔ التاريخ غلط — اكتبه كامل 05/10/2026 أو اختاره من القائمة",IF(OR(H77&lt;1,H77&gt;NW),"⛔ التاريخ برّا السنة",IF(AND(N(C77)&gt;0,N(J77)&gt;0,C77&gt;ADV_CAP*J77),"⚠️ أكثر من "&amp;TEXT(ADV_CAP,"0%")&amp;" من شغله ("&amp;TEXT(J77,"0.000")&amp;")",""))))</f>
        <v/>
      </c>
      <c r="G77" s="0" t="str">
        <f aca="false">IF(A77="","",IF(ISNUMBER(A77),IF(A77&gt;=36526,A77,""),IFERROR(DATEVALUE(A77),"")))</f>
        <v/>
      </c>
      <c r="H77" s="0" t="str">
        <f aca="false">IF(G77="","",INT((G77-SAT1)/7)+1)</f>
        <v/>
      </c>
      <c r="I77" s="0" t="str">
        <f aca="false">IF(H77="","",IF(OR(H77&lt;1,H77&gt;NW),"",INDEX(WMON,H77)))</f>
        <v/>
      </c>
      <c r="J77" s="0" t="str">
        <f aca="false">IF(OR(G77="",H77="",B77=""),"",IF(B77="عمر المصري",SUMIFS('ساعات عمر'!$H$7:$H$642,'ساعات عمر'!$A$7:$A$642,"&gt;="&amp;(SAT1+7*(H77-1)),'ساعات عمر'!$A$7:$A$642,"&lt;="&amp;G77),SUMIFS('ساعات عبدالعزيز'!$F$7:$F$642,'ساعات عبدالعزيز'!$A$7:$A$642,"&gt;="&amp;(SAT1+7*(H77-1)),'ساعات عبدالعزيز'!$A$7:$A$642,"&lt;="&amp;G77)))</f>
        <v/>
      </c>
    </row>
    <row r="78" customFormat="false" ht="15" hidden="false" customHeight="false" outlineLevel="0" collapsed="false">
      <c r="A78" s="57"/>
      <c r="B78" s="30"/>
      <c r="C78" s="58"/>
      <c r="D78" s="59"/>
      <c r="E78" s="60" t="str">
        <f aca="false">IF(A78="","",IF(G78="","⛔ التاريخ غلط — اكتبه كامل 05/10/2026 أو اختاره من القائمة",IF(OR(H78&lt;1,H78&gt;NW),"⛔ التاريخ برّا السنة",IF(AND(N(C78)&gt;0,N(J78)&gt;0,C78&gt;ADV_CAP*J78),"⚠️ أكثر من "&amp;TEXT(ADV_CAP,"0%")&amp;" من شغله ("&amp;TEXT(J78,"0.000")&amp;")",""))))</f>
        <v/>
      </c>
      <c r="G78" s="0" t="str">
        <f aca="false">IF(A78="","",IF(ISNUMBER(A78),IF(A78&gt;=36526,A78,""),IFERROR(DATEVALUE(A78),"")))</f>
        <v/>
      </c>
      <c r="H78" s="0" t="str">
        <f aca="false">IF(G78="","",INT((G78-SAT1)/7)+1)</f>
        <v/>
      </c>
      <c r="I78" s="0" t="str">
        <f aca="false">IF(H78="","",IF(OR(H78&lt;1,H78&gt;NW),"",INDEX(WMON,H78)))</f>
        <v/>
      </c>
      <c r="J78" s="0" t="str">
        <f aca="false">IF(OR(G78="",H78="",B78=""),"",IF(B78="عمر المصري",SUMIFS('ساعات عمر'!$H$7:$H$642,'ساعات عمر'!$A$7:$A$642,"&gt;="&amp;(SAT1+7*(H78-1)),'ساعات عمر'!$A$7:$A$642,"&lt;="&amp;G78),SUMIFS('ساعات عبدالعزيز'!$F$7:$F$642,'ساعات عبدالعزيز'!$A$7:$A$642,"&gt;="&amp;(SAT1+7*(H78-1)),'ساعات عبدالعزيز'!$A$7:$A$642,"&lt;="&amp;G78)))</f>
        <v/>
      </c>
    </row>
    <row r="79" customFormat="false" ht="15" hidden="false" customHeight="false" outlineLevel="0" collapsed="false">
      <c r="A79" s="57"/>
      <c r="B79" s="30"/>
      <c r="C79" s="58"/>
      <c r="D79" s="59"/>
      <c r="E79" s="60" t="str">
        <f aca="false">IF(A79="","",IF(G79="","⛔ التاريخ غلط — اكتبه كامل 05/10/2026 أو اختاره من القائمة",IF(OR(H79&lt;1,H79&gt;NW),"⛔ التاريخ برّا السنة",IF(AND(N(C79)&gt;0,N(J79)&gt;0,C79&gt;ADV_CAP*J79),"⚠️ أكثر من "&amp;TEXT(ADV_CAP,"0%")&amp;" من شغله ("&amp;TEXT(J79,"0.000")&amp;")",""))))</f>
        <v/>
      </c>
      <c r="G79" s="0" t="str">
        <f aca="false">IF(A79="","",IF(ISNUMBER(A79),IF(A79&gt;=36526,A79,""),IFERROR(DATEVALUE(A79),"")))</f>
        <v/>
      </c>
      <c r="H79" s="0" t="str">
        <f aca="false">IF(G79="","",INT((G79-SAT1)/7)+1)</f>
        <v/>
      </c>
      <c r="I79" s="0" t="str">
        <f aca="false">IF(H79="","",IF(OR(H79&lt;1,H79&gt;NW),"",INDEX(WMON,H79)))</f>
        <v/>
      </c>
      <c r="J79" s="0" t="str">
        <f aca="false">IF(OR(G79="",H79="",B79=""),"",IF(B79="عمر المصري",SUMIFS('ساعات عمر'!$H$7:$H$642,'ساعات عمر'!$A$7:$A$642,"&gt;="&amp;(SAT1+7*(H79-1)),'ساعات عمر'!$A$7:$A$642,"&lt;="&amp;G79),SUMIFS('ساعات عبدالعزيز'!$F$7:$F$642,'ساعات عبدالعزيز'!$A$7:$A$642,"&gt;="&amp;(SAT1+7*(H79-1)),'ساعات عبدالعزيز'!$A$7:$A$642,"&lt;="&amp;G79)))</f>
        <v/>
      </c>
    </row>
    <row r="80" customFormat="false" ht="15" hidden="false" customHeight="false" outlineLevel="0" collapsed="false">
      <c r="A80" s="57"/>
      <c r="B80" s="30"/>
      <c r="C80" s="58"/>
      <c r="D80" s="59"/>
      <c r="E80" s="60" t="str">
        <f aca="false">IF(A80="","",IF(G80="","⛔ التاريخ غلط — اكتبه كامل 05/10/2026 أو اختاره من القائمة",IF(OR(H80&lt;1,H80&gt;NW),"⛔ التاريخ برّا السنة",IF(AND(N(C80)&gt;0,N(J80)&gt;0,C80&gt;ADV_CAP*J80),"⚠️ أكثر من "&amp;TEXT(ADV_CAP,"0%")&amp;" من شغله ("&amp;TEXT(J80,"0.000")&amp;")",""))))</f>
        <v/>
      </c>
      <c r="G80" s="0" t="str">
        <f aca="false">IF(A80="","",IF(ISNUMBER(A80),IF(A80&gt;=36526,A80,""),IFERROR(DATEVALUE(A80),"")))</f>
        <v/>
      </c>
      <c r="H80" s="0" t="str">
        <f aca="false">IF(G80="","",INT((G80-SAT1)/7)+1)</f>
        <v/>
      </c>
      <c r="I80" s="0" t="str">
        <f aca="false">IF(H80="","",IF(OR(H80&lt;1,H80&gt;NW),"",INDEX(WMON,H80)))</f>
        <v/>
      </c>
      <c r="J80" s="0" t="str">
        <f aca="false">IF(OR(G80="",H80="",B80=""),"",IF(B80="عمر المصري",SUMIFS('ساعات عمر'!$H$7:$H$642,'ساعات عمر'!$A$7:$A$642,"&gt;="&amp;(SAT1+7*(H80-1)),'ساعات عمر'!$A$7:$A$642,"&lt;="&amp;G80),SUMIFS('ساعات عبدالعزيز'!$F$7:$F$642,'ساعات عبدالعزيز'!$A$7:$A$642,"&gt;="&amp;(SAT1+7*(H80-1)),'ساعات عبدالعزيز'!$A$7:$A$642,"&lt;="&amp;G80)))</f>
        <v/>
      </c>
    </row>
    <row r="81" customFormat="false" ht="15" hidden="false" customHeight="false" outlineLevel="0" collapsed="false">
      <c r="A81" s="57"/>
      <c r="B81" s="30"/>
      <c r="C81" s="58"/>
      <c r="D81" s="59"/>
      <c r="E81" s="60" t="str">
        <f aca="false">IF(A81="","",IF(G81="","⛔ التاريخ غلط — اكتبه كامل 05/10/2026 أو اختاره من القائمة",IF(OR(H81&lt;1,H81&gt;NW),"⛔ التاريخ برّا السنة",IF(AND(N(C81)&gt;0,N(J81)&gt;0,C81&gt;ADV_CAP*J81),"⚠️ أكثر من "&amp;TEXT(ADV_CAP,"0%")&amp;" من شغله ("&amp;TEXT(J81,"0.000")&amp;")",""))))</f>
        <v/>
      </c>
      <c r="G81" s="0" t="str">
        <f aca="false">IF(A81="","",IF(ISNUMBER(A81),IF(A81&gt;=36526,A81,""),IFERROR(DATEVALUE(A81),"")))</f>
        <v/>
      </c>
      <c r="H81" s="0" t="str">
        <f aca="false">IF(G81="","",INT((G81-SAT1)/7)+1)</f>
        <v/>
      </c>
      <c r="I81" s="0" t="str">
        <f aca="false">IF(H81="","",IF(OR(H81&lt;1,H81&gt;NW),"",INDEX(WMON,H81)))</f>
        <v/>
      </c>
      <c r="J81" s="0" t="str">
        <f aca="false">IF(OR(G81="",H81="",B81=""),"",IF(B81="عمر المصري",SUMIFS('ساعات عمر'!$H$7:$H$642,'ساعات عمر'!$A$7:$A$642,"&gt;="&amp;(SAT1+7*(H81-1)),'ساعات عمر'!$A$7:$A$642,"&lt;="&amp;G81),SUMIFS('ساعات عبدالعزيز'!$F$7:$F$642,'ساعات عبدالعزيز'!$A$7:$A$642,"&gt;="&amp;(SAT1+7*(H81-1)),'ساعات عبدالعزيز'!$A$7:$A$642,"&lt;="&amp;G81)))</f>
        <v/>
      </c>
    </row>
    <row r="82" customFormat="false" ht="15" hidden="false" customHeight="false" outlineLevel="0" collapsed="false">
      <c r="A82" s="57"/>
      <c r="B82" s="30"/>
      <c r="C82" s="58"/>
      <c r="D82" s="59"/>
      <c r="E82" s="60" t="str">
        <f aca="false">IF(A82="","",IF(G82="","⛔ التاريخ غلط — اكتبه كامل 05/10/2026 أو اختاره من القائمة",IF(OR(H82&lt;1,H82&gt;NW),"⛔ التاريخ برّا السنة",IF(AND(N(C82)&gt;0,N(J82)&gt;0,C82&gt;ADV_CAP*J82),"⚠️ أكثر من "&amp;TEXT(ADV_CAP,"0%")&amp;" من شغله ("&amp;TEXT(J82,"0.000")&amp;")",""))))</f>
        <v/>
      </c>
      <c r="G82" s="0" t="str">
        <f aca="false">IF(A82="","",IF(ISNUMBER(A82),IF(A82&gt;=36526,A82,""),IFERROR(DATEVALUE(A82),"")))</f>
        <v/>
      </c>
      <c r="H82" s="0" t="str">
        <f aca="false">IF(G82="","",INT((G82-SAT1)/7)+1)</f>
        <v/>
      </c>
      <c r="I82" s="0" t="str">
        <f aca="false">IF(H82="","",IF(OR(H82&lt;1,H82&gt;NW),"",INDEX(WMON,H82)))</f>
        <v/>
      </c>
      <c r="J82" s="0" t="str">
        <f aca="false">IF(OR(G82="",H82="",B82=""),"",IF(B82="عمر المصري",SUMIFS('ساعات عمر'!$H$7:$H$642,'ساعات عمر'!$A$7:$A$642,"&gt;="&amp;(SAT1+7*(H82-1)),'ساعات عمر'!$A$7:$A$642,"&lt;="&amp;G82),SUMIFS('ساعات عبدالعزيز'!$F$7:$F$642,'ساعات عبدالعزيز'!$A$7:$A$642,"&gt;="&amp;(SAT1+7*(H82-1)),'ساعات عبدالعزيز'!$A$7:$A$642,"&lt;="&amp;G82)))</f>
        <v/>
      </c>
    </row>
    <row r="83" customFormat="false" ht="15" hidden="false" customHeight="false" outlineLevel="0" collapsed="false">
      <c r="A83" s="57"/>
      <c r="B83" s="30"/>
      <c r="C83" s="58"/>
      <c r="D83" s="59"/>
      <c r="E83" s="60" t="str">
        <f aca="false">IF(A83="","",IF(G83="","⛔ التاريخ غلط — اكتبه كامل 05/10/2026 أو اختاره من القائمة",IF(OR(H83&lt;1,H83&gt;NW),"⛔ التاريخ برّا السنة",IF(AND(N(C83)&gt;0,N(J83)&gt;0,C83&gt;ADV_CAP*J83),"⚠️ أكثر من "&amp;TEXT(ADV_CAP,"0%")&amp;" من شغله ("&amp;TEXT(J83,"0.000")&amp;")",""))))</f>
        <v/>
      </c>
      <c r="G83" s="0" t="str">
        <f aca="false">IF(A83="","",IF(ISNUMBER(A83),IF(A83&gt;=36526,A83,""),IFERROR(DATEVALUE(A83),"")))</f>
        <v/>
      </c>
      <c r="H83" s="0" t="str">
        <f aca="false">IF(G83="","",INT((G83-SAT1)/7)+1)</f>
        <v/>
      </c>
      <c r="I83" s="0" t="str">
        <f aca="false">IF(H83="","",IF(OR(H83&lt;1,H83&gt;NW),"",INDEX(WMON,H83)))</f>
        <v/>
      </c>
      <c r="J83" s="0" t="str">
        <f aca="false">IF(OR(G83="",H83="",B83=""),"",IF(B83="عمر المصري",SUMIFS('ساعات عمر'!$H$7:$H$642,'ساعات عمر'!$A$7:$A$642,"&gt;="&amp;(SAT1+7*(H83-1)),'ساعات عمر'!$A$7:$A$642,"&lt;="&amp;G83),SUMIFS('ساعات عبدالعزيز'!$F$7:$F$642,'ساعات عبدالعزيز'!$A$7:$A$642,"&gt;="&amp;(SAT1+7*(H83-1)),'ساعات عبدالعزيز'!$A$7:$A$642,"&lt;="&amp;G83)))</f>
        <v/>
      </c>
    </row>
    <row r="84" customFormat="false" ht="15" hidden="false" customHeight="false" outlineLevel="0" collapsed="false">
      <c r="A84" s="57"/>
      <c r="B84" s="30"/>
      <c r="C84" s="58"/>
      <c r="D84" s="59"/>
      <c r="E84" s="60" t="str">
        <f aca="false">IF(A84="","",IF(G84="","⛔ التاريخ غلط — اكتبه كامل 05/10/2026 أو اختاره من القائمة",IF(OR(H84&lt;1,H84&gt;NW),"⛔ التاريخ برّا السنة",IF(AND(N(C84)&gt;0,N(J84)&gt;0,C84&gt;ADV_CAP*J84),"⚠️ أكثر من "&amp;TEXT(ADV_CAP,"0%")&amp;" من شغله ("&amp;TEXT(J84,"0.000")&amp;")",""))))</f>
        <v/>
      </c>
      <c r="G84" s="0" t="str">
        <f aca="false">IF(A84="","",IF(ISNUMBER(A84),IF(A84&gt;=36526,A84,""),IFERROR(DATEVALUE(A84),"")))</f>
        <v/>
      </c>
      <c r="H84" s="0" t="str">
        <f aca="false">IF(G84="","",INT((G84-SAT1)/7)+1)</f>
        <v/>
      </c>
      <c r="I84" s="0" t="str">
        <f aca="false">IF(H84="","",IF(OR(H84&lt;1,H84&gt;NW),"",INDEX(WMON,H84)))</f>
        <v/>
      </c>
      <c r="J84" s="0" t="str">
        <f aca="false">IF(OR(G84="",H84="",B84=""),"",IF(B84="عمر المصري",SUMIFS('ساعات عمر'!$H$7:$H$642,'ساعات عمر'!$A$7:$A$642,"&gt;="&amp;(SAT1+7*(H84-1)),'ساعات عمر'!$A$7:$A$642,"&lt;="&amp;G84),SUMIFS('ساعات عبدالعزيز'!$F$7:$F$642,'ساعات عبدالعزيز'!$A$7:$A$642,"&gt;="&amp;(SAT1+7*(H84-1)),'ساعات عبدالعزيز'!$A$7:$A$642,"&lt;="&amp;G84)))</f>
        <v/>
      </c>
    </row>
    <row r="85" customFormat="false" ht="15" hidden="false" customHeight="false" outlineLevel="0" collapsed="false">
      <c r="A85" s="57"/>
      <c r="B85" s="30"/>
      <c r="C85" s="58"/>
      <c r="D85" s="59"/>
      <c r="E85" s="60" t="str">
        <f aca="false">IF(A85="","",IF(G85="","⛔ التاريخ غلط — اكتبه كامل 05/10/2026 أو اختاره من القائمة",IF(OR(H85&lt;1,H85&gt;NW),"⛔ التاريخ برّا السنة",IF(AND(N(C85)&gt;0,N(J85)&gt;0,C85&gt;ADV_CAP*J85),"⚠️ أكثر من "&amp;TEXT(ADV_CAP,"0%")&amp;" من شغله ("&amp;TEXT(J85,"0.000")&amp;")",""))))</f>
        <v/>
      </c>
      <c r="G85" s="0" t="str">
        <f aca="false">IF(A85="","",IF(ISNUMBER(A85),IF(A85&gt;=36526,A85,""),IFERROR(DATEVALUE(A85),"")))</f>
        <v/>
      </c>
      <c r="H85" s="0" t="str">
        <f aca="false">IF(G85="","",INT((G85-SAT1)/7)+1)</f>
        <v/>
      </c>
      <c r="I85" s="0" t="str">
        <f aca="false">IF(H85="","",IF(OR(H85&lt;1,H85&gt;NW),"",INDEX(WMON,H85)))</f>
        <v/>
      </c>
      <c r="J85" s="0" t="str">
        <f aca="false">IF(OR(G85="",H85="",B85=""),"",IF(B85="عمر المصري",SUMIFS('ساعات عمر'!$H$7:$H$642,'ساعات عمر'!$A$7:$A$642,"&gt;="&amp;(SAT1+7*(H85-1)),'ساعات عمر'!$A$7:$A$642,"&lt;="&amp;G85),SUMIFS('ساعات عبدالعزيز'!$F$7:$F$642,'ساعات عبدالعزيز'!$A$7:$A$642,"&gt;="&amp;(SAT1+7*(H85-1)),'ساعات عبدالعزيز'!$A$7:$A$642,"&lt;="&amp;G85)))</f>
        <v/>
      </c>
    </row>
    <row r="86" customFormat="false" ht="15" hidden="false" customHeight="false" outlineLevel="0" collapsed="false">
      <c r="A86" s="57"/>
      <c r="B86" s="30"/>
      <c r="C86" s="58"/>
      <c r="D86" s="59"/>
      <c r="E86" s="60" t="str">
        <f aca="false">IF(A86="","",IF(G86="","⛔ التاريخ غلط — اكتبه كامل 05/10/2026 أو اختاره من القائمة",IF(OR(H86&lt;1,H86&gt;NW),"⛔ التاريخ برّا السنة",IF(AND(N(C86)&gt;0,N(J86)&gt;0,C86&gt;ADV_CAP*J86),"⚠️ أكثر من "&amp;TEXT(ADV_CAP,"0%")&amp;" من شغله ("&amp;TEXT(J86,"0.000")&amp;")",""))))</f>
        <v/>
      </c>
      <c r="G86" s="0" t="str">
        <f aca="false">IF(A86="","",IF(ISNUMBER(A86),IF(A86&gt;=36526,A86,""),IFERROR(DATEVALUE(A86),"")))</f>
        <v/>
      </c>
      <c r="H86" s="0" t="str">
        <f aca="false">IF(G86="","",INT((G86-SAT1)/7)+1)</f>
        <v/>
      </c>
      <c r="I86" s="0" t="str">
        <f aca="false">IF(H86="","",IF(OR(H86&lt;1,H86&gt;NW),"",INDEX(WMON,H86)))</f>
        <v/>
      </c>
      <c r="J86" s="0" t="str">
        <f aca="false">IF(OR(G86="",H86="",B86=""),"",IF(B86="عمر المصري",SUMIFS('ساعات عمر'!$H$7:$H$642,'ساعات عمر'!$A$7:$A$642,"&gt;="&amp;(SAT1+7*(H86-1)),'ساعات عمر'!$A$7:$A$642,"&lt;="&amp;G86),SUMIFS('ساعات عبدالعزيز'!$F$7:$F$642,'ساعات عبدالعزيز'!$A$7:$A$642,"&gt;="&amp;(SAT1+7*(H86-1)),'ساعات عبدالعزيز'!$A$7:$A$642,"&lt;="&amp;G86)))</f>
        <v/>
      </c>
    </row>
    <row r="87" customFormat="false" ht="15" hidden="false" customHeight="false" outlineLevel="0" collapsed="false">
      <c r="A87" s="57"/>
      <c r="B87" s="30"/>
      <c r="C87" s="58"/>
      <c r="D87" s="59"/>
      <c r="E87" s="60" t="str">
        <f aca="false">IF(A87="","",IF(G87="","⛔ التاريخ غلط — اكتبه كامل 05/10/2026 أو اختاره من القائمة",IF(OR(H87&lt;1,H87&gt;NW),"⛔ التاريخ برّا السنة",IF(AND(N(C87)&gt;0,N(J87)&gt;0,C87&gt;ADV_CAP*J87),"⚠️ أكثر من "&amp;TEXT(ADV_CAP,"0%")&amp;" من شغله ("&amp;TEXT(J87,"0.000")&amp;")",""))))</f>
        <v/>
      </c>
      <c r="G87" s="0" t="str">
        <f aca="false">IF(A87="","",IF(ISNUMBER(A87),IF(A87&gt;=36526,A87,""),IFERROR(DATEVALUE(A87),"")))</f>
        <v/>
      </c>
      <c r="H87" s="0" t="str">
        <f aca="false">IF(G87="","",INT((G87-SAT1)/7)+1)</f>
        <v/>
      </c>
      <c r="I87" s="0" t="str">
        <f aca="false">IF(H87="","",IF(OR(H87&lt;1,H87&gt;NW),"",INDEX(WMON,H87)))</f>
        <v/>
      </c>
      <c r="J87" s="0" t="str">
        <f aca="false">IF(OR(G87="",H87="",B87=""),"",IF(B87="عمر المصري",SUMIFS('ساعات عمر'!$H$7:$H$642,'ساعات عمر'!$A$7:$A$642,"&gt;="&amp;(SAT1+7*(H87-1)),'ساعات عمر'!$A$7:$A$642,"&lt;="&amp;G87),SUMIFS('ساعات عبدالعزيز'!$F$7:$F$642,'ساعات عبدالعزيز'!$A$7:$A$642,"&gt;="&amp;(SAT1+7*(H87-1)),'ساعات عبدالعزيز'!$A$7:$A$642,"&lt;="&amp;G87)))</f>
        <v/>
      </c>
    </row>
    <row r="88" customFormat="false" ht="15" hidden="false" customHeight="false" outlineLevel="0" collapsed="false">
      <c r="A88" s="57"/>
      <c r="B88" s="30"/>
      <c r="C88" s="58"/>
      <c r="D88" s="59"/>
      <c r="E88" s="60" t="str">
        <f aca="false">IF(A88="","",IF(G88="","⛔ التاريخ غلط — اكتبه كامل 05/10/2026 أو اختاره من القائمة",IF(OR(H88&lt;1,H88&gt;NW),"⛔ التاريخ برّا السنة",IF(AND(N(C88)&gt;0,N(J88)&gt;0,C88&gt;ADV_CAP*J88),"⚠️ أكثر من "&amp;TEXT(ADV_CAP,"0%")&amp;" من شغله ("&amp;TEXT(J88,"0.000")&amp;")",""))))</f>
        <v/>
      </c>
      <c r="G88" s="0" t="str">
        <f aca="false">IF(A88="","",IF(ISNUMBER(A88),IF(A88&gt;=36526,A88,""),IFERROR(DATEVALUE(A88),"")))</f>
        <v/>
      </c>
      <c r="H88" s="0" t="str">
        <f aca="false">IF(G88="","",INT((G88-SAT1)/7)+1)</f>
        <v/>
      </c>
      <c r="I88" s="0" t="str">
        <f aca="false">IF(H88="","",IF(OR(H88&lt;1,H88&gt;NW),"",INDEX(WMON,H88)))</f>
        <v/>
      </c>
      <c r="J88" s="0" t="str">
        <f aca="false">IF(OR(G88="",H88="",B88=""),"",IF(B88="عمر المصري",SUMIFS('ساعات عمر'!$H$7:$H$642,'ساعات عمر'!$A$7:$A$642,"&gt;="&amp;(SAT1+7*(H88-1)),'ساعات عمر'!$A$7:$A$642,"&lt;="&amp;G88),SUMIFS('ساعات عبدالعزيز'!$F$7:$F$642,'ساعات عبدالعزيز'!$A$7:$A$642,"&gt;="&amp;(SAT1+7*(H88-1)),'ساعات عبدالعزيز'!$A$7:$A$642,"&lt;="&amp;G88)))</f>
        <v/>
      </c>
    </row>
    <row r="89" customFormat="false" ht="15" hidden="false" customHeight="false" outlineLevel="0" collapsed="false">
      <c r="A89" s="57"/>
      <c r="B89" s="30"/>
      <c r="C89" s="58"/>
      <c r="D89" s="59"/>
      <c r="E89" s="60" t="str">
        <f aca="false">IF(A89="","",IF(G89="","⛔ التاريخ غلط — اكتبه كامل 05/10/2026 أو اختاره من القائمة",IF(OR(H89&lt;1,H89&gt;NW),"⛔ التاريخ برّا السنة",IF(AND(N(C89)&gt;0,N(J89)&gt;0,C89&gt;ADV_CAP*J89),"⚠️ أكثر من "&amp;TEXT(ADV_CAP,"0%")&amp;" من شغله ("&amp;TEXT(J89,"0.000")&amp;")",""))))</f>
        <v/>
      </c>
      <c r="G89" s="0" t="str">
        <f aca="false">IF(A89="","",IF(ISNUMBER(A89),IF(A89&gt;=36526,A89,""),IFERROR(DATEVALUE(A89),"")))</f>
        <v/>
      </c>
      <c r="H89" s="0" t="str">
        <f aca="false">IF(G89="","",INT((G89-SAT1)/7)+1)</f>
        <v/>
      </c>
      <c r="I89" s="0" t="str">
        <f aca="false">IF(H89="","",IF(OR(H89&lt;1,H89&gt;NW),"",INDEX(WMON,H89)))</f>
        <v/>
      </c>
      <c r="J89" s="0" t="str">
        <f aca="false">IF(OR(G89="",H89="",B89=""),"",IF(B89="عمر المصري",SUMIFS('ساعات عمر'!$H$7:$H$642,'ساعات عمر'!$A$7:$A$642,"&gt;="&amp;(SAT1+7*(H89-1)),'ساعات عمر'!$A$7:$A$642,"&lt;="&amp;G89),SUMIFS('ساعات عبدالعزيز'!$F$7:$F$642,'ساعات عبدالعزيز'!$A$7:$A$642,"&gt;="&amp;(SAT1+7*(H89-1)),'ساعات عبدالعزيز'!$A$7:$A$642,"&lt;="&amp;G89)))</f>
        <v/>
      </c>
    </row>
    <row r="90" customFormat="false" ht="15" hidden="false" customHeight="false" outlineLevel="0" collapsed="false">
      <c r="A90" s="57"/>
      <c r="B90" s="30"/>
      <c r="C90" s="58"/>
      <c r="D90" s="59"/>
      <c r="E90" s="60" t="str">
        <f aca="false">IF(A90="","",IF(G90="","⛔ التاريخ غلط — اكتبه كامل 05/10/2026 أو اختاره من القائمة",IF(OR(H90&lt;1,H90&gt;NW),"⛔ التاريخ برّا السنة",IF(AND(N(C90)&gt;0,N(J90)&gt;0,C90&gt;ADV_CAP*J90),"⚠️ أكثر من "&amp;TEXT(ADV_CAP,"0%")&amp;" من شغله ("&amp;TEXT(J90,"0.000")&amp;")",""))))</f>
        <v/>
      </c>
      <c r="G90" s="0" t="str">
        <f aca="false">IF(A90="","",IF(ISNUMBER(A90),IF(A90&gt;=36526,A90,""),IFERROR(DATEVALUE(A90),"")))</f>
        <v/>
      </c>
      <c r="H90" s="0" t="str">
        <f aca="false">IF(G90="","",INT((G90-SAT1)/7)+1)</f>
        <v/>
      </c>
      <c r="I90" s="0" t="str">
        <f aca="false">IF(H90="","",IF(OR(H90&lt;1,H90&gt;NW),"",INDEX(WMON,H90)))</f>
        <v/>
      </c>
      <c r="J90" s="0" t="str">
        <f aca="false">IF(OR(G90="",H90="",B90=""),"",IF(B90="عمر المصري",SUMIFS('ساعات عمر'!$H$7:$H$642,'ساعات عمر'!$A$7:$A$642,"&gt;="&amp;(SAT1+7*(H90-1)),'ساعات عمر'!$A$7:$A$642,"&lt;="&amp;G90),SUMIFS('ساعات عبدالعزيز'!$F$7:$F$642,'ساعات عبدالعزيز'!$A$7:$A$642,"&gt;="&amp;(SAT1+7*(H90-1)),'ساعات عبدالعزيز'!$A$7:$A$642,"&lt;="&amp;G90)))</f>
        <v/>
      </c>
    </row>
    <row r="91" customFormat="false" ht="15" hidden="false" customHeight="false" outlineLevel="0" collapsed="false">
      <c r="A91" s="57"/>
      <c r="B91" s="30"/>
      <c r="C91" s="58"/>
      <c r="D91" s="59"/>
      <c r="E91" s="60" t="str">
        <f aca="false">IF(A91="","",IF(G91="","⛔ التاريخ غلط — اكتبه كامل 05/10/2026 أو اختاره من القائمة",IF(OR(H91&lt;1,H91&gt;NW),"⛔ التاريخ برّا السنة",IF(AND(N(C91)&gt;0,N(J91)&gt;0,C91&gt;ADV_CAP*J91),"⚠️ أكثر من "&amp;TEXT(ADV_CAP,"0%")&amp;" من شغله ("&amp;TEXT(J91,"0.000")&amp;")",""))))</f>
        <v/>
      </c>
      <c r="G91" s="0" t="str">
        <f aca="false">IF(A91="","",IF(ISNUMBER(A91),IF(A91&gt;=36526,A91,""),IFERROR(DATEVALUE(A91),"")))</f>
        <v/>
      </c>
      <c r="H91" s="0" t="str">
        <f aca="false">IF(G91="","",INT((G91-SAT1)/7)+1)</f>
        <v/>
      </c>
      <c r="I91" s="0" t="str">
        <f aca="false">IF(H91="","",IF(OR(H91&lt;1,H91&gt;NW),"",INDEX(WMON,H91)))</f>
        <v/>
      </c>
      <c r="J91" s="0" t="str">
        <f aca="false">IF(OR(G91="",H91="",B91=""),"",IF(B91="عمر المصري",SUMIFS('ساعات عمر'!$H$7:$H$642,'ساعات عمر'!$A$7:$A$642,"&gt;="&amp;(SAT1+7*(H91-1)),'ساعات عمر'!$A$7:$A$642,"&lt;="&amp;G91),SUMIFS('ساعات عبدالعزيز'!$F$7:$F$642,'ساعات عبدالعزيز'!$A$7:$A$642,"&gt;="&amp;(SAT1+7*(H91-1)),'ساعات عبدالعزيز'!$A$7:$A$642,"&lt;="&amp;G91)))</f>
        <v/>
      </c>
    </row>
    <row r="92" customFormat="false" ht="15" hidden="false" customHeight="false" outlineLevel="0" collapsed="false">
      <c r="A92" s="57"/>
      <c r="B92" s="30"/>
      <c r="C92" s="58"/>
      <c r="D92" s="59"/>
      <c r="E92" s="60" t="str">
        <f aca="false">IF(A92="","",IF(G92="","⛔ التاريخ غلط — اكتبه كامل 05/10/2026 أو اختاره من القائمة",IF(OR(H92&lt;1,H92&gt;NW),"⛔ التاريخ برّا السنة",IF(AND(N(C92)&gt;0,N(J92)&gt;0,C92&gt;ADV_CAP*J92),"⚠️ أكثر من "&amp;TEXT(ADV_CAP,"0%")&amp;" من شغله ("&amp;TEXT(J92,"0.000")&amp;")",""))))</f>
        <v/>
      </c>
      <c r="G92" s="0" t="str">
        <f aca="false">IF(A92="","",IF(ISNUMBER(A92),IF(A92&gt;=36526,A92,""),IFERROR(DATEVALUE(A92),"")))</f>
        <v/>
      </c>
      <c r="H92" s="0" t="str">
        <f aca="false">IF(G92="","",INT((G92-SAT1)/7)+1)</f>
        <v/>
      </c>
      <c r="I92" s="0" t="str">
        <f aca="false">IF(H92="","",IF(OR(H92&lt;1,H92&gt;NW),"",INDEX(WMON,H92)))</f>
        <v/>
      </c>
      <c r="J92" s="0" t="str">
        <f aca="false">IF(OR(G92="",H92="",B92=""),"",IF(B92="عمر المصري",SUMIFS('ساعات عمر'!$H$7:$H$642,'ساعات عمر'!$A$7:$A$642,"&gt;="&amp;(SAT1+7*(H92-1)),'ساعات عمر'!$A$7:$A$642,"&lt;="&amp;G92),SUMIFS('ساعات عبدالعزيز'!$F$7:$F$642,'ساعات عبدالعزيز'!$A$7:$A$642,"&gt;="&amp;(SAT1+7*(H92-1)),'ساعات عبدالعزيز'!$A$7:$A$642,"&lt;="&amp;G92)))</f>
        <v/>
      </c>
    </row>
    <row r="93" customFormat="false" ht="15" hidden="false" customHeight="false" outlineLevel="0" collapsed="false">
      <c r="A93" s="57"/>
      <c r="B93" s="30"/>
      <c r="C93" s="58"/>
      <c r="D93" s="59"/>
      <c r="E93" s="60" t="str">
        <f aca="false">IF(A93="","",IF(G93="","⛔ التاريخ غلط — اكتبه كامل 05/10/2026 أو اختاره من القائمة",IF(OR(H93&lt;1,H93&gt;NW),"⛔ التاريخ برّا السنة",IF(AND(N(C93)&gt;0,N(J93)&gt;0,C93&gt;ADV_CAP*J93),"⚠️ أكثر من "&amp;TEXT(ADV_CAP,"0%")&amp;" من شغله ("&amp;TEXT(J93,"0.000")&amp;")",""))))</f>
        <v/>
      </c>
      <c r="G93" s="0" t="str">
        <f aca="false">IF(A93="","",IF(ISNUMBER(A93),IF(A93&gt;=36526,A93,""),IFERROR(DATEVALUE(A93),"")))</f>
        <v/>
      </c>
      <c r="H93" s="0" t="str">
        <f aca="false">IF(G93="","",INT((G93-SAT1)/7)+1)</f>
        <v/>
      </c>
      <c r="I93" s="0" t="str">
        <f aca="false">IF(H93="","",IF(OR(H93&lt;1,H93&gt;NW),"",INDEX(WMON,H93)))</f>
        <v/>
      </c>
      <c r="J93" s="0" t="str">
        <f aca="false">IF(OR(G93="",H93="",B93=""),"",IF(B93="عمر المصري",SUMIFS('ساعات عمر'!$H$7:$H$642,'ساعات عمر'!$A$7:$A$642,"&gt;="&amp;(SAT1+7*(H93-1)),'ساعات عمر'!$A$7:$A$642,"&lt;="&amp;G93),SUMIFS('ساعات عبدالعزيز'!$F$7:$F$642,'ساعات عبدالعزيز'!$A$7:$A$642,"&gt;="&amp;(SAT1+7*(H93-1)),'ساعات عبدالعزيز'!$A$7:$A$642,"&lt;="&amp;G93)))</f>
        <v/>
      </c>
    </row>
    <row r="94" customFormat="false" ht="15" hidden="false" customHeight="false" outlineLevel="0" collapsed="false">
      <c r="A94" s="57"/>
      <c r="B94" s="30"/>
      <c r="C94" s="58"/>
      <c r="D94" s="59"/>
      <c r="E94" s="60" t="str">
        <f aca="false">IF(A94="","",IF(G94="","⛔ التاريخ غلط — اكتبه كامل 05/10/2026 أو اختاره من القائمة",IF(OR(H94&lt;1,H94&gt;NW),"⛔ التاريخ برّا السنة",IF(AND(N(C94)&gt;0,N(J94)&gt;0,C94&gt;ADV_CAP*J94),"⚠️ أكثر من "&amp;TEXT(ADV_CAP,"0%")&amp;" من شغله ("&amp;TEXT(J94,"0.000")&amp;")",""))))</f>
        <v/>
      </c>
      <c r="G94" s="0" t="str">
        <f aca="false">IF(A94="","",IF(ISNUMBER(A94),IF(A94&gt;=36526,A94,""),IFERROR(DATEVALUE(A94),"")))</f>
        <v/>
      </c>
      <c r="H94" s="0" t="str">
        <f aca="false">IF(G94="","",INT((G94-SAT1)/7)+1)</f>
        <v/>
      </c>
      <c r="I94" s="0" t="str">
        <f aca="false">IF(H94="","",IF(OR(H94&lt;1,H94&gt;NW),"",INDEX(WMON,H94)))</f>
        <v/>
      </c>
      <c r="J94" s="0" t="str">
        <f aca="false">IF(OR(G94="",H94="",B94=""),"",IF(B94="عمر المصري",SUMIFS('ساعات عمر'!$H$7:$H$642,'ساعات عمر'!$A$7:$A$642,"&gt;="&amp;(SAT1+7*(H94-1)),'ساعات عمر'!$A$7:$A$642,"&lt;="&amp;G94),SUMIFS('ساعات عبدالعزيز'!$F$7:$F$642,'ساعات عبدالعزيز'!$A$7:$A$642,"&gt;="&amp;(SAT1+7*(H94-1)),'ساعات عبدالعزيز'!$A$7:$A$642,"&lt;="&amp;G94)))</f>
        <v/>
      </c>
    </row>
    <row r="95" customFormat="false" ht="15" hidden="false" customHeight="false" outlineLevel="0" collapsed="false">
      <c r="A95" s="57"/>
      <c r="B95" s="30"/>
      <c r="C95" s="58"/>
      <c r="D95" s="59"/>
      <c r="E95" s="60" t="str">
        <f aca="false">IF(A95="","",IF(G95="","⛔ التاريخ غلط — اكتبه كامل 05/10/2026 أو اختاره من القائمة",IF(OR(H95&lt;1,H95&gt;NW),"⛔ التاريخ برّا السنة",IF(AND(N(C95)&gt;0,N(J95)&gt;0,C95&gt;ADV_CAP*J95),"⚠️ أكثر من "&amp;TEXT(ADV_CAP,"0%")&amp;" من شغله ("&amp;TEXT(J95,"0.000")&amp;")",""))))</f>
        <v/>
      </c>
      <c r="G95" s="0" t="str">
        <f aca="false">IF(A95="","",IF(ISNUMBER(A95),IF(A95&gt;=36526,A95,""),IFERROR(DATEVALUE(A95),"")))</f>
        <v/>
      </c>
      <c r="H95" s="0" t="str">
        <f aca="false">IF(G95="","",INT((G95-SAT1)/7)+1)</f>
        <v/>
      </c>
      <c r="I95" s="0" t="str">
        <f aca="false">IF(H95="","",IF(OR(H95&lt;1,H95&gt;NW),"",INDEX(WMON,H95)))</f>
        <v/>
      </c>
      <c r="J95" s="0" t="str">
        <f aca="false">IF(OR(G95="",H95="",B95=""),"",IF(B95="عمر المصري",SUMIFS('ساعات عمر'!$H$7:$H$642,'ساعات عمر'!$A$7:$A$642,"&gt;="&amp;(SAT1+7*(H95-1)),'ساعات عمر'!$A$7:$A$642,"&lt;="&amp;G95),SUMIFS('ساعات عبدالعزيز'!$F$7:$F$642,'ساعات عبدالعزيز'!$A$7:$A$642,"&gt;="&amp;(SAT1+7*(H95-1)),'ساعات عبدالعزيز'!$A$7:$A$642,"&lt;="&amp;G95)))</f>
        <v/>
      </c>
    </row>
    <row r="96" customFormat="false" ht="15" hidden="false" customHeight="false" outlineLevel="0" collapsed="false">
      <c r="A96" s="57"/>
      <c r="B96" s="30"/>
      <c r="C96" s="58"/>
      <c r="D96" s="59"/>
      <c r="E96" s="60" t="str">
        <f aca="false">IF(A96="","",IF(G96="","⛔ التاريخ غلط — اكتبه كامل 05/10/2026 أو اختاره من القائمة",IF(OR(H96&lt;1,H96&gt;NW),"⛔ التاريخ برّا السنة",IF(AND(N(C96)&gt;0,N(J96)&gt;0,C96&gt;ADV_CAP*J96),"⚠️ أكثر من "&amp;TEXT(ADV_CAP,"0%")&amp;" من شغله ("&amp;TEXT(J96,"0.000")&amp;")",""))))</f>
        <v/>
      </c>
      <c r="G96" s="0" t="str">
        <f aca="false">IF(A96="","",IF(ISNUMBER(A96),IF(A96&gt;=36526,A96,""),IFERROR(DATEVALUE(A96),"")))</f>
        <v/>
      </c>
      <c r="H96" s="0" t="str">
        <f aca="false">IF(G96="","",INT((G96-SAT1)/7)+1)</f>
        <v/>
      </c>
      <c r="I96" s="0" t="str">
        <f aca="false">IF(H96="","",IF(OR(H96&lt;1,H96&gt;NW),"",INDEX(WMON,H96)))</f>
        <v/>
      </c>
      <c r="J96" s="0" t="str">
        <f aca="false">IF(OR(G96="",H96="",B96=""),"",IF(B96="عمر المصري",SUMIFS('ساعات عمر'!$H$7:$H$642,'ساعات عمر'!$A$7:$A$642,"&gt;="&amp;(SAT1+7*(H96-1)),'ساعات عمر'!$A$7:$A$642,"&lt;="&amp;G96),SUMIFS('ساعات عبدالعزيز'!$F$7:$F$642,'ساعات عبدالعزيز'!$A$7:$A$642,"&gt;="&amp;(SAT1+7*(H96-1)),'ساعات عبدالعزيز'!$A$7:$A$642,"&lt;="&amp;G96)))</f>
        <v/>
      </c>
    </row>
    <row r="97" customFormat="false" ht="15" hidden="false" customHeight="false" outlineLevel="0" collapsed="false">
      <c r="A97" s="57"/>
      <c r="B97" s="30"/>
      <c r="C97" s="58"/>
      <c r="D97" s="59"/>
      <c r="E97" s="60" t="str">
        <f aca="false">IF(A97="","",IF(G97="","⛔ التاريخ غلط — اكتبه كامل 05/10/2026 أو اختاره من القائمة",IF(OR(H97&lt;1,H97&gt;NW),"⛔ التاريخ برّا السنة",IF(AND(N(C97)&gt;0,N(J97)&gt;0,C97&gt;ADV_CAP*J97),"⚠️ أكثر من "&amp;TEXT(ADV_CAP,"0%")&amp;" من شغله ("&amp;TEXT(J97,"0.000")&amp;")",""))))</f>
        <v/>
      </c>
      <c r="G97" s="0" t="str">
        <f aca="false">IF(A97="","",IF(ISNUMBER(A97),IF(A97&gt;=36526,A97,""),IFERROR(DATEVALUE(A97),"")))</f>
        <v/>
      </c>
      <c r="H97" s="0" t="str">
        <f aca="false">IF(G97="","",INT((G97-SAT1)/7)+1)</f>
        <v/>
      </c>
      <c r="I97" s="0" t="str">
        <f aca="false">IF(H97="","",IF(OR(H97&lt;1,H97&gt;NW),"",INDEX(WMON,H97)))</f>
        <v/>
      </c>
      <c r="J97" s="0" t="str">
        <f aca="false">IF(OR(G97="",H97="",B97=""),"",IF(B97="عمر المصري",SUMIFS('ساعات عمر'!$H$7:$H$642,'ساعات عمر'!$A$7:$A$642,"&gt;="&amp;(SAT1+7*(H97-1)),'ساعات عمر'!$A$7:$A$642,"&lt;="&amp;G97),SUMIFS('ساعات عبدالعزيز'!$F$7:$F$642,'ساعات عبدالعزيز'!$A$7:$A$642,"&gt;="&amp;(SAT1+7*(H97-1)),'ساعات عبدالعزيز'!$A$7:$A$642,"&lt;="&amp;G97)))</f>
        <v/>
      </c>
    </row>
    <row r="98" customFormat="false" ht="15" hidden="false" customHeight="false" outlineLevel="0" collapsed="false">
      <c r="A98" s="57"/>
      <c r="B98" s="30"/>
      <c r="C98" s="58"/>
      <c r="D98" s="59"/>
      <c r="E98" s="60" t="str">
        <f aca="false">IF(A98="","",IF(G98="","⛔ التاريخ غلط — اكتبه كامل 05/10/2026 أو اختاره من القائمة",IF(OR(H98&lt;1,H98&gt;NW),"⛔ التاريخ برّا السنة",IF(AND(N(C98)&gt;0,N(J98)&gt;0,C98&gt;ADV_CAP*J98),"⚠️ أكثر من "&amp;TEXT(ADV_CAP,"0%")&amp;" من شغله ("&amp;TEXT(J98,"0.000")&amp;")",""))))</f>
        <v/>
      </c>
      <c r="G98" s="0" t="str">
        <f aca="false">IF(A98="","",IF(ISNUMBER(A98),IF(A98&gt;=36526,A98,""),IFERROR(DATEVALUE(A98),"")))</f>
        <v/>
      </c>
      <c r="H98" s="0" t="str">
        <f aca="false">IF(G98="","",INT((G98-SAT1)/7)+1)</f>
        <v/>
      </c>
      <c r="I98" s="0" t="str">
        <f aca="false">IF(H98="","",IF(OR(H98&lt;1,H98&gt;NW),"",INDEX(WMON,H98)))</f>
        <v/>
      </c>
      <c r="J98" s="0" t="str">
        <f aca="false">IF(OR(G98="",H98="",B98=""),"",IF(B98="عمر المصري",SUMIFS('ساعات عمر'!$H$7:$H$642,'ساعات عمر'!$A$7:$A$642,"&gt;="&amp;(SAT1+7*(H98-1)),'ساعات عمر'!$A$7:$A$642,"&lt;="&amp;G98),SUMIFS('ساعات عبدالعزيز'!$F$7:$F$642,'ساعات عبدالعزيز'!$A$7:$A$642,"&gt;="&amp;(SAT1+7*(H98-1)),'ساعات عبدالعزيز'!$A$7:$A$642,"&lt;="&amp;G98)))</f>
        <v/>
      </c>
    </row>
    <row r="99" customFormat="false" ht="15" hidden="false" customHeight="false" outlineLevel="0" collapsed="false">
      <c r="A99" s="57"/>
      <c r="B99" s="30"/>
      <c r="C99" s="58"/>
      <c r="D99" s="59"/>
      <c r="E99" s="60" t="str">
        <f aca="false">IF(A99="","",IF(G99="","⛔ التاريخ غلط — اكتبه كامل 05/10/2026 أو اختاره من القائمة",IF(OR(H99&lt;1,H99&gt;NW),"⛔ التاريخ برّا السنة",IF(AND(N(C99)&gt;0,N(J99)&gt;0,C99&gt;ADV_CAP*J99),"⚠️ أكثر من "&amp;TEXT(ADV_CAP,"0%")&amp;" من شغله ("&amp;TEXT(J99,"0.000")&amp;")",""))))</f>
        <v/>
      </c>
      <c r="G99" s="0" t="str">
        <f aca="false">IF(A99="","",IF(ISNUMBER(A99),IF(A99&gt;=36526,A99,""),IFERROR(DATEVALUE(A99),"")))</f>
        <v/>
      </c>
      <c r="H99" s="0" t="str">
        <f aca="false">IF(G99="","",INT((G99-SAT1)/7)+1)</f>
        <v/>
      </c>
      <c r="I99" s="0" t="str">
        <f aca="false">IF(H99="","",IF(OR(H99&lt;1,H99&gt;NW),"",INDEX(WMON,H99)))</f>
        <v/>
      </c>
      <c r="J99" s="0" t="str">
        <f aca="false">IF(OR(G99="",H99="",B99=""),"",IF(B99="عمر المصري",SUMIFS('ساعات عمر'!$H$7:$H$642,'ساعات عمر'!$A$7:$A$642,"&gt;="&amp;(SAT1+7*(H99-1)),'ساعات عمر'!$A$7:$A$642,"&lt;="&amp;G99),SUMIFS('ساعات عبدالعزيز'!$F$7:$F$642,'ساعات عبدالعزيز'!$A$7:$A$642,"&gt;="&amp;(SAT1+7*(H99-1)),'ساعات عبدالعزيز'!$A$7:$A$642,"&lt;="&amp;G99)))</f>
        <v/>
      </c>
    </row>
    <row r="100" customFormat="false" ht="15" hidden="false" customHeight="false" outlineLevel="0" collapsed="false">
      <c r="A100" s="57"/>
      <c r="B100" s="30"/>
      <c r="C100" s="58"/>
      <c r="D100" s="59"/>
      <c r="E100" s="60" t="str">
        <f aca="false">IF(A100="","",IF(G100="","⛔ التاريخ غلط — اكتبه كامل 05/10/2026 أو اختاره من القائمة",IF(OR(H100&lt;1,H100&gt;NW),"⛔ التاريخ برّا السنة",IF(AND(N(C100)&gt;0,N(J100)&gt;0,C100&gt;ADV_CAP*J100),"⚠️ أكثر من "&amp;TEXT(ADV_CAP,"0%")&amp;" من شغله ("&amp;TEXT(J100,"0.000")&amp;")",""))))</f>
        <v/>
      </c>
      <c r="G100" s="0" t="str">
        <f aca="false">IF(A100="","",IF(ISNUMBER(A100),IF(A100&gt;=36526,A100,""),IFERROR(DATEVALUE(A100),"")))</f>
        <v/>
      </c>
      <c r="H100" s="0" t="str">
        <f aca="false">IF(G100="","",INT((G100-SAT1)/7)+1)</f>
        <v/>
      </c>
      <c r="I100" s="0" t="str">
        <f aca="false">IF(H100="","",IF(OR(H100&lt;1,H100&gt;NW),"",INDEX(WMON,H100)))</f>
        <v/>
      </c>
      <c r="J100" s="0" t="str">
        <f aca="false">IF(OR(G100="",H100="",B100=""),"",IF(B100="عمر المصري",SUMIFS('ساعات عمر'!$H$7:$H$642,'ساعات عمر'!$A$7:$A$642,"&gt;="&amp;(SAT1+7*(H100-1)),'ساعات عمر'!$A$7:$A$642,"&lt;="&amp;G100),SUMIFS('ساعات عبدالعزيز'!$F$7:$F$642,'ساعات عبدالعزيز'!$A$7:$A$642,"&gt;="&amp;(SAT1+7*(H100-1)),'ساعات عبدالعزيز'!$A$7:$A$642,"&lt;="&amp;G100)))</f>
        <v/>
      </c>
    </row>
    <row r="101" customFormat="false" ht="15" hidden="false" customHeight="false" outlineLevel="0" collapsed="false">
      <c r="A101" s="57"/>
      <c r="B101" s="30"/>
      <c r="C101" s="58"/>
      <c r="D101" s="59"/>
      <c r="E101" s="60" t="str">
        <f aca="false">IF(A101="","",IF(G101="","⛔ التاريخ غلط — اكتبه كامل 05/10/2026 أو اختاره من القائمة",IF(OR(H101&lt;1,H101&gt;NW),"⛔ التاريخ برّا السنة",IF(AND(N(C101)&gt;0,N(J101)&gt;0,C101&gt;ADV_CAP*J101),"⚠️ أكثر من "&amp;TEXT(ADV_CAP,"0%")&amp;" من شغله ("&amp;TEXT(J101,"0.000")&amp;")",""))))</f>
        <v/>
      </c>
      <c r="G101" s="0" t="str">
        <f aca="false">IF(A101="","",IF(ISNUMBER(A101),IF(A101&gt;=36526,A101,""),IFERROR(DATEVALUE(A101),"")))</f>
        <v/>
      </c>
      <c r="H101" s="0" t="str">
        <f aca="false">IF(G101="","",INT((G101-SAT1)/7)+1)</f>
        <v/>
      </c>
      <c r="I101" s="0" t="str">
        <f aca="false">IF(H101="","",IF(OR(H101&lt;1,H101&gt;NW),"",INDEX(WMON,H101)))</f>
        <v/>
      </c>
      <c r="J101" s="0" t="str">
        <f aca="false">IF(OR(G101="",H101="",B101=""),"",IF(B101="عمر المصري",SUMIFS('ساعات عمر'!$H$7:$H$642,'ساعات عمر'!$A$7:$A$642,"&gt;="&amp;(SAT1+7*(H101-1)),'ساعات عمر'!$A$7:$A$642,"&lt;="&amp;G101),SUMIFS('ساعات عبدالعزيز'!$F$7:$F$642,'ساعات عبدالعزيز'!$A$7:$A$642,"&gt;="&amp;(SAT1+7*(H101-1)),'ساعات عبدالعزيز'!$A$7:$A$642,"&lt;="&amp;G101)))</f>
        <v/>
      </c>
    </row>
    <row r="102" customFormat="false" ht="15" hidden="false" customHeight="false" outlineLevel="0" collapsed="false">
      <c r="A102" s="57"/>
      <c r="B102" s="30"/>
      <c r="C102" s="58"/>
      <c r="D102" s="59"/>
      <c r="E102" s="60" t="str">
        <f aca="false">IF(A102="","",IF(G102="","⛔ التاريخ غلط — اكتبه كامل 05/10/2026 أو اختاره من القائمة",IF(OR(H102&lt;1,H102&gt;NW),"⛔ التاريخ برّا السنة",IF(AND(N(C102)&gt;0,N(J102)&gt;0,C102&gt;ADV_CAP*J102),"⚠️ أكثر من "&amp;TEXT(ADV_CAP,"0%")&amp;" من شغله ("&amp;TEXT(J102,"0.000")&amp;")",""))))</f>
        <v/>
      </c>
      <c r="G102" s="0" t="str">
        <f aca="false">IF(A102="","",IF(ISNUMBER(A102),IF(A102&gt;=36526,A102,""),IFERROR(DATEVALUE(A102),"")))</f>
        <v/>
      </c>
      <c r="H102" s="0" t="str">
        <f aca="false">IF(G102="","",INT((G102-SAT1)/7)+1)</f>
        <v/>
      </c>
      <c r="I102" s="0" t="str">
        <f aca="false">IF(H102="","",IF(OR(H102&lt;1,H102&gt;NW),"",INDEX(WMON,H102)))</f>
        <v/>
      </c>
      <c r="J102" s="0" t="str">
        <f aca="false">IF(OR(G102="",H102="",B102=""),"",IF(B102="عمر المصري",SUMIFS('ساعات عمر'!$H$7:$H$642,'ساعات عمر'!$A$7:$A$642,"&gt;="&amp;(SAT1+7*(H102-1)),'ساعات عمر'!$A$7:$A$642,"&lt;="&amp;G102),SUMIFS('ساعات عبدالعزيز'!$F$7:$F$642,'ساعات عبدالعزيز'!$A$7:$A$642,"&gt;="&amp;(SAT1+7*(H102-1)),'ساعات عبدالعزيز'!$A$7:$A$642,"&lt;="&amp;G102)))</f>
        <v/>
      </c>
    </row>
    <row r="103" customFormat="false" ht="15" hidden="false" customHeight="false" outlineLevel="0" collapsed="false">
      <c r="A103" s="57"/>
      <c r="B103" s="30"/>
      <c r="C103" s="58"/>
      <c r="D103" s="59"/>
      <c r="E103" s="60" t="str">
        <f aca="false">IF(A103="","",IF(G103="","⛔ التاريخ غلط — اكتبه كامل 05/10/2026 أو اختاره من القائمة",IF(OR(H103&lt;1,H103&gt;NW),"⛔ التاريخ برّا السنة",IF(AND(N(C103)&gt;0,N(J103)&gt;0,C103&gt;ADV_CAP*J103),"⚠️ أكثر من "&amp;TEXT(ADV_CAP,"0%")&amp;" من شغله ("&amp;TEXT(J103,"0.000")&amp;")",""))))</f>
        <v/>
      </c>
      <c r="G103" s="0" t="str">
        <f aca="false">IF(A103="","",IF(ISNUMBER(A103),IF(A103&gt;=36526,A103,""),IFERROR(DATEVALUE(A103),"")))</f>
        <v/>
      </c>
      <c r="H103" s="0" t="str">
        <f aca="false">IF(G103="","",INT((G103-SAT1)/7)+1)</f>
        <v/>
      </c>
      <c r="I103" s="0" t="str">
        <f aca="false">IF(H103="","",IF(OR(H103&lt;1,H103&gt;NW),"",INDEX(WMON,H103)))</f>
        <v/>
      </c>
      <c r="J103" s="0" t="str">
        <f aca="false">IF(OR(G103="",H103="",B103=""),"",IF(B103="عمر المصري",SUMIFS('ساعات عمر'!$H$7:$H$642,'ساعات عمر'!$A$7:$A$642,"&gt;="&amp;(SAT1+7*(H103-1)),'ساعات عمر'!$A$7:$A$642,"&lt;="&amp;G103),SUMIFS('ساعات عبدالعزيز'!$F$7:$F$642,'ساعات عبدالعزيز'!$A$7:$A$642,"&gt;="&amp;(SAT1+7*(H103-1)),'ساعات عبدالعزيز'!$A$7:$A$642,"&lt;="&amp;G103)))</f>
        <v/>
      </c>
    </row>
    <row r="104" customFormat="false" ht="15" hidden="false" customHeight="false" outlineLevel="0" collapsed="false">
      <c r="A104" s="57"/>
      <c r="B104" s="30"/>
      <c r="C104" s="58"/>
      <c r="D104" s="59"/>
      <c r="E104" s="60" t="str">
        <f aca="false">IF(A104="","",IF(G104="","⛔ التاريخ غلط — اكتبه كامل 05/10/2026 أو اختاره من القائمة",IF(OR(H104&lt;1,H104&gt;NW),"⛔ التاريخ برّا السنة",IF(AND(N(C104)&gt;0,N(J104)&gt;0,C104&gt;ADV_CAP*J104),"⚠️ أكثر من "&amp;TEXT(ADV_CAP,"0%")&amp;" من شغله ("&amp;TEXT(J104,"0.000")&amp;")",""))))</f>
        <v/>
      </c>
      <c r="G104" s="0" t="str">
        <f aca="false">IF(A104="","",IF(ISNUMBER(A104),IF(A104&gt;=36526,A104,""),IFERROR(DATEVALUE(A104),"")))</f>
        <v/>
      </c>
      <c r="H104" s="0" t="str">
        <f aca="false">IF(G104="","",INT((G104-SAT1)/7)+1)</f>
        <v/>
      </c>
      <c r="I104" s="0" t="str">
        <f aca="false">IF(H104="","",IF(OR(H104&lt;1,H104&gt;NW),"",INDEX(WMON,H104)))</f>
        <v/>
      </c>
      <c r="J104" s="0" t="str">
        <f aca="false">IF(OR(G104="",H104="",B104=""),"",IF(B104="عمر المصري",SUMIFS('ساعات عمر'!$H$7:$H$642,'ساعات عمر'!$A$7:$A$642,"&gt;="&amp;(SAT1+7*(H104-1)),'ساعات عمر'!$A$7:$A$642,"&lt;="&amp;G104),SUMIFS('ساعات عبدالعزيز'!$F$7:$F$642,'ساعات عبدالعزيز'!$A$7:$A$642,"&gt;="&amp;(SAT1+7*(H104-1)),'ساعات عبدالعزيز'!$A$7:$A$642,"&lt;="&amp;G104)))</f>
        <v/>
      </c>
    </row>
    <row r="105" customFormat="false" ht="15" hidden="false" customHeight="false" outlineLevel="0" collapsed="false">
      <c r="A105" s="57"/>
      <c r="B105" s="30"/>
      <c r="C105" s="58"/>
      <c r="D105" s="59"/>
      <c r="E105" s="60" t="str">
        <f aca="false">IF(A105="","",IF(G105="","⛔ التاريخ غلط — اكتبه كامل 05/10/2026 أو اختاره من القائمة",IF(OR(H105&lt;1,H105&gt;NW),"⛔ التاريخ برّا السنة",IF(AND(N(C105)&gt;0,N(J105)&gt;0,C105&gt;ADV_CAP*J105),"⚠️ أكثر من "&amp;TEXT(ADV_CAP,"0%")&amp;" من شغله ("&amp;TEXT(J105,"0.000")&amp;")",""))))</f>
        <v/>
      </c>
      <c r="G105" s="0" t="str">
        <f aca="false">IF(A105="","",IF(ISNUMBER(A105),IF(A105&gt;=36526,A105,""),IFERROR(DATEVALUE(A105),"")))</f>
        <v/>
      </c>
      <c r="H105" s="0" t="str">
        <f aca="false">IF(G105="","",INT((G105-SAT1)/7)+1)</f>
        <v/>
      </c>
      <c r="I105" s="0" t="str">
        <f aca="false">IF(H105="","",IF(OR(H105&lt;1,H105&gt;NW),"",INDEX(WMON,H105)))</f>
        <v/>
      </c>
      <c r="J105" s="0" t="str">
        <f aca="false">IF(OR(G105="",H105="",B105=""),"",IF(B105="عمر المصري",SUMIFS('ساعات عمر'!$H$7:$H$642,'ساعات عمر'!$A$7:$A$642,"&gt;="&amp;(SAT1+7*(H105-1)),'ساعات عمر'!$A$7:$A$642,"&lt;="&amp;G105),SUMIFS('ساعات عبدالعزيز'!$F$7:$F$642,'ساعات عبدالعزيز'!$A$7:$A$642,"&gt;="&amp;(SAT1+7*(H105-1)),'ساعات عبدالعزيز'!$A$7:$A$642,"&lt;="&amp;G105)))</f>
        <v/>
      </c>
    </row>
    <row r="106" customFormat="false" ht="15" hidden="false" customHeight="false" outlineLevel="0" collapsed="false">
      <c r="A106" s="57"/>
      <c r="B106" s="30"/>
      <c r="C106" s="58"/>
      <c r="D106" s="59"/>
      <c r="E106" s="60" t="str">
        <f aca="false">IF(A106="","",IF(G106="","⛔ التاريخ غلط — اكتبه كامل 05/10/2026 أو اختاره من القائمة",IF(OR(H106&lt;1,H106&gt;NW),"⛔ التاريخ برّا السنة",IF(AND(N(C106)&gt;0,N(J106)&gt;0,C106&gt;ADV_CAP*J106),"⚠️ أكثر من "&amp;TEXT(ADV_CAP,"0%")&amp;" من شغله ("&amp;TEXT(J106,"0.000")&amp;")",""))))</f>
        <v/>
      </c>
      <c r="G106" s="0" t="str">
        <f aca="false">IF(A106="","",IF(ISNUMBER(A106),IF(A106&gt;=36526,A106,""),IFERROR(DATEVALUE(A106),"")))</f>
        <v/>
      </c>
      <c r="H106" s="0" t="str">
        <f aca="false">IF(G106="","",INT((G106-SAT1)/7)+1)</f>
        <v/>
      </c>
      <c r="I106" s="0" t="str">
        <f aca="false">IF(H106="","",IF(OR(H106&lt;1,H106&gt;NW),"",INDEX(WMON,H106)))</f>
        <v/>
      </c>
      <c r="J106" s="0" t="str">
        <f aca="false">IF(OR(G106="",H106="",B106=""),"",IF(B106="عمر المصري",SUMIFS('ساعات عمر'!$H$7:$H$642,'ساعات عمر'!$A$7:$A$642,"&gt;="&amp;(SAT1+7*(H106-1)),'ساعات عمر'!$A$7:$A$642,"&lt;="&amp;G106),SUMIFS('ساعات عبدالعزيز'!$F$7:$F$642,'ساعات عبدالعزيز'!$A$7:$A$642,"&gt;="&amp;(SAT1+7*(H106-1)),'ساعات عبدالعزيز'!$A$7:$A$642,"&lt;="&amp;G106)))</f>
        <v/>
      </c>
    </row>
    <row r="107" customFormat="false" ht="15" hidden="false" customHeight="false" outlineLevel="0" collapsed="false">
      <c r="A107" s="57"/>
      <c r="B107" s="30"/>
      <c r="C107" s="58"/>
      <c r="D107" s="59"/>
      <c r="E107" s="60" t="str">
        <f aca="false">IF(A107="","",IF(G107="","⛔ التاريخ غلط — اكتبه كامل 05/10/2026 أو اختاره من القائمة",IF(OR(H107&lt;1,H107&gt;NW),"⛔ التاريخ برّا السنة",IF(AND(N(C107)&gt;0,N(J107)&gt;0,C107&gt;ADV_CAP*J107),"⚠️ أكثر من "&amp;TEXT(ADV_CAP,"0%")&amp;" من شغله ("&amp;TEXT(J107,"0.000")&amp;")",""))))</f>
        <v/>
      </c>
      <c r="G107" s="0" t="str">
        <f aca="false">IF(A107="","",IF(ISNUMBER(A107),IF(A107&gt;=36526,A107,""),IFERROR(DATEVALUE(A107),"")))</f>
        <v/>
      </c>
      <c r="H107" s="0" t="str">
        <f aca="false">IF(G107="","",INT((G107-SAT1)/7)+1)</f>
        <v/>
      </c>
      <c r="I107" s="0" t="str">
        <f aca="false">IF(H107="","",IF(OR(H107&lt;1,H107&gt;NW),"",INDEX(WMON,H107)))</f>
        <v/>
      </c>
      <c r="J107" s="0" t="str">
        <f aca="false">IF(OR(G107="",H107="",B107=""),"",IF(B107="عمر المصري",SUMIFS('ساعات عمر'!$H$7:$H$642,'ساعات عمر'!$A$7:$A$642,"&gt;="&amp;(SAT1+7*(H107-1)),'ساعات عمر'!$A$7:$A$642,"&lt;="&amp;G107),SUMIFS('ساعات عبدالعزيز'!$F$7:$F$642,'ساعات عبدالعزيز'!$A$7:$A$642,"&gt;="&amp;(SAT1+7*(H107-1)),'ساعات عبدالعزيز'!$A$7:$A$642,"&lt;="&amp;G107)))</f>
        <v/>
      </c>
    </row>
    <row r="108" customFormat="false" ht="15" hidden="false" customHeight="false" outlineLevel="0" collapsed="false">
      <c r="A108" s="57"/>
      <c r="B108" s="30"/>
      <c r="C108" s="58"/>
      <c r="D108" s="59"/>
      <c r="E108" s="60" t="str">
        <f aca="false">IF(A108="","",IF(G108="","⛔ التاريخ غلط — اكتبه كامل 05/10/2026 أو اختاره من القائمة",IF(OR(H108&lt;1,H108&gt;NW),"⛔ التاريخ برّا السنة",IF(AND(N(C108)&gt;0,N(J108)&gt;0,C108&gt;ADV_CAP*J108),"⚠️ أكثر من "&amp;TEXT(ADV_CAP,"0%")&amp;" من شغله ("&amp;TEXT(J108,"0.000")&amp;")",""))))</f>
        <v/>
      </c>
      <c r="G108" s="0" t="str">
        <f aca="false">IF(A108="","",IF(ISNUMBER(A108),IF(A108&gt;=36526,A108,""),IFERROR(DATEVALUE(A108),"")))</f>
        <v/>
      </c>
      <c r="H108" s="0" t="str">
        <f aca="false">IF(G108="","",INT((G108-SAT1)/7)+1)</f>
        <v/>
      </c>
      <c r="I108" s="0" t="str">
        <f aca="false">IF(H108="","",IF(OR(H108&lt;1,H108&gt;NW),"",INDEX(WMON,H108)))</f>
        <v/>
      </c>
      <c r="J108" s="0" t="str">
        <f aca="false">IF(OR(G108="",H108="",B108=""),"",IF(B108="عمر المصري",SUMIFS('ساعات عمر'!$H$7:$H$642,'ساعات عمر'!$A$7:$A$642,"&gt;="&amp;(SAT1+7*(H108-1)),'ساعات عمر'!$A$7:$A$642,"&lt;="&amp;G108),SUMIFS('ساعات عبدالعزيز'!$F$7:$F$642,'ساعات عبدالعزيز'!$A$7:$A$642,"&gt;="&amp;(SAT1+7*(H108-1)),'ساعات عبدالعزيز'!$A$7:$A$642,"&lt;="&amp;G108)))</f>
        <v/>
      </c>
    </row>
    <row r="109" customFormat="false" ht="15" hidden="false" customHeight="false" outlineLevel="0" collapsed="false">
      <c r="A109" s="57"/>
      <c r="B109" s="30"/>
      <c r="C109" s="58"/>
      <c r="D109" s="59"/>
      <c r="E109" s="60" t="str">
        <f aca="false">IF(A109="","",IF(G109="","⛔ التاريخ غلط — اكتبه كامل 05/10/2026 أو اختاره من القائمة",IF(OR(H109&lt;1,H109&gt;NW),"⛔ التاريخ برّا السنة",IF(AND(N(C109)&gt;0,N(J109)&gt;0,C109&gt;ADV_CAP*J109),"⚠️ أكثر من "&amp;TEXT(ADV_CAP,"0%")&amp;" من شغله ("&amp;TEXT(J109,"0.000")&amp;")",""))))</f>
        <v/>
      </c>
      <c r="G109" s="0" t="str">
        <f aca="false">IF(A109="","",IF(ISNUMBER(A109),IF(A109&gt;=36526,A109,""),IFERROR(DATEVALUE(A109),"")))</f>
        <v/>
      </c>
      <c r="H109" s="0" t="str">
        <f aca="false">IF(G109="","",INT((G109-SAT1)/7)+1)</f>
        <v/>
      </c>
      <c r="I109" s="0" t="str">
        <f aca="false">IF(H109="","",IF(OR(H109&lt;1,H109&gt;NW),"",INDEX(WMON,H109)))</f>
        <v/>
      </c>
      <c r="J109" s="0" t="str">
        <f aca="false">IF(OR(G109="",H109="",B109=""),"",IF(B109="عمر المصري",SUMIFS('ساعات عمر'!$H$7:$H$642,'ساعات عمر'!$A$7:$A$642,"&gt;="&amp;(SAT1+7*(H109-1)),'ساعات عمر'!$A$7:$A$642,"&lt;="&amp;G109),SUMIFS('ساعات عبدالعزيز'!$F$7:$F$642,'ساعات عبدالعزيز'!$A$7:$A$642,"&gt;="&amp;(SAT1+7*(H109-1)),'ساعات عبدالعزيز'!$A$7:$A$642,"&lt;="&amp;G109)))</f>
        <v/>
      </c>
    </row>
    <row r="110" customFormat="false" ht="15" hidden="false" customHeight="false" outlineLevel="0" collapsed="false">
      <c r="A110" s="57"/>
      <c r="B110" s="30"/>
      <c r="C110" s="58"/>
      <c r="D110" s="59"/>
      <c r="E110" s="60" t="str">
        <f aca="false">IF(A110="","",IF(G110="","⛔ التاريخ غلط — اكتبه كامل 05/10/2026 أو اختاره من القائمة",IF(OR(H110&lt;1,H110&gt;NW),"⛔ التاريخ برّا السنة",IF(AND(N(C110)&gt;0,N(J110)&gt;0,C110&gt;ADV_CAP*J110),"⚠️ أكثر من "&amp;TEXT(ADV_CAP,"0%")&amp;" من شغله ("&amp;TEXT(J110,"0.000")&amp;")",""))))</f>
        <v/>
      </c>
      <c r="G110" s="0" t="str">
        <f aca="false">IF(A110="","",IF(ISNUMBER(A110),IF(A110&gt;=36526,A110,""),IFERROR(DATEVALUE(A110),"")))</f>
        <v/>
      </c>
      <c r="H110" s="0" t="str">
        <f aca="false">IF(G110="","",INT((G110-SAT1)/7)+1)</f>
        <v/>
      </c>
      <c r="I110" s="0" t="str">
        <f aca="false">IF(H110="","",IF(OR(H110&lt;1,H110&gt;NW),"",INDEX(WMON,H110)))</f>
        <v/>
      </c>
      <c r="J110" s="0" t="str">
        <f aca="false">IF(OR(G110="",H110="",B110=""),"",IF(B110="عمر المصري",SUMIFS('ساعات عمر'!$H$7:$H$642,'ساعات عمر'!$A$7:$A$642,"&gt;="&amp;(SAT1+7*(H110-1)),'ساعات عمر'!$A$7:$A$642,"&lt;="&amp;G110),SUMIFS('ساعات عبدالعزيز'!$F$7:$F$642,'ساعات عبدالعزيز'!$A$7:$A$642,"&gt;="&amp;(SAT1+7*(H110-1)),'ساعات عبدالعزيز'!$A$7:$A$642,"&lt;="&amp;G110)))</f>
        <v/>
      </c>
    </row>
    <row r="111" customFormat="false" ht="15" hidden="false" customHeight="false" outlineLevel="0" collapsed="false">
      <c r="A111" s="57"/>
      <c r="B111" s="30"/>
      <c r="C111" s="58"/>
      <c r="D111" s="59"/>
      <c r="E111" s="60" t="str">
        <f aca="false">IF(A111="","",IF(G111="","⛔ التاريخ غلط — اكتبه كامل 05/10/2026 أو اختاره من القائمة",IF(OR(H111&lt;1,H111&gt;NW),"⛔ التاريخ برّا السنة",IF(AND(N(C111)&gt;0,N(J111)&gt;0,C111&gt;ADV_CAP*J111),"⚠️ أكثر من "&amp;TEXT(ADV_CAP,"0%")&amp;" من شغله ("&amp;TEXT(J111,"0.000")&amp;")",""))))</f>
        <v/>
      </c>
      <c r="G111" s="0" t="str">
        <f aca="false">IF(A111="","",IF(ISNUMBER(A111),IF(A111&gt;=36526,A111,""),IFERROR(DATEVALUE(A111),"")))</f>
        <v/>
      </c>
      <c r="H111" s="0" t="str">
        <f aca="false">IF(G111="","",INT((G111-SAT1)/7)+1)</f>
        <v/>
      </c>
      <c r="I111" s="0" t="str">
        <f aca="false">IF(H111="","",IF(OR(H111&lt;1,H111&gt;NW),"",INDEX(WMON,H111)))</f>
        <v/>
      </c>
      <c r="J111" s="0" t="str">
        <f aca="false">IF(OR(G111="",H111="",B111=""),"",IF(B111="عمر المصري",SUMIFS('ساعات عمر'!$H$7:$H$642,'ساعات عمر'!$A$7:$A$642,"&gt;="&amp;(SAT1+7*(H111-1)),'ساعات عمر'!$A$7:$A$642,"&lt;="&amp;G111),SUMIFS('ساعات عبدالعزيز'!$F$7:$F$642,'ساعات عبدالعزيز'!$A$7:$A$642,"&gt;="&amp;(SAT1+7*(H111-1)),'ساعات عبدالعزيز'!$A$7:$A$642,"&lt;="&amp;G111)))</f>
        <v/>
      </c>
    </row>
    <row r="112" customFormat="false" ht="15" hidden="false" customHeight="false" outlineLevel="0" collapsed="false">
      <c r="A112" s="57"/>
      <c r="B112" s="30"/>
      <c r="C112" s="58"/>
      <c r="D112" s="59"/>
      <c r="E112" s="60" t="str">
        <f aca="false">IF(A112="","",IF(G112="","⛔ التاريخ غلط — اكتبه كامل 05/10/2026 أو اختاره من القائمة",IF(OR(H112&lt;1,H112&gt;NW),"⛔ التاريخ برّا السنة",IF(AND(N(C112)&gt;0,N(J112)&gt;0,C112&gt;ADV_CAP*J112),"⚠️ أكثر من "&amp;TEXT(ADV_CAP,"0%")&amp;" من شغله ("&amp;TEXT(J112,"0.000")&amp;")",""))))</f>
        <v/>
      </c>
      <c r="G112" s="0" t="str">
        <f aca="false">IF(A112="","",IF(ISNUMBER(A112),IF(A112&gt;=36526,A112,""),IFERROR(DATEVALUE(A112),"")))</f>
        <v/>
      </c>
      <c r="H112" s="0" t="str">
        <f aca="false">IF(G112="","",INT((G112-SAT1)/7)+1)</f>
        <v/>
      </c>
      <c r="I112" s="0" t="str">
        <f aca="false">IF(H112="","",IF(OR(H112&lt;1,H112&gt;NW),"",INDEX(WMON,H112)))</f>
        <v/>
      </c>
      <c r="J112" s="0" t="str">
        <f aca="false">IF(OR(G112="",H112="",B112=""),"",IF(B112="عمر المصري",SUMIFS('ساعات عمر'!$H$7:$H$642,'ساعات عمر'!$A$7:$A$642,"&gt;="&amp;(SAT1+7*(H112-1)),'ساعات عمر'!$A$7:$A$642,"&lt;="&amp;G112),SUMIFS('ساعات عبدالعزيز'!$F$7:$F$642,'ساعات عبدالعزيز'!$A$7:$A$642,"&gt;="&amp;(SAT1+7*(H112-1)),'ساعات عبدالعزيز'!$A$7:$A$642,"&lt;="&amp;G112)))</f>
        <v/>
      </c>
    </row>
    <row r="113" customFormat="false" ht="15" hidden="false" customHeight="false" outlineLevel="0" collapsed="false">
      <c r="A113" s="57"/>
      <c r="B113" s="30"/>
      <c r="C113" s="58"/>
      <c r="D113" s="59"/>
      <c r="E113" s="60" t="str">
        <f aca="false">IF(A113="","",IF(G113="","⛔ التاريخ غلط — اكتبه كامل 05/10/2026 أو اختاره من القائمة",IF(OR(H113&lt;1,H113&gt;NW),"⛔ التاريخ برّا السنة",IF(AND(N(C113)&gt;0,N(J113)&gt;0,C113&gt;ADV_CAP*J113),"⚠️ أكثر من "&amp;TEXT(ADV_CAP,"0%")&amp;" من شغله ("&amp;TEXT(J113,"0.000")&amp;")",""))))</f>
        <v/>
      </c>
      <c r="G113" s="0" t="str">
        <f aca="false">IF(A113="","",IF(ISNUMBER(A113),IF(A113&gt;=36526,A113,""),IFERROR(DATEVALUE(A113),"")))</f>
        <v/>
      </c>
      <c r="H113" s="0" t="str">
        <f aca="false">IF(G113="","",INT((G113-SAT1)/7)+1)</f>
        <v/>
      </c>
      <c r="I113" s="0" t="str">
        <f aca="false">IF(H113="","",IF(OR(H113&lt;1,H113&gt;NW),"",INDEX(WMON,H113)))</f>
        <v/>
      </c>
      <c r="J113" s="0" t="str">
        <f aca="false">IF(OR(G113="",H113="",B113=""),"",IF(B113="عمر المصري",SUMIFS('ساعات عمر'!$H$7:$H$642,'ساعات عمر'!$A$7:$A$642,"&gt;="&amp;(SAT1+7*(H113-1)),'ساعات عمر'!$A$7:$A$642,"&lt;="&amp;G113),SUMIFS('ساعات عبدالعزيز'!$F$7:$F$642,'ساعات عبدالعزيز'!$A$7:$A$642,"&gt;="&amp;(SAT1+7*(H113-1)),'ساعات عبدالعزيز'!$A$7:$A$642,"&lt;="&amp;G113)))</f>
        <v/>
      </c>
    </row>
    <row r="114" customFormat="false" ht="15" hidden="false" customHeight="false" outlineLevel="0" collapsed="false">
      <c r="A114" s="57"/>
      <c r="B114" s="30"/>
      <c r="C114" s="58"/>
      <c r="D114" s="59"/>
      <c r="E114" s="60" t="str">
        <f aca="false">IF(A114="","",IF(G114="","⛔ التاريخ غلط — اكتبه كامل 05/10/2026 أو اختاره من القائمة",IF(OR(H114&lt;1,H114&gt;NW),"⛔ التاريخ برّا السنة",IF(AND(N(C114)&gt;0,N(J114)&gt;0,C114&gt;ADV_CAP*J114),"⚠️ أكثر من "&amp;TEXT(ADV_CAP,"0%")&amp;" من شغله ("&amp;TEXT(J114,"0.000")&amp;")",""))))</f>
        <v/>
      </c>
      <c r="G114" s="0" t="str">
        <f aca="false">IF(A114="","",IF(ISNUMBER(A114),IF(A114&gt;=36526,A114,""),IFERROR(DATEVALUE(A114),"")))</f>
        <v/>
      </c>
      <c r="H114" s="0" t="str">
        <f aca="false">IF(G114="","",INT((G114-SAT1)/7)+1)</f>
        <v/>
      </c>
      <c r="I114" s="0" t="str">
        <f aca="false">IF(H114="","",IF(OR(H114&lt;1,H114&gt;NW),"",INDEX(WMON,H114)))</f>
        <v/>
      </c>
      <c r="J114" s="0" t="str">
        <f aca="false">IF(OR(G114="",H114="",B114=""),"",IF(B114="عمر المصري",SUMIFS('ساعات عمر'!$H$7:$H$642,'ساعات عمر'!$A$7:$A$642,"&gt;="&amp;(SAT1+7*(H114-1)),'ساعات عمر'!$A$7:$A$642,"&lt;="&amp;G114),SUMIFS('ساعات عبدالعزيز'!$F$7:$F$642,'ساعات عبدالعزيز'!$A$7:$A$642,"&gt;="&amp;(SAT1+7*(H114-1)),'ساعات عبدالعزيز'!$A$7:$A$642,"&lt;="&amp;G114)))</f>
        <v/>
      </c>
    </row>
    <row r="115" customFormat="false" ht="15" hidden="false" customHeight="false" outlineLevel="0" collapsed="false">
      <c r="A115" s="57"/>
      <c r="B115" s="30"/>
      <c r="C115" s="58"/>
      <c r="D115" s="59"/>
      <c r="E115" s="60" t="str">
        <f aca="false">IF(A115="","",IF(G115="","⛔ التاريخ غلط — اكتبه كامل 05/10/2026 أو اختاره من القائمة",IF(OR(H115&lt;1,H115&gt;NW),"⛔ التاريخ برّا السنة",IF(AND(N(C115)&gt;0,N(J115)&gt;0,C115&gt;ADV_CAP*J115),"⚠️ أكثر من "&amp;TEXT(ADV_CAP,"0%")&amp;" من شغله ("&amp;TEXT(J115,"0.000")&amp;")",""))))</f>
        <v/>
      </c>
      <c r="G115" s="0" t="str">
        <f aca="false">IF(A115="","",IF(ISNUMBER(A115),IF(A115&gt;=36526,A115,""),IFERROR(DATEVALUE(A115),"")))</f>
        <v/>
      </c>
      <c r="H115" s="0" t="str">
        <f aca="false">IF(G115="","",INT((G115-SAT1)/7)+1)</f>
        <v/>
      </c>
      <c r="I115" s="0" t="str">
        <f aca="false">IF(H115="","",IF(OR(H115&lt;1,H115&gt;NW),"",INDEX(WMON,H115)))</f>
        <v/>
      </c>
      <c r="J115" s="0" t="str">
        <f aca="false">IF(OR(G115="",H115="",B115=""),"",IF(B115="عمر المصري",SUMIFS('ساعات عمر'!$H$7:$H$642,'ساعات عمر'!$A$7:$A$642,"&gt;="&amp;(SAT1+7*(H115-1)),'ساعات عمر'!$A$7:$A$642,"&lt;="&amp;G115),SUMIFS('ساعات عبدالعزيز'!$F$7:$F$642,'ساعات عبدالعزيز'!$A$7:$A$642,"&gt;="&amp;(SAT1+7*(H115-1)),'ساعات عبدالعزيز'!$A$7:$A$642,"&lt;="&amp;G115)))</f>
        <v/>
      </c>
    </row>
    <row r="116" customFormat="false" ht="15" hidden="false" customHeight="false" outlineLevel="0" collapsed="false">
      <c r="A116" s="57"/>
      <c r="B116" s="30"/>
      <c r="C116" s="58"/>
      <c r="D116" s="59"/>
      <c r="E116" s="60" t="str">
        <f aca="false">IF(A116="","",IF(G116="","⛔ التاريخ غلط — اكتبه كامل 05/10/2026 أو اختاره من القائمة",IF(OR(H116&lt;1,H116&gt;NW),"⛔ التاريخ برّا السنة",IF(AND(N(C116)&gt;0,N(J116)&gt;0,C116&gt;ADV_CAP*J116),"⚠️ أكثر من "&amp;TEXT(ADV_CAP,"0%")&amp;" من شغله ("&amp;TEXT(J116,"0.000")&amp;")",""))))</f>
        <v/>
      </c>
      <c r="G116" s="0" t="str">
        <f aca="false">IF(A116="","",IF(ISNUMBER(A116),IF(A116&gt;=36526,A116,""),IFERROR(DATEVALUE(A116),"")))</f>
        <v/>
      </c>
      <c r="H116" s="0" t="str">
        <f aca="false">IF(G116="","",INT((G116-SAT1)/7)+1)</f>
        <v/>
      </c>
      <c r="I116" s="0" t="str">
        <f aca="false">IF(H116="","",IF(OR(H116&lt;1,H116&gt;NW),"",INDEX(WMON,H116)))</f>
        <v/>
      </c>
      <c r="J116" s="0" t="str">
        <f aca="false">IF(OR(G116="",H116="",B116=""),"",IF(B116="عمر المصري",SUMIFS('ساعات عمر'!$H$7:$H$642,'ساعات عمر'!$A$7:$A$642,"&gt;="&amp;(SAT1+7*(H116-1)),'ساعات عمر'!$A$7:$A$642,"&lt;="&amp;G116),SUMIFS('ساعات عبدالعزيز'!$F$7:$F$642,'ساعات عبدالعزيز'!$A$7:$A$642,"&gt;="&amp;(SAT1+7*(H116-1)),'ساعات عبدالعزيز'!$A$7:$A$642,"&lt;="&amp;G116)))</f>
        <v/>
      </c>
    </row>
    <row r="117" customFormat="false" ht="15" hidden="false" customHeight="false" outlineLevel="0" collapsed="false">
      <c r="A117" s="57"/>
      <c r="B117" s="30"/>
      <c r="C117" s="58"/>
      <c r="D117" s="59"/>
      <c r="E117" s="60" t="str">
        <f aca="false">IF(A117="","",IF(G117="","⛔ التاريخ غلط — اكتبه كامل 05/10/2026 أو اختاره من القائمة",IF(OR(H117&lt;1,H117&gt;NW),"⛔ التاريخ برّا السنة",IF(AND(N(C117)&gt;0,N(J117)&gt;0,C117&gt;ADV_CAP*J117),"⚠️ أكثر من "&amp;TEXT(ADV_CAP,"0%")&amp;" من شغله ("&amp;TEXT(J117,"0.000")&amp;")",""))))</f>
        <v/>
      </c>
      <c r="G117" s="0" t="str">
        <f aca="false">IF(A117="","",IF(ISNUMBER(A117),IF(A117&gt;=36526,A117,""),IFERROR(DATEVALUE(A117),"")))</f>
        <v/>
      </c>
      <c r="H117" s="0" t="str">
        <f aca="false">IF(G117="","",INT((G117-SAT1)/7)+1)</f>
        <v/>
      </c>
      <c r="I117" s="0" t="str">
        <f aca="false">IF(H117="","",IF(OR(H117&lt;1,H117&gt;NW),"",INDEX(WMON,H117)))</f>
        <v/>
      </c>
      <c r="J117" s="0" t="str">
        <f aca="false">IF(OR(G117="",H117="",B117=""),"",IF(B117="عمر المصري",SUMIFS('ساعات عمر'!$H$7:$H$642,'ساعات عمر'!$A$7:$A$642,"&gt;="&amp;(SAT1+7*(H117-1)),'ساعات عمر'!$A$7:$A$642,"&lt;="&amp;G117),SUMIFS('ساعات عبدالعزيز'!$F$7:$F$642,'ساعات عبدالعزيز'!$A$7:$A$642,"&gt;="&amp;(SAT1+7*(H117-1)),'ساعات عبدالعزيز'!$A$7:$A$642,"&lt;="&amp;G117)))</f>
        <v/>
      </c>
    </row>
    <row r="118" customFormat="false" ht="15" hidden="false" customHeight="false" outlineLevel="0" collapsed="false">
      <c r="A118" s="57"/>
      <c r="B118" s="30"/>
      <c r="C118" s="58"/>
      <c r="D118" s="59"/>
      <c r="E118" s="60" t="str">
        <f aca="false">IF(A118="","",IF(G118="","⛔ التاريخ غلط — اكتبه كامل 05/10/2026 أو اختاره من القائمة",IF(OR(H118&lt;1,H118&gt;NW),"⛔ التاريخ برّا السنة",IF(AND(N(C118)&gt;0,N(J118)&gt;0,C118&gt;ADV_CAP*J118),"⚠️ أكثر من "&amp;TEXT(ADV_CAP,"0%")&amp;" من شغله ("&amp;TEXT(J118,"0.000")&amp;")",""))))</f>
        <v/>
      </c>
      <c r="G118" s="0" t="str">
        <f aca="false">IF(A118="","",IF(ISNUMBER(A118),IF(A118&gt;=36526,A118,""),IFERROR(DATEVALUE(A118),"")))</f>
        <v/>
      </c>
      <c r="H118" s="0" t="str">
        <f aca="false">IF(G118="","",INT((G118-SAT1)/7)+1)</f>
        <v/>
      </c>
      <c r="I118" s="0" t="str">
        <f aca="false">IF(H118="","",IF(OR(H118&lt;1,H118&gt;NW),"",INDEX(WMON,H118)))</f>
        <v/>
      </c>
      <c r="J118" s="0" t="str">
        <f aca="false">IF(OR(G118="",H118="",B118=""),"",IF(B118="عمر المصري",SUMIFS('ساعات عمر'!$H$7:$H$642,'ساعات عمر'!$A$7:$A$642,"&gt;="&amp;(SAT1+7*(H118-1)),'ساعات عمر'!$A$7:$A$642,"&lt;="&amp;G118),SUMIFS('ساعات عبدالعزيز'!$F$7:$F$642,'ساعات عبدالعزيز'!$A$7:$A$642,"&gt;="&amp;(SAT1+7*(H118-1)),'ساعات عبدالعزيز'!$A$7:$A$642,"&lt;="&amp;G118)))</f>
        <v/>
      </c>
    </row>
    <row r="119" customFormat="false" ht="15" hidden="false" customHeight="false" outlineLevel="0" collapsed="false">
      <c r="A119" s="57"/>
      <c r="B119" s="30"/>
      <c r="C119" s="58"/>
      <c r="D119" s="59"/>
      <c r="E119" s="60" t="str">
        <f aca="false">IF(A119="","",IF(G119="","⛔ التاريخ غلط — اكتبه كامل 05/10/2026 أو اختاره من القائمة",IF(OR(H119&lt;1,H119&gt;NW),"⛔ التاريخ برّا السنة",IF(AND(N(C119)&gt;0,N(J119)&gt;0,C119&gt;ADV_CAP*J119),"⚠️ أكثر من "&amp;TEXT(ADV_CAP,"0%")&amp;" من شغله ("&amp;TEXT(J119,"0.000")&amp;")",""))))</f>
        <v/>
      </c>
      <c r="G119" s="0" t="str">
        <f aca="false">IF(A119="","",IF(ISNUMBER(A119),IF(A119&gt;=36526,A119,""),IFERROR(DATEVALUE(A119),"")))</f>
        <v/>
      </c>
      <c r="H119" s="0" t="str">
        <f aca="false">IF(G119="","",INT((G119-SAT1)/7)+1)</f>
        <v/>
      </c>
      <c r="I119" s="0" t="str">
        <f aca="false">IF(H119="","",IF(OR(H119&lt;1,H119&gt;NW),"",INDEX(WMON,H119)))</f>
        <v/>
      </c>
      <c r="J119" s="0" t="str">
        <f aca="false">IF(OR(G119="",H119="",B119=""),"",IF(B119="عمر المصري",SUMIFS('ساعات عمر'!$H$7:$H$642,'ساعات عمر'!$A$7:$A$642,"&gt;="&amp;(SAT1+7*(H119-1)),'ساعات عمر'!$A$7:$A$642,"&lt;="&amp;G119),SUMIFS('ساعات عبدالعزيز'!$F$7:$F$642,'ساعات عبدالعزيز'!$A$7:$A$642,"&gt;="&amp;(SAT1+7*(H119-1)),'ساعات عبدالعزيز'!$A$7:$A$642,"&lt;="&amp;G119)))</f>
        <v/>
      </c>
    </row>
    <row r="120" customFormat="false" ht="15" hidden="false" customHeight="false" outlineLevel="0" collapsed="false">
      <c r="A120" s="57"/>
      <c r="B120" s="30"/>
      <c r="C120" s="58"/>
      <c r="D120" s="59"/>
      <c r="E120" s="60" t="str">
        <f aca="false">IF(A120="","",IF(G120="","⛔ التاريخ غلط — اكتبه كامل 05/10/2026 أو اختاره من القائمة",IF(OR(H120&lt;1,H120&gt;NW),"⛔ التاريخ برّا السنة",IF(AND(N(C120)&gt;0,N(J120)&gt;0,C120&gt;ADV_CAP*J120),"⚠️ أكثر من "&amp;TEXT(ADV_CAP,"0%")&amp;" من شغله ("&amp;TEXT(J120,"0.000")&amp;")",""))))</f>
        <v/>
      </c>
      <c r="G120" s="0" t="str">
        <f aca="false">IF(A120="","",IF(ISNUMBER(A120),IF(A120&gt;=36526,A120,""),IFERROR(DATEVALUE(A120),"")))</f>
        <v/>
      </c>
      <c r="H120" s="0" t="str">
        <f aca="false">IF(G120="","",INT((G120-SAT1)/7)+1)</f>
        <v/>
      </c>
      <c r="I120" s="0" t="str">
        <f aca="false">IF(H120="","",IF(OR(H120&lt;1,H120&gt;NW),"",INDEX(WMON,H120)))</f>
        <v/>
      </c>
      <c r="J120" s="0" t="str">
        <f aca="false">IF(OR(G120="",H120="",B120=""),"",IF(B120="عمر المصري",SUMIFS('ساعات عمر'!$H$7:$H$642,'ساعات عمر'!$A$7:$A$642,"&gt;="&amp;(SAT1+7*(H120-1)),'ساعات عمر'!$A$7:$A$642,"&lt;="&amp;G120),SUMIFS('ساعات عبدالعزيز'!$F$7:$F$642,'ساعات عبدالعزيز'!$A$7:$A$642,"&gt;="&amp;(SAT1+7*(H120-1)),'ساعات عبدالعزيز'!$A$7:$A$642,"&lt;="&amp;G120)))</f>
        <v/>
      </c>
    </row>
    <row r="121" customFormat="false" ht="15" hidden="false" customHeight="false" outlineLevel="0" collapsed="false">
      <c r="A121" s="57"/>
      <c r="B121" s="30"/>
      <c r="C121" s="58"/>
      <c r="D121" s="59"/>
      <c r="E121" s="60" t="str">
        <f aca="false">IF(A121="","",IF(G121="","⛔ التاريخ غلط — اكتبه كامل 05/10/2026 أو اختاره من القائمة",IF(OR(H121&lt;1,H121&gt;NW),"⛔ التاريخ برّا السنة",IF(AND(N(C121)&gt;0,N(J121)&gt;0,C121&gt;ADV_CAP*J121),"⚠️ أكثر من "&amp;TEXT(ADV_CAP,"0%")&amp;" من شغله ("&amp;TEXT(J121,"0.000")&amp;")",""))))</f>
        <v/>
      </c>
      <c r="G121" s="0" t="str">
        <f aca="false">IF(A121="","",IF(ISNUMBER(A121),IF(A121&gt;=36526,A121,""),IFERROR(DATEVALUE(A121),"")))</f>
        <v/>
      </c>
      <c r="H121" s="0" t="str">
        <f aca="false">IF(G121="","",INT((G121-SAT1)/7)+1)</f>
        <v/>
      </c>
      <c r="I121" s="0" t="str">
        <f aca="false">IF(H121="","",IF(OR(H121&lt;1,H121&gt;NW),"",INDEX(WMON,H121)))</f>
        <v/>
      </c>
      <c r="J121" s="0" t="str">
        <f aca="false">IF(OR(G121="",H121="",B121=""),"",IF(B121="عمر المصري",SUMIFS('ساعات عمر'!$H$7:$H$642,'ساعات عمر'!$A$7:$A$642,"&gt;="&amp;(SAT1+7*(H121-1)),'ساعات عمر'!$A$7:$A$642,"&lt;="&amp;G121),SUMIFS('ساعات عبدالعزيز'!$F$7:$F$642,'ساعات عبدالعزيز'!$A$7:$A$642,"&gt;="&amp;(SAT1+7*(H121-1)),'ساعات عبدالعزيز'!$A$7:$A$642,"&lt;="&amp;G121)))</f>
        <v/>
      </c>
    </row>
    <row r="122" customFormat="false" ht="15" hidden="false" customHeight="false" outlineLevel="0" collapsed="false">
      <c r="A122" s="57"/>
      <c r="B122" s="30"/>
      <c r="C122" s="58"/>
      <c r="D122" s="59"/>
      <c r="E122" s="60" t="str">
        <f aca="false">IF(A122="","",IF(G122="","⛔ التاريخ غلط — اكتبه كامل 05/10/2026 أو اختاره من القائمة",IF(OR(H122&lt;1,H122&gt;NW),"⛔ التاريخ برّا السنة",IF(AND(N(C122)&gt;0,N(J122)&gt;0,C122&gt;ADV_CAP*J122),"⚠️ أكثر من "&amp;TEXT(ADV_CAP,"0%")&amp;" من شغله ("&amp;TEXT(J122,"0.000")&amp;")",""))))</f>
        <v/>
      </c>
      <c r="G122" s="0" t="str">
        <f aca="false">IF(A122="","",IF(ISNUMBER(A122),IF(A122&gt;=36526,A122,""),IFERROR(DATEVALUE(A122),"")))</f>
        <v/>
      </c>
      <c r="H122" s="0" t="str">
        <f aca="false">IF(G122="","",INT((G122-SAT1)/7)+1)</f>
        <v/>
      </c>
      <c r="I122" s="0" t="str">
        <f aca="false">IF(H122="","",IF(OR(H122&lt;1,H122&gt;NW),"",INDEX(WMON,H122)))</f>
        <v/>
      </c>
      <c r="J122" s="0" t="str">
        <f aca="false">IF(OR(G122="",H122="",B122=""),"",IF(B122="عمر المصري",SUMIFS('ساعات عمر'!$H$7:$H$642,'ساعات عمر'!$A$7:$A$642,"&gt;="&amp;(SAT1+7*(H122-1)),'ساعات عمر'!$A$7:$A$642,"&lt;="&amp;G122),SUMIFS('ساعات عبدالعزيز'!$F$7:$F$642,'ساعات عبدالعزيز'!$A$7:$A$642,"&gt;="&amp;(SAT1+7*(H122-1)),'ساعات عبدالعزيز'!$A$7:$A$642,"&lt;="&amp;G122)))</f>
        <v/>
      </c>
    </row>
    <row r="123" customFormat="false" ht="15" hidden="false" customHeight="false" outlineLevel="0" collapsed="false">
      <c r="A123" s="57"/>
      <c r="B123" s="30"/>
      <c r="C123" s="58"/>
      <c r="D123" s="59"/>
      <c r="E123" s="60" t="str">
        <f aca="false">IF(A123="","",IF(G123="","⛔ التاريخ غلط — اكتبه كامل 05/10/2026 أو اختاره من القائمة",IF(OR(H123&lt;1,H123&gt;NW),"⛔ التاريخ برّا السنة",IF(AND(N(C123)&gt;0,N(J123)&gt;0,C123&gt;ADV_CAP*J123),"⚠️ أكثر من "&amp;TEXT(ADV_CAP,"0%")&amp;" من شغله ("&amp;TEXT(J123,"0.000")&amp;")",""))))</f>
        <v/>
      </c>
      <c r="G123" s="0" t="str">
        <f aca="false">IF(A123="","",IF(ISNUMBER(A123),IF(A123&gt;=36526,A123,""),IFERROR(DATEVALUE(A123),"")))</f>
        <v/>
      </c>
      <c r="H123" s="0" t="str">
        <f aca="false">IF(G123="","",INT((G123-SAT1)/7)+1)</f>
        <v/>
      </c>
      <c r="I123" s="0" t="str">
        <f aca="false">IF(H123="","",IF(OR(H123&lt;1,H123&gt;NW),"",INDEX(WMON,H123)))</f>
        <v/>
      </c>
      <c r="J123" s="0" t="str">
        <f aca="false">IF(OR(G123="",H123="",B123=""),"",IF(B123="عمر المصري",SUMIFS('ساعات عمر'!$H$7:$H$642,'ساعات عمر'!$A$7:$A$642,"&gt;="&amp;(SAT1+7*(H123-1)),'ساعات عمر'!$A$7:$A$642,"&lt;="&amp;G123),SUMIFS('ساعات عبدالعزيز'!$F$7:$F$642,'ساعات عبدالعزيز'!$A$7:$A$642,"&gt;="&amp;(SAT1+7*(H123-1)),'ساعات عبدالعزيز'!$A$7:$A$642,"&lt;="&amp;G123)))</f>
        <v/>
      </c>
    </row>
    <row r="124" customFormat="false" ht="15" hidden="false" customHeight="false" outlineLevel="0" collapsed="false">
      <c r="A124" s="57"/>
      <c r="B124" s="30"/>
      <c r="C124" s="58"/>
      <c r="D124" s="59"/>
      <c r="E124" s="60" t="str">
        <f aca="false">IF(A124="","",IF(G124="","⛔ التاريخ غلط — اكتبه كامل 05/10/2026 أو اختاره من القائمة",IF(OR(H124&lt;1,H124&gt;NW),"⛔ التاريخ برّا السنة",IF(AND(N(C124)&gt;0,N(J124)&gt;0,C124&gt;ADV_CAP*J124),"⚠️ أكثر من "&amp;TEXT(ADV_CAP,"0%")&amp;" من شغله ("&amp;TEXT(J124,"0.000")&amp;")",""))))</f>
        <v/>
      </c>
      <c r="G124" s="0" t="str">
        <f aca="false">IF(A124="","",IF(ISNUMBER(A124),IF(A124&gt;=36526,A124,""),IFERROR(DATEVALUE(A124),"")))</f>
        <v/>
      </c>
      <c r="H124" s="0" t="str">
        <f aca="false">IF(G124="","",INT((G124-SAT1)/7)+1)</f>
        <v/>
      </c>
      <c r="I124" s="0" t="str">
        <f aca="false">IF(H124="","",IF(OR(H124&lt;1,H124&gt;NW),"",INDEX(WMON,H124)))</f>
        <v/>
      </c>
      <c r="J124" s="0" t="str">
        <f aca="false">IF(OR(G124="",H124="",B124=""),"",IF(B124="عمر المصري",SUMIFS('ساعات عمر'!$H$7:$H$642,'ساعات عمر'!$A$7:$A$642,"&gt;="&amp;(SAT1+7*(H124-1)),'ساعات عمر'!$A$7:$A$642,"&lt;="&amp;G124),SUMIFS('ساعات عبدالعزيز'!$F$7:$F$642,'ساعات عبدالعزيز'!$A$7:$A$642,"&gt;="&amp;(SAT1+7*(H124-1)),'ساعات عبدالعزيز'!$A$7:$A$642,"&lt;="&amp;G124)))</f>
        <v/>
      </c>
    </row>
    <row r="125" customFormat="false" ht="15" hidden="false" customHeight="false" outlineLevel="0" collapsed="false">
      <c r="A125" s="57"/>
      <c r="B125" s="30"/>
      <c r="C125" s="58"/>
      <c r="D125" s="59"/>
      <c r="E125" s="60" t="str">
        <f aca="false">IF(A125="","",IF(G125="","⛔ التاريخ غلط — اكتبه كامل 05/10/2026 أو اختاره من القائمة",IF(OR(H125&lt;1,H125&gt;NW),"⛔ التاريخ برّا السنة",IF(AND(N(C125)&gt;0,N(J125)&gt;0,C125&gt;ADV_CAP*J125),"⚠️ أكثر من "&amp;TEXT(ADV_CAP,"0%")&amp;" من شغله ("&amp;TEXT(J125,"0.000")&amp;")",""))))</f>
        <v/>
      </c>
      <c r="G125" s="0" t="str">
        <f aca="false">IF(A125="","",IF(ISNUMBER(A125),IF(A125&gt;=36526,A125,""),IFERROR(DATEVALUE(A125),"")))</f>
        <v/>
      </c>
      <c r="H125" s="0" t="str">
        <f aca="false">IF(G125="","",INT((G125-SAT1)/7)+1)</f>
        <v/>
      </c>
      <c r="I125" s="0" t="str">
        <f aca="false">IF(H125="","",IF(OR(H125&lt;1,H125&gt;NW),"",INDEX(WMON,H125)))</f>
        <v/>
      </c>
      <c r="J125" s="0" t="str">
        <f aca="false">IF(OR(G125="",H125="",B125=""),"",IF(B125="عمر المصري",SUMIFS('ساعات عمر'!$H$7:$H$642,'ساعات عمر'!$A$7:$A$642,"&gt;="&amp;(SAT1+7*(H125-1)),'ساعات عمر'!$A$7:$A$642,"&lt;="&amp;G125),SUMIFS('ساعات عبدالعزيز'!$F$7:$F$642,'ساعات عبدالعزيز'!$A$7:$A$642,"&gt;="&amp;(SAT1+7*(H125-1)),'ساعات عبدالعزيز'!$A$7:$A$642,"&lt;="&amp;G125)))</f>
        <v/>
      </c>
    </row>
    <row r="126" customFormat="false" ht="15" hidden="false" customHeight="false" outlineLevel="0" collapsed="false">
      <c r="A126" s="57"/>
      <c r="B126" s="30"/>
      <c r="C126" s="58"/>
      <c r="D126" s="59"/>
      <c r="E126" s="60" t="str">
        <f aca="false">IF(A126="","",IF(G126="","⛔ التاريخ غلط — اكتبه كامل 05/10/2026 أو اختاره من القائمة",IF(OR(H126&lt;1,H126&gt;NW),"⛔ التاريخ برّا السنة",IF(AND(N(C126)&gt;0,N(J126)&gt;0,C126&gt;ADV_CAP*J126),"⚠️ أكثر من "&amp;TEXT(ADV_CAP,"0%")&amp;" من شغله ("&amp;TEXT(J126,"0.000")&amp;")",""))))</f>
        <v/>
      </c>
      <c r="G126" s="0" t="str">
        <f aca="false">IF(A126="","",IF(ISNUMBER(A126),IF(A126&gt;=36526,A126,""),IFERROR(DATEVALUE(A126),"")))</f>
        <v/>
      </c>
      <c r="H126" s="0" t="str">
        <f aca="false">IF(G126="","",INT((G126-SAT1)/7)+1)</f>
        <v/>
      </c>
      <c r="I126" s="0" t="str">
        <f aca="false">IF(H126="","",IF(OR(H126&lt;1,H126&gt;NW),"",INDEX(WMON,H126)))</f>
        <v/>
      </c>
      <c r="J126" s="0" t="str">
        <f aca="false">IF(OR(G126="",H126="",B126=""),"",IF(B126="عمر المصري",SUMIFS('ساعات عمر'!$H$7:$H$642,'ساعات عمر'!$A$7:$A$642,"&gt;="&amp;(SAT1+7*(H126-1)),'ساعات عمر'!$A$7:$A$642,"&lt;="&amp;G126),SUMIFS('ساعات عبدالعزيز'!$F$7:$F$642,'ساعات عبدالعزيز'!$A$7:$A$642,"&gt;="&amp;(SAT1+7*(H126-1)),'ساعات عبدالعزيز'!$A$7:$A$642,"&lt;="&amp;G126)))</f>
        <v/>
      </c>
    </row>
    <row r="127" customFormat="false" ht="15" hidden="false" customHeight="false" outlineLevel="0" collapsed="false">
      <c r="A127" s="57"/>
      <c r="B127" s="30"/>
      <c r="C127" s="58"/>
      <c r="D127" s="59"/>
      <c r="E127" s="60" t="str">
        <f aca="false">IF(A127="","",IF(G127="","⛔ التاريخ غلط — اكتبه كامل 05/10/2026 أو اختاره من القائمة",IF(OR(H127&lt;1,H127&gt;NW),"⛔ التاريخ برّا السنة",IF(AND(N(C127)&gt;0,N(J127)&gt;0,C127&gt;ADV_CAP*J127),"⚠️ أكثر من "&amp;TEXT(ADV_CAP,"0%")&amp;" من شغله ("&amp;TEXT(J127,"0.000")&amp;")",""))))</f>
        <v/>
      </c>
      <c r="G127" s="0" t="str">
        <f aca="false">IF(A127="","",IF(ISNUMBER(A127),IF(A127&gt;=36526,A127,""),IFERROR(DATEVALUE(A127),"")))</f>
        <v/>
      </c>
      <c r="H127" s="0" t="str">
        <f aca="false">IF(G127="","",INT((G127-SAT1)/7)+1)</f>
        <v/>
      </c>
      <c r="I127" s="0" t="str">
        <f aca="false">IF(H127="","",IF(OR(H127&lt;1,H127&gt;NW),"",INDEX(WMON,H127)))</f>
        <v/>
      </c>
      <c r="J127" s="0" t="str">
        <f aca="false">IF(OR(G127="",H127="",B127=""),"",IF(B127="عمر المصري",SUMIFS('ساعات عمر'!$H$7:$H$642,'ساعات عمر'!$A$7:$A$642,"&gt;="&amp;(SAT1+7*(H127-1)),'ساعات عمر'!$A$7:$A$642,"&lt;="&amp;G127),SUMIFS('ساعات عبدالعزيز'!$F$7:$F$642,'ساعات عبدالعزيز'!$A$7:$A$642,"&gt;="&amp;(SAT1+7*(H127-1)),'ساعات عبدالعزيز'!$A$7:$A$642,"&lt;="&amp;G127)))</f>
        <v/>
      </c>
    </row>
    <row r="128" customFormat="false" ht="15" hidden="false" customHeight="false" outlineLevel="0" collapsed="false">
      <c r="A128" s="57"/>
      <c r="B128" s="30"/>
      <c r="C128" s="58"/>
      <c r="D128" s="59"/>
      <c r="E128" s="60" t="str">
        <f aca="false">IF(A128="","",IF(G128="","⛔ التاريخ غلط — اكتبه كامل 05/10/2026 أو اختاره من القائمة",IF(OR(H128&lt;1,H128&gt;NW),"⛔ التاريخ برّا السنة",IF(AND(N(C128)&gt;0,N(J128)&gt;0,C128&gt;ADV_CAP*J128),"⚠️ أكثر من "&amp;TEXT(ADV_CAP,"0%")&amp;" من شغله ("&amp;TEXT(J128,"0.000")&amp;")",""))))</f>
        <v/>
      </c>
      <c r="G128" s="0" t="str">
        <f aca="false">IF(A128="","",IF(ISNUMBER(A128),IF(A128&gt;=36526,A128,""),IFERROR(DATEVALUE(A128),"")))</f>
        <v/>
      </c>
      <c r="H128" s="0" t="str">
        <f aca="false">IF(G128="","",INT((G128-SAT1)/7)+1)</f>
        <v/>
      </c>
      <c r="I128" s="0" t="str">
        <f aca="false">IF(H128="","",IF(OR(H128&lt;1,H128&gt;NW),"",INDEX(WMON,H128)))</f>
        <v/>
      </c>
      <c r="J128" s="0" t="str">
        <f aca="false">IF(OR(G128="",H128="",B128=""),"",IF(B128="عمر المصري",SUMIFS('ساعات عمر'!$H$7:$H$642,'ساعات عمر'!$A$7:$A$642,"&gt;="&amp;(SAT1+7*(H128-1)),'ساعات عمر'!$A$7:$A$642,"&lt;="&amp;G128),SUMIFS('ساعات عبدالعزيز'!$F$7:$F$642,'ساعات عبدالعزيز'!$A$7:$A$642,"&gt;="&amp;(SAT1+7*(H128-1)),'ساعات عبدالعزيز'!$A$7:$A$642,"&lt;="&amp;G128)))</f>
        <v/>
      </c>
    </row>
    <row r="129" customFormat="false" ht="15" hidden="false" customHeight="false" outlineLevel="0" collapsed="false">
      <c r="A129" s="57"/>
      <c r="B129" s="30"/>
      <c r="C129" s="58"/>
      <c r="D129" s="59"/>
      <c r="E129" s="60" t="str">
        <f aca="false">IF(A129="","",IF(G129="","⛔ التاريخ غلط — اكتبه كامل 05/10/2026 أو اختاره من القائمة",IF(OR(H129&lt;1,H129&gt;NW),"⛔ التاريخ برّا السنة",IF(AND(N(C129)&gt;0,N(J129)&gt;0,C129&gt;ADV_CAP*J129),"⚠️ أكثر من "&amp;TEXT(ADV_CAP,"0%")&amp;" من شغله ("&amp;TEXT(J129,"0.000")&amp;")",""))))</f>
        <v/>
      </c>
      <c r="G129" s="0" t="str">
        <f aca="false">IF(A129="","",IF(ISNUMBER(A129),IF(A129&gt;=36526,A129,""),IFERROR(DATEVALUE(A129),"")))</f>
        <v/>
      </c>
      <c r="H129" s="0" t="str">
        <f aca="false">IF(G129="","",INT((G129-SAT1)/7)+1)</f>
        <v/>
      </c>
      <c r="I129" s="0" t="str">
        <f aca="false">IF(H129="","",IF(OR(H129&lt;1,H129&gt;NW),"",INDEX(WMON,H129)))</f>
        <v/>
      </c>
      <c r="J129" s="0" t="str">
        <f aca="false">IF(OR(G129="",H129="",B129=""),"",IF(B129="عمر المصري",SUMIFS('ساعات عمر'!$H$7:$H$642,'ساعات عمر'!$A$7:$A$642,"&gt;="&amp;(SAT1+7*(H129-1)),'ساعات عمر'!$A$7:$A$642,"&lt;="&amp;G129),SUMIFS('ساعات عبدالعزيز'!$F$7:$F$642,'ساعات عبدالعزيز'!$A$7:$A$642,"&gt;="&amp;(SAT1+7*(H129-1)),'ساعات عبدالعزيز'!$A$7:$A$642,"&lt;="&amp;G129)))</f>
        <v/>
      </c>
    </row>
    <row r="130" customFormat="false" ht="15" hidden="false" customHeight="false" outlineLevel="0" collapsed="false">
      <c r="A130" s="57"/>
      <c r="B130" s="30"/>
      <c r="C130" s="58"/>
      <c r="D130" s="59"/>
      <c r="E130" s="60" t="str">
        <f aca="false">IF(A130="","",IF(G130="","⛔ التاريخ غلط — اكتبه كامل 05/10/2026 أو اختاره من القائمة",IF(OR(H130&lt;1,H130&gt;NW),"⛔ التاريخ برّا السنة",IF(AND(N(C130)&gt;0,N(J130)&gt;0,C130&gt;ADV_CAP*J130),"⚠️ أكثر من "&amp;TEXT(ADV_CAP,"0%")&amp;" من شغله ("&amp;TEXT(J130,"0.000")&amp;")",""))))</f>
        <v/>
      </c>
      <c r="G130" s="0" t="str">
        <f aca="false">IF(A130="","",IF(ISNUMBER(A130),IF(A130&gt;=36526,A130,""),IFERROR(DATEVALUE(A130),"")))</f>
        <v/>
      </c>
      <c r="H130" s="0" t="str">
        <f aca="false">IF(G130="","",INT((G130-SAT1)/7)+1)</f>
        <v/>
      </c>
      <c r="I130" s="0" t="str">
        <f aca="false">IF(H130="","",IF(OR(H130&lt;1,H130&gt;NW),"",INDEX(WMON,H130)))</f>
        <v/>
      </c>
      <c r="J130" s="0" t="str">
        <f aca="false">IF(OR(G130="",H130="",B130=""),"",IF(B130="عمر المصري",SUMIFS('ساعات عمر'!$H$7:$H$642,'ساعات عمر'!$A$7:$A$642,"&gt;="&amp;(SAT1+7*(H130-1)),'ساعات عمر'!$A$7:$A$642,"&lt;="&amp;G130),SUMIFS('ساعات عبدالعزيز'!$F$7:$F$642,'ساعات عبدالعزيز'!$A$7:$A$642,"&gt;="&amp;(SAT1+7*(H130-1)),'ساعات عبدالعزيز'!$A$7:$A$642,"&lt;="&amp;G130)))</f>
        <v/>
      </c>
    </row>
    <row r="131" customFormat="false" ht="15" hidden="false" customHeight="false" outlineLevel="0" collapsed="false">
      <c r="A131" s="57"/>
      <c r="B131" s="30"/>
      <c r="C131" s="58"/>
      <c r="D131" s="59"/>
      <c r="E131" s="60" t="str">
        <f aca="false">IF(A131="","",IF(G131="","⛔ التاريخ غلط — اكتبه كامل 05/10/2026 أو اختاره من القائمة",IF(OR(H131&lt;1,H131&gt;NW),"⛔ التاريخ برّا السنة",IF(AND(N(C131)&gt;0,N(J131)&gt;0,C131&gt;ADV_CAP*J131),"⚠️ أكثر من "&amp;TEXT(ADV_CAP,"0%")&amp;" من شغله ("&amp;TEXT(J131,"0.000")&amp;")",""))))</f>
        <v/>
      </c>
      <c r="G131" s="0" t="str">
        <f aca="false">IF(A131="","",IF(ISNUMBER(A131),IF(A131&gt;=36526,A131,""),IFERROR(DATEVALUE(A131),"")))</f>
        <v/>
      </c>
      <c r="H131" s="0" t="str">
        <f aca="false">IF(G131="","",INT((G131-SAT1)/7)+1)</f>
        <v/>
      </c>
      <c r="I131" s="0" t="str">
        <f aca="false">IF(H131="","",IF(OR(H131&lt;1,H131&gt;NW),"",INDEX(WMON,H131)))</f>
        <v/>
      </c>
      <c r="J131" s="0" t="str">
        <f aca="false">IF(OR(G131="",H131="",B131=""),"",IF(B131="عمر المصري",SUMIFS('ساعات عمر'!$H$7:$H$642,'ساعات عمر'!$A$7:$A$642,"&gt;="&amp;(SAT1+7*(H131-1)),'ساعات عمر'!$A$7:$A$642,"&lt;="&amp;G131),SUMIFS('ساعات عبدالعزيز'!$F$7:$F$642,'ساعات عبدالعزيز'!$A$7:$A$642,"&gt;="&amp;(SAT1+7*(H131-1)),'ساعات عبدالعزيز'!$A$7:$A$642,"&lt;="&amp;G131)))</f>
        <v/>
      </c>
    </row>
    <row r="132" customFormat="false" ht="15" hidden="false" customHeight="false" outlineLevel="0" collapsed="false">
      <c r="A132" s="57"/>
      <c r="B132" s="30"/>
      <c r="C132" s="58"/>
      <c r="D132" s="59"/>
      <c r="E132" s="60" t="str">
        <f aca="false">IF(A132="","",IF(G132="","⛔ التاريخ غلط — اكتبه كامل 05/10/2026 أو اختاره من القائمة",IF(OR(H132&lt;1,H132&gt;NW),"⛔ التاريخ برّا السنة",IF(AND(N(C132)&gt;0,N(J132)&gt;0,C132&gt;ADV_CAP*J132),"⚠️ أكثر من "&amp;TEXT(ADV_CAP,"0%")&amp;" من شغله ("&amp;TEXT(J132,"0.000")&amp;")",""))))</f>
        <v/>
      </c>
      <c r="G132" s="0" t="str">
        <f aca="false">IF(A132="","",IF(ISNUMBER(A132),IF(A132&gt;=36526,A132,""),IFERROR(DATEVALUE(A132),"")))</f>
        <v/>
      </c>
      <c r="H132" s="0" t="str">
        <f aca="false">IF(G132="","",INT((G132-SAT1)/7)+1)</f>
        <v/>
      </c>
      <c r="I132" s="0" t="str">
        <f aca="false">IF(H132="","",IF(OR(H132&lt;1,H132&gt;NW),"",INDEX(WMON,H132)))</f>
        <v/>
      </c>
      <c r="J132" s="0" t="str">
        <f aca="false">IF(OR(G132="",H132="",B132=""),"",IF(B132="عمر المصري",SUMIFS('ساعات عمر'!$H$7:$H$642,'ساعات عمر'!$A$7:$A$642,"&gt;="&amp;(SAT1+7*(H132-1)),'ساعات عمر'!$A$7:$A$642,"&lt;="&amp;G132),SUMIFS('ساعات عبدالعزيز'!$F$7:$F$642,'ساعات عبدالعزيز'!$A$7:$A$642,"&gt;="&amp;(SAT1+7*(H132-1)),'ساعات عبدالعزيز'!$A$7:$A$642,"&lt;="&amp;G132)))</f>
        <v/>
      </c>
    </row>
    <row r="133" customFormat="false" ht="15" hidden="false" customHeight="false" outlineLevel="0" collapsed="false">
      <c r="A133" s="57"/>
      <c r="B133" s="30"/>
      <c r="C133" s="58"/>
      <c r="D133" s="59"/>
      <c r="E133" s="60" t="str">
        <f aca="false">IF(A133="","",IF(G133="","⛔ التاريخ غلط — اكتبه كامل 05/10/2026 أو اختاره من القائمة",IF(OR(H133&lt;1,H133&gt;NW),"⛔ التاريخ برّا السنة",IF(AND(N(C133)&gt;0,N(J133)&gt;0,C133&gt;ADV_CAP*J133),"⚠️ أكثر من "&amp;TEXT(ADV_CAP,"0%")&amp;" من شغله ("&amp;TEXT(J133,"0.000")&amp;")",""))))</f>
        <v/>
      </c>
      <c r="G133" s="0" t="str">
        <f aca="false">IF(A133="","",IF(ISNUMBER(A133),IF(A133&gt;=36526,A133,""),IFERROR(DATEVALUE(A133),"")))</f>
        <v/>
      </c>
      <c r="H133" s="0" t="str">
        <f aca="false">IF(G133="","",INT((G133-SAT1)/7)+1)</f>
        <v/>
      </c>
      <c r="I133" s="0" t="str">
        <f aca="false">IF(H133="","",IF(OR(H133&lt;1,H133&gt;NW),"",INDEX(WMON,H133)))</f>
        <v/>
      </c>
      <c r="J133" s="0" t="str">
        <f aca="false">IF(OR(G133="",H133="",B133=""),"",IF(B133="عمر المصري",SUMIFS('ساعات عمر'!$H$7:$H$642,'ساعات عمر'!$A$7:$A$642,"&gt;="&amp;(SAT1+7*(H133-1)),'ساعات عمر'!$A$7:$A$642,"&lt;="&amp;G133),SUMIFS('ساعات عبدالعزيز'!$F$7:$F$642,'ساعات عبدالعزيز'!$A$7:$A$642,"&gt;="&amp;(SAT1+7*(H133-1)),'ساعات عبدالعزيز'!$A$7:$A$642,"&lt;="&amp;G133)))</f>
        <v/>
      </c>
    </row>
    <row r="134" customFormat="false" ht="15" hidden="false" customHeight="false" outlineLevel="0" collapsed="false">
      <c r="A134" s="57"/>
      <c r="B134" s="30"/>
      <c r="C134" s="58"/>
      <c r="D134" s="59"/>
      <c r="E134" s="60" t="str">
        <f aca="false">IF(A134="","",IF(G134="","⛔ التاريخ غلط — اكتبه كامل 05/10/2026 أو اختاره من القائمة",IF(OR(H134&lt;1,H134&gt;NW),"⛔ التاريخ برّا السنة",IF(AND(N(C134)&gt;0,N(J134)&gt;0,C134&gt;ADV_CAP*J134),"⚠️ أكثر من "&amp;TEXT(ADV_CAP,"0%")&amp;" من شغله ("&amp;TEXT(J134,"0.000")&amp;")",""))))</f>
        <v/>
      </c>
      <c r="G134" s="0" t="str">
        <f aca="false">IF(A134="","",IF(ISNUMBER(A134),IF(A134&gt;=36526,A134,""),IFERROR(DATEVALUE(A134),"")))</f>
        <v/>
      </c>
      <c r="H134" s="0" t="str">
        <f aca="false">IF(G134="","",INT((G134-SAT1)/7)+1)</f>
        <v/>
      </c>
      <c r="I134" s="0" t="str">
        <f aca="false">IF(H134="","",IF(OR(H134&lt;1,H134&gt;NW),"",INDEX(WMON,H134)))</f>
        <v/>
      </c>
      <c r="J134" s="0" t="str">
        <f aca="false">IF(OR(G134="",H134="",B134=""),"",IF(B134="عمر المصري",SUMIFS('ساعات عمر'!$H$7:$H$642,'ساعات عمر'!$A$7:$A$642,"&gt;="&amp;(SAT1+7*(H134-1)),'ساعات عمر'!$A$7:$A$642,"&lt;="&amp;G134),SUMIFS('ساعات عبدالعزيز'!$F$7:$F$642,'ساعات عبدالعزيز'!$A$7:$A$642,"&gt;="&amp;(SAT1+7*(H134-1)),'ساعات عبدالعزيز'!$A$7:$A$642,"&lt;="&amp;G134)))</f>
        <v/>
      </c>
    </row>
    <row r="135" customFormat="false" ht="15" hidden="false" customHeight="false" outlineLevel="0" collapsed="false">
      <c r="A135" s="57"/>
      <c r="B135" s="30"/>
      <c r="C135" s="58"/>
      <c r="D135" s="59"/>
      <c r="E135" s="60" t="str">
        <f aca="false">IF(A135="","",IF(G135="","⛔ التاريخ غلط — اكتبه كامل 05/10/2026 أو اختاره من القائمة",IF(OR(H135&lt;1,H135&gt;NW),"⛔ التاريخ برّا السنة",IF(AND(N(C135)&gt;0,N(J135)&gt;0,C135&gt;ADV_CAP*J135),"⚠️ أكثر من "&amp;TEXT(ADV_CAP,"0%")&amp;" من شغله ("&amp;TEXT(J135,"0.000")&amp;")",""))))</f>
        <v/>
      </c>
      <c r="G135" s="0" t="str">
        <f aca="false">IF(A135="","",IF(ISNUMBER(A135),IF(A135&gt;=36526,A135,""),IFERROR(DATEVALUE(A135),"")))</f>
        <v/>
      </c>
      <c r="H135" s="0" t="str">
        <f aca="false">IF(G135="","",INT((G135-SAT1)/7)+1)</f>
        <v/>
      </c>
      <c r="I135" s="0" t="str">
        <f aca="false">IF(H135="","",IF(OR(H135&lt;1,H135&gt;NW),"",INDEX(WMON,H135)))</f>
        <v/>
      </c>
      <c r="J135" s="0" t="str">
        <f aca="false">IF(OR(G135="",H135="",B135=""),"",IF(B135="عمر المصري",SUMIFS('ساعات عمر'!$H$7:$H$642,'ساعات عمر'!$A$7:$A$642,"&gt;="&amp;(SAT1+7*(H135-1)),'ساعات عمر'!$A$7:$A$642,"&lt;="&amp;G135),SUMIFS('ساعات عبدالعزيز'!$F$7:$F$642,'ساعات عبدالعزيز'!$A$7:$A$642,"&gt;="&amp;(SAT1+7*(H135-1)),'ساعات عبدالعزيز'!$A$7:$A$642,"&lt;="&amp;G135)))</f>
        <v/>
      </c>
    </row>
    <row r="136" customFormat="false" ht="15" hidden="false" customHeight="false" outlineLevel="0" collapsed="false">
      <c r="A136" s="57"/>
      <c r="B136" s="30"/>
      <c r="C136" s="58"/>
      <c r="D136" s="59"/>
      <c r="E136" s="60" t="str">
        <f aca="false">IF(A136="","",IF(G136="","⛔ التاريخ غلط — اكتبه كامل 05/10/2026 أو اختاره من القائمة",IF(OR(H136&lt;1,H136&gt;NW),"⛔ التاريخ برّا السنة",IF(AND(N(C136)&gt;0,N(J136)&gt;0,C136&gt;ADV_CAP*J136),"⚠️ أكثر من "&amp;TEXT(ADV_CAP,"0%")&amp;" من شغله ("&amp;TEXT(J136,"0.000")&amp;")",""))))</f>
        <v/>
      </c>
      <c r="G136" s="0" t="str">
        <f aca="false">IF(A136="","",IF(ISNUMBER(A136),IF(A136&gt;=36526,A136,""),IFERROR(DATEVALUE(A136),"")))</f>
        <v/>
      </c>
      <c r="H136" s="0" t="str">
        <f aca="false">IF(G136="","",INT((G136-SAT1)/7)+1)</f>
        <v/>
      </c>
      <c r="I136" s="0" t="str">
        <f aca="false">IF(H136="","",IF(OR(H136&lt;1,H136&gt;NW),"",INDEX(WMON,H136)))</f>
        <v/>
      </c>
      <c r="J136" s="0" t="str">
        <f aca="false">IF(OR(G136="",H136="",B136=""),"",IF(B136="عمر المصري",SUMIFS('ساعات عمر'!$H$7:$H$642,'ساعات عمر'!$A$7:$A$642,"&gt;="&amp;(SAT1+7*(H136-1)),'ساعات عمر'!$A$7:$A$642,"&lt;="&amp;G136),SUMIFS('ساعات عبدالعزيز'!$F$7:$F$642,'ساعات عبدالعزيز'!$A$7:$A$642,"&gt;="&amp;(SAT1+7*(H136-1)),'ساعات عبدالعزيز'!$A$7:$A$642,"&lt;="&amp;G136)))</f>
        <v/>
      </c>
    </row>
    <row r="137" customFormat="false" ht="15" hidden="false" customHeight="false" outlineLevel="0" collapsed="false">
      <c r="A137" s="57"/>
      <c r="B137" s="30"/>
      <c r="C137" s="58"/>
      <c r="D137" s="59"/>
      <c r="E137" s="60" t="str">
        <f aca="false">IF(A137="","",IF(G137="","⛔ التاريخ غلط — اكتبه كامل 05/10/2026 أو اختاره من القائمة",IF(OR(H137&lt;1,H137&gt;NW),"⛔ التاريخ برّا السنة",IF(AND(N(C137)&gt;0,N(J137)&gt;0,C137&gt;ADV_CAP*J137),"⚠️ أكثر من "&amp;TEXT(ADV_CAP,"0%")&amp;" من شغله ("&amp;TEXT(J137,"0.000")&amp;")",""))))</f>
        <v/>
      </c>
      <c r="G137" s="0" t="str">
        <f aca="false">IF(A137="","",IF(ISNUMBER(A137),IF(A137&gt;=36526,A137,""),IFERROR(DATEVALUE(A137),"")))</f>
        <v/>
      </c>
      <c r="H137" s="0" t="str">
        <f aca="false">IF(G137="","",INT((G137-SAT1)/7)+1)</f>
        <v/>
      </c>
      <c r="I137" s="0" t="str">
        <f aca="false">IF(H137="","",IF(OR(H137&lt;1,H137&gt;NW),"",INDEX(WMON,H137)))</f>
        <v/>
      </c>
      <c r="J137" s="0" t="str">
        <f aca="false">IF(OR(G137="",H137="",B137=""),"",IF(B137="عمر المصري",SUMIFS('ساعات عمر'!$H$7:$H$642,'ساعات عمر'!$A$7:$A$642,"&gt;="&amp;(SAT1+7*(H137-1)),'ساعات عمر'!$A$7:$A$642,"&lt;="&amp;G137),SUMIFS('ساعات عبدالعزيز'!$F$7:$F$642,'ساعات عبدالعزيز'!$A$7:$A$642,"&gt;="&amp;(SAT1+7*(H137-1)),'ساعات عبدالعزيز'!$A$7:$A$642,"&lt;="&amp;G137)))</f>
        <v/>
      </c>
    </row>
    <row r="138" customFormat="false" ht="15" hidden="false" customHeight="false" outlineLevel="0" collapsed="false">
      <c r="A138" s="57"/>
      <c r="B138" s="30"/>
      <c r="C138" s="58"/>
      <c r="D138" s="59"/>
      <c r="E138" s="60" t="str">
        <f aca="false">IF(A138="","",IF(G138="","⛔ التاريخ غلط — اكتبه كامل 05/10/2026 أو اختاره من القائمة",IF(OR(H138&lt;1,H138&gt;NW),"⛔ التاريخ برّا السنة",IF(AND(N(C138)&gt;0,N(J138)&gt;0,C138&gt;ADV_CAP*J138),"⚠️ أكثر من "&amp;TEXT(ADV_CAP,"0%")&amp;" من شغله ("&amp;TEXT(J138,"0.000")&amp;")",""))))</f>
        <v/>
      </c>
      <c r="G138" s="0" t="str">
        <f aca="false">IF(A138="","",IF(ISNUMBER(A138),IF(A138&gt;=36526,A138,""),IFERROR(DATEVALUE(A138),"")))</f>
        <v/>
      </c>
      <c r="H138" s="0" t="str">
        <f aca="false">IF(G138="","",INT((G138-SAT1)/7)+1)</f>
        <v/>
      </c>
      <c r="I138" s="0" t="str">
        <f aca="false">IF(H138="","",IF(OR(H138&lt;1,H138&gt;NW),"",INDEX(WMON,H138)))</f>
        <v/>
      </c>
      <c r="J138" s="0" t="str">
        <f aca="false">IF(OR(G138="",H138="",B138=""),"",IF(B138="عمر المصري",SUMIFS('ساعات عمر'!$H$7:$H$642,'ساعات عمر'!$A$7:$A$642,"&gt;="&amp;(SAT1+7*(H138-1)),'ساعات عمر'!$A$7:$A$642,"&lt;="&amp;G138),SUMIFS('ساعات عبدالعزيز'!$F$7:$F$642,'ساعات عبدالعزيز'!$A$7:$A$642,"&gt;="&amp;(SAT1+7*(H138-1)),'ساعات عبدالعزيز'!$A$7:$A$642,"&lt;="&amp;G138)))</f>
        <v/>
      </c>
    </row>
    <row r="139" customFormat="false" ht="15" hidden="false" customHeight="false" outlineLevel="0" collapsed="false">
      <c r="A139" s="57"/>
      <c r="B139" s="30"/>
      <c r="C139" s="58"/>
      <c r="D139" s="59"/>
      <c r="E139" s="60" t="str">
        <f aca="false">IF(A139="","",IF(G139="","⛔ التاريخ غلط — اكتبه كامل 05/10/2026 أو اختاره من القائمة",IF(OR(H139&lt;1,H139&gt;NW),"⛔ التاريخ برّا السنة",IF(AND(N(C139)&gt;0,N(J139)&gt;0,C139&gt;ADV_CAP*J139),"⚠️ أكثر من "&amp;TEXT(ADV_CAP,"0%")&amp;" من شغله ("&amp;TEXT(J139,"0.000")&amp;")",""))))</f>
        <v/>
      </c>
      <c r="G139" s="0" t="str">
        <f aca="false">IF(A139="","",IF(ISNUMBER(A139),IF(A139&gt;=36526,A139,""),IFERROR(DATEVALUE(A139),"")))</f>
        <v/>
      </c>
      <c r="H139" s="0" t="str">
        <f aca="false">IF(G139="","",INT((G139-SAT1)/7)+1)</f>
        <v/>
      </c>
      <c r="I139" s="0" t="str">
        <f aca="false">IF(H139="","",IF(OR(H139&lt;1,H139&gt;NW),"",INDEX(WMON,H139)))</f>
        <v/>
      </c>
      <c r="J139" s="0" t="str">
        <f aca="false">IF(OR(G139="",H139="",B139=""),"",IF(B139="عمر المصري",SUMIFS('ساعات عمر'!$H$7:$H$642,'ساعات عمر'!$A$7:$A$642,"&gt;="&amp;(SAT1+7*(H139-1)),'ساعات عمر'!$A$7:$A$642,"&lt;="&amp;G139),SUMIFS('ساعات عبدالعزيز'!$F$7:$F$642,'ساعات عبدالعزيز'!$A$7:$A$642,"&gt;="&amp;(SAT1+7*(H139-1)),'ساعات عبدالعزيز'!$A$7:$A$642,"&lt;="&amp;G139)))</f>
        <v/>
      </c>
    </row>
    <row r="140" customFormat="false" ht="15" hidden="false" customHeight="false" outlineLevel="0" collapsed="false">
      <c r="A140" s="57"/>
      <c r="B140" s="30"/>
      <c r="C140" s="58"/>
      <c r="D140" s="59"/>
      <c r="E140" s="60" t="str">
        <f aca="false">IF(A140="","",IF(G140="","⛔ التاريخ غلط — اكتبه كامل 05/10/2026 أو اختاره من القائمة",IF(OR(H140&lt;1,H140&gt;NW),"⛔ التاريخ برّا السنة",IF(AND(N(C140)&gt;0,N(J140)&gt;0,C140&gt;ADV_CAP*J140),"⚠️ أكثر من "&amp;TEXT(ADV_CAP,"0%")&amp;" من شغله ("&amp;TEXT(J140,"0.000")&amp;")",""))))</f>
        <v/>
      </c>
      <c r="G140" s="0" t="str">
        <f aca="false">IF(A140="","",IF(ISNUMBER(A140),IF(A140&gt;=36526,A140,""),IFERROR(DATEVALUE(A140),"")))</f>
        <v/>
      </c>
      <c r="H140" s="0" t="str">
        <f aca="false">IF(G140="","",INT((G140-SAT1)/7)+1)</f>
        <v/>
      </c>
      <c r="I140" s="0" t="str">
        <f aca="false">IF(H140="","",IF(OR(H140&lt;1,H140&gt;NW),"",INDEX(WMON,H140)))</f>
        <v/>
      </c>
      <c r="J140" s="0" t="str">
        <f aca="false">IF(OR(G140="",H140="",B140=""),"",IF(B140="عمر المصري",SUMIFS('ساعات عمر'!$H$7:$H$642,'ساعات عمر'!$A$7:$A$642,"&gt;="&amp;(SAT1+7*(H140-1)),'ساعات عمر'!$A$7:$A$642,"&lt;="&amp;G140),SUMIFS('ساعات عبدالعزيز'!$F$7:$F$642,'ساعات عبدالعزيز'!$A$7:$A$642,"&gt;="&amp;(SAT1+7*(H140-1)),'ساعات عبدالعزيز'!$A$7:$A$642,"&lt;="&amp;G140)))</f>
        <v/>
      </c>
    </row>
    <row r="141" customFormat="false" ht="15" hidden="false" customHeight="false" outlineLevel="0" collapsed="false">
      <c r="A141" s="57"/>
      <c r="B141" s="30"/>
      <c r="C141" s="58"/>
      <c r="D141" s="59"/>
      <c r="E141" s="60" t="str">
        <f aca="false">IF(A141="","",IF(G141="","⛔ التاريخ غلط — اكتبه كامل 05/10/2026 أو اختاره من القائمة",IF(OR(H141&lt;1,H141&gt;NW),"⛔ التاريخ برّا السنة",IF(AND(N(C141)&gt;0,N(J141)&gt;0,C141&gt;ADV_CAP*J141),"⚠️ أكثر من "&amp;TEXT(ADV_CAP,"0%")&amp;" من شغله ("&amp;TEXT(J141,"0.000")&amp;")",""))))</f>
        <v/>
      </c>
      <c r="G141" s="0" t="str">
        <f aca="false">IF(A141="","",IF(ISNUMBER(A141),IF(A141&gt;=36526,A141,""),IFERROR(DATEVALUE(A141),"")))</f>
        <v/>
      </c>
      <c r="H141" s="0" t="str">
        <f aca="false">IF(G141="","",INT((G141-SAT1)/7)+1)</f>
        <v/>
      </c>
      <c r="I141" s="0" t="str">
        <f aca="false">IF(H141="","",IF(OR(H141&lt;1,H141&gt;NW),"",INDEX(WMON,H141)))</f>
        <v/>
      </c>
      <c r="J141" s="0" t="str">
        <f aca="false">IF(OR(G141="",H141="",B141=""),"",IF(B141="عمر المصري",SUMIFS('ساعات عمر'!$H$7:$H$642,'ساعات عمر'!$A$7:$A$642,"&gt;="&amp;(SAT1+7*(H141-1)),'ساعات عمر'!$A$7:$A$642,"&lt;="&amp;G141),SUMIFS('ساعات عبدالعزيز'!$F$7:$F$642,'ساعات عبدالعزيز'!$A$7:$A$642,"&gt;="&amp;(SAT1+7*(H141-1)),'ساعات عبدالعزيز'!$A$7:$A$642,"&lt;="&amp;G141)))</f>
        <v/>
      </c>
    </row>
    <row r="142" customFormat="false" ht="15" hidden="false" customHeight="false" outlineLevel="0" collapsed="false">
      <c r="A142" s="57"/>
      <c r="B142" s="30"/>
      <c r="C142" s="58"/>
      <c r="D142" s="59"/>
      <c r="E142" s="60" t="str">
        <f aca="false">IF(A142="","",IF(G142="","⛔ التاريخ غلط — اكتبه كامل 05/10/2026 أو اختاره من القائمة",IF(OR(H142&lt;1,H142&gt;NW),"⛔ التاريخ برّا السنة",IF(AND(N(C142)&gt;0,N(J142)&gt;0,C142&gt;ADV_CAP*J142),"⚠️ أكثر من "&amp;TEXT(ADV_CAP,"0%")&amp;" من شغله ("&amp;TEXT(J142,"0.000")&amp;")",""))))</f>
        <v/>
      </c>
      <c r="G142" s="0" t="str">
        <f aca="false">IF(A142="","",IF(ISNUMBER(A142),IF(A142&gt;=36526,A142,""),IFERROR(DATEVALUE(A142),"")))</f>
        <v/>
      </c>
      <c r="H142" s="0" t="str">
        <f aca="false">IF(G142="","",INT((G142-SAT1)/7)+1)</f>
        <v/>
      </c>
      <c r="I142" s="0" t="str">
        <f aca="false">IF(H142="","",IF(OR(H142&lt;1,H142&gt;NW),"",INDEX(WMON,H142)))</f>
        <v/>
      </c>
      <c r="J142" s="0" t="str">
        <f aca="false">IF(OR(G142="",H142="",B142=""),"",IF(B142="عمر المصري",SUMIFS('ساعات عمر'!$H$7:$H$642,'ساعات عمر'!$A$7:$A$642,"&gt;="&amp;(SAT1+7*(H142-1)),'ساعات عمر'!$A$7:$A$642,"&lt;="&amp;G142),SUMIFS('ساعات عبدالعزيز'!$F$7:$F$642,'ساعات عبدالعزيز'!$A$7:$A$642,"&gt;="&amp;(SAT1+7*(H142-1)),'ساعات عبدالعزيز'!$A$7:$A$642,"&lt;="&amp;G142)))</f>
        <v/>
      </c>
    </row>
    <row r="143" customFormat="false" ht="15" hidden="false" customHeight="false" outlineLevel="0" collapsed="false">
      <c r="A143" s="57"/>
      <c r="B143" s="30"/>
      <c r="C143" s="58"/>
      <c r="D143" s="59"/>
      <c r="E143" s="60" t="str">
        <f aca="false">IF(A143="","",IF(G143="","⛔ التاريخ غلط — اكتبه كامل 05/10/2026 أو اختاره من القائمة",IF(OR(H143&lt;1,H143&gt;NW),"⛔ التاريخ برّا السنة",IF(AND(N(C143)&gt;0,N(J143)&gt;0,C143&gt;ADV_CAP*J143),"⚠️ أكثر من "&amp;TEXT(ADV_CAP,"0%")&amp;" من شغله ("&amp;TEXT(J143,"0.000")&amp;")",""))))</f>
        <v/>
      </c>
      <c r="G143" s="0" t="str">
        <f aca="false">IF(A143="","",IF(ISNUMBER(A143),IF(A143&gt;=36526,A143,""),IFERROR(DATEVALUE(A143),"")))</f>
        <v/>
      </c>
      <c r="H143" s="0" t="str">
        <f aca="false">IF(G143="","",INT((G143-SAT1)/7)+1)</f>
        <v/>
      </c>
      <c r="I143" s="0" t="str">
        <f aca="false">IF(H143="","",IF(OR(H143&lt;1,H143&gt;NW),"",INDEX(WMON,H143)))</f>
        <v/>
      </c>
      <c r="J143" s="0" t="str">
        <f aca="false">IF(OR(G143="",H143="",B143=""),"",IF(B143="عمر المصري",SUMIFS('ساعات عمر'!$H$7:$H$642,'ساعات عمر'!$A$7:$A$642,"&gt;="&amp;(SAT1+7*(H143-1)),'ساعات عمر'!$A$7:$A$642,"&lt;="&amp;G143),SUMIFS('ساعات عبدالعزيز'!$F$7:$F$642,'ساعات عبدالعزيز'!$A$7:$A$642,"&gt;="&amp;(SAT1+7*(H143-1)),'ساعات عبدالعزيز'!$A$7:$A$642,"&lt;="&amp;G143)))</f>
        <v/>
      </c>
    </row>
    <row r="144" customFormat="false" ht="15" hidden="false" customHeight="false" outlineLevel="0" collapsed="false">
      <c r="A144" s="57"/>
      <c r="B144" s="30"/>
      <c r="C144" s="58"/>
      <c r="D144" s="59"/>
      <c r="E144" s="60" t="str">
        <f aca="false">IF(A144="","",IF(G144="","⛔ التاريخ غلط — اكتبه كامل 05/10/2026 أو اختاره من القائمة",IF(OR(H144&lt;1,H144&gt;NW),"⛔ التاريخ برّا السنة",IF(AND(N(C144)&gt;0,N(J144)&gt;0,C144&gt;ADV_CAP*J144),"⚠️ أكثر من "&amp;TEXT(ADV_CAP,"0%")&amp;" من شغله ("&amp;TEXT(J144,"0.000")&amp;")",""))))</f>
        <v/>
      </c>
      <c r="G144" s="0" t="str">
        <f aca="false">IF(A144="","",IF(ISNUMBER(A144),IF(A144&gt;=36526,A144,""),IFERROR(DATEVALUE(A144),"")))</f>
        <v/>
      </c>
      <c r="H144" s="0" t="str">
        <f aca="false">IF(G144="","",INT((G144-SAT1)/7)+1)</f>
        <v/>
      </c>
      <c r="I144" s="0" t="str">
        <f aca="false">IF(H144="","",IF(OR(H144&lt;1,H144&gt;NW),"",INDEX(WMON,H144)))</f>
        <v/>
      </c>
      <c r="J144" s="0" t="str">
        <f aca="false">IF(OR(G144="",H144="",B144=""),"",IF(B144="عمر المصري",SUMIFS('ساعات عمر'!$H$7:$H$642,'ساعات عمر'!$A$7:$A$642,"&gt;="&amp;(SAT1+7*(H144-1)),'ساعات عمر'!$A$7:$A$642,"&lt;="&amp;G144),SUMIFS('ساعات عبدالعزيز'!$F$7:$F$642,'ساعات عبدالعزيز'!$A$7:$A$642,"&gt;="&amp;(SAT1+7*(H144-1)),'ساعات عبدالعزيز'!$A$7:$A$642,"&lt;="&amp;G144)))</f>
        <v/>
      </c>
    </row>
    <row r="145" customFormat="false" ht="15" hidden="false" customHeight="false" outlineLevel="0" collapsed="false">
      <c r="A145" s="57"/>
      <c r="B145" s="30"/>
      <c r="C145" s="58"/>
      <c r="D145" s="59"/>
      <c r="E145" s="60" t="str">
        <f aca="false">IF(A145="","",IF(G145="","⛔ التاريخ غلط — اكتبه كامل 05/10/2026 أو اختاره من القائمة",IF(OR(H145&lt;1,H145&gt;NW),"⛔ التاريخ برّا السنة",IF(AND(N(C145)&gt;0,N(J145)&gt;0,C145&gt;ADV_CAP*J145),"⚠️ أكثر من "&amp;TEXT(ADV_CAP,"0%")&amp;" من شغله ("&amp;TEXT(J145,"0.000")&amp;")",""))))</f>
        <v/>
      </c>
      <c r="G145" s="0" t="str">
        <f aca="false">IF(A145="","",IF(ISNUMBER(A145),IF(A145&gt;=36526,A145,""),IFERROR(DATEVALUE(A145),"")))</f>
        <v/>
      </c>
      <c r="H145" s="0" t="str">
        <f aca="false">IF(G145="","",INT((G145-SAT1)/7)+1)</f>
        <v/>
      </c>
      <c r="I145" s="0" t="str">
        <f aca="false">IF(H145="","",IF(OR(H145&lt;1,H145&gt;NW),"",INDEX(WMON,H145)))</f>
        <v/>
      </c>
      <c r="J145" s="0" t="str">
        <f aca="false">IF(OR(G145="",H145="",B145=""),"",IF(B145="عمر المصري",SUMIFS('ساعات عمر'!$H$7:$H$642,'ساعات عمر'!$A$7:$A$642,"&gt;="&amp;(SAT1+7*(H145-1)),'ساعات عمر'!$A$7:$A$642,"&lt;="&amp;G145),SUMIFS('ساعات عبدالعزيز'!$F$7:$F$642,'ساعات عبدالعزيز'!$A$7:$A$642,"&gt;="&amp;(SAT1+7*(H145-1)),'ساعات عبدالعزيز'!$A$7:$A$642,"&lt;="&amp;G145)))</f>
        <v/>
      </c>
    </row>
    <row r="146" customFormat="false" ht="15" hidden="false" customHeight="false" outlineLevel="0" collapsed="false">
      <c r="A146" s="57"/>
      <c r="B146" s="30"/>
      <c r="C146" s="58"/>
      <c r="D146" s="59"/>
      <c r="E146" s="60" t="str">
        <f aca="false">IF(A146="","",IF(G146="","⛔ التاريخ غلط — اكتبه كامل 05/10/2026 أو اختاره من القائمة",IF(OR(H146&lt;1,H146&gt;NW),"⛔ التاريخ برّا السنة",IF(AND(N(C146)&gt;0,N(J146)&gt;0,C146&gt;ADV_CAP*J146),"⚠️ أكثر من "&amp;TEXT(ADV_CAP,"0%")&amp;" من شغله ("&amp;TEXT(J146,"0.000")&amp;")",""))))</f>
        <v/>
      </c>
      <c r="G146" s="0" t="str">
        <f aca="false">IF(A146="","",IF(ISNUMBER(A146),IF(A146&gt;=36526,A146,""),IFERROR(DATEVALUE(A146),"")))</f>
        <v/>
      </c>
      <c r="H146" s="0" t="str">
        <f aca="false">IF(G146="","",INT((G146-SAT1)/7)+1)</f>
        <v/>
      </c>
      <c r="I146" s="0" t="str">
        <f aca="false">IF(H146="","",IF(OR(H146&lt;1,H146&gt;NW),"",INDEX(WMON,H146)))</f>
        <v/>
      </c>
      <c r="J146" s="0" t="str">
        <f aca="false">IF(OR(G146="",H146="",B146=""),"",IF(B146="عمر المصري",SUMIFS('ساعات عمر'!$H$7:$H$642,'ساعات عمر'!$A$7:$A$642,"&gt;="&amp;(SAT1+7*(H146-1)),'ساعات عمر'!$A$7:$A$642,"&lt;="&amp;G146),SUMIFS('ساعات عبدالعزيز'!$F$7:$F$642,'ساعات عبدالعزيز'!$A$7:$A$642,"&gt;="&amp;(SAT1+7*(H146-1)),'ساعات عبدالعزيز'!$A$7:$A$642,"&lt;="&amp;G146)))</f>
        <v/>
      </c>
    </row>
    <row r="147" customFormat="false" ht="15" hidden="false" customHeight="false" outlineLevel="0" collapsed="false">
      <c r="A147" s="57"/>
      <c r="B147" s="30"/>
      <c r="C147" s="58"/>
      <c r="D147" s="59"/>
      <c r="E147" s="60" t="str">
        <f aca="false">IF(A147="","",IF(G147="","⛔ التاريخ غلط — اكتبه كامل 05/10/2026 أو اختاره من القائمة",IF(OR(H147&lt;1,H147&gt;NW),"⛔ التاريخ برّا السنة",IF(AND(N(C147)&gt;0,N(J147)&gt;0,C147&gt;ADV_CAP*J147),"⚠️ أكثر من "&amp;TEXT(ADV_CAP,"0%")&amp;" من شغله ("&amp;TEXT(J147,"0.000")&amp;")",""))))</f>
        <v/>
      </c>
      <c r="G147" s="0" t="str">
        <f aca="false">IF(A147="","",IF(ISNUMBER(A147),IF(A147&gt;=36526,A147,""),IFERROR(DATEVALUE(A147),"")))</f>
        <v/>
      </c>
      <c r="H147" s="0" t="str">
        <f aca="false">IF(G147="","",INT((G147-SAT1)/7)+1)</f>
        <v/>
      </c>
      <c r="I147" s="0" t="str">
        <f aca="false">IF(H147="","",IF(OR(H147&lt;1,H147&gt;NW),"",INDEX(WMON,H147)))</f>
        <v/>
      </c>
      <c r="J147" s="0" t="str">
        <f aca="false">IF(OR(G147="",H147="",B147=""),"",IF(B147="عمر المصري",SUMIFS('ساعات عمر'!$H$7:$H$642,'ساعات عمر'!$A$7:$A$642,"&gt;="&amp;(SAT1+7*(H147-1)),'ساعات عمر'!$A$7:$A$642,"&lt;="&amp;G147),SUMIFS('ساعات عبدالعزيز'!$F$7:$F$642,'ساعات عبدالعزيز'!$A$7:$A$642,"&gt;="&amp;(SAT1+7*(H147-1)),'ساعات عبدالعزيز'!$A$7:$A$642,"&lt;="&amp;G147)))</f>
        <v/>
      </c>
    </row>
    <row r="148" customFormat="false" ht="15" hidden="false" customHeight="false" outlineLevel="0" collapsed="false">
      <c r="A148" s="57"/>
      <c r="B148" s="30"/>
      <c r="C148" s="58"/>
      <c r="D148" s="59"/>
      <c r="E148" s="60" t="str">
        <f aca="false">IF(A148="","",IF(G148="","⛔ التاريخ غلط — اكتبه كامل 05/10/2026 أو اختاره من القائمة",IF(OR(H148&lt;1,H148&gt;NW),"⛔ التاريخ برّا السنة",IF(AND(N(C148)&gt;0,N(J148)&gt;0,C148&gt;ADV_CAP*J148),"⚠️ أكثر من "&amp;TEXT(ADV_CAP,"0%")&amp;" من شغله ("&amp;TEXT(J148,"0.000")&amp;")",""))))</f>
        <v/>
      </c>
      <c r="G148" s="0" t="str">
        <f aca="false">IF(A148="","",IF(ISNUMBER(A148),IF(A148&gt;=36526,A148,""),IFERROR(DATEVALUE(A148),"")))</f>
        <v/>
      </c>
      <c r="H148" s="0" t="str">
        <f aca="false">IF(G148="","",INT((G148-SAT1)/7)+1)</f>
        <v/>
      </c>
      <c r="I148" s="0" t="str">
        <f aca="false">IF(H148="","",IF(OR(H148&lt;1,H148&gt;NW),"",INDEX(WMON,H148)))</f>
        <v/>
      </c>
      <c r="J148" s="0" t="str">
        <f aca="false">IF(OR(G148="",H148="",B148=""),"",IF(B148="عمر المصري",SUMIFS('ساعات عمر'!$H$7:$H$642,'ساعات عمر'!$A$7:$A$642,"&gt;="&amp;(SAT1+7*(H148-1)),'ساعات عمر'!$A$7:$A$642,"&lt;="&amp;G148),SUMIFS('ساعات عبدالعزيز'!$F$7:$F$642,'ساعات عبدالعزيز'!$A$7:$A$642,"&gt;="&amp;(SAT1+7*(H148-1)),'ساعات عبدالعزيز'!$A$7:$A$642,"&lt;="&amp;G148)))</f>
        <v/>
      </c>
    </row>
    <row r="149" customFormat="false" ht="15" hidden="false" customHeight="false" outlineLevel="0" collapsed="false">
      <c r="A149" s="57"/>
      <c r="B149" s="30"/>
      <c r="C149" s="58"/>
      <c r="D149" s="59"/>
      <c r="E149" s="60" t="str">
        <f aca="false">IF(A149="","",IF(G149="","⛔ التاريخ غلط — اكتبه كامل 05/10/2026 أو اختاره من القائمة",IF(OR(H149&lt;1,H149&gt;NW),"⛔ التاريخ برّا السنة",IF(AND(N(C149)&gt;0,N(J149)&gt;0,C149&gt;ADV_CAP*J149),"⚠️ أكثر من "&amp;TEXT(ADV_CAP,"0%")&amp;" من شغله ("&amp;TEXT(J149,"0.000")&amp;")",""))))</f>
        <v/>
      </c>
      <c r="G149" s="0" t="str">
        <f aca="false">IF(A149="","",IF(ISNUMBER(A149),IF(A149&gt;=36526,A149,""),IFERROR(DATEVALUE(A149),"")))</f>
        <v/>
      </c>
      <c r="H149" s="0" t="str">
        <f aca="false">IF(G149="","",INT((G149-SAT1)/7)+1)</f>
        <v/>
      </c>
      <c r="I149" s="0" t="str">
        <f aca="false">IF(H149="","",IF(OR(H149&lt;1,H149&gt;NW),"",INDEX(WMON,H149)))</f>
        <v/>
      </c>
      <c r="J149" s="0" t="str">
        <f aca="false">IF(OR(G149="",H149="",B149=""),"",IF(B149="عمر المصري",SUMIFS('ساعات عمر'!$H$7:$H$642,'ساعات عمر'!$A$7:$A$642,"&gt;="&amp;(SAT1+7*(H149-1)),'ساعات عمر'!$A$7:$A$642,"&lt;="&amp;G149),SUMIFS('ساعات عبدالعزيز'!$F$7:$F$642,'ساعات عبدالعزيز'!$A$7:$A$642,"&gt;="&amp;(SAT1+7*(H149-1)),'ساعات عبدالعزيز'!$A$7:$A$642,"&lt;="&amp;G149)))</f>
        <v/>
      </c>
    </row>
    <row r="150" customFormat="false" ht="15" hidden="false" customHeight="false" outlineLevel="0" collapsed="false">
      <c r="A150" s="57"/>
      <c r="B150" s="30"/>
      <c r="C150" s="58"/>
      <c r="D150" s="59"/>
      <c r="E150" s="60" t="str">
        <f aca="false">IF(A150="","",IF(G150="","⛔ التاريخ غلط — اكتبه كامل 05/10/2026 أو اختاره من القائمة",IF(OR(H150&lt;1,H150&gt;NW),"⛔ التاريخ برّا السنة",IF(AND(N(C150)&gt;0,N(J150)&gt;0,C150&gt;ADV_CAP*J150),"⚠️ أكثر من "&amp;TEXT(ADV_CAP,"0%")&amp;" من شغله ("&amp;TEXT(J150,"0.000")&amp;")",""))))</f>
        <v/>
      </c>
      <c r="G150" s="0" t="str">
        <f aca="false">IF(A150="","",IF(ISNUMBER(A150),IF(A150&gt;=36526,A150,""),IFERROR(DATEVALUE(A150),"")))</f>
        <v/>
      </c>
      <c r="H150" s="0" t="str">
        <f aca="false">IF(G150="","",INT((G150-SAT1)/7)+1)</f>
        <v/>
      </c>
      <c r="I150" s="0" t="str">
        <f aca="false">IF(H150="","",IF(OR(H150&lt;1,H150&gt;NW),"",INDEX(WMON,H150)))</f>
        <v/>
      </c>
      <c r="J150" s="0" t="str">
        <f aca="false">IF(OR(G150="",H150="",B150=""),"",IF(B150="عمر المصري",SUMIFS('ساعات عمر'!$H$7:$H$642,'ساعات عمر'!$A$7:$A$642,"&gt;="&amp;(SAT1+7*(H150-1)),'ساعات عمر'!$A$7:$A$642,"&lt;="&amp;G150),SUMIFS('ساعات عبدالعزيز'!$F$7:$F$642,'ساعات عبدالعزيز'!$A$7:$A$642,"&gt;="&amp;(SAT1+7*(H150-1)),'ساعات عبدالعزيز'!$A$7:$A$642,"&lt;="&amp;G150)))</f>
        <v/>
      </c>
    </row>
    <row r="151" customFormat="false" ht="15" hidden="false" customHeight="false" outlineLevel="0" collapsed="false">
      <c r="A151" s="57"/>
      <c r="B151" s="30"/>
      <c r="C151" s="58"/>
      <c r="D151" s="59"/>
      <c r="E151" s="60" t="str">
        <f aca="false">IF(A151="","",IF(G151="","⛔ التاريخ غلط — اكتبه كامل 05/10/2026 أو اختاره من القائمة",IF(OR(H151&lt;1,H151&gt;NW),"⛔ التاريخ برّا السنة",IF(AND(N(C151)&gt;0,N(J151)&gt;0,C151&gt;ADV_CAP*J151),"⚠️ أكثر من "&amp;TEXT(ADV_CAP,"0%")&amp;" من شغله ("&amp;TEXT(J151,"0.000")&amp;")",""))))</f>
        <v/>
      </c>
      <c r="G151" s="0" t="str">
        <f aca="false">IF(A151="","",IF(ISNUMBER(A151),IF(A151&gt;=36526,A151,""),IFERROR(DATEVALUE(A151),"")))</f>
        <v/>
      </c>
      <c r="H151" s="0" t="str">
        <f aca="false">IF(G151="","",INT((G151-SAT1)/7)+1)</f>
        <v/>
      </c>
      <c r="I151" s="0" t="str">
        <f aca="false">IF(H151="","",IF(OR(H151&lt;1,H151&gt;NW),"",INDEX(WMON,H151)))</f>
        <v/>
      </c>
      <c r="J151" s="0" t="str">
        <f aca="false">IF(OR(G151="",H151="",B151=""),"",IF(B151="عمر المصري",SUMIFS('ساعات عمر'!$H$7:$H$642,'ساعات عمر'!$A$7:$A$642,"&gt;="&amp;(SAT1+7*(H151-1)),'ساعات عمر'!$A$7:$A$642,"&lt;="&amp;G151),SUMIFS('ساعات عبدالعزيز'!$F$7:$F$642,'ساعات عبدالعزيز'!$A$7:$A$642,"&gt;="&amp;(SAT1+7*(H151-1)),'ساعات عبدالعزيز'!$A$7:$A$642,"&lt;="&amp;G151)))</f>
        <v/>
      </c>
    </row>
    <row r="152" customFormat="false" ht="15" hidden="false" customHeight="false" outlineLevel="0" collapsed="false">
      <c r="A152" s="57"/>
      <c r="B152" s="30"/>
      <c r="C152" s="58"/>
      <c r="D152" s="59"/>
      <c r="E152" s="60" t="str">
        <f aca="false">IF(A152="","",IF(G152="","⛔ التاريخ غلط — اكتبه كامل 05/10/2026 أو اختاره من القائمة",IF(OR(H152&lt;1,H152&gt;NW),"⛔ التاريخ برّا السنة",IF(AND(N(C152)&gt;0,N(J152)&gt;0,C152&gt;ADV_CAP*J152),"⚠️ أكثر من "&amp;TEXT(ADV_CAP,"0%")&amp;" من شغله ("&amp;TEXT(J152,"0.000")&amp;")",""))))</f>
        <v/>
      </c>
      <c r="G152" s="0" t="str">
        <f aca="false">IF(A152="","",IF(ISNUMBER(A152),IF(A152&gt;=36526,A152,""),IFERROR(DATEVALUE(A152),"")))</f>
        <v/>
      </c>
      <c r="H152" s="0" t="str">
        <f aca="false">IF(G152="","",INT((G152-SAT1)/7)+1)</f>
        <v/>
      </c>
      <c r="I152" s="0" t="str">
        <f aca="false">IF(H152="","",IF(OR(H152&lt;1,H152&gt;NW),"",INDEX(WMON,H152)))</f>
        <v/>
      </c>
      <c r="J152" s="0" t="str">
        <f aca="false">IF(OR(G152="",H152="",B152=""),"",IF(B152="عمر المصري",SUMIFS('ساعات عمر'!$H$7:$H$642,'ساعات عمر'!$A$7:$A$642,"&gt;="&amp;(SAT1+7*(H152-1)),'ساعات عمر'!$A$7:$A$642,"&lt;="&amp;G152),SUMIFS('ساعات عبدالعزيز'!$F$7:$F$642,'ساعات عبدالعزيز'!$A$7:$A$642,"&gt;="&amp;(SAT1+7*(H152-1)),'ساعات عبدالعزيز'!$A$7:$A$642,"&lt;="&amp;G152)))</f>
        <v/>
      </c>
    </row>
    <row r="153" customFormat="false" ht="15" hidden="false" customHeight="false" outlineLevel="0" collapsed="false">
      <c r="A153" s="57"/>
      <c r="B153" s="30"/>
      <c r="C153" s="58"/>
      <c r="D153" s="59"/>
      <c r="E153" s="60" t="str">
        <f aca="false">IF(A153="","",IF(G153="","⛔ التاريخ غلط — اكتبه كامل 05/10/2026 أو اختاره من القائمة",IF(OR(H153&lt;1,H153&gt;NW),"⛔ التاريخ برّا السنة",IF(AND(N(C153)&gt;0,N(J153)&gt;0,C153&gt;ADV_CAP*J153),"⚠️ أكثر من "&amp;TEXT(ADV_CAP,"0%")&amp;" من شغله ("&amp;TEXT(J153,"0.000")&amp;")",""))))</f>
        <v/>
      </c>
      <c r="G153" s="0" t="str">
        <f aca="false">IF(A153="","",IF(ISNUMBER(A153),IF(A153&gt;=36526,A153,""),IFERROR(DATEVALUE(A153),"")))</f>
        <v/>
      </c>
      <c r="H153" s="0" t="str">
        <f aca="false">IF(G153="","",INT((G153-SAT1)/7)+1)</f>
        <v/>
      </c>
      <c r="I153" s="0" t="str">
        <f aca="false">IF(H153="","",IF(OR(H153&lt;1,H153&gt;NW),"",INDEX(WMON,H153)))</f>
        <v/>
      </c>
      <c r="J153" s="0" t="str">
        <f aca="false">IF(OR(G153="",H153="",B153=""),"",IF(B153="عمر المصري",SUMIFS('ساعات عمر'!$H$7:$H$642,'ساعات عمر'!$A$7:$A$642,"&gt;="&amp;(SAT1+7*(H153-1)),'ساعات عمر'!$A$7:$A$642,"&lt;="&amp;G153),SUMIFS('ساعات عبدالعزيز'!$F$7:$F$642,'ساعات عبدالعزيز'!$A$7:$A$642,"&gt;="&amp;(SAT1+7*(H153-1)),'ساعات عبدالعزيز'!$A$7:$A$642,"&lt;="&amp;G153)))</f>
        <v/>
      </c>
    </row>
    <row r="154" customFormat="false" ht="15" hidden="false" customHeight="false" outlineLevel="0" collapsed="false">
      <c r="A154" s="57"/>
      <c r="B154" s="30"/>
      <c r="C154" s="58"/>
      <c r="D154" s="59"/>
      <c r="E154" s="60" t="str">
        <f aca="false">IF(A154="","",IF(G154="","⛔ التاريخ غلط — اكتبه كامل 05/10/2026 أو اختاره من القائمة",IF(OR(H154&lt;1,H154&gt;NW),"⛔ التاريخ برّا السنة",IF(AND(N(C154)&gt;0,N(J154)&gt;0,C154&gt;ADV_CAP*J154),"⚠️ أكثر من "&amp;TEXT(ADV_CAP,"0%")&amp;" من شغله ("&amp;TEXT(J154,"0.000")&amp;")",""))))</f>
        <v/>
      </c>
      <c r="G154" s="0" t="str">
        <f aca="false">IF(A154="","",IF(ISNUMBER(A154),IF(A154&gt;=36526,A154,""),IFERROR(DATEVALUE(A154),"")))</f>
        <v/>
      </c>
      <c r="H154" s="0" t="str">
        <f aca="false">IF(G154="","",INT((G154-SAT1)/7)+1)</f>
        <v/>
      </c>
      <c r="I154" s="0" t="str">
        <f aca="false">IF(H154="","",IF(OR(H154&lt;1,H154&gt;NW),"",INDEX(WMON,H154)))</f>
        <v/>
      </c>
      <c r="J154" s="0" t="str">
        <f aca="false">IF(OR(G154="",H154="",B154=""),"",IF(B154="عمر المصري",SUMIFS('ساعات عمر'!$H$7:$H$642,'ساعات عمر'!$A$7:$A$642,"&gt;="&amp;(SAT1+7*(H154-1)),'ساعات عمر'!$A$7:$A$642,"&lt;="&amp;G154),SUMIFS('ساعات عبدالعزيز'!$F$7:$F$642,'ساعات عبدالعزيز'!$A$7:$A$642,"&gt;="&amp;(SAT1+7*(H154-1)),'ساعات عبدالعزيز'!$A$7:$A$642,"&lt;="&amp;G154)))</f>
        <v/>
      </c>
    </row>
    <row r="155" customFormat="false" ht="15" hidden="false" customHeight="false" outlineLevel="0" collapsed="false">
      <c r="A155" s="57"/>
      <c r="B155" s="30"/>
      <c r="C155" s="58"/>
      <c r="D155" s="59"/>
      <c r="E155" s="60" t="str">
        <f aca="false">IF(A155="","",IF(G155="","⛔ التاريخ غلط — اكتبه كامل 05/10/2026 أو اختاره من القائمة",IF(OR(H155&lt;1,H155&gt;NW),"⛔ التاريخ برّا السنة",IF(AND(N(C155)&gt;0,N(J155)&gt;0,C155&gt;ADV_CAP*J155),"⚠️ أكثر من "&amp;TEXT(ADV_CAP,"0%")&amp;" من شغله ("&amp;TEXT(J155,"0.000")&amp;")",""))))</f>
        <v/>
      </c>
      <c r="G155" s="0" t="str">
        <f aca="false">IF(A155="","",IF(ISNUMBER(A155),IF(A155&gt;=36526,A155,""),IFERROR(DATEVALUE(A155),"")))</f>
        <v/>
      </c>
      <c r="H155" s="0" t="str">
        <f aca="false">IF(G155="","",INT((G155-SAT1)/7)+1)</f>
        <v/>
      </c>
      <c r="I155" s="0" t="str">
        <f aca="false">IF(H155="","",IF(OR(H155&lt;1,H155&gt;NW),"",INDEX(WMON,H155)))</f>
        <v/>
      </c>
      <c r="J155" s="0" t="str">
        <f aca="false">IF(OR(G155="",H155="",B155=""),"",IF(B155="عمر المصري",SUMIFS('ساعات عمر'!$H$7:$H$642,'ساعات عمر'!$A$7:$A$642,"&gt;="&amp;(SAT1+7*(H155-1)),'ساعات عمر'!$A$7:$A$642,"&lt;="&amp;G155),SUMIFS('ساعات عبدالعزيز'!$F$7:$F$642,'ساعات عبدالعزيز'!$A$7:$A$642,"&gt;="&amp;(SAT1+7*(H155-1)),'ساعات عبدالعزيز'!$A$7:$A$642,"&lt;="&amp;G155)))</f>
        <v/>
      </c>
    </row>
    <row r="156" customFormat="false" ht="15" hidden="false" customHeight="false" outlineLevel="0" collapsed="false">
      <c r="A156" s="57"/>
      <c r="B156" s="30"/>
      <c r="C156" s="58"/>
      <c r="D156" s="59"/>
      <c r="E156" s="60" t="str">
        <f aca="false">IF(A156="","",IF(G156="","⛔ التاريخ غلط — اكتبه كامل 05/10/2026 أو اختاره من القائمة",IF(OR(H156&lt;1,H156&gt;NW),"⛔ التاريخ برّا السنة",IF(AND(N(C156)&gt;0,N(J156)&gt;0,C156&gt;ADV_CAP*J156),"⚠️ أكثر من "&amp;TEXT(ADV_CAP,"0%")&amp;" من شغله ("&amp;TEXT(J156,"0.000")&amp;")",""))))</f>
        <v/>
      </c>
      <c r="G156" s="0" t="str">
        <f aca="false">IF(A156="","",IF(ISNUMBER(A156),IF(A156&gt;=36526,A156,""),IFERROR(DATEVALUE(A156),"")))</f>
        <v/>
      </c>
      <c r="H156" s="0" t="str">
        <f aca="false">IF(G156="","",INT((G156-SAT1)/7)+1)</f>
        <v/>
      </c>
      <c r="I156" s="0" t="str">
        <f aca="false">IF(H156="","",IF(OR(H156&lt;1,H156&gt;NW),"",INDEX(WMON,H156)))</f>
        <v/>
      </c>
      <c r="J156" s="0" t="str">
        <f aca="false">IF(OR(G156="",H156="",B156=""),"",IF(B156="عمر المصري",SUMIFS('ساعات عمر'!$H$7:$H$642,'ساعات عمر'!$A$7:$A$642,"&gt;="&amp;(SAT1+7*(H156-1)),'ساعات عمر'!$A$7:$A$642,"&lt;="&amp;G156),SUMIFS('ساعات عبدالعزيز'!$F$7:$F$642,'ساعات عبدالعزيز'!$A$7:$A$642,"&gt;="&amp;(SAT1+7*(H156-1)),'ساعات عبدالعزيز'!$A$7:$A$642,"&lt;="&amp;G156)))</f>
        <v/>
      </c>
    </row>
    <row r="157" customFormat="false" ht="15" hidden="false" customHeight="false" outlineLevel="0" collapsed="false">
      <c r="A157" s="57"/>
      <c r="B157" s="30"/>
      <c r="C157" s="58"/>
      <c r="D157" s="59"/>
      <c r="E157" s="60" t="str">
        <f aca="false">IF(A157="","",IF(G157="","⛔ التاريخ غلط — اكتبه كامل 05/10/2026 أو اختاره من القائمة",IF(OR(H157&lt;1,H157&gt;NW),"⛔ التاريخ برّا السنة",IF(AND(N(C157)&gt;0,N(J157)&gt;0,C157&gt;ADV_CAP*J157),"⚠️ أكثر من "&amp;TEXT(ADV_CAP,"0%")&amp;" من شغله ("&amp;TEXT(J157,"0.000")&amp;")",""))))</f>
        <v/>
      </c>
      <c r="G157" s="0" t="str">
        <f aca="false">IF(A157="","",IF(ISNUMBER(A157),IF(A157&gt;=36526,A157,""),IFERROR(DATEVALUE(A157),"")))</f>
        <v/>
      </c>
      <c r="H157" s="0" t="str">
        <f aca="false">IF(G157="","",INT((G157-SAT1)/7)+1)</f>
        <v/>
      </c>
      <c r="I157" s="0" t="str">
        <f aca="false">IF(H157="","",IF(OR(H157&lt;1,H157&gt;NW),"",INDEX(WMON,H157)))</f>
        <v/>
      </c>
      <c r="J157" s="0" t="str">
        <f aca="false">IF(OR(G157="",H157="",B157=""),"",IF(B157="عمر المصري",SUMIFS('ساعات عمر'!$H$7:$H$642,'ساعات عمر'!$A$7:$A$642,"&gt;="&amp;(SAT1+7*(H157-1)),'ساعات عمر'!$A$7:$A$642,"&lt;="&amp;G157),SUMIFS('ساعات عبدالعزيز'!$F$7:$F$642,'ساعات عبدالعزيز'!$A$7:$A$642,"&gt;="&amp;(SAT1+7*(H157-1)),'ساعات عبدالعزيز'!$A$7:$A$642,"&lt;="&amp;G157)))</f>
        <v/>
      </c>
    </row>
    <row r="158" customFormat="false" ht="15" hidden="false" customHeight="false" outlineLevel="0" collapsed="false">
      <c r="A158" s="57"/>
      <c r="B158" s="30"/>
      <c r="C158" s="58"/>
      <c r="D158" s="59"/>
      <c r="E158" s="60" t="str">
        <f aca="false">IF(A158="","",IF(G158="","⛔ التاريخ غلط — اكتبه كامل 05/10/2026 أو اختاره من القائمة",IF(OR(H158&lt;1,H158&gt;NW),"⛔ التاريخ برّا السنة",IF(AND(N(C158)&gt;0,N(J158)&gt;0,C158&gt;ADV_CAP*J158),"⚠️ أكثر من "&amp;TEXT(ADV_CAP,"0%")&amp;" من شغله ("&amp;TEXT(J158,"0.000")&amp;")",""))))</f>
        <v/>
      </c>
      <c r="G158" s="0" t="str">
        <f aca="false">IF(A158="","",IF(ISNUMBER(A158),IF(A158&gt;=36526,A158,""),IFERROR(DATEVALUE(A158),"")))</f>
        <v/>
      </c>
      <c r="H158" s="0" t="str">
        <f aca="false">IF(G158="","",INT((G158-SAT1)/7)+1)</f>
        <v/>
      </c>
      <c r="I158" s="0" t="str">
        <f aca="false">IF(H158="","",IF(OR(H158&lt;1,H158&gt;NW),"",INDEX(WMON,H158)))</f>
        <v/>
      </c>
      <c r="J158" s="0" t="str">
        <f aca="false">IF(OR(G158="",H158="",B158=""),"",IF(B158="عمر المصري",SUMIFS('ساعات عمر'!$H$7:$H$642,'ساعات عمر'!$A$7:$A$642,"&gt;="&amp;(SAT1+7*(H158-1)),'ساعات عمر'!$A$7:$A$642,"&lt;="&amp;G158),SUMIFS('ساعات عبدالعزيز'!$F$7:$F$642,'ساعات عبدالعزيز'!$A$7:$A$642,"&gt;="&amp;(SAT1+7*(H158-1)),'ساعات عبدالعزيز'!$A$7:$A$642,"&lt;="&amp;G158)))</f>
        <v/>
      </c>
    </row>
    <row r="159" customFormat="false" ht="15" hidden="false" customHeight="false" outlineLevel="0" collapsed="false">
      <c r="A159" s="57"/>
      <c r="B159" s="30"/>
      <c r="C159" s="58"/>
      <c r="D159" s="59"/>
      <c r="E159" s="60" t="str">
        <f aca="false">IF(A159="","",IF(G159="","⛔ التاريخ غلط — اكتبه كامل 05/10/2026 أو اختاره من القائمة",IF(OR(H159&lt;1,H159&gt;NW),"⛔ التاريخ برّا السنة",IF(AND(N(C159)&gt;0,N(J159)&gt;0,C159&gt;ADV_CAP*J159),"⚠️ أكثر من "&amp;TEXT(ADV_CAP,"0%")&amp;" من شغله ("&amp;TEXT(J159,"0.000")&amp;")",""))))</f>
        <v/>
      </c>
      <c r="G159" s="0" t="str">
        <f aca="false">IF(A159="","",IF(ISNUMBER(A159),IF(A159&gt;=36526,A159,""),IFERROR(DATEVALUE(A159),"")))</f>
        <v/>
      </c>
      <c r="H159" s="0" t="str">
        <f aca="false">IF(G159="","",INT((G159-SAT1)/7)+1)</f>
        <v/>
      </c>
      <c r="I159" s="0" t="str">
        <f aca="false">IF(H159="","",IF(OR(H159&lt;1,H159&gt;NW),"",INDEX(WMON,H159)))</f>
        <v/>
      </c>
      <c r="J159" s="0" t="str">
        <f aca="false">IF(OR(G159="",H159="",B159=""),"",IF(B159="عمر المصري",SUMIFS('ساعات عمر'!$H$7:$H$642,'ساعات عمر'!$A$7:$A$642,"&gt;="&amp;(SAT1+7*(H159-1)),'ساعات عمر'!$A$7:$A$642,"&lt;="&amp;G159),SUMIFS('ساعات عبدالعزيز'!$F$7:$F$642,'ساعات عبدالعزيز'!$A$7:$A$642,"&gt;="&amp;(SAT1+7*(H159-1)),'ساعات عبدالعزيز'!$A$7:$A$642,"&lt;="&amp;G159)))</f>
        <v/>
      </c>
    </row>
    <row r="160" customFormat="false" ht="15" hidden="false" customHeight="false" outlineLevel="0" collapsed="false">
      <c r="A160" s="57"/>
      <c r="B160" s="30"/>
      <c r="C160" s="58"/>
      <c r="D160" s="59"/>
      <c r="E160" s="60" t="str">
        <f aca="false">IF(A160="","",IF(G160="","⛔ التاريخ غلط — اكتبه كامل 05/10/2026 أو اختاره من القائمة",IF(OR(H160&lt;1,H160&gt;NW),"⛔ التاريخ برّا السنة",IF(AND(N(C160)&gt;0,N(J160)&gt;0,C160&gt;ADV_CAP*J160),"⚠️ أكثر من "&amp;TEXT(ADV_CAP,"0%")&amp;" من شغله ("&amp;TEXT(J160,"0.000")&amp;")",""))))</f>
        <v/>
      </c>
      <c r="G160" s="0" t="str">
        <f aca="false">IF(A160="","",IF(ISNUMBER(A160),IF(A160&gt;=36526,A160,""),IFERROR(DATEVALUE(A160),"")))</f>
        <v/>
      </c>
      <c r="H160" s="0" t="str">
        <f aca="false">IF(G160="","",INT((G160-SAT1)/7)+1)</f>
        <v/>
      </c>
      <c r="I160" s="0" t="str">
        <f aca="false">IF(H160="","",IF(OR(H160&lt;1,H160&gt;NW),"",INDEX(WMON,H160)))</f>
        <v/>
      </c>
      <c r="J160" s="0" t="str">
        <f aca="false">IF(OR(G160="",H160="",B160=""),"",IF(B160="عمر المصري",SUMIFS('ساعات عمر'!$H$7:$H$642,'ساعات عمر'!$A$7:$A$642,"&gt;="&amp;(SAT1+7*(H160-1)),'ساعات عمر'!$A$7:$A$642,"&lt;="&amp;G160),SUMIFS('ساعات عبدالعزيز'!$F$7:$F$642,'ساعات عبدالعزيز'!$A$7:$A$642,"&gt;="&amp;(SAT1+7*(H160-1)),'ساعات عبدالعزيز'!$A$7:$A$642,"&lt;="&amp;G160)))</f>
        <v/>
      </c>
    </row>
    <row r="161" customFormat="false" ht="15" hidden="false" customHeight="false" outlineLevel="0" collapsed="false">
      <c r="A161" s="57"/>
      <c r="B161" s="30"/>
      <c r="C161" s="58"/>
      <c r="D161" s="59"/>
      <c r="E161" s="60" t="str">
        <f aca="false">IF(A161="","",IF(G161="","⛔ التاريخ غلط — اكتبه كامل 05/10/2026 أو اختاره من القائمة",IF(OR(H161&lt;1,H161&gt;NW),"⛔ التاريخ برّا السنة",IF(AND(N(C161)&gt;0,N(J161)&gt;0,C161&gt;ADV_CAP*J161),"⚠️ أكثر من "&amp;TEXT(ADV_CAP,"0%")&amp;" من شغله ("&amp;TEXT(J161,"0.000")&amp;")",""))))</f>
        <v/>
      </c>
      <c r="G161" s="0" t="str">
        <f aca="false">IF(A161="","",IF(ISNUMBER(A161),IF(A161&gt;=36526,A161,""),IFERROR(DATEVALUE(A161),"")))</f>
        <v/>
      </c>
      <c r="H161" s="0" t="str">
        <f aca="false">IF(G161="","",INT((G161-SAT1)/7)+1)</f>
        <v/>
      </c>
      <c r="I161" s="0" t="str">
        <f aca="false">IF(H161="","",IF(OR(H161&lt;1,H161&gt;NW),"",INDEX(WMON,H161)))</f>
        <v/>
      </c>
      <c r="J161" s="0" t="str">
        <f aca="false">IF(OR(G161="",H161="",B161=""),"",IF(B161="عمر المصري",SUMIFS('ساعات عمر'!$H$7:$H$642,'ساعات عمر'!$A$7:$A$642,"&gt;="&amp;(SAT1+7*(H161-1)),'ساعات عمر'!$A$7:$A$642,"&lt;="&amp;G161),SUMIFS('ساعات عبدالعزيز'!$F$7:$F$642,'ساعات عبدالعزيز'!$A$7:$A$642,"&gt;="&amp;(SAT1+7*(H161-1)),'ساعات عبدالعزيز'!$A$7:$A$642,"&lt;="&amp;G161)))</f>
        <v/>
      </c>
    </row>
    <row r="162" customFormat="false" ht="15" hidden="false" customHeight="false" outlineLevel="0" collapsed="false">
      <c r="A162" s="57"/>
      <c r="B162" s="30"/>
      <c r="C162" s="58"/>
      <c r="D162" s="59"/>
      <c r="E162" s="60" t="str">
        <f aca="false">IF(A162="","",IF(G162="","⛔ التاريخ غلط — اكتبه كامل 05/10/2026 أو اختاره من القائمة",IF(OR(H162&lt;1,H162&gt;NW),"⛔ التاريخ برّا السنة",IF(AND(N(C162)&gt;0,N(J162)&gt;0,C162&gt;ADV_CAP*J162),"⚠️ أكثر من "&amp;TEXT(ADV_CAP,"0%")&amp;" من شغله ("&amp;TEXT(J162,"0.000")&amp;")",""))))</f>
        <v/>
      </c>
      <c r="G162" s="0" t="str">
        <f aca="false">IF(A162="","",IF(ISNUMBER(A162),IF(A162&gt;=36526,A162,""),IFERROR(DATEVALUE(A162),"")))</f>
        <v/>
      </c>
      <c r="H162" s="0" t="str">
        <f aca="false">IF(G162="","",INT((G162-SAT1)/7)+1)</f>
        <v/>
      </c>
      <c r="I162" s="0" t="str">
        <f aca="false">IF(H162="","",IF(OR(H162&lt;1,H162&gt;NW),"",INDEX(WMON,H162)))</f>
        <v/>
      </c>
      <c r="J162" s="0" t="str">
        <f aca="false">IF(OR(G162="",H162="",B162=""),"",IF(B162="عمر المصري",SUMIFS('ساعات عمر'!$H$7:$H$642,'ساعات عمر'!$A$7:$A$642,"&gt;="&amp;(SAT1+7*(H162-1)),'ساعات عمر'!$A$7:$A$642,"&lt;="&amp;G162),SUMIFS('ساعات عبدالعزيز'!$F$7:$F$642,'ساعات عبدالعزيز'!$A$7:$A$642,"&gt;="&amp;(SAT1+7*(H162-1)),'ساعات عبدالعزيز'!$A$7:$A$642,"&lt;="&amp;G162)))</f>
        <v/>
      </c>
    </row>
    <row r="163" customFormat="false" ht="15" hidden="false" customHeight="false" outlineLevel="0" collapsed="false">
      <c r="A163" s="57"/>
      <c r="B163" s="30"/>
      <c r="C163" s="58"/>
      <c r="D163" s="59"/>
      <c r="E163" s="60" t="str">
        <f aca="false">IF(A163="","",IF(G163="","⛔ التاريخ غلط — اكتبه كامل 05/10/2026 أو اختاره من القائمة",IF(OR(H163&lt;1,H163&gt;NW),"⛔ التاريخ برّا السنة",IF(AND(N(C163)&gt;0,N(J163)&gt;0,C163&gt;ADV_CAP*J163),"⚠️ أكثر من "&amp;TEXT(ADV_CAP,"0%")&amp;" من شغله ("&amp;TEXT(J163,"0.000")&amp;")",""))))</f>
        <v/>
      </c>
      <c r="G163" s="0" t="str">
        <f aca="false">IF(A163="","",IF(ISNUMBER(A163),IF(A163&gt;=36526,A163,""),IFERROR(DATEVALUE(A163),"")))</f>
        <v/>
      </c>
      <c r="H163" s="0" t="str">
        <f aca="false">IF(G163="","",INT((G163-SAT1)/7)+1)</f>
        <v/>
      </c>
      <c r="I163" s="0" t="str">
        <f aca="false">IF(H163="","",IF(OR(H163&lt;1,H163&gt;NW),"",INDEX(WMON,H163)))</f>
        <v/>
      </c>
      <c r="J163" s="0" t="str">
        <f aca="false">IF(OR(G163="",H163="",B163=""),"",IF(B163="عمر المصري",SUMIFS('ساعات عمر'!$H$7:$H$642,'ساعات عمر'!$A$7:$A$642,"&gt;="&amp;(SAT1+7*(H163-1)),'ساعات عمر'!$A$7:$A$642,"&lt;="&amp;G163),SUMIFS('ساعات عبدالعزيز'!$F$7:$F$642,'ساعات عبدالعزيز'!$A$7:$A$642,"&gt;="&amp;(SAT1+7*(H163-1)),'ساعات عبدالعزيز'!$A$7:$A$642,"&lt;="&amp;G163)))</f>
        <v/>
      </c>
    </row>
    <row r="164" customFormat="false" ht="15" hidden="false" customHeight="false" outlineLevel="0" collapsed="false">
      <c r="A164" s="57"/>
      <c r="B164" s="30"/>
      <c r="C164" s="58"/>
      <c r="D164" s="59"/>
      <c r="E164" s="60" t="str">
        <f aca="false">IF(A164="","",IF(G164="","⛔ التاريخ غلط — اكتبه كامل 05/10/2026 أو اختاره من القائمة",IF(OR(H164&lt;1,H164&gt;NW),"⛔ التاريخ برّا السنة",IF(AND(N(C164)&gt;0,N(J164)&gt;0,C164&gt;ADV_CAP*J164),"⚠️ أكثر من "&amp;TEXT(ADV_CAP,"0%")&amp;" من شغله ("&amp;TEXT(J164,"0.000")&amp;")",""))))</f>
        <v/>
      </c>
      <c r="G164" s="0" t="str">
        <f aca="false">IF(A164="","",IF(ISNUMBER(A164),IF(A164&gt;=36526,A164,""),IFERROR(DATEVALUE(A164),"")))</f>
        <v/>
      </c>
      <c r="H164" s="0" t="str">
        <f aca="false">IF(G164="","",INT((G164-SAT1)/7)+1)</f>
        <v/>
      </c>
      <c r="I164" s="0" t="str">
        <f aca="false">IF(H164="","",IF(OR(H164&lt;1,H164&gt;NW),"",INDEX(WMON,H164)))</f>
        <v/>
      </c>
      <c r="J164" s="0" t="str">
        <f aca="false">IF(OR(G164="",H164="",B164=""),"",IF(B164="عمر المصري",SUMIFS('ساعات عمر'!$H$7:$H$642,'ساعات عمر'!$A$7:$A$642,"&gt;="&amp;(SAT1+7*(H164-1)),'ساعات عمر'!$A$7:$A$642,"&lt;="&amp;G164),SUMIFS('ساعات عبدالعزيز'!$F$7:$F$642,'ساعات عبدالعزيز'!$A$7:$A$642,"&gt;="&amp;(SAT1+7*(H164-1)),'ساعات عبدالعزيز'!$A$7:$A$642,"&lt;="&amp;G164)))</f>
        <v/>
      </c>
    </row>
    <row r="165" customFormat="false" ht="15" hidden="false" customHeight="false" outlineLevel="0" collapsed="false">
      <c r="A165" s="57"/>
      <c r="B165" s="30"/>
      <c r="C165" s="58"/>
      <c r="D165" s="59"/>
      <c r="E165" s="60" t="str">
        <f aca="false">IF(A165="","",IF(G165="","⛔ التاريخ غلط — اكتبه كامل 05/10/2026 أو اختاره من القائمة",IF(OR(H165&lt;1,H165&gt;NW),"⛔ التاريخ برّا السنة",IF(AND(N(C165)&gt;0,N(J165)&gt;0,C165&gt;ADV_CAP*J165),"⚠️ أكثر من "&amp;TEXT(ADV_CAP,"0%")&amp;" من شغله ("&amp;TEXT(J165,"0.000")&amp;")",""))))</f>
        <v/>
      </c>
      <c r="G165" s="0" t="str">
        <f aca="false">IF(A165="","",IF(ISNUMBER(A165),IF(A165&gt;=36526,A165,""),IFERROR(DATEVALUE(A165),"")))</f>
        <v/>
      </c>
      <c r="H165" s="0" t="str">
        <f aca="false">IF(G165="","",INT((G165-SAT1)/7)+1)</f>
        <v/>
      </c>
      <c r="I165" s="0" t="str">
        <f aca="false">IF(H165="","",IF(OR(H165&lt;1,H165&gt;NW),"",INDEX(WMON,H165)))</f>
        <v/>
      </c>
      <c r="J165" s="0" t="str">
        <f aca="false">IF(OR(G165="",H165="",B165=""),"",IF(B165="عمر المصري",SUMIFS('ساعات عمر'!$H$7:$H$642,'ساعات عمر'!$A$7:$A$642,"&gt;="&amp;(SAT1+7*(H165-1)),'ساعات عمر'!$A$7:$A$642,"&lt;="&amp;G165),SUMIFS('ساعات عبدالعزيز'!$F$7:$F$642,'ساعات عبدالعزيز'!$A$7:$A$642,"&gt;="&amp;(SAT1+7*(H165-1)),'ساعات عبدالعزيز'!$A$7:$A$642,"&lt;="&amp;G165)))</f>
        <v/>
      </c>
    </row>
    <row r="166" customFormat="false" ht="15" hidden="false" customHeight="false" outlineLevel="0" collapsed="false">
      <c r="A166" s="57"/>
      <c r="B166" s="30"/>
      <c r="C166" s="58"/>
      <c r="D166" s="59"/>
      <c r="E166" s="60" t="str">
        <f aca="false">IF(A166="","",IF(G166="","⛔ التاريخ غلط — اكتبه كامل 05/10/2026 أو اختاره من القائمة",IF(OR(H166&lt;1,H166&gt;NW),"⛔ التاريخ برّا السنة",IF(AND(N(C166)&gt;0,N(J166)&gt;0,C166&gt;ADV_CAP*J166),"⚠️ أكثر من "&amp;TEXT(ADV_CAP,"0%")&amp;" من شغله ("&amp;TEXT(J166,"0.000")&amp;")",""))))</f>
        <v/>
      </c>
      <c r="G166" s="0" t="str">
        <f aca="false">IF(A166="","",IF(ISNUMBER(A166),IF(A166&gt;=36526,A166,""),IFERROR(DATEVALUE(A166),"")))</f>
        <v/>
      </c>
      <c r="H166" s="0" t="str">
        <f aca="false">IF(G166="","",INT((G166-SAT1)/7)+1)</f>
        <v/>
      </c>
      <c r="I166" s="0" t="str">
        <f aca="false">IF(H166="","",IF(OR(H166&lt;1,H166&gt;NW),"",INDEX(WMON,H166)))</f>
        <v/>
      </c>
      <c r="J166" s="0" t="str">
        <f aca="false">IF(OR(G166="",H166="",B166=""),"",IF(B166="عمر المصري",SUMIFS('ساعات عمر'!$H$7:$H$642,'ساعات عمر'!$A$7:$A$642,"&gt;="&amp;(SAT1+7*(H166-1)),'ساعات عمر'!$A$7:$A$642,"&lt;="&amp;G166),SUMIFS('ساعات عبدالعزيز'!$F$7:$F$642,'ساعات عبدالعزيز'!$A$7:$A$642,"&gt;="&amp;(SAT1+7*(H166-1)),'ساعات عبدالعزيز'!$A$7:$A$642,"&lt;="&amp;G166)))</f>
        <v/>
      </c>
    </row>
    <row r="167" customFormat="false" ht="15" hidden="false" customHeight="false" outlineLevel="0" collapsed="false">
      <c r="A167" s="57"/>
      <c r="B167" s="30"/>
      <c r="C167" s="58"/>
      <c r="D167" s="59"/>
      <c r="E167" s="60" t="str">
        <f aca="false">IF(A167="","",IF(G167="","⛔ التاريخ غلط — اكتبه كامل 05/10/2026 أو اختاره من القائمة",IF(OR(H167&lt;1,H167&gt;NW),"⛔ التاريخ برّا السنة",IF(AND(N(C167)&gt;0,N(J167)&gt;0,C167&gt;ADV_CAP*J167),"⚠️ أكثر من "&amp;TEXT(ADV_CAP,"0%")&amp;" من شغله ("&amp;TEXT(J167,"0.000")&amp;")",""))))</f>
        <v/>
      </c>
      <c r="G167" s="0" t="str">
        <f aca="false">IF(A167="","",IF(ISNUMBER(A167),IF(A167&gt;=36526,A167,""),IFERROR(DATEVALUE(A167),"")))</f>
        <v/>
      </c>
      <c r="H167" s="0" t="str">
        <f aca="false">IF(G167="","",INT((G167-SAT1)/7)+1)</f>
        <v/>
      </c>
      <c r="I167" s="0" t="str">
        <f aca="false">IF(H167="","",IF(OR(H167&lt;1,H167&gt;NW),"",INDEX(WMON,H167)))</f>
        <v/>
      </c>
      <c r="J167" s="0" t="str">
        <f aca="false">IF(OR(G167="",H167="",B167=""),"",IF(B167="عمر المصري",SUMIFS('ساعات عمر'!$H$7:$H$642,'ساعات عمر'!$A$7:$A$642,"&gt;="&amp;(SAT1+7*(H167-1)),'ساعات عمر'!$A$7:$A$642,"&lt;="&amp;G167),SUMIFS('ساعات عبدالعزيز'!$F$7:$F$642,'ساعات عبدالعزيز'!$A$7:$A$642,"&gt;="&amp;(SAT1+7*(H167-1)),'ساعات عبدالعزيز'!$A$7:$A$642,"&lt;="&amp;G167)))</f>
        <v/>
      </c>
    </row>
    <row r="168" customFormat="false" ht="15" hidden="false" customHeight="false" outlineLevel="0" collapsed="false">
      <c r="A168" s="57"/>
      <c r="B168" s="30"/>
      <c r="C168" s="58"/>
      <c r="D168" s="59"/>
      <c r="E168" s="60" t="str">
        <f aca="false">IF(A168="","",IF(G168="","⛔ التاريخ غلط — اكتبه كامل 05/10/2026 أو اختاره من القائمة",IF(OR(H168&lt;1,H168&gt;NW),"⛔ التاريخ برّا السنة",IF(AND(N(C168)&gt;0,N(J168)&gt;0,C168&gt;ADV_CAP*J168),"⚠️ أكثر من "&amp;TEXT(ADV_CAP,"0%")&amp;" من شغله ("&amp;TEXT(J168,"0.000")&amp;")",""))))</f>
        <v/>
      </c>
      <c r="G168" s="0" t="str">
        <f aca="false">IF(A168="","",IF(ISNUMBER(A168),IF(A168&gt;=36526,A168,""),IFERROR(DATEVALUE(A168),"")))</f>
        <v/>
      </c>
      <c r="H168" s="0" t="str">
        <f aca="false">IF(G168="","",INT((G168-SAT1)/7)+1)</f>
        <v/>
      </c>
      <c r="I168" s="0" t="str">
        <f aca="false">IF(H168="","",IF(OR(H168&lt;1,H168&gt;NW),"",INDEX(WMON,H168)))</f>
        <v/>
      </c>
      <c r="J168" s="0" t="str">
        <f aca="false">IF(OR(G168="",H168="",B168=""),"",IF(B168="عمر المصري",SUMIFS('ساعات عمر'!$H$7:$H$642,'ساعات عمر'!$A$7:$A$642,"&gt;="&amp;(SAT1+7*(H168-1)),'ساعات عمر'!$A$7:$A$642,"&lt;="&amp;G168),SUMIFS('ساعات عبدالعزيز'!$F$7:$F$642,'ساعات عبدالعزيز'!$A$7:$A$642,"&gt;="&amp;(SAT1+7*(H168-1)),'ساعات عبدالعزيز'!$A$7:$A$642,"&lt;="&amp;G168)))</f>
        <v/>
      </c>
    </row>
    <row r="169" customFormat="false" ht="15" hidden="false" customHeight="false" outlineLevel="0" collapsed="false">
      <c r="A169" s="57"/>
      <c r="B169" s="30"/>
      <c r="C169" s="58"/>
      <c r="D169" s="59"/>
      <c r="E169" s="60" t="str">
        <f aca="false">IF(A169="","",IF(G169="","⛔ التاريخ غلط — اكتبه كامل 05/10/2026 أو اختاره من القائمة",IF(OR(H169&lt;1,H169&gt;NW),"⛔ التاريخ برّا السنة",IF(AND(N(C169)&gt;0,N(J169)&gt;0,C169&gt;ADV_CAP*J169),"⚠️ أكثر من "&amp;TEXT(ADV_CAP,"0%")&amp;" من شغله ("&amp;TEXT(J169,"0.000")&amp;")",""))))</f>
        <v/>
      </c>
      <c r="G169" s="0" t="str">
        <f aca="false">IF(A169="","",IF(ISNUMBER(A169),IF(A169&gt;=36526,A169,""),IFERROR(DATEVALUE(A169),"")))</f>
        <v/>
      </c>
      <c r="H169" s="0" t="str">
        <f aca="false">IF(G169="","",INT((G169-SAT1)/7)+1)</f>
        <v/>
      </c>
      <c r="I169" s="0" t="str">
        <f aca="false">IF(H169="","",IF(OR(H169&lt;1,H169&gt;NW),"",INDEX(WMON,H169)))</f>
        <v/>
      </c>
      <c r="J169" s="0" t="str">
        <f aca="false">IF(OR(G169="",H169="",B169=""),"",IF(B169="عمر المصري",SUMIFS('ساعات عمر'!$H$7:$H$642,'ساعات عمر'!$A$7:$A$642,"&gt;="&amp;(SAT1+7*(H169-1)),'ساعات عمر'!$A$7:$A$642,"&lt;="&amp;G169),SUMIFS('ساعات عبدالعزيز'!$F$7:$F$642,'ساعات عبدالعزيز'!$A$7:$A$642,"&gt;="&amp;(SAT1+7*(H169-1)),'ساعات عبدالعزيز'!$A$7:$A$642,"&lt;="&amp;G169)))</f>
        <v/>
      </c>
    </row>
    <row r="170" customFormat="false" ht="15" hidden="false" customHeight="false" outlineLevel="0" collapsed="false">
      <c r="A170" s="57"/>
      <c r="B170" s="30"/>
      <c r="C170" s="58"/>
      <c r="D170" s="59"/>
      <c r="E170" s="60" t="str">
        <f aca="false">IF(A170="","",IF(G170="","⛔ التاريخ غلط — اكتبه كامل 05/10/2026 أو اختاره من القائمة",IF(OR(H170&lt;1,H170&gt;NW),"⛔ التاريخ برّا السنة",IF(AND(N(C170)&gt;0,N(J170)&gt;0,C170&gt;ADV_CAP*J170),"⚠️ أكثر من "&amp;TEXT(ADV_CAP,"0%")&amp;" من شغله ("&amp;TEXT(J170,"0.000")&amp;")",""))))</f>
        <v/>
      </c>
      <c r="G170" s="0" t="str">
        <f aca="false">IF(A170="","",IF(ISNUMBER(A170),IF(A170&gt;=36526,A170,""),IFERROR(DATEVALUE(A170),"")))</f>
        <v/>
      </c>
      <c r="H170" s="0" t="str">
        <f aca="false">IF(G170="","",INT((G170-SAT1)/7)+1)</f>
        <v/>
      </c>
      <c r="I170" s="0" t="str">
        <f aca="false">IF(H170="","",IF(OR(H170&lt;1,H170&gt;NW),"",INDEX(WMON,H170)))</f>
        <v/>
      </c>
      <c r="J170" s="0" t="str">
        <f aca="false">IF(OR(G170="",H170="",B170=""),"",IF(B170="عمر المصري",SUMIFS('ساعات عمر'!$H$7:$H$642,'ساعات عمر'!$A$7:$A$642,"&gt;="&amp;(SAT1+7*(H170-1)),'ساعات عمر'!$A$7:$A$642,"&lt;="&amp;G170),SUMIFS('ساعات عبدالعزيز'!$F$7:$F$642,'ساعات عبدالعزيز'!$A$7:$A$642,"&gt;="&amp;(SAT1+7*(H170-1)),'ساعات عبدالعزيز'!$A$7:$A$642,"&lt;="&amp;G170)))</f>
        <v/>
      </c>
    </row>
    <row r="171" customFormat="false" ht="15" hidden="false" customHeight="false" outlineLevel="0" collapsed="false">
      <c r="A171" s="57"/>
      <c r="B171" s="30"/>
      <c r="C171" s="58"/>
      <c r="D171" s="59"/>
      <c r="E171" s="60" t="str">
        <f aca="false">IF(A171="","",IF(G171="","⛔ التاريخ غلط — اكتبه كامل 05/10/2026 أو اختاره من القائمة",IF(OR(H171&lt;1,H171&gt;NW),"⛔ التاريخ برّا السنة",IF(AND(N(C171)&gt;0,N(J171)&gt;0,C171&gt;ADV_CAP*J171),"⚠️ أكثر من "&amp;TEXT(ADV_CAP,"0%")&amp;" من شغله ("&amp;TEXT(J171,"0.000")&amp;")",""))))</f>
        <v/>
      </c>
      <c r="G171" s="0" t="str">
        <f aca="false">IF(A171="","",IF(ISNUMBER(A171),IF(A171&gt;=36526,A171,""),IFERROR(DATEVALUE(A171),"")))</f>
        <v/>
      </c>
      <c r="H171" s="0" t="str">
        <f aca="false">IF(G171="","",INT((G171-SAT1)/7)+1)</f>
        <v/>
      </c>
      <c r="I171" s="0" t="str">
        <f aca="false">IF(H171="","",IF(OR(H171&lt;1,H171&gt;NW),"",INDEX(WMON,H171)))</f>
        <v/>
      </c>
      <c r="J171" s="0" t="str">
        <f aca="false">IF(OR(G171="",H171="",B171=""),"",IF(B171="عمر المصري",SUMIFS('ساعات عمر'!$H$7:$H$642,'ساعات عمر'!$A$7:$A$642,"&gt;="&amp;(SAT1+7*(H171-1)),'ساعات عمر'!$A$7:$A$642,"&lt;="&amp;G171),SUMIFS('ساعات عبدالعزيز'!$F$7:$F$642,'ساعات عبدالعزيز'!$A$7:$A$642,"&gt;="&amp;(SAT1+7*(H171-1)),'ساعات عبدالعزيز'!$A$7:$A$642,"&lt;="&amp;G171)))</f>
        <v/>
      </c>
    </row>
    <row r="172" customFormat="false" ht="15" hidden="false" customHeight="false" outlineLevel="0" collapsed="false">
      <c r="A172" s="57"/>
      <c r="B172" s="30"/>
      <c r="C172" s="58"/>
      <c r="D172" s="59"/>
      <c r="E172" s="60" t="str">
        <f aca="false">IF(A172="","",IF(G172="","⛔ التاريخ غلط — اكتبه كامل 05/10/2026 أو اختاره من القائمة",IF(OR(H172&lt;1,H172&gt;NW),"⛔ التاريخ برّا السنة",IF(AND(N(C172)&gt;0,N(J172)&gt;0,C172&gt;ADV_CAP*J172),"⚠️ أكثر من "&amp;TEXT(ADV_CAP,"0%")&amp;" من شغله ("&amp;TEXT(J172,"0.000")&amp;")",""))))</f>
        <v/>
      </c>
      <c r="G172" s="0" t="str">
        <f aca="false">IF(A172="","",IF(ISNUMBER(A172),IF(A172&gt;=36526,A172,""),IFERROR(DATEVALUE(A172),"")))</f>
        <v/>
      </c>
      <c r="H172" s="0" t="str">
        <f aca="false">IF(G172="","",INT((G172-SAT1)/7)+1)</f>
        <v/>
      </c>
      <c r="I172" s="0" t="str">
        <f aca="false">IF(H172="","",IF(OR(H172&lt;1,H172&gt;NW),"",INDEX(WMON,H172)))</f>
        <v/>
      </c>
      <c r="J172" s="0" t="str">
        <f aca="false">IF(OR(G172="",H172="",B172=""),"",IF(B172="عمر المصري",SUMIFS('ساعات عمر'!$H$7:$H$642,'ساعات عمر'!$A$7:$A$642,"&gt;="&amp;(SAT1+7*(H172-1)),'ساعات عمر'!$A$7:$A$642,"&lt;="&amp;G172),SUMIFS('ساعات عبدالعزيز'!$F$7:$F$642,'ساعات عبدالعزيز'!$A$7:$A$642,"&gt;="&amp;(SAT1+7*(H172-1)),'ساعات عبدالعزيز'!$A$7:$A$642,"&lt;="&amp;G172)))</f>
        <v/>
      </c>
    </row>
    <row r="173" customFormat="false" ht="15" hidden="false" customHeight="false" outlineLevel="0" collapsed="false">
      <c r="A173" s="57"/>
      <c r="B173" s="30"/>
      <c r="C173" s="58"/>
      <c r="D173" s="59"/>
      <c r="E173" s="60" t="str">
        <f aca="false">IF(A173="","",IF(G173="","⛔ التاريخ غلط — اكتبه كامل 05/10/2026 أو اختاره من القائمة",IF(OR(H173&lt;1,H173&gt;NW),"⛔ التاريخ برّا السنة",IF(AND(N(C173)&gt;0,N(J173)&gt;0,C173&gt;ADV_CAP*J173),"⚠️ أكثر من "&amp;TEXT(ADV_CAP,"0%")&amp;" من شغله ("&amp;TEXT(J173,"0.000")&amp;")",""))))</f>
        <v/>
      </c>
      <c r="G173" s="0" t="str">
        <f aca="false">IF(A173="","",IF(ISNUMBER(A173),IF(A173&gt;=36526,A173,""),IFERROR(DATEVALUE(A173),"")))</f>
        <v/>
      </c>
      <c r="H173" s="0" t="str">
        <f aca="false">IF(G173="","",INT((G173-SAT1)/7)+1)</f>
        <v/>
      </c>
      <c r="I173" s="0" t="str">
        <f aca="false">IF(H173="","",IF(OR(H173&lt;1,H173&gt;NW),"",INDEX(WMON,H173)))</f>
        <v/>
      </c>
      <c r="J173" s="0" t="str">
        <f aca="false">IF(OR(G173="",H173="",B173=""),"",IF(B173="عمر المصري",SUMIFS('ساعات عمر'!$H$7:$H$642,'ساعات عمر'!$A$7:$A$642,"&gt;="&amp;(SAT1+7*(H173-1)),'ساعات عمر'!$A$7:$A$642,"&lt;="&amp;G173),SUMIFS('ساعات عبدالعزيز'!$F$7:$F$642,'ساعات عبدالعزيز'!$A$7:$A$642,"&gt;="&amp;(SAT1+7*(H173-1)),'ساعات عبدالعزيز'!$A$7:$A$642,"&lt;="&amp;G173)))</f>
        <v/>
      </c>
    </row>
    <row r="174" customFormat="false" ht="15" hidden="false" customHeight="false" outlineLevel="0" collapsed="false">
      <c r="A174" s="57"/>
      <c r="B174" s="30"/>
      <c r="C174" s="58"/>
      <c r="D174" s="59"/>
      <c r="E174" s="60" t="str">
        <f aca="false">IF(A174="","",IF(G174="","⛔ التاريخ غلط — اكتبه كامل 05/10/2026 أو اختاره من القائمة",IF(OR(H174&lt;1,H174&gt;NW),"⛔ التاريخ برّا السنة",IF(AND(N(C174)&gt;0,N(J174)&gt;0,C174&gt;ADV_CAP*J174),"⚠️ أكثر من "&amp;TEXT(ADV_CAP,"0%")&amp;" من شغله ("&amp;TEXT(J174,"0.000")&amp;")",""))))</f>
        <v/>
      </c>
      <c r="G174" s="0" t="str">
        <f aca="false">IF(A174="","",IF(ISNUMBER(A174),IF(A174&gt;=36526,A174,""),IFERROR(DATEVALUE(A174),"")))</f>
        <v/>
      </c>
      <c r="H174" s="0" t="str">
        <f aca="false">IF(G174="","",INT((G174-SAT1)/7)+1)</f>
        <v/>
      </c>
      <c r="I174" s="0" t="str">
        <f aca="false">IF(H174="","",IF(OR(H174&lt;1,H174&gt;NW),"",INDEX(WMON,H174)))</f>
        <v/>
      </c>
      <c r="J174" s="0" t="str">
        <f aca="false">IF(OR(G174="",H174="",B174=""),"",IF(B174="عمر المصري",SUMIFS('ساعات عمر'!$H$7:$H$642,'ساعات عمر'!$A$7:$A$642,"&gt;="&amp;(SAT1+7*(H174-1)),'ساعات عمر'!$A$7:$A$642,"&lt;="&amp;G174),SUMIFS('ساعات عبدالعزيز'!$F$7:$F$642,'ساعات عبدالعزيز'!$A$7:$A$642,"&gt;="&amp;(SAT1+7*(H174-1)),'ساعات عبدالعزيز'!$A$7:$A$642,"&lt;="&amp;G174)))</f>
        <v/>
      </c>
    </row>
    <row r="175" customFormat="false" ht="15" hidden="false" customHeight="false" outlineLevel="0" collapsed="false">
      <c r="A175" s="57"/>
      <c r="B175" s="30"/>
      <c r="C175" s="58"/>
      <c r="D175" s="59"/>
      <c r="E175" s="60" t="str">
        <f aca="false">IF(A175="","",IF(G175="","⛔ التاريخ غلط — اكتبه كامل 05/10/2026 أو اختاره من القائمة",IF(OR(H175&lt;1,H175&gt;NW),"⛔ التاريخ برّا السنة",IF(AND(N(C175)&gt;0,N(J175)&gt;0,C175&gt;ADV_CAP*J175),"⚠️ أكثر من "&amp;TEXT(ADV_CAP,"0%")&amp;" من شغله ("&amp;TEXT(J175,"0.000")&amp;")",""))))</f>
        <v/>
      </c>
      <c r="G175" s="0" t="str">
        <f aca="false">IF(A175="","",IF(ISNUMBER(A175),IF(A175&gt;=36526,A175,""),IFERROR(DATEVALUE(A175),"")))</f>
        <v/>
      </c>
      <c r="H175" s="0" t="str">
        <f aca="false">IF(G175="","",INT((G175-SAT1)/7)+1)</f>
        <v/>
      </c>
      <c r="I175" s="0" t="str">
        <f aca="false">IF(H175="","",IF(OR(H175&lt;1,H175&gt;NW),"",INDEX(WMON,H175)))</f>
        <v/>
      </c>
      <c r="J175" s="0" t="str">
        <f aca="false">IF(OR(G175="",H175="",B175=""),"",IF(B175="عمر المصري",SUMIFS('ساعات عمر'!$H$7:$H$642,'ساعات عمر'!$A$7:$A$642,"&gt;="&amp;(SAT1+7*(H175-1)),'ساعات عمر'!$A$7:$A$642,"&lt;="&amp;G175),SUMIFS('ساعات عبدالعزيز'!$F$7:$F$642,'ساعات عبدالعزيز'!$A$7:$A$642,"&gt;="&amp;(SAT1+7*(H175-1)),'ساعات عبدالعزيز'!$A$7:$A$642,"&lt;="&amp;G175)))</f>
        <v/>
      </c>
    </row>
    <row r="176" customFormat="false" ht="15" hidden="false" customHeight="false" outlineLevel="0" collapsed="false">
      <c r="A176" s="57"/>
      <c r="B176" s="30"/>
      <c r="C176" s="58"/>
      <c r="D176" s="59"/>
      <c r="E176" s="60" t="str">
        <f aca="false">IF(A176="","",IF(G176="","⛔ التاريخ غلط — اكتبه كامل 05/10/2026 أو اختاره من القائمة",IF(OR(H176&lt;1,H176&gt;NW),"⛔ التاريخ برّا السنة",IF(AND(N(C176)&gt;0,N(J176)&gt;0,C176&gt;ADV_CAP*J176),"⚠️ أكثر من "&amp;TEXT(ADV_CAP,"0%")&amp;" من شغله ("&amp;TEXT(J176,"0.000")&amp;")",""))))</f>
        <v/>
      </c>
      <c r="G176" s="0" t="str">
        <f aca="false">IF(A176="","",IF(ISNUMBER(A176),IF(A176&gt;=36526,A176,""),IFERROR(DATEVALUE(A176),"")))</f>
        <v/>
      </c>
      <c r="H176" s="0" t="str">
        <f aca="false">IF(G176="","",INT((G176-SAT1)/7)+1)</f>
        <v/>
      </c>
      <c r="I176" s="0" t="str">
        <f aca="false">IF(H176="","",IF(OR(H176&lt;1,H176&gt;NW),"",INDEX(WMON,H176)))</f>
        <v/>
      </c>
      <c r="J176" s="0" t="str">
        <f aca="false">IF(OR(G176="",H176="",B176=""),"",IF(B176="عمر المصري",SUMIFS('ساعات عمر'!$H$7:$H$642,'ساعات عمر'!$A$7:$A$642,"&gt;="&amp;(SAT1+7*(H176-1)),'ساعات عمر'!$A$7:$A$642,"&lt;="&amp;G176),SUMIFS('ساعات عبدالعزيز'!$F$7:$F$642,'ساعات عبدالعزيز'!$A$7:$A$642,"&gt;="&amp;(SAT1+7*(H176-1)),'ساعات عبدالعزيز'!$A$7:$A$642,"&lt;="&amp;G176)))</f>
        <v/>
      </c>
    </row>
    <row r="177" customFormat="false" ht="15" hidden="false" customHeight="false" outlineLevel="0" collapsed="false">
      <c r="A177" s="57"/>
      <c r="B177" s="30"/>
      <c r="C177" s="58"/>
      <c r="D177" s="59"/>
      <c r="E177" s="60" t="str">
        <f aca="false">IF(A177="","",IF(G177="","⛔ التاريخ غلط — اكتبه كامل 05/10/2026 أو اختاره من القائمة",IF(OR(H177&lt;1,H177&gt;NW),"⛔ التاريخ برّا السنة",IF(AND(N(C177)&gt;0,N(J177)&gt;0,C177&gt;ADV_CAP*J177),"⚠️ أكثر من "&amp;TEXT(ADV_CAP,"0%")&amp;" من شغله ("&amp;TEXT(J177,"0.000")&amp;")",""))))</f>
        <v/>
      </c>
      <c r="G177" s="0" t="str">
        <f aca="false">IF(A177="","",IF(ISNUMBER(A177),IF(A177&gt;=36526,A177,""),IFERROR(DATEVALUE(A177),"")))</f>
        <v/>
      </c>
      <c r="H177" s="0" t="str">
        <f aca="false">IF(G177="","",INT((G177-SAT1)/7)+1)</f>
        <v/>
      </c>
      <c r="I177" s="0" t="str">
        <f aca="false">IF(H177="","",IF(OR(H177&lt;1,H177&gt;NW),"",INDEX(WMON,H177)))</f>
        <v/>
      </c>
      <c r="J177" s="0" t="str">
        <f aca="false">IF(OR(G177="",H177="",B177=""),"",IF(B177="عمر المصري",SUMIFS('ساعات عمر'!$H$7:$H$642,'ساعات عمر'!$A$7:$A$642,"&gt;="&amp;(SAT1+7*(H177-1)),'ساعات عمر'!$A$7:$A$642,"&lt;="&amp;G177),SUMIFS('ساعات عبدالعزيز'!$F$7:$F$642,'ساعات عبدالعزيز'!$A$7:$A$642,"&gt;="&amp;(SAT1+7*(H177-1)),'ساعات عبدالعزيز'!$A$7:$A$642,"&lt;="&amp;G177)))</f>
        <v/>
      </c>
    </row>
    <row r="178" customFormat="false" ht="15" hidden="false" customHeight="false" outlineLevel="0" collapsed="false">
      <c r="A178" s="57"/>
      <c r="B178" s="30"/>
      <c r="C178" s="58"/>
      <c r="D178" s="59"/>
      <c r="E178" s="60" t="str">
        <f aca="false">IF(A178="","",IF(G178="","⛔ التاريخ غلط — اكتبه كامل 05/10/2026 أو اختاره من القائمة",IF(OR(H178&lt;1,H178&gt;NW),"⛔ التاريخ برّا السنة",IF(AND(N(C178)&gt;0,N(J178)&gt;0,C178&gt;ADV_CAP*J178),"⚠️ أكثر من "&amp;TEXT(ADV_CAP,"0%")&amp;" من شغله ("&amp;TEXT(J178,"0.000")&amp;")",""))))</f>
        <v/>
      </c>
      <c r="G178" s="0" t="str">
        <f aca="false">IF(A178="","",IF(ISNUMBER(A178),IF(A178&gt;=36526,A178,""),IFERROR(DATEVALUE(A178),"")))</f>
        <v/>
      </c>
      <c r="H178" s="0" t="str">
        <f aca="false">IF(G178="","",INT((G178-SAT1)/7)+1)</f>
        <v/>
      </c>
      <c r="I178" s="0" t="str">
        <f aca="false">IF(H178="","",IF(OR(H178&lt;1,H178&gt;NW),"",INDEX(WMON,H178)))</f>
        <v/>
      </c>
      <c r="J178" s="0" t="str">
        <f aca="false">IF(OR(G178="",H178="",B178=""),"",IF(B178="عمر المصري",SUMIFS('ساعات عمر'!$H$7:$H$642,'ساعات عمر'!$A$7:$A$642,"&gt;="&amp;(SAT1+7*(H178-1)),'ساعات عمر'!$A$7:$A$642,"&lt;="&amp;G178),SUMIFS('ساعات عبدالعزيز'!$F$7:$F$642,'ساعات عبدالعزيز'!$A$7:$A$642,"&gt;="&amp;(SAT1+7*(H178-1)),'ساعات عبدالعزيز'!$A$7:$A$642,"&lt;="&amp;G178)))</f>
        <v/>
      </c>
    </row>
    <row r="179" customFormat="false" ht="15" hidden="false" customHeight="false" outlineLevel="0" collapsed="false">
      <c r="A179" s="57"/>
      <c r="B179" s="30"/>
      <c r="C179" s="58"/>
      <c r="D179" s="59"/>
      <c r="E179" s="60" t="str">
        <f aca="false">IF(A179="","",IF(G179="","⛔ التاريخ غلط — اكتبه كامل 05/10/2026 أو اختاره من القائمة",IF(OR(H179&lt;1,H179&gt;NW),"⛔ التاريخ برّا السنة",IF(AND(N(C179)&gt;0,N(J179)&gt;0,C179&gt;ADV_CAP*J179),"⚠️ أكثر من "&amp;TEXT(ADV_CAP,"0%")&amp;" من شغله ("&amp;TEXT(J179,"0.000")&amp;")",""))))</f>
        <v/>
      </c>
      <c r="G179" s="0" t="str">
        <f aca="false">IF(A179="","",IF(ISNUMBER(A179),IF(A179&gt;=36526,A179,""),IFERROR(DATEVALUE(A179),"")))</f>
        <v/>
      </c>
      <c r="H179" s="0" t="str">
        <f aca="false">IF(G179="","",INT((G179-SAT1)/7)+1)</f>
        <v/>
      </c>
      <c r="I179" s="0" t="str">
        <f aca="false">IF(H179="","",IF(OR(H179&lt;1,H179&gt;NW),"",INDEX(WMON,H179)))</f>
        <v/>
      </c>
      <c r="J179" s="0" t="str">
        <f aca="false">IF(OR(G179="",H179="",B179=""),"",IF(B179="عمر المصري",SUMIFS('ساعات عمر'!$H$7:$H$642,'ساعات عمر'!$A$7:$A$642,"&gt;="&amp;(SAT1+7*(H179-1)),'ساعات عمر'!$A$7:$A$642,"&lt;="&amp;G179),SUMIFS('ساعات عبدالعزيز'!$F$7:$F$642,'ساعات عبدالعزيز'!$A$7:$A$642,"&gt;="&amp;(SAT1+7*(H179-1)),'ساعات عبدالعزيز'!$A$7:$A$642,"&lt;="&amp;G179)))</f>
        <v/>
      </c>
    </row>
    <row r="180" customFormat="false" ht="15" hidden="false" customHeight="false" outlineLevel="0" collapsed="false">
      <c r="A180" s="57"/>
      <c r="B180" s="30"/>
      <c r="C180" s="58"/>
      <c r="D180" s="59"/>
      <c r="E180" s="60" t="str">
        <f aca="false">IF(A180="","",IF(G180="","⛔ التاريخ غلط — اكتبه كامل 05/10/2026 أو اختاره من القائمة",IF(OR(H180&lt;1,H180&gt;NW),"⛔ التاريخ برّا السنة",IF(AND(N(C180)&gt;0,N(J180)&gt;0,C180&gt;ADV_CAP*J180),"⚠️ أكثر من "&amp;TEXT(ADV_CAP,"0%")&amp;" من شغله ("&amp;TEXT(J180,"0.000")&amp;")",""))))</f>
        <v/>
      </c>
      <c r="G180" s="0" t="str">
        <f aca="false">IF(A180="","",IF(ISNUMBER(A180),IF(A180&gt;=36526,A180,""),IFERROR(DATEVALUE(A180),"")))</f>
        <v/>
      </c>
      <c r="H180" s="0" t="str">
        <f aca="false">IF(G180="","",INT((G180-SAT1)/7)+1)</f>
        <v/>
      </c>
      <c r="I180" s="0" t="str">
        <f aca="false">IF(H180="","",IF(OR(H180&lt;1,H180&gt;NW),"",INDEX(WMON,H180)))</f>
        <v/>
      </c>
      <c r="J180" s="0" t="str">
        <f aca="false">IF(OR(G180="",H180="",B180=""),"",IF(B180="عمر المصري",SUMIFS('ساعات عمر'!$H$7:$H$642,'ساعات عمر'!$A$7:$A$642,"&gt;="&amp;(SAT1+7*(H180-1)),'ساعات عمر'!$A$7:$A$642,"&lt;="&amp;G180),SUMIFS('ساعات عبدالعزيز'!$F$7:$F$642,'ساعات عبدالعزيز'!$A$7:$A$642,"&gt;="&amp;(SAT1+7*(H180-1)),'ساعات عبدالعزيز'!$A$7:$A$642,"&lt;="&amp;G180)))</f>
        <v/>
      </c>
    </row>
    <row r="181" customFormat="false" ht="15" hidden="false" customHeight="false" outlineLevel="0" collapsed="false">
      <c r="A181" s="57"/>
      <c r="B181" s="30"/>
      <c r="C181" s="58"/>
      <c r="D181" s="59"/>
      <c r="E181" s="60" t="str">
        <f aca="false">IF(A181="","",IF(G181="","⛔ التاريخ غلط — اكتبه كامل 05/10/2026 أو اختاره من القائمة",IF(OR(H181&lt;1,H181&gt;NW),"⛔ التاريخ برّا السنة",IF(AND(N(C181)&gt;0,N(J181)&gt;0,C181&gt;ADV_CAP*J181),"⚠️ أكثر من "&amp;TEXT(ADV_CAP,"0%")&amp;" من شغله ("&amp;TEXT(J181,"0.000")&amp;")",""))))</f>
        <v/>
      </c>
      <c r="G181" s="0" t="str">
        <f aca="false">IF(A181="","",IF(ISNUMBER(A181),IF(A181&gt;=36526,A181,""),IFERROR(DATEVALUE(A181),"")))</f>
        <v/>
      </c>
      <c r="H181" s="0" t="str">
        <f aca="false">IF(G181="","",INT((G181-SAT1)/7)+1)</f>
        <v/>
      </c>
      <c r="I181" s="0" t="str">
        <f aca="false">IF(H181="","",IF(OR(H181&lt;1,H181&gt;NW),"",INDEX(WMON,H181)))</f>
        <v/>
      </c>
      <c r="J181" s="0" t="str">
        <f aca="false">IF(OR(G181="",H181="",B181=""),"",IF(B181="عمر المصري",SUMIFS('ساعات عمر'!$H$7:$H$642,'ساعات عمر'!$A$7:$A$642,"&gt;="&amp;(SAT1+7*(H181-1)),'ساعات عمر'!$A$7:$A$642,"&lt;="&amp;G181),SUMIFS('ساعات عبدالعزيز'!$F$7:$F$642,'ساعات عبدالعزيز'!$A$7:$A$642,"&gt;="&amp;(SAT1+7*(H181-1)),'ساعات عبدالعزيز'!$A$7:$A$642,"&lt;="&amp;G181)))</f>
        <v/>
      </c>
    </row>
    <row r="182" customFormat="false" ht="15" hidden="false" customHeight="false" outlineLevel="0" collapsed="false">
      <c r="A182" s="57"/>
      <c r="B182" s="30"/>
      <c r="C182" s="58"/>
      <c r="D182" s="59"/>
      <c r="E182" s="60" t="str">
        <f aca="false">IF(A182="","",IF(G182="","⛔ التاريخ غلط — اكتبه كامل 05/10/2026 أو اختاره من القائمة",IF(OR(H182&lt;1,H182&gt;NW),"⛔ التاريخ برّا السنة",IF(AND(N(C182)&gt;0,N(J182)&gt;0,C182&gt;ADV_CAP*J182),"⚠️ أكثر من "&amp;TEXT(ADV_CAP,"0%")&amp;" من شغله ("&amp;TEXT(J182,"0.000")&amp;")",""))))</f>
        <v/>
      </c>
      <c r="G182" s="0" t="str">
        <f aca="false">IF(A182="","",IF(ISNUMBER(A182),IF(A182&gt;=36526,A182,""),IFERROR(DATEVALUE(A182),"")))</f>
        <v/>
      </c>
      <c r="H182" s="0" t="str">
        <f aca="false">IF(G182="","",INT((G182-SAT1)/7)+1)</f>
        <v/>
      </c>
      <c r="I182" s="0" t="str">
        <f aca="false">IF(H182="","",IF(OR(H182&lt;1,H182&gt;NW),"",INDEX(WMON,H182)))</f>
        <v/>
      </c>
      <c r="J182" s="0" t="str">
        <f aca="false">IF(OR(G182="",H182="",B182=""),"",IF(B182="عمر المصري",SUMIFS('ساعات عمر'!$H$7:$H$642,'ساعات عمر'!$A$7:$A$642,"&gt;="&amp;(SAT1+7*(H182-1)),'ساعات عمر'!$A$7:$A$642,"&lt;="&amp;G182),SUMIFS('ساعات عبدالعزيز'!$F$7:$F$642,'ساعات عبدالعزيز'!$A$7:$A$642,"&gt;="&amp;(SAT1+7*(H182-1)),'ساعات عبدالعزيز'!$A$7:$A$642,"&lt;="&amp;G182)))</f>
        <v/>
      </c>
    </row>
    <row r="183" customFormat="false" ht="15" hidden="false" customHeight="false" outlineLevel="0" collapsed="false">
      <c r="A183" s="57"/>
      <c r="B183" s="30"/>
      <c r="C183" s="58"/>
      <c r="D183" s="59"/>
      <c r="E183" s="60" t="str">
        <f aca="false">IF(A183="","",IF(G183="","⛔ التاريخ غلط — اكتبه كامل 05/10/2026 أو اختاره من القائمة",IF(OR(H183&lt;1,H183&gt;NW),"⛔ التاريخ برّا السنة",IF(AND(N(C183)&gt;0,N(J183)&gt;0,C183&gt;ADV_CAP*J183),"⚠️ أكثر من "&amp;TEXT(ADV_CAP,"0%")&amp;" من شغله ("&amp;TEXT(J183,"0.000")&amp;")",""))))</f>
        <v/>
      </c>
      <c r="G183" s="0" t="str">
        <f aca="false">IF(A183="","",IF(ISNUMBER(A183),IF(A183&gt;=36526,A183,""),IFERROR(DATEVALUE(A183),"")))</f>
        <v/>
      </c>
      <c r="H183" s="0" t="str">
        <f aca="false">IF(G183="","",INT((G183-SAT1)/7)+1)</f>
        <v/>
      </c>
      <c r="I183" s="0" t="str">
        <f aca="false">IF(H183="","",IF(OR(H183&lt;1,H183&gt;NW),"",INDEX(WMON,H183)))</f>
        <v/>
      </c>
      <c r="J183" s="0" t="str">
        <f aca="false">IF(OR(G183="",H183="",B183=""),"",IF(B183="عمر المصري",SUMIFS('ساعات عمر'!$H$7:$H$642,'ساعات عمر'!$A$7:$A$642,"&gt;="&amp;(SAT1+7*(H183-1)),'ساعات عمر'!$A$7:$A$642,"&lt;="&amp;G183),SUMIFS('ساعات عبدالعزيز'!$F$7:$F$642,'ساعات عبدالعزيز'!$A$7:$A$642,"&gt;="&amp;(SAT1+7*(H183-1)),'ساعات عبدالعزيز'!$A$7:$A$642,"&lt;="&amp;G183)))</f>
        <v/>
      </c>
    </row>
    <row r="184" customFormat="false" ht="15" hidden="false" customHeight="false" outlineLevel="0" collapsed="false">
      <c r="A184" s="57"/>
      <c r="B184" s="30"/>
      <c r="C184" s="58"/>
      <c r="D184" s="59"/>
      <c r="E184" s="60" t="str">
        <f aca="false">IF(A184="","",IF(G184="","⛔ التاريخ غلط — اكتبه كامل 05/10/2026 أو اختاره من القائمة",IF(OR(H184&lt;1,H184&gt;NW),"⛔ التاريخ برّا السنة",IF(AND(N(C184)&gt;0,N(J184)&gt;0,C184&gt;ADV_CAP*J184),"⚠️ أكثر من "&amp;TEXT(ADV_CAP,"0%")&amp;" من شغله ("&amp;TEXT(J184,"0.000")&amp;")",""))))</f>
        <v/>
      </c>
      <c r="G184" s="0" t="str">
        <f aca="false">IF(A184="","",IF(ISNUMBER(A184),IF(A184&gt;=36526,A184,""),IFERROR(DATEVALUE(A184),"")))</f>
        <v/>
      </c>
      <c r="H184" s="0" t="str">
        <f aca="false">IF(G184="","",INT((G184-SAT1)/7)+1)</f>
        <v/>
      </c>
      <c r="I184" s="0" t="str">
        <f aca="false">IF(H184="","",IF(OR(H184&lt;1,H184&gt;NW),"",INDEX(WMON,H184)))</f>
        <v/>
      </c>
      <c r="J184" s="0" t="str">
        <f aca="false">IF(OR(G184="",H184="",B184=""),"",IF(B184="عمر المصري",SUMIFS('ساعات عمر'!$H$7:$H$642,'ساعات عمر'!$A$7:$A$642,"&gt;="&amp;(SAT1+7*(H184-1)),'ساعات عمر'!$A$7:$A$642,"&lt;="&amp;G184),SUMIFS('ساعات عبدالعزيز'!$F$7:$F$642,'ساعات عبدالعزيز'!$A$7:$A$642,"&gt;="&amp;(SAT1+7*(H184-1)),'ساعات عبدالعزيز'!$A$7:$A$642,"&lt;="&amp;G184)))</f>
        <v/>
      </c>
    </row>
    <row r="185" customFormat="false" ht="15" hidden="false" customHeight="false" outlineLevel="0" collapsed="false">
      <c r="A185" s="57"/>
      <c r="B185" s="30"/>
      <c r="C185" s="58"/>
      <c r="D185" s="59"/>
      <c r="E185" s="60" t="str">
        <f aca="false">IF(A185="","",IF(G185="","⛔ التاريخ غلط — اكتبه كامل 05/10/2026 أو اختاره من القائمة",IF(OR(H185&lt;1,H185&gt;NW),"⛔ التاريخ برّا السنة",IF(AND(N(C185)&gt;0,N(J185)&gt;0,C185&gt;ADV_CAP*J185),"⚠️ أكثر من "&amp;TEXT(ADV_CAP,"0%")&amp;" من شغله ("&amp;TEXT(J185,"0.000")&amp;")",""))))</f>
        <v/>
      </c>
      <c r="G185" s="0" t="str">
        <f aca="false">IF(A185="","",IF(ISNUMBER(A185),IF(A185&gt;=36526,A185,""),IFERROR(DATEVALUE(A185),"")))</f>
        <v/>
      </c>
      <c r="H185" s="0" t="str">
        <f aca="false">IF(G185="","",INT((G185-SAT1)/7)+1)</f>
        <v/>
      </c>
      <c r="I185" s="0" t="str">
        <f aca="false">IF(H185="","",IF(OR(H185&lt;1,H185&gt;NW),"",INDEX(WMON,H185)))</f>
        <v/>
      </c>
      <c r="J185" s="0" t="str">
        <f aca="false">IF(OR(G185="",H185="",B185=""),"",IF(B185="عمر المصري",SUMIFS('ساعات عمر'!$H$7:$H$642,'ساعات عمر'!$A$7:$A$642,"&gt;="&amp;(SAT1+7*(H185-1)),'ساعات عمر'!$A$7:$A$642,"&lt;="&amp;G185),SUMIFS('ساعات عبدالعزيز'!$F$7:$F$642,'ساعات عبدالعزيز'!$A$7:$A$642,"&gt;="&amp;(SAT1+7*(H185-1)),'ساعات عبدالعزيز'!$A$7:$A$642,"&lt;="&amp;G185)))</f>
        <v/>
      </c>
    </row>
    <row r="186" customFormat="false" ht="15" hidden="false" customHeight="false" outlineLevel="0" collapsed="false">
      <c r="A186" s="57"/>
      <c r="B186" s="30"/>
      <c r="C186" s="58"/>
      <c r="D186" s="59"/>
      <c r="E186" s="60" t="str">
        <f aca="false">IF(A186="","",IF(G186="","⛔ التاريخ غلط — اكتبه كامل 05/10/2026 أو اختاره من القائمة",IF(OR(H186&lt;1,H186&gt;NW),"⛔ التاريخ برّا السنة",IF(AND(N(C186)&gt;0,N(J186)&gt;0,C186&gt;ADV_CAP*J186),"⚠️ أكثر من "&amp;TEXT(ADV_CAP,"0%")&amp;" من شغله ("&amp;TEXT(J186,"0.000")&amp;")",""))))</f>
        <v/>
      </c>
      <c r="G186" s="0" t="str">
        <f aca="false">IF(A186="","",IF(ISNUMBER(A186),IF(A186&gt;=36526,A186,""),IFERROR(DATEVALUE(A186),"")))</f>
        <v/>
      </c>
      <c r="H186" s="0" t="str">
        <f aca="false">IF(G186="","",INT((G186-SAT1)/7)+1)</f>
        <v/>
      </c>
      <c r="I186" s="0" t="str">
        <f aca="false">IF(H186="","",IF(OR(H186&lt;1,H186&gt;NW),"",INDEX(WMON,H186)))</f>
        <v/>
      </c>
      <c r="J186" s="0" t="str">
        <f aca="false">IF(OR(G186="",H186="",B186=""),"",IF(B186="عمر المصري",SUMIFS('ساعات عمر'!$H$7:$H$642,'ساعات عمر'!$A$7:$A$642,"&gt;="&amp;(SAT1+7*(H186-1)),'ساعات عمر'!$A$7:$A$642,"&lt;="&amp;G186),SUMIFS('ساعات عبدالعزيز'!$F$7:$F$642,'ساعات عبدالعزيز'!$A$7:$A$642,"&gt;="&amp;(SAT1+7*(H186-1)),'ساعات عبدالعزيز'!$A$7:$A$642,"&lt;="&amp;G186)))</f>
        <v/>
      </c>
    </row>
    <row r="187" customFormat="false" ht="15" hidden="false" customHeight="false" outlineLevel="0" collapsed="false">
      <c r="A187" s="57"/>
      <c r="B187" s="30"/>
      <c r="C187" s="58"/>
      <c r="D187" s="59"/>
      <c r="E187" s="60" t="str">
        <f aca="false">IF(A187="","",IF(G187="","⛔ التاريخ غلط — اكتبه كامل 05/10/2026 أو اختاره من القائمة",IF(OR(H187&lt;1,H187&gt;NW),"⛔ التاريخ برّا السنة",IF(AND(N(C187)&gt;0,N(J187)&gt;0,C187&gt;ADV_CAP*J187),"⚠️ أكثر من "&amp;TEXT(ADV_CAP,"0%")&amp;" من شغله ("&amp;TEXT(J187,"0.000")&amp;")",""))))</f>
        <v/>
      </c>
      <c r="G187" s="0" t="str">
        <f aca="false">IF(A187="","",IF(ISNUMBER(A187),IF(A187&gt;=36526,A187,""),IFERROR(DATEVALUE(A187),"")))</f>
        <v/>
      </c>
      <c r="H187" s="0" t="str">
        <f aca="false">IF(G187="","",INT((G187-SAT1)/7)+1)</f>
        <v/>
      </c>
      <c r="I187" s="0" t="str">
        <f aca="false">IF(H187="","",IF(OR(H187&lt;1,H187&gt;NW),"",INDEX(WMON,H187)))</f>
        <v/>
      </c>
      <c r="J187" s="0" t="str">
        <f aca="false">IF(OR(G187="",H187="",B187=""),"",IF(B187="عمر المصري",SUMIFS('ساعات عمر'!$H$7:$H$642,'ساعات عمر'!$A$7:$A$642,"&gt;="&amp;(SAT1+7*(H187-1)),'ساعات عمر'!$A$7:$A$642,"&lt;="&amp;G187),SUMIFS('ساعات عبدالعزيز'!$F$7:$F$642,'ساعات عبدالعزيز'!$A$7:$A$642,"&gt;="&amp;(SAT1+7*(H187-1)),'ساعات عبدالعزيز'!$A$7:$A$642,"&lt;="&amp;G187)))</f>
        <v/>
      </c>
    </row>
    <row r="188" customFormat="false" ht="15" hidden="false" customHeight="false" outlineLevel="0" collapsed="false">
      <c r="A188" s="57"/>
      <c r="B188" s="30"/>
      <c r="C188" s="58"/>
      <c r="D188" s="59"/>
      <c r="E188" s="60" t="str">
        <f aca="false">IF(A188="","",IF(G188="","⛔ التاريخ غلط — اكتبه كامل 05/10/2026 أو اختاره من القائمة",IF(OR(H188&lt;1,H188&gt;NW),"⛔ التاريخ برّا السنة",IF(AND(N(C188)&gt;0,N(J188)&gt;0,C188&gt;ADV_CAP*J188),"⚠️ أكثر من "&amp;TEXT(ADV_CAP,"0%")&amp;" من شغله ("&amp;TEXT(J188,"0.000")&amp;")",""))))</f>
        <v/>
      </c>
      <c r="G188" s="0" t="str">
        <f aca="false">IF(A188="","",IF(ISNUMBER(A188),IF(A188&gt;=36526,A188,""),IFERROR(DATEVALUE(A188),"")))</f>
        <v/>
      </c>
      <c r="H188" s="0" t="str">
        <f aca="false">IF(G188="","",INT((G188-SAT1)/7)+1)</f>
        <v/>
      </c>
      <c r="I188" s="0" t="str">
        <f aca="false">IF(H188="","",IF(OR(H188&lt;1,H188&gt;NW),"",INDEX(WMON,H188)))</f>
        <v/>
      </c>
      <c r="J188" s="0" t="str">
        <f aca="false">IF(OR(G188="",H188="",B188=""),"",IF(B188="عمر المصري",SUMIFS('ساعات عمر'!$H$7:$H$642,'ساعات عمر'!$A$7:$A$642,"&gt;="&amp;(SAT1+7*(H188-1)),'ساعات عمر'!$A$7:$A$642,"&lt;="&amp;G188),SUMIFS('ساعات عبدالعزيز'!$F$7:$F$642,'ساعات عبدالعزيز'!$A$7:$A$642,"&gt;="&amp;(SAT1+7*(H188-1)),'ساعات عبدالعزيز'!$A$7:$A$642,"&lt;="&amp;G188)))</f>
        <v/>
      </c>
    </row>
    <row r="189" customFormat="false" ht="15" hidden="false" customHeight="false" outlineLevel="0" collapsed="false">
      <c r="A189" s="57"/>
      <c r="B189" s="30"/>
      <c r="C189" s="58"/>
      <c r="D189" s="59"/>
      <c r="E189" s="60" t="str">
        <f aca="false">IF(A189="","",IF(G189="","⛔ التاريخ غلط — اكتبه كامل 05/10/2026 أو اختاره من القائمة",IF(OR(H189&lt;1,H189&gt;NW),"⛔ التاريخ برّا السنة",IF(AND(N(C189)&gt;0,N(J189)&gt;0,C189&gt;ADV_CAP*J189),"⚠️ أكثر من "&amp;TEXT(ADV_CAP,"0%")&amp;" من شغله ("&amp;TEXT(J189,"0.000")&amp;")",""))))</f>
        <v/>
      </c>
      <c r="G189" s="0" t="str">
        <f aca="false">IF(A189="","",IF(ISNUMBER(A189),IF(A189&gt;=36526,A189,""),IFERROR(DATEVALUE(A189),"")))</f>
        <v/>
      </c>
      <c r="H189" s="0" t="str">
        <f aca="false">IF(G189="","",INT((G189-SAT1)/7)+1)</f>
        <v/>
      </c>
      <c r="I189" s="0" t="str">
        <f aca="false">IF(H189="","",IF(OR(H189&lt;1,H189&gt;NW),"",INDEX(WMON,H189)))</f>
        <v/>
      </c>
      <c r="J189" s="0" t="str">
        <f aca="false">IF(OR(G189="",H189="",B189=""),"",IF(B189="عمر المصري",SUMIFS('ساعات عمر'!$H$7:$H$642,'ساعات عمر'!$A$7:$A$642,"&gt;="&amp;(SAT1+7*(H189-1)),'ساعات عمر'!$A$7:$A$642,"&lt;="&amp;G189),SUMIFS('ساعات عبدالعزيز'!$F$7:$F$642,'ساعات عبدالعزيز'!$A$7:$A$642,"&gt;="&amp;(SAT1+7*(H189-1)),'ساعات عبدالعزيز'!$A$7:$A$642,"&lt;="&amp;G189)))</f>
        <v/>
      </c>
    </row>
    <row r="190" customFormat="false" ht="15" hidden="false" customHeight="false" outlineLevel="0" collapsed="false">
      <c r="A190" s="57"/>
      <c r="B190" s="30"/>
      <c r="C190" s="58"/>
      <c r="D190" s="59"/>
      <c r="E190" s="60" t="str">
        <f aca="false">IF(A190="","",IF(G190="","⛔ التاريخ غلط — اكتبه كامل 05/10/2026 أو اختاره من القائمة",IF(OR(H190&lt;1,H190&gt;NW),"⛔ التاريخ برّا السنة",IF(AND(N(C190)&gt;0,N(J190)&gt;0,C190&gt;ADV_CAP*J190),"⚠️ أكثر من "&amp;TEXT(ADV_CAP,"0%")&amp;" من شغله ("&amp;TEXT(J190,"0.000")&amp;")",""))))</f>
        <v/>
      </c>
      <c r="G190" s="0" t="str">
        <f aca="false">IF(A190="","",IF(ISNUMBER(A190),IF(A190&gt;=36526,A190,""),IFERROR(DATEVALUE(A190),"")))</f>
        <v/>
      </c>
      <c r="H190" s="0" t="str">
        <f aca="false">IF(G190="","",INT((G190-SAT1)/7)+1)</f>
        <v/>
      </c>
      <c r="I190" s="0" t="str">
        <f aca="false">IF(H190="","",IF(OR(H190&lt;1,H190&gt;NW),"",INDEX(WMON,H190)))</f>
        <v/>
      </c>
      <c r="J190" s="0" t="str">
        <f aca="false">IF(OR(G190="",H190="",B190=""),"",IF(B190="عمر المصري",SUMIFS('ساعات عمر'!$H$7:$H$642,'ساعات عمر'!$A$7:$A$642,"&gt;="&amp;(SAT1+7*(H190-1)),'ساعات عمر'!$A$7:$A$642,"&lt;="&amp;G190),SUMIFS('ساعات عبدالعزيز'!$F$7:$F$642,'ساعات عبدالعزيز'!$A$7:$A$642,"&gt;="&amp;(SAT1+7*(H190-1)),'ساعات عبدالعزيز'!$A$7:$A$642,"&lt;="&amp;G190)))</f>
        <v/>
      </c>
    </row>
    <row r="191" customFormat="false" ht="15" hidden="false" customHeight="false" outlineLevel="0" collapsed="false">
      <c r="A191" s="57"/>
      <c r="B191" s="30"/>
      <c r="C191" s="58"/>
      <c r="D191" s="59"/>
      <c r="E191" s="60" t="str">
        <f aca="false">IF(A191="","",IF(G191="","⛔ التاريخ غلط — اكتبه كامل 05/10/2026 أو اختاره من القائمة",IF(OR(H191&lt;1,H191&gt;NW),"⛔ التاريخ برّا السنة",IF(AND(N(C191)&gt;0,N(J191)&gt;0,C191&gt;ADV_CAP*J191),"⚠️ أكثر من "&amp;TEXT(ADV_CAP,"0%")&amp;" من شغله ("&amp;TEXT(J191,"0.000")&amp;")",""))))</f>
        <v/>
      </c>
      <c r="G191" s="0" t="str">
        <f aca="false">IF(A191="","",IF(ISNUMBER(A191),IF(A191&gt;=36526,A191,""),IFERROR(DATEVALUE(A191),"")))</f>
        <v/>
      </c>
      <c r="H191" s="0" t="str">
        <f aca="false">IF(G191="","",INT((G191-SAT1)/7)+1)</f>
        <v/>
      </c>
      <c r="I191" s="0" t="str">
        <f aca="false">IF(H191="","",IF(OR(H191&lt;1,H191&gt;NW),"",INDEX(WMON,H191)))</f>
        <v/>
      </c>
      <c r="J191" s="0" t="str">
        <f aca="false">IF(OR(G191="",H191="",B191=""),"",IF(B191="عمر المصري",SUMIFS('ساعات عمر'!$H$7:$H$642,'ساعات عمر'!$A$7:$A$642,"&gt;="&amp;(SAT1+7*(H191-1)),'ساعات عمر'!$A$7:$A$642,"&lt;="&amp;G191),SUMIFS('ساعات عبدالعزيز'!$F$7:$F$642,'ساعات عبدالعزيز'!$A$7:$A$642,"&gt;="&amp;(SAT1+7*(H191-1)),'ساعات عبدالعزيز'!$A$7:$A$642,"&lt;="&amp;G191)))</f>
        <v/>
      </c>
    </row>
    <row r="192" customFormat="false" ht="15" hidden="false" customHeight="false" outlineLevel="0" collapsed="false">
      <c r="A192" s="57"/>
      <c r="B192" s="30"/>
      <c r="C192" s="58"/>
      <c r="D192" s="59"/>
      <c r="E192" s="60" t="str">
        <f aca="false">IF(A192="","",IF(G192="","⛔ التاريخ غلط — اكتبه كامل 05/10/2026 أو اختاره من القائمة",IF(OR(H192&lt;1,H192&gt;NW),"⛔ التاريخ برّا السنة",IF(AND(N(C192)&gt;0,N(J192)&gt;0,C192&gt;ADV_CAP*J192),"⚠️ أكثر من "&amp;TEXT(ADV_CAP,"0%")&amp;" من شغله ("&amp;TEXT(J192,"0.000")&amp;")",""))))</f>
        <v/>
      </c>
      <c r="G192" s="0" t="str">
        <f aca="false">IF(A192="","",IF(ISNUMBER(A192),IF(A192&gt;=36526,A192,""),IFERROR(DATEVALUE(A192),"")))</f>
        <v/>
      </c>
      <c r="H192" s="0" t="str">
        <f aca="false">IF(G192="","",INT((G192-SAT1)/7)+1)</f>
        <v/>
      </c>
      <c r="I192" s="0" t="str">
        <f aca="false">IF(H192="","",IF(OR(H192&lt;1,H192&gt;NW),"",INDEX(WMON,H192)))</f>
        <v/>
      </c>
      <c r="J192" s="0" t="str">
        <f aca="false">IF(OR(G192="",H192="",B192=""),"",IF(B192="عمر المصري",SUMIFS('ساعات عمر'!$H$7:$H$642,'ساعات عمر'!$A$7:$A$642,"&gt;="&amp;(SAT1+7*(H192-1)),'ساعات عمر'!$A$7:$A$642,"&lt;="&amp;G192),SUMIFS('ساعات عبدالعزيز'!$F$7:$F$642,'ساعات عبدالعزيز'!$A$7:$A$642,"&gt;="&amp;(SAT1+7*(H192-1)),'ساعات عبدالعزيز'!$A$7:$A$642,"&lt;="&amp;G192)))</f>
        <v/>
      </c>
    </row>
    <row r="193" customFormat="false" ht="15" hidden="false" customHeight="false" outlineLevel="0" collapsed="false">
      <c r="A193" s="57"/>
      <c r="B193" s="30"/>
      <c r="C193" s="58"/>
      <c r="D193" s="59"/>
      <c r="E193" s="60" t="str">
        <f aca="false">IF(A193="","",IF(G193="","⛔ التاريخ غلط — اكتبه كامل 05/10/2026 أو اختاره من القائمة",IF(OR(H193&lt;1,H193&gt;NW),"⛔ التاريخ برّا السنة",IF(AND(N(C193)&gt;0,N(J193)&gt;0,C193&gt;ADV_CAP*J193),"⚠️ أكثر من "&amp;TEXT(ADV_CAP,"0%")&amp;" من شغله ("&amp;TEXT(J193,"0.000")&amp;")",""))))</f>
        <v/>
      </c>
      <c r="G193" s="0" t="str">
        <f aca="false">IF(A193="","",IF(ISNUMBER(A193),IF(A193&gt;=36526,A193,""),IFERROR(DATEVALUE(A193),"")))</f>
        <v/>
      </c>
      <c r="H193" s="0" t="str">
        <f aca="false">IF(G193="","",INT((G193-SAT1)/7)+1)</f>
        <v/>
      </c>
      <c r="I193" s="0" t="str">
        <f aca="false">IF(H193="","",IF(OR(H193&lt;1,H193&gt;NW),"",INDEX(WMON,H193)))</f>
        <v/>
      </c>
      <c r="J193" s="0" t="str">
        <f aca="false">IF(OR(G193="",H193="",B193=""),"",IF(B193="عمر المصري",SUMIFS('ساعات عمر'!$H$7:$H$642,'ساعات عمر'!$A$7:$A$642,"&gt;="&amp;(SAT1+7*(H193-1)),'ساعات عمر'!$A$7:$A$642,"&lt;="&amp;G193),SUMIFS('ساعات عبدالعزيز'!$F$7:$F$642,'ساعات عبدالعزيز'!$A$7:$A$642,"&gt;="&amp;(SAT1+7*(H193-1)),'ساعات عبدالعزيز'!$A$7:$A$642,"&lt;="&amp;G193)))</f>
        <v/>
      </c>
    </row>
    <row r="194" customFormat="false" ht="15" hidden="false" customHeight="false" outlineLevel="0" collapsed="false">
      <c r="A194" s="57"/>
      <c r="B194" s="30"/>
      <c r="C194" s="58"/>
      <c r="D194" s="59"/>
      <c r="E194" s="60" t="str">
        <f aca="false">IF(A194="","",IF(G194="","⛔ التاريخ غلط — اكتبه كامل 05/10/2026 أو اختاره من القائمة",IF(OR(H194&lt;1,H194&gt;NW),"⛔ التاريخ برّا السنة",IF(AND(N(C194)&gt;0,N(J194)&gt;0,C194&gt;ADV_CAP*J194),"⚠️ أكثر من "&amp;TEXT(ADV_CAP,"0%")&amp;" من شغله ("&amp;TEXT(J194,"0.000")&amp;")",""))))</f>
        <v/>
      </c>
      <c r="G194" s="0" t="str">
        <f aca="false">IF(A194="","",IF(ISNUMBER(A194),IF(A194&gt;=36526,A194,""),IFERROR(DATEVALUE(A194),"")))</f>
        <v/>
      </c>
      <c r="H194" s="0" t="str">
        <f aca="false">IF(G194="","",INT((G194-SAT1)/7)+1)</f>
        <v/>
      </c>
      <c r="I194" s="0" t="str">
        <f aca="false">IF(H194="","",IF(OR(H194&lt;1,H194&gt;NW),"",INDEX(WMON,H194)))</f>
        <v/>
      </c>
      <c r="J194" s="0" t="str">
        <f aca="false">IF(OR(G194="",H194="",B194=""),"",IF(B194="عمر المصري",SUMIFS('ساعات عمر'!$H$7:$H$642,'ساعات عمر'!$A$7:$A$642,"&gt;="&amp;(SAT1+7*(H194-1)),'ساعات عمر'!$A$7:$A$642,"&lt;="&amp;G194),SUMIFS('ساعات عبدالعزيز'!$F$7:$F$642,'ساعات عبدالعزيز'!$A$7:$A$642,"&gt;="&amp;(SAT1+7*(H194-1)),'ساعات عبدالعزيز'!$A$7:$A$642,"&lt;="&amp;G194)))</f>
        <v/>
      </c>
    </row>
    <row r="195" customFormat="false" ht="15" hidden="false" customHeight="false" outlineLevel="0" collapsed="false">
      <c r="A195" s="57"/>
      <c r="B195" s="30"/>
      <c r="C195" s="58"/>
      <c r="D195" s="59"/>
      <c r="E195" s="60" t="str">
        <f aca="false">IF(A195="","",IF(G195="","⛔ التاريخ غلط — اكتبه كامل 05/10/2026 أو اختاره من القائمة",IF(OR(H195&lt;1,H195&gt;NW),"⛔ التاريخ برّا السنة",IF(AND(N(C195)&gt;0,N(J195)&gt;0,C195&gt;ADV_CAP*J195),"⚠️ أكثر من "&amp;TEXT(ADV_CAP,"0%")&amp;" من شغله ("&amp;TEXT(J195,"0.000")&amp;")",""))))</f>
        <v/>
      </c>
      <c r="G195" s="0" t="str">
        <f aca="false">IF(A195="","",IF(ISNUMBER(A195),IF(A195&gt;=36526,A195,""),IFERROR(DATEVALUE(A195),"")))</f>
        <v/>
      </c>
      <c r="H195" s="0" t="str">
        <f aca="false">IF(G195="","",INT((G195-SAT1)/7)+1)</f>
        <v/>
      </c>
      <c r="I195" s="0" t="str">
        <f aca="false">IF(H195="","",IF(OR(H195&lt;1,H195&gt;NW),"",INDEX(WMON,H195)))</f>
        <v/>
      </c>
      <c r="J195" s="0" t="str">
        <f aca="false">IF(OR(G195="",H195="",B195=""),"",IF(B195="عمر المصري",SUMIFS('ساعات عمر'!$H$7:$H$642,'ساعات عمر'!$A$7:$A$642,"&gt;="&amp;(SAT1+7*(H195-1)),'ساعات عمر'!$A$7:$A$642,"&lt;="&amp;G195),SUMIFS('ساعات عبدالعزيز'!$F$7:$F$642,'ساعات عبدالعزيز'!$A$7:$A$642,"&gt;="&amp;(SAT1+7*(H195-1)),'ساعات عبدالعزيز'!$A$7:$A$642,"&lt;="&amp;G195)))</f>
        <v/>
      </c>
    </row>
    <row r="196" customFormat="false" ht="15" hidden="false" customHeight="false" outlineLevel="0" collapsed="false">
      <c r="A196" s="57"/>
      <c r="B196" s="30"/>
      <c r="C196" s="58"/>
      <c r="D196" s="59"/>
      <c r="E196" s="60" t="str">
        <f aca="false">IF(A196="","",IF(G196="","⛔ التاريخ غلط — اكتبه كامل 05/10/2026 أو اختاره من القائمة",IF(OR(H196&lt;1,H196&gt;NW),"⛔ التاريخ برّا السنة",IF(AND(N(C196)&gt;0,N(J196)&gt;0,C196&gt;ADV_CAP*J196),"⚠️ أكثر من "&amp;TEXT(ADV_CAP,"0%")&amp;" من شغله ("&amp;TEXT(J196,"0.000")&amp;")",""))))</f>
        <v/>
      </c>
      <c r="G196" s="0" t="str">
        <f aca="false">IF(A196="","",IF(ISNUMBER(A196),IF(A196&gt;=36526,A196,""),IFERROR(DATEVALUE(A196),"")))</f>
        <v/>
      </c>
      <c r="H196" s="0" t="str">
        <f aca="false">IF(G196="","",INT((G196-SAT1)/7)+1)</f>
        <v/>
      </c>
      <c r="I196" s="0" t="str">
        <f aca="false">IF(H196="","",IF(OR(H196&lt;1,H196&gt;NW),"",INDEX(WMON,H196)))</f>
        <v/>
      </c>
      <c r="J196" s="0" t="str">
        <f aca="false">IF(OR(G196="",H196="",B196=""),"",IF(B196="عمر المصري",SUMIFS('ساعات عمر'!$H$7:$H$642,'ساعات عمر'!$A$7:$A$642,"&gt;="&amp;(SAT1+7*(H196-1)),'ساعات عمر'!$A$7:$A$642,"&lt;="&amp;G196),SUMIFS('ساعات عبدالعزيز'!$F$7:$F$642,'ساعات عبدالعزيز'!$A$7:$A$642,"&gt;="&amp;(SAT1+7*(H196-1)),'ساعات عبدالعزيز'!$A$7:$A$642,"&lt;="&amp;G196)))</f>
        <v/>
      </c>
    </row>
    <row r="197" customFormat="false" ht="15" hidden="false" customHeight="false" outlineLevel="0" collapsed="false">
      <c r="A197" s="57"/>
      <c r="B197" s="30"/>
      <c r="C197" s="58"/>
      <c r="D197" s="59"/>
      <c r="E197" s="60" t="str">
        <f aca="false">IF(A197="","",IF(G197="","⛔ التاريخ غلط — اكتبه كامل 05/10/2026 أو اختاره من القائمة",IF(OR(H197&lt;1,H197&gt;NW),"⛔ التاريخ برّا السنة",IF(AND(N(C197)&gt;0,N(J197)&gt;0,C197&gt;ADV_CAP*J197),"⚠️ أكثر من "&amp;TEXT(ADV_CAP,"0%")&amp;" من شغله ("&amp;TEXT(J197,"0.000")&amp;")",""))))</f>
        <v/>
      </c>
      <c r="G197" s="0" t="str">
        <f aca="false">IF(A197="","",IF(ISNUMBER(A197),IF(A197&gt;=36526,A197,""),IFERROR(DATEVALUE(A197),"")))</f>
        <v/>
      </c>
      <c r="H197" s="0" t="str">
        <f aca="false">IF(G197="","",INT((G197-SAT1)/7)+1)</f>
        <v/>
      </c>
      <c r="I197" s="0" t="str">
        <f aca="false">IF(H197="","",IF(OR(H197&lt;1,H197&gt;NW),"",INDEX(WMON,H197)))</f>
        <v/>
      </c>
      <c r="J197" s="0" t="str">
        <f aca="false">IF(OR(G197="",H197="",B197=""),"",IF(B197="عمر المصري",SUMIFS('ساعات عمر'!$H$7:$H$642,'ساعات عمر'!$A$7:$A$642,"&gt;="&amp;(SAT1+7*(H197-1)),'ساعات عمر'!$A$7:$A$642,"&lt;="&amp;G197),SUMIFS('ساعات عبدالعزيز'!$F$7:$F$642,'ساعات عبدالعزيز'!$A$7:$A$642,"&gt;="&amp;(SAT1+7*(H197-1)),'ساعات عبدالعزيز'!$A$7:$A$642,"&lt;="&amp;G197)))</f>
        <v/>
      </c>
    </row>
    <row r="198" customFormat="false" ht="15" hidden="false" customHeight="false" outlineLevel="0" collapsed="false">
      <c r="A198" s="57"/>
      <c r="B198" s="30"/>
      <c r="C198" s="58"/>
      <c r="D198" s="59"/>
      <c r="E198" s="60" t="str">
        <f aca="false">IF(A198="","",IF(G198="","⛔ التاريخ غلط — اكتبه كامل 05/10/2026 أو اختاره من القائمة",IF(OR(H198&lt;1,H198&gt;NW),"⛔ التاريخ برّا السنة",IF(AND(N(C198)&gt;0,N(J198)&gt;0,C198&gt;ADV_CAP*J198),"⚠️ أكثر من "&amp;TEXT(ADV_CAP,"0%")&amp;" من شغله ("&amp;TEXT(J198,"0.000")&amp;")",""))))</f>
        <v/>
      </c>
      <c r="G198" s="0" t="str">
        <f aca="false">IF(A198="","",IF(ISNUMBER(A198),IF(A198&gt;=36526,A198,""),IFERROR(DATEVALUE(A198),"")))</f>
        <v/>
      </c>
      <c r="H198" s="0" t="str">
        <f aca="false">IF(G198="","",INT((G198-SAT1)/7)+1)</f>
        <v/>
      </c>
      <c r="I198" s="0" t="str">
        <f aca="false">IF(H198="","",IF(OR(H198&lt;1,H198&gt;NW),"",INDEX(WMON,H198)))</f>
        <v/>
      </c>
      <c r="J198" s="0" t="str">
        <f aca="false">IF(OR(G198="",H198="",B198=""),"",IF(B198="عمر المصري",SUMIFS('ساعات عمر'!$H$7:$H$642,'ساعات عمر'!$A$7:$A$642,"&gt;="&amp;(SAT1+7*(H198-1)),'ساعات عمر'!$A$7:$A$642,"&lt;="&amp;G198),SUMIFS('ساعات عبدالعزيز'!$F$7:$F$642,'ساعات عبدالعزيز'!$A$7:$A$642,"&gt;="&amp;(SAT1+7*(H198-1)),'ساعات عبدالعزيز'!$A$7:$A$642,"&lt;="&amp;G198)))</f>
        <v/>
      </c>
    </row>
    <row r="199" customFormat="false" ht="15" hidden="false" customHeight="false" outlineLevel="0" collapsed="false">
      <c r="A199" s="57"/>
      <c r="B199" s="30"/>
      <c r="C199" s="58"/>
      <c r="D199" s="59"/>
      <c r="E199" s="60" t="str">
        <f aca="false">IF(A199="","",IF(G199="","⛔ التاريخ غلط — اكتبه كامل 05/10/2026 أو اختاره من القائمة",IF(OR(H199&lt;1,H199&gt;NW),"⛔ التاريخ برّا السنة",IF(AND(N(C199)&gt;0,N(J199)&gt;0,C199&gt;ADV_CAP*J199),"⚠️ أكثر من "&amp;TEXT(ADV_CAP,"0%")&amp;" من شغله ("&amp;TEXT(J199,"0.000")&amp;")",""))))</f>
        <v/>
      </c>
      <c r="G199" s="0" t="str">
        <f aca="false">IF(A199="","",IF(ISNUMBER(A199),IF(A199&gt;=36526,A199,""),IFERROR(DATEVALUE(A199),"")))</f>
        <v/>
      </c>
      <c r="H199" s="0" t="str">
        <f aca="false">IF(G199="","",INT((G199-SAT1)/7)+1)</f>
        <v/>
      </c>
      <c r="I199" s="0" t="str">
        <f aca="false">IF(H199="","",IF(OR(H199&lt;1,H199&gt;NW),"",INDEX(WMON,H199)))</f>
        <v/>
      </c>
      <c r="J199" s="0" t="str">
        <f aca="false">IF(OR(G199="",H199="",B199=""),"",IF(B199="عمر المصري",SUMIFS('ساعات عمر'!$H$7:$H$642,'ساعات عمر'!$A$7:$A$642,"&gt;="&amp;(SAT1+7*(H199-1)),'ساعات عمر'!$A$7:$A$642,"&lt;="&amp;G199),SUMIFS('ساعات عبدالعزيز'!$F$7:$F$642,'ساعات عبدالعزيز'!$A$7:$A$642,"&gt;="&amp;(SAT1+7*(H199-1)),'ساعات عبدالعزيز'!$A$7:$A$642,"&lt;="&amp;G199)))</f>
        <v/>
      </c>
    </row>
    <row r="200" customFormat="false" ht="15" hidden="false" customHeight="false" outlineLevel="0" collapsed="false">
      <c r="A200" s="57"/>
      <c r="B200" s="30"/>
      <c r="C200" s="58"/>
      <c r="D200" s="59"/>
      <c r="E200" s="60" t="str">
        <f aca="false">IF(A200="","",IF(G200="","⛔ التاريخ غلط — اكتبه كامل 05/10/2026 أو اختاره من القائمة",IF(OR(H200&lt;1,H200&gt;NW),"⛔ التاريخ برّا السنة",IF(AND(N(C200)&gt;0,N(J200)&gt;0,C200&gt;ADV_CAP*J200),"⚠️ أكثر من "&amp;TEXT(ADV_CAP,"0%")&amp;" من شغله ("&amp;TEXT(J200,"0.000")&amp;")",""))))</f>
        <v/>
      </c>
      <c r="G200" s="0" t="str">
        <f aca="false">IF(A200="","",IF(ISNUMBER(A200),IF(A200&gt;=36526,A200,""),IFERROR(DATEVALUE(A200),"")))</f>
        <v/>
      </c>
      <c r="H200" s="0" t="str">
        <f aca="false">IF(G200="","",INT((G200-SAT1)/7)+1)</f>
        <v/>
      </c>
      <c r="I200" s="0" t="str">
        <f aca="false">IF(H200="","",IF(OR(H200&lt;1,H200&gt;NW),"",INDEX(WMON,H200)))</f>
        <v/>
      </c>
      <c r="J200" s="0" t="str">
        <f aca="false">IF(OR(G200="",H200="",B200=""),"",IF(B200="عمر المصري",SUMIFS('ساعات عمر'!$H$7:$H$642,'ساعات عمر'!$A$7:$A$642,"&gt;="&amp;(SAT1+7*(H200-1)),'ساعات عمر'!$A$7:$A$642,"&lt;="&amp;G200),SUMIFS('ساعات عبدالعزيز'!$F$7:$F$642,'ساعات عبدالعزيز'!$A$7:$A$642,"&gt;="&amp;(SAT1+7*(H200-1)),'ساعات عبدالعزيز'!$A$7:$A$642,"&lt;="&amp;G200)))</f>
        <v/>
      </c>
    </row>
    <row r="201" customFormat="false" ht="15" hidden="false" customHeight="false" outlineLevel="0" collapsed="false">
      <c r="A201" s="57"/>
      <c r="B201" s="30"/>
      <c r="C201" s="58"/>
      <c r="D201" s="59"/>
      <c r="E201" s="60" t="str">
        <f aca="false">IF(A201="","",IF(G201="","⛔ التاريخ غلط — اكتبه كامل 05/10/2026 أو اختاره من القائمة",IF(OR(H201&lt;1,H201&gt;NW),"⛔ التاريخ برّا السنة",IF(AND(N(C201)&gt;0,N(J201)&gt;0,C201&gt;ADV_CAP*J201),"⚠️ أكثر من "&amp;TEXT(ADV_CAP,"0%")&amp;" من شغله ("&amp;TEXT(J201,"0.000")&amp;")",""))))</f>
        <v/>
      </c>
      <c r="G201" s="0" t="str">
        <f aca="false">IF(A201="","",IF(ISNUMBER(A201),IF(A201&gt;=36526,A201,""),IFERROR(DATEVALUE(A201),"")))</f>
        <v/>
      </c>
      <c r="H201" s="0" t="str">
        <f aca="false">IF(G201="","",INT((G201-SAT1)/7)+1)</f>
        <v/>
      </c>
      <c r="I201" s="0" t="str">
        <f aca="false">IF(H201="","",IF(OR(H201&lt;1,H201&gt;NW),"",INDEX(WMON,H201)))</f>
        <v/>
      </c>
      <c r="J201" s="0" t="str">
        <f aca="false">IF(OR(G201="",H201="",B201=""),"",IF(B201="عمر المصري",SUMIFS('ساعات عمر'!$H$7:$H$642,'ساعات عمر'!$A$7:$A$642,"&gt;="&amp;(SAT1+7*(H201-1)),'ساعات عمر'!$A$7:$A$642,"&lt;="&amp;G201),SUMIFS('ساعات عبدالعزيز'!$F$7:$F$642,'ساعات عبدالعزيز'!$A$7:$A$642,"&gt;="&amp;(SAT1+7*(H201-1)),'ساعات عبدالعزيز'!$A$7:$A$642,"&lt;="&amp;G201)))</f>
        <v/>
      </c>
    </row>
    <row r="202" customFormat="false" ht="15" hidden="false" customHeight="false" outlineLevel="0" collapsed="false">
      <c r="A202" s="57"/>
      <c r="B202" s="30"/>
      <c r="C202" s="58"/>
      <c r="D202" s="59"/>
      <c r="E202" s="60" t="str">
        <f aca="false">IF(A202="","",IF(G202="","⛔ التاريخ غلط — اكتبه كامل 05/10/2026 أو اختاره من القائمة",IF(OR(H202&lt;1,H202&gt;NW),"⛔ التاريخ برّا السنة",IF(AND(N(C202)&gt;0,N(J202)&gt;0,C202&gt;ADV_CAP*J202),"⚠️ أكثر من "&amp;TEXT(ADV_CAP,"0%")&amp;" من شغله ("&amp;TEXT(J202,"0.000")&amp;")",""))))</f>
        <v/>
      </c>
      <c r="G202" s="0" t="str">
        <f aca="false">IF(A202="","",IF(ISNUMBER(A202),IF(A202&gt;=36526,A202,""),IFERROR(DATEVALUE(A202),"")))</f>
        <v/>
      </c>
      <c r="H202" s="0" t="str">
        <f aca="false">IF(G202="","",INT((G202-SAT1)/7)+1)</f>
        <v/>
      </c>
      <c r="I202" s="0" t="str">
        <f aca="false">IF(H202="","",IF(OR(H202&lt;1,H202&gt;NW),"",INDEX(WMON,H202)))</f>
        <v/>
      </c>
      <c r="J202" s="0" t="str">
        <f aca="false">IF(OR(G202="",H202="",B202=""),"",IF(B202="عمر المصري",SUMIFS('ساعات عمر'!$H$7:$H$642,'ساعات عمر'!$A$7:$A$642,"&gt;="&amp;(SAT1+7*(H202-1)),'ساعات عمر'!$A$7:$A$642,"&lt;="&amp;G202),SUMIFS('ساعات عبدالعزيز'!$F$7:$F$642,'ساعات عبدالعزيز'!$A$7:$A$642,"&gt;="&amp;(SAT1+7*(H202-1)),'ساعات عبدالعزيز'!$A$7:$A$642,"&lt;="&amp;G202)))</f>
        <v/>
      </c>
    </row>
    <row r="203" customFormat="false" ht="15" hidden="false" customHeight="false" outlineLevel="0" collapsed="false">
      <c r="A203" s="57"/>
      <c r="B203" s="30"/>
      <c r="C203" s="58"/>
      <c r="D203" s="59"/>
      <c r="E203" s="60" t="str">
        <f aca="false">IF(A203="","",IF(G203="","⛔ التاريخ غلط — اكتبه كامل 05/10/2026 أو اختاره من القائمة",IF(OR(H203&lt;1,H203&gt;NW),"⛔ التاريخ برّا السنة",IF(AND(N(C203)&gt;0,N(J203)&gt;0,C203&gt;ADV_CAP*J203),"⚠️ أكثر من "&amp;TEXT(ADV_CAP,"0%")&amp;" من شغله ("&amp;TEXT(J203,"0.000")&amp;")",""))))</f>
        <v/>
      </c>
      <c r="G203" s="0" t="str">
        <f aca="false">IF(A203="","",IF(ISNUMBER(A203),IF(A203&gt;=36526,A203,""),IFERROR(DATEVALUE(A203),"")))</f>
        <v/>
      </c>
      <c r="H203" s="0" t="str">
        <f aca="false">IF(G203="","",INT((G203-SAT1)/7)+1)</f>
        <v/>
      </c>
      <c r="I203" s="0" t="str">
        <f aca="false">IF(H203="","",IF(OR(H203&lt;1,H203&gt;NW),"",INDEX(WMON,H203)))</f>
        <v/>
      </c>
      <c r="J203" s="0" t="str">
        <f aca="false">IF(OR(G203="",H203="",B203=""),"",IF(B203="عمر المصري",SUMIFS('ساعات عمر'!$H$7:$H$642,'ساعات عمر'!$A$7:$A$642,"&gt;="&amp;(SAT1+7*(H203-1)),'ساعات عمر'!$A$7:$A$642,"&lt;="&amp;G203),SUMIFS('ساعات عبدالعزيز'!$F$7:$F$642,'ساعات عبدالعزيز'!$A$7:$A$642,"&gt;="&amp;(SAT1+7*(H203-1)),'ساعات عبدالعزيز'!$A$7:$A$642,"&lt;="&amp;G203)))</f>
        <v/>
      </c>
    </row>
    <row r="204" customFormat="false" ht="15" hidden="false" customHeight="false" outlineLevel="0" collapsed="false">
      <c r="A204" s="57"/>
      <c r="B204" s="30"/>
      <c r="C204" s="58"/>
      <c r="D204" s="59"/>
      <c r="E204" s="60" t="str">
        <f aca="false">IF(A204="","",IF(G204="","⛔ التاريخ غلط — اكتبه كامل 05/10/2026 أو اختاره من القائمة",IF(OR(H204&lt;1,H204&gt;NW),"⛔ التاريخ برّا السنة",IF(AND(N(C204)&gt;0,N(J204)&gt;0,C204&gt;ADV_CAP*J204),"⚠️ أكثر من "&amp;TEXT(ADV_CAP,"0%")&amp;" من شغله ("&amp;TEXT(J204,"0.000")&amp;")",""))))</f>
        <v/>
      </c>
      <c r="G204" s="0" t="str">
        <f aca="false">IF(A204="","",IF(ISNUMBER(A204),IF(A204&gt;=36526,A204,""),IFERROR(DATEVALUE(A204),"")))</f>
        <v/>
      </c>
      <c r="H204" s="0" t="str">
        <f aca="false">IF(G204="","",INT((G204-SAT1)/7)+1)</f>
        <v/>
      </c>
      <c r="I204" s="0" t="str">
        <f aca="false">IF(H204="","",IF(OR(H204&lt;1,H204&gt;NW),"",INDEX(WMON,H204)))</f>
        <v/>
      </c>
      <c r="J204" s="0" t="str">
        <f aca="false">IF(OR(G204="",H204="",B204=""),"",IF(B204="عمر المصري",SUMIFS('ساعات عمر'!$H$7:$H$642,'ساعات عمر'!$A$7:$A$642,"&gt;="&amp;(SAT1+7*(H204-1)),'ساعات عمر'!$A$7:$A$642,"&lt;="&amp;G204),SUMIFS('ساعات عبدالعزيز'!$F$7:$F$642,'ساعات عبدالعزيز'!$A$7:$A$642,"&gt;="&amp;(SAT1+7*(H204-1)),'ساعات عبدالعزيز'!$A$7:$A$642,"&lt;="&amp;G204)))</f>
        <v/>
      </c>
    </row>
    <row r="205" customFormat="false" ht="15" hidden="false" customHeight="false" outlineLevel="0" collapsed="false">
      <c r="A205" s="57"/>
      <c r="B205" s="30"/>
      <c r="C205" s="58"/>
      <c r="D205" s="59"/>
      <c r="E205" s="60" t="str">
        <f aca="false">IF(A205="","",IF(G205="","⛔ التاريخ غلط — اكتبه كامل 05/10/2026 أو اختاره من القائمة",IF(OR(H205&lt;1,H205&gt;NW),"⛔ التاريخ برّا السنة",IF(AND(N(C205)&gt;0,N(J205)&gt;0,C205&gt;ADV_CAP*J205),"⚠️ أكثر من "&amp;TEXT(ADV_CAP,"0%")&amp;" من شغله ("&amp;TEXT(J205,"0.000")&amp;")",""))))</f>
        <v/>
      </c>
      <c r="G205" s="0" t="str">
        <f aca="false">IF(A205="","",IF(ISNUMBER(A205),IF(A205&gt;=36526,A205,""),IFERROR(DATEVALUE(A205),"")))</f>
        <v/>
      </c>
      <c r="H205" s="0" t="str">
        <f aca="false">IF(G205="","",INT((G205-SAT1)/7)+1)</f>
        <v/>
      </c>
      <c r="I205" s="0" t="str">
        <f aca="false">IF(H205="","",IF(OR(H205&lt;1,H205&gt;NW),"",INDEX(WMON,H205)))</f>
        <v/>
      </c>
      <c r="J205" s="0" t="str">
        <f aca="false">IF(OR(G205="",H205="",B205=""),"",IF(B205="عمر المصري",SUMIFS('ساعات عمر'!$H$7:$H$642,'ساعات عمر'!$A$7:$A$642,"&gt;="&amp;(SAT1+7*(H205-1)),'ساعات عمر'!$A$7:$A$642,"&lt;="&amp;G205),SUMIFS('ساعات عبدالعزيز'!$F$7:$F$642,'ساعات عبدالعزيز'!$A$7:$A$642,"&gt;="&amp;(SAT1+7*(H205-1)),'ساعات عبدالعزيز'!$A$7:$A$642,"&lt;="&amp;G205)))</f>
        <v/>
      </c>
    </row>
    <row r="206" customFormat="false" ht="15" hidden="false" customHeight="false" outlineLevel="0" collapsed="false">
      <c r="A206" s="57"/>
      <c r="B206" s="30"/>
      <c r="C206" s="58"/>
      <c r="D206" s="59"/>
      <c r="E206" s="60" t="str">
        <f aca="false">IF(A206="","",IF(G206="","⛔ التاريخ غلط — اكتبه كامل 05/10/2026 أو اختاره من القائمة",IF(OR(H206&lt;1,H206&gt;NW),"⛔ التاريخ برّا السنة",IF(AND(N(C206)&gt;0,N(J206)&gt;0,C206&gt;ADV_CAP*J206),"⚠️ أكثر من "&amp;TEXT(ADV_CAP,"0%")&amp;" من شغله ("&amp;TEXT(J206,"0.000")&amp;")",""))))</f>
        <v/>
      </c>
      <c r="G206" s="0" t="str">
        <f aca="false">IF(A206="","",IF(ISNUMBER(A206),IF(A206&gt;=36526,A206,""),IFERROR(DATEVALUE(A206),"")))</f>
        <v/>
      </c>
      <c r="H206" s="0" t="str">
        <f aca="false">IF(G206="","",INT((G206-SAT1)/7)+1)</f>
        <v/>
      </c>
      <c r="I206" s="0" t="str">
        <f aca="false">IF(H206="","",IF(OR(H206&lt;1,H206&gt;NW),"",INDEX(WMON,H206)))</f>
        <v/>
      </c>
      <c r="J206" s="0" t="str">
        <f aca="false">IF(OR(G206="",H206="",B206=""),"",IF(B206="عمر المصري",SUMIFS('ساعات عمر'!$H$7:$H$642,'ساعات عمر'!$A$7:$A$642,"&gt;="&amp;(SAT1+7*(H206-1)),'ساعات عمر'!$A$7:$A$642,"&lt;="&amp;G206),SUMIFS('ساعات عبدالعزيز'!$F$7:$F$642,'ساعات عبدالعزيز'!$A$7:$A$642,"&gt;="&amp;(SAT1+7*(H206-1)),'ساعات عبدالعزيز'!$A$7:$A$642,"&lt;="&amp;G206)))</f>
        <v/>
      </c>
    </row>
    <row r="207" customFormat="false" ht="15" hidden="false" customHeight="false" outlineLevel="0" collapsed="false">
      <c r="A207" s="57"/>
      <c r="B207" s="30"/>
      <c r="C207" s="58"/>
      <c r="D207" s="59"/>
      <c r="E207" s="60" t="str">
        <f aca="false">IF(A207="","",IF(G207="","⛔ التاريخ غلط — اكتبه كامل 05/10/2026 أو اختاره من القائمة",IF(OR(H207&lt;1,H207&gt;NW),"⛔ التاريخ برّا السنة",IF(AND(N(C207)&gt;0,N(J207)&gt;0,C207&gt;ADV_CAP*J207),"⚠️ أكثر من "&amp;TEXT(ADV_CAP,"0%")&amp;" من شغله ("&amp;TEXT(J207,"0.000")&amp;")",""))))</f>
        <v/>
      </c>
      <c r="G207" s="0" t="str">
        <f aca="false">IF(A207="","",IF(ISNUMBER(A207),IF(A207&gt;=36526,A207,""),IFERROR(DATEVALUE(A207),"")))</f>
        <v/>
      </c>
      <c r="H207" s="0" t="str">
        <f aca="false">IF(G207="","",INT((G207-SAT1)/7)+1)</f>
        <v/>
      </c>
      <c r="I207" s="0" t="str">
        <f aca="false">IF(H207="","",IF(OR(H207&lt;1,H207&gt;NW),"",INDEX(WMON,H207)))</f>
        <v/>
      </c>
      <c r="J207" s="0" t="str">
        <f aca="false">IF(OR(G207="",H207="",B207=""),"",IF(B207="عمر المصري",SUMIFS('ساعات عمر'!$H$7:$H$642,'ساعات عمر'!$A$7:$A$642,"&gt;="&amp;(SAT1+7*(H207-1)),'ساعات عمر'!$A$7:$A$642,"&lt;="&amp;G207),SUMIFS('ساعات عبدالعزيز'!$F$7:$F$642,'ساعات عبدالعزيز'!$A$7:$A$642,"&gt;="&amp;(SAT1+7*(H207-1)),'ساعات عبدالعزيز'!$A$7:$A$642,"&lt;="&amp;G207)))</f>
        <v/>
      </c>
    </row>
    <row r="208" customFormat="false" ht="15" hidden="false" customHeight="false" outlineLevel="0" collapsed="false">
      <c r="A208" s="57"/>
      <c r="B208" s="30"/>
      <c r="C208" s="58"/>
      <c r="D208" s="59"/>
      <c r="E208" s="60" t="str">
        <f aca="false">IF(A208="","",IF(G208="","⛔ التاريخ غلط — اكتبه كامل 05/10/2026 أو اختاره من القائمة",IF(OR(H208&lt;1,H208&gt;NW),"⛔ التاريخ برّا السنة",IF(AND(N(C208)&gt;0,N(J208)&gt;0,C208&gt;ADV_CAP*J208),"⚠️ أكثر من "&amp;TEXT(ADV_CAP,"0%")&amp;" من شغله ("&amp;TEXT(J208,"0.000")&amp;")",""))))</f>
        <v/>
      </c>
      <c r="G208" s="0" t="str">
        <f aca="false">IF(A208="","",IF(ISNUMBER(A208),IF(A208&gt;=36526,A208,""),IFERROR(DATEVALUE(A208),"")))</f>
        <v/>
      </c>
      <c r="H208" s="0" t="str">
        <f aca="false">IF(G208="","",INT((G208-SAT1)/7)+1)</f>
        <v/>
      </c>
      <c r="I208" s="0" t="str">
        <f aca="false">IF(H208="","",IF(OR(H208&lt;1,H208&gt;NW),"",INDEX(WMON,H208)))</f>
        <v/>
      </c>
      <c r="J208" s="0" t="str">
        <f aca="false">IF(OR(G208="",H208="",B208=""),"",IF(B208="عمر المصري",SUMIFS('ساعات عمر'!$H$7:$H$642,'ساعات عمر'!$A$7:$A$642,"&gt;="&amp;(SAT1+7*(H208-1)),'ساعات عمر'!$A$7:$A$642,"&lt;="&amp;G208),SUMIFS('ساعات عبدالعزيز'!$F$7:$F$642,'ساعات عبدالعزيز'!$A$7:$A$642,"&gt;="&amp;(SAT1+7*(H208-1)),'ساعات عبدالعزيز'!$A$7:$A$642,"&lt;="&amp;G208)))</f>
        <v/>
      </c>
    </row>
    <row r="209" customFormat="false" ht="15" hidden="false" customHeight="false" outlineLevel="0" collapsed="false">
      <c r="A209" s="57"/>
      <c r="B209" s="30"/>
      <c r="C209" s="58"/>
      <c r="D209" s="59"/>
      <c r="E209" s="60" t="str">
        <f aca="false">IF(A209="","",IF(G209="","⛔ التاريخ غلط — اكتبه كامل 05/10/2026 أو اختاره من القائمة",IF(OR(H209&lt;1,H209&gt;NW),"⛔ التاريخ برّا السنة",IF(AND(N(C209)&gt;0,N(J209)&gt;0,C209&gt;ADV_CAP*J209),"⚠️ أكثر من "&amp;TEXT(ADV_CAP,"0%")&amp;" من شغله ("&amp;TEXT(J209,"0.000")&amp;")",""))))</f>
        <v/>
      </c>
      <c r="G209" s="0" t="str">
        <f aca="false">IF(A209="","",IF(ISNUMBER(A209),IF(A209&gt;=36526,A209,""),IFERROR(DATEVALUE(A209),"")))</f>
        <v/>
      </c>
      <c r="H209" s="0" t="str">
        <f aca="false">IF(G209="","",INT((G209-SAT1)/7)+1)</f>
        <v/>
      </c>
      <c r="I209" s="0" t="str">
        <f aca="false">IF(H209="","",IF(OR(H209&lt;1,H209&gt;NW),"",INDEX(WMON,H209)))</f>
        <v/>
      </c>
      <c r="J209" s="0" t="str">
        <f aca="false">IF(OR(G209="",H209="",B209=""),"",IF(B209="عمر المصري",SUMIFS('ساعات عمر'!$H$7:$H$642,'ساعات عمر'!$A$7:$A$642,"&gt;="&amp;(SAT1+7*(H209-1)),'ساعات عمر'!$A$7:$A$642,"&lt;="&amp;G209),SUMIFS('ساعات عبدالعزيز'!$F$7:$F$642,'ساعات عبدالعزيز'!$A$7:$A$642,"&gt;="&amp;(SAT1+7*(H209-1)),'ساعات عبدالعزيز'!$A$7:$A$642,"&lt;="&amp;G209)))</f>
        <v/>
      </c>
    </row>
    <row r="210" customFormat="false" ht="15" hidden="false" customHeight="false" outlineLevel="0" collapsed="false">
      <c r="A210" s="57"/>
      <c r="B210" s="30"/>
      <c r="C210" s="58"/>
      <c r="D210" s="59"/>
      <c r="E210" s="60" t="str">
        <f aca="false">IF(A210="","",IF(G210="","⛔ التاريخ غلط — اكتبه كامل 05/10/2026 أو اختاره من القائمة",IF(OR(H210&lt;1,H210&gt;NW),"⛔ التاريخ برّا السنة",IF(AND(N(C210)&gt;0,N(J210)&gt;0,C210&gt;ADV_CAP*J210),"⚠️ أكثر من "&amp;TEXT(ADV_CAP,"0%")&amp;" من شغله ("&amp;TEXT(J210,"0.000")&amp;")",""))))</f>
        <v/>
      </c>
      <c r="G210" s="0" t="str">
        <f aca="false">IF(A210="","",IF(ISNUMBER(A210),IF(A210&gt;=36526,A210,""),IFERROR(DATEVALUE(A210),"")))</f>
        <v/>
      </c>
      <c r="H210" s="0" t="str">
        <f aca="false">IF(G210="","",INT((G210-SAT1)/7)+1)</f>
        <v/>
      </c>
      <c r="I210" s="0" t="str">
        <f aca="false">IF(H210="","",IF(OR(H210&lt;1,H210&gt;NW),"",INDEX(WMON,H210)))</f>
        <v/>
      </c>
      <c r="J210" s="0" t="str">
        <f aca="false">IF(OR(G210="",H210="",B210=""),"",IF(B210="عمر المصري",SUMIFS('ساعات عمر'!$H$7:$H$642,'ساعات عمر'!$A$7:$A$642,"&gt;="&amp;(SAT1+7*(H210-1)),'ساعات عمر'!$A$7:$A$642,"&lt;="&amp;G210),SUMIFS('ساعات عبدالعزيز'!$F$7:$F$642,'ساعات عبدالعزيز'!$A$7:$A$642,"&gt;="&amp;(SAT1+7*(H210-1)),'ساعات عبدالعزيز'!$A$7:$A$642,"&lt;="&amp;G210)))</f>
        <v/>
      </c>
    </row>
    <row r="211" customFormat="false" ht="15" hidden="false" customHeight="false" outlineLevel="0" collapsed="false">
      <c r="A211" s="57"/>
      <c r="B211" s="30"/>
      <c r="C211" s="58"/>
      <c r="D211" s="59"/>
      <c r="E211" s="60" t="str">
        <f aca="false">IF(A211="","",IF(G211="","⛔ التاريخ غلط — اكتبه كامل 05/10/2026 أو اختاره من القائمة",IF(OR(H211&lt;1,H211&gt;NW),"⛔ التاريخ برّا السنة",IF(AND(N(C211)&gt;0,N(J211)&gt;0,C211&gt;ADV_CAP*J211),"⚠️ أكثر من "&amp;TEXT(ADV_CAP,"0%")&amp;" من شغله ("&amp;TEXT(J211,"0.000")&amp;")",""))))</f>
        <v/>
      </c>
      <c r="G211" s="0" t="str">
        <f aca="false">IF(A211="","",IF(ISNUMBER(A211),IF(A211&gt;=36526,A211,""),IFERROR(DATEVALUE(A211),"")))</f>
        <v/>
      </c>
      <c r="H211" s="0" t="str">
        <f aca="false">IF(G211="","",INT((G211-SAT1)/7)+1)</f>
        <v/>
      </c>
      <c r="I211" s="0" t="str">
        <f aca="false">IF(H211="","",IF(OR(H211&lt;1,H211&gt;NW),"",INDEX(WMON,H211)))</f>
        <v/>
      </c>
      <c r="J211" s="0" t="str">
        <f aca="false">IF(OR(G211="",H211="",B211=""),"",IF(B211="عمر المصري",SUMIFS('ساعات عمر'!$H$7:$H$642,'ساعات عمر'!$A$7:$A$642,"&gt;="&amp;(SAT1+7*(H211-1)),'ساعات عمر'!$A$7:$A$642,"&lt;="&amp;G211),SUMIFS('ساعات عبدالعزيز'!$F$7:$F$642,'ساعات عبدالعزيز'!$A$7:$A$642,"&gt;="&amp;(SAT1+7*(H211-1)),'ساعات عبدالعزيز'!$A$7:$A$642,"&lt;="&amp;G211)))</f>
        <v/>
      </c>
    </row>
    <row r="212" customFormat="false" ht="15" hidden="false" customHeight="false" outlineLevel="0" collapsed="false">
      <c r="A212" s="57"/>
      <c r="B212" s="30"/>
      <c r="C212" s="58"/>
      <c r="D212" s="59"/>
      <c r="E212" s="60" t="str">
        <f aca="false">IF(A212="","",IF(G212="","⛔ التاريخ غلط — اكتبه كامل 05/10/2026 أو اختاره من القائمة",IF(OR(H212&lt;1,H212&gt;NW),"⛔ التاريخ برّا السنة",IF(AND(N(C212)&gt;0,N(J212)&gt;0,C212&gt;ADV_CAP*J212),"⚠️ أكثر من "&amp;TEXT(ADV_CAP,"0%")&amp;" من شغله ("&amp;TEXT(J212,"0.000")&amp;")",""))))</f>
        <v/>
      </c>
      <c r="G212" s="0" t="str">
        <f aca="false">IF(A212="","",IF(ISNUMBER(A212),IF(A212&gt;=36526,A212,""),IFERROR(DATEVALUE(A212),"")))</f>
        <v/>
      </c>
      <c r="H212" s="0" t="str">
        <f aca="false">IF(G212="","",INT((G212-SAT1)/7)+1)</f>
        <v/>
      </c>
      <c r="I212" s="0" t="str">
        <f aca="false">IF(H212="","",IF(OR(H212&lt;1,H212&gt;NW),"",INDEX(WMON,H212)))</f>
        <v/>
      </c>
      <c r="J212" s="0" t="str">
        <f aca="false">IF(OR(G212="",H212="",B212=""),"",IF(B212="عمر المصري",SUMIFS('ساعات عمر'!$H$7:$H$642,'ساعات عمر'!$A$7:$A$642,"&gt;="&amp;(SAT1+7*(H212-1)),'ساعات عمر'!$A$7:$A$642,"&lt;="&amp;G212),SUMIFS('ساعات عبدالعزيز'!$F$7:$F$642,'ساعات عبدالعزيز'!$A$7:$A$642,"&gt;="&amp;(SAT1+7*(H212-1)),'ساعات عبدالعزيز'!$A$7:$A$642,"&lt;="&amp;G212)))</f>
        <v/>
      </c>
    </row>
    <row r="213" customFormat="false" ht="15" hidden="false" customHeight="false" outlineLevel="0" collapsed="false">
      <c r="A213" s="57"/>
      <c r="B213" s="30"/>
      <c r="C213" s="58"/>
      <c r="D213" s="59"/>
      <c r="E213" s="60" t="str">
        <f aca="false">IF(A213="","",IF(G213="","⛔ التاريخ غلط — اكتبه كامل 05/10/2026 أو اختاره من القائمة",IF(OR(H213&lt;1,H213&gt;NW),"⛔ التاريخ برّا السنة",IF(AND(N(C213)&gt;0,N(J213)&gt;0,C213&gt;ADV_CAP*J213),"⚠️ أكثر من "&amp;TEXT(ADV_CAP,"0%")&amp;" من شغله ("&amp;TEXT(J213,"0.000")&amp;")",""))))</f>
        <v/>
      </c>
      <c r="G213" s="0" t="str">
        <f aca="false">IF(A213="","",IF(ISNUMBER(A213),IF(A213&gt;=36526,A213,""),IFERROR(DATEVALUE(A213),"")))</f>
        <v/>
      </c>
      <c r="H213" s="0" t="str">
        <f aca="false">IF(G213="","",INT((G213-SAT1)/7)+1)</f>
        <v/>
      </c>
      <c r="I213" s="0" t="str">
        <f aca="false">IF(H213="","",IF(OR(H213&lt;1,H213&gt;NW),"",INDEX(WMON,H213)))</f>
        <v/>
      </c>
      <c r="J213" s="0" t="str">
        <f aca="false">IF(OR(G213="",H213="",B213=""),"",IF(B213="عمر المصري",SUMIFS('ساعات عمر'!$H$7:$H$642,'ساعات عمر'!$A$7:$A$642,"&gt;="&amp;(SAT1+7*(H213-1)),'ساعات عمر'!$A$7:$A$642,"&lt;="&amp;G213),SUMIFS('ساعات عبدالعزيز'!$F$7:$F$642,'ساعات عبدالعزيز'!$A$7:$A$642,"&gt;="&amp;(SAT1+7*(H213-1)),'ساعات عبدالعزيز'!$A$7:$A$642,"&lt;="&amp;G213)))</f>
        <v/>
      </c>
    </row>
    <row r="214" customFormat="false" ht="15" hidden="false" customHeight="false" outlineLevel="0" collapsed="false">
      <c r="A214" s="57"/>
      <c r="B214" s="30"/>
      <c r="C214" s="58"/>
      <c r="D214" s="59"/>
      <c r="E214" s="60" t="str">
        <f aca="false">IF(A214="","",IF(G214="","⛔ التاريخ غلط — اكتبه كامل 05/10/2026 أو اختاره من القائمة",IF(OR(H214&lt;1,H214&gt;NW),"⛔ التاريخ برّا السنة",IF(AND(N(C214)&gt;0,N(J214)&gt;0,C214&gt;ADV_CAP*J214),"⚠️ أكثر من "&amp;TEXT(ADV_CAP,"0%")&amp;" من شغله ("&amp;TEXT(J214,"0.000")&amp;")",""))))</f>
        <v/>
      </c>
      <c r="G214" s="0" t="str">
        <f aca="false">IF(A214="","",IF(ISNUMBER(A214),IF(A214&gt;=36526,A214,""),IFERROR(DATEVALUE(A214),"")))</f>
        <v/>
      </c>
      <c r="H214" s="0" t="str">
        <f aca="false">IF(G214="","",INT((G214-SAT1)/7)+1)</f>
        <v/>
      </c>
      <c r="I214" s="0" t="str">
        <f aca="false">IF(H214="","",IF(OR(H214&lt;1,H214&gt;NW),"",INDEX(WMON,H214)))</f>
        <v/>
      </c>
      <c r="J214" s="0" t="str">
        <f aca="false">IF(OR(G214="",H214="",B214=""),"",IF(B214="عمر المصري",SUMIFS('ساعات عمر'!$H$7:$H$642,'ساعات عمر'!$A$7:$A$642,"&gt;="&amp;(SAT1+7*(H214-1)),'ساعات عمر'!$A$7:$A$642,"&lt;="&amp;G214),SUMIFS('ساعات عبدالعزيز'!$F$7:$F$642,'ساعات عبدالعزيز'!$A$7:$A$642,"&gt;="&amp;(SAT1+7*(H214-1)),'ساعات عبدالعزيز'!$A$7:$A$642,"&lt;="&amp;G214)))</f>
        <v/>
      </c>
    </row>
    <row r="215" customFormat="false" ht="15" hidden="false" customHeight="false" outlineLevel="0" collapsed="false">
      <c r="A215" s="57"/>
      <c r="B215" s="30"/>
      <c r="C215" s="58"/>
      <c r="D215" s="59"/>
      <c r="E215" s="60" t="str">
        <f aca="false">IF(A215="","",IF(G215="","⛔ التاريخ غلط — اكتبه كامل 05/10/2026 أو اختاره من القائمة",IF(OR(H215&lt;1,H215&gt;NW),"⛔ التاريخ برّا السنة",IF(AND(N(C215)&gt;0,N(J215)&gt;0,C215&gt;ADV_CAP*J215),"⚠️ أكثر من "&amp;TEXT(ADV_CAP,"0%")&amp;" من شغله ("&amp;TEXT(J215,"0.000")&amp;")",""))))</f>
        <v/>
      </c>
      <c r="G215" s="0" t="str">
        <f aca="false">IF(A215="","",IF(ISNUMBER(A215),IF(A215&gt;=36526,A215,""),IFERROR(DATEVALUE(A215),"")))</f>
        <v/>
      </c>
      <c r="H215" s="0" t="str">
        <f aca="false">IF(G215="","",INT((G215-SAT1)/7)+1)</f>
        <v/>
      </c>
      <c r="I215" s="0" t="str">
        <f aca="false">IF(H215="","",IF(OR(H215&lt;1,H215&gt;NW),"",INDEX(WMON,H215)))</f>
        <v/>
      </c>
      <c r="J215" s="0" t="str">
        <f aca="false">IF(OR(G215="",H215="",B215=""),"",IF(B215="عمر المصري",SUMIFS('ساعات عمر'!$H$7:$H$642,'ساعات عمر'!$A$7:$A$642,"&gt;="&amp;(SAT1+7*(H215-1)),'ساعات عمر'!$A$7:$A$642,"&lt;="&amp;G215),SUMIFS('ساعات عبدالعزيز'!$F$7:$F$642,'ساعات عبدالعزيز'!$A$7:$A$642,"&gt;="&amp;(SAT1+7*(H215-1)),'ساعات عبدالعزيز'!$A$7:$A$642,"&lt;="&amp;G215)))</f>
        <v/>
      </c>
    </row>
    <row r="216" customFormat="false" ht="15" hidden="false" customHeight="false" outlineLevel="0" collapsed="false">
      <c r="A216" s="57"/>
      <c r="B216" s="30"/>
      <c r="C216" s="58"/>
      <c r="D216" s="59"/>
      <c r="E216" s="60" t="str">
        <f aca="false">IF(A216="","",IF(G216="","⛔ التاريخ غلط — اكتبه كامل 05/10/2026 أو اختاره من القائمة",IF(OR(H216&lt;1,H216&gt;NW),"⛔ التاريخ برّا السنة",IF(AND(N(C216)&gt;0,N(J216)&gt;0,C216&gt;ADV_CAP*J216),"⚠️ أكثر من "&amp;TEXT(ADV_CAP,"0%")&amp;" من شغله ("&amp;TEXT(J216,"0.000")&amp;")",""))))</f>
        <v/>
      </c>
      <c r="G216" s="0" t="str">
        <f aca="false">IF(A216="","",IF(ISNUMBER(A216),IF(A216&gt;=36526,A216,""),IFERROR(DATEVALUE(A216),"")))</f>
        <v/>
      </c>
      <c r="H216" s="0" t="str">
        <f aca="false">IF(G216="","",INT((G216-SAT1)/7)+1)</f>
        <v/>
      </c>
      <c r="I216" s="0" t="str">
        <f aca="false">IF(H216="","",IF(OR(H216&lt;1,H216&gt;NW),"",INDEX(WMON,H216)))</f>
        <v/>
      </c>
      <c r="J216" s="0" t="str">
        <f aca="false">IF(OR(G216="",H216="",B216=""),"",IF(B216="عمر المصري",SUMIFS('ساعات عمر'!$H$7:$H$642,'ساعات عمر'!$A$7:$A$642,"&gt;="&amp;(SAT1+7*(H216-1)),'ساعات عمر'!$A$7:$A$642,"&lt;="&amp;G216),SUMIFS('ساعات عبدالعزيز'!$F$7:$F$642,'ساعات عبدالعزيز'!$A$7:$A$642,"&gt;="&amp;(SAT1+7*(H216-1)),'ساعات عبدالعزيز'!$A$7:$A$642,"&lt;="&amp;G216)))</f>
        <v/>
      </c>
    </row>
    <row r="217" customFormat="false" ht="15" hidden="false" customHeight="false" outlineLevel="0" collapsed="false">
      <c r="A217" s="57"/>
      <c r="B217" s="30"/>
      <c r="C217" s="58"/>
      <c r="D217" s="59"/>
      <c r="E217" s="60" t="str">
        <f aca="false">IF(A217="","",IF(G217="","⛔ التاريخ غلط — اكتبه كامل 05/10/2026 أو اختاره من القائمة",IF(OR(H217&lt;1,H217&gt;NW),"⛔ التاريخ برّا السنة",IF(AND(N(C217)&gt;0,N(J217)&gt;0,C217&gt;ADV_CAP*J217),"⚠️ أكثر من "&amp;TEXT(ADV_CAP,"0%")&amp;" من شغله ("&amp;TEXT(J217,"0.000")&amp;")",""))))</f>
        <v/>
      </c>
      <c r="G217" s="0" t="str">
        <f aca="false">IF(A217="","",IF(ISNUMBER(A217),IF(A217&gt;=36526,A217,""),IFERROR(DATEVALUE(A217),"")))</f>
        <v/>
      </c>
      <c r="H217" s="0" t="str">
        <f aca="false">IF(G217="","",INT((G217-SAT1)/7)+1)</f>
        <v/>
      </c>
      <c r="I217" s="0" t="str">
        <f aca="false">IF(H217="","",IF(OR(H217&lt;1,H217&gt;NW),"",INDEX(WMON,H217)))</f>
        <v/>
      </c>
      <c r="J217" s="0" t="str">
        <f aca="false">IF(OR(G217="",H217="",B217=""),"",IF(B217="عمر المصري",SUMIFS('ساعات عمر'!$H$7:$H$642,'ساعات عمر'!$A$7:$A$642,"&gt;="&amp;(SAT1+7*(H217-1)),'ساعات عمر'!$A$7:$A$642,"&lt;="&amp;G217),SUMIFS('ساعات عبدالعزيز'!$F$7:$F$642,'ساعات عبدالعزيز'!$A$7:$A$642,"&gt;="&amp;(SAT1+7*(H217-1)),'ساعات عبدالعزيز'!$A$7:$A$642,"&lt;="&amp;G217)))</f>
        <v/>
      </c>
    </row>
    <row r="218" customFormat="false" ht="15" hidden="false" customHeight="false" outlineLevel="0" collapsed="false">
      <c r="A218" s="57"/>
      <c r="B218" s="30"/>
      <c r="C218" s="58"/>
      <c r="D218" s="59"/>
      <c r="E218" s="60" t="str">
        <f aca="false">IF(A218="","",IF(G218="","⛔ التاريخ غلط — اكتبه كامل 05/10/2026 أو اختاره من القائمة",IF(OR(H218&lt;1,H218&gt;NW),"⛔ التاريخ برّا السنة",IF(AND(N(C218)&gt;0,N(J218)&gt;0,C218&gt;ADV_CAP*J218),"⚠️ أكثر من "&amp;TEXT(ADV_CAP,"0%")&amp;" من شغله ("&amp;TEXT(J218,"0.000")&amp;")",""))))</f>
        <v/>
      </c>
      <c r="G218" s="0" t="str">
        <f aca="false">IF(A218="","",IF(ISNUMBER(A218),IF(A218&gt;=36526,A218,""),IFERROR(DATEVALUE(A218),"")))</f>
        <v/>
      </c>
      <c r="H218" s="0" t="str">
        <f aca="false">IF(G218="","",INT((G218-SAT1)/7)+1)</f>
        <v/>
      </c>
      <c r="I218" s="0" t="str">
        <f aca="false">IF(H218="","",IF(OR(H218&lt;1,H218&gt;NW),"",INDEX(WMON,H218)))</f>
        <v/>
      </c>
      <c r="J218" s="0" t="str">
        <f aca="false">IF(OR(G218="",H218="",B218=""),"",IF(B218="عمر المصري",SUMIFS('ساعات عمر'!$H$7:$H$642,'ساعات عمر'!$A$7:$A$642,"&gt;="&amp;(SAT1+7*(H218-1)),'ساعات عمر'!$A$7:$A$642,"&lt;="&amp;G218),SUMIFS('ساعات عبدالعزيز'!$F$7:$F$642,'ساعات عبدالعزيز'!$A$7:$A$642,"&gt;="&amp;(SAT1+7*(H218-1)),'ساعات عبدالعزيز'!$A$7:$A$642,"&lt;="&amp;G218)))</f>
        <v/>
      </c>
    </row>
    <row r="219" customFormat="false" ht="15" hidden="false" customHeight="false" outlineLevel="0" collapsed="false">
      <c r="A219" s="57"/>
      <c r="B219" s="30"/>
      <c r="C219" s="58"/>
      <c r="D219" s="59"/>
      <c r="E219" s="60" t="str">
        <f aca="false">IF(A219="","",IF(G219="","⛔ التاريخ غلط — اكتبه كامل 05/10/2026 أو اختاره من القائمة",IF(OR(H219&lt;1,H219&gt;NW),"⛔ التاريخ برّا السنة",IF(AND(N(C219)&gt;0,N(J219)&gt;0,C219&gt;ADV_CAP*J219),"⚠️ أكثر من "&amp;TEXT(ADV_CAP,"0%")&amp;" من شغله ("&amp;TEXT(J219,"0.000")&amp;")",""))))</f>
        <v/>
      </c>
      <c r="G219" s="0" t="str">
        <f aca="false">IF(A219="","",IF(ISNUMBER(A219),IF(A219&gt;=36526,A219,""),IFERROR(DATEVALUE(A219),"")))</f>
        <v/>
      </c>
      <c r="H219" s="0" t="str">
        <f aca="false">IF(G219="","",INT((G219-SAT1)/7)+1)</f>
        <v/>
      </c>
      <c r="I219" s="0" t="str">
        <f aca="false">IF(H219="","",IF(OR(H219&lt;1,H219&gt;NW),"",INDEX(WMON,H219)))</f>
        <v/>
      </c>
      <c r="J219" s="0" t="str">
        <f aca="false">IF(OR(G219="",H219="",B219=""),"",IF(B219="عمر المصري",SUMIFS('ساعات عمر'!$H$7:$H$642,'ساعات عمر'!$A$7:$A$642,"&gt;="&amp;(SAT1+7*(H219-1)),'ساعات عمر'!$A$7:$A$642,"&lt;="&amp;G219),SUMIFS('ساعات عبدالعزيز'!$F$7:$F$642,'ساعات عبدالعزيز'!$A$7:$A$642,"&gt;="&amp;(SAT1+7*(H219-1)),'ساعات عبدالعزيز'!$A$7:$A$642,"&lt;="&amp;G219)))</f>
        <v/>
      </c>
    </row>
    <row r="220" customFormat="false" ht="15" hidden="false" customHeight="false" outlineLevel="0" collapsed="false">
      <c r="A220" s="57"/>
      <c r="B220" s="30"/>
      <c r="C220" s="58"/>
      <c r="D220" s="59"/>
      <c r="E220" s="60" t="str">
        <f aca="false">IF(A220="","",IF(G220="","⛔ التاريخ غلط — اكتبه كامل 05/10/2026 أو اختاره من القائمة",IF(OR(H220&lt;1,H220&gt;NW),"⛔ التاريخ برّا السنة",IF(AND(N(C220)&gt;0,N(J220)&gt;0,C220&gt;ADV_CAP*J220),"⚠️ أكثر من "&amp;TEXT(ADV_CAP,"0%")&amp;" من شغله ("&amp;TEXT(J220,"0.000")&amp;")",""))))</f>
        <v/>
      </c>
      <c r="G220" s="0" t="str">
        <f aca="false">IF(A220="","",IF(ISNUMBER(A220),IF(A220&gt;=36526,A220,""),IFERROR(DATEVALUE(A220),"")))</f>
        <v/>
      </c>
      <c r="H220" s="0" t="str">
        <f aca="false">IF(G220="","",INT((G220-SAT1)/7)+1)</f>
        <v/>
      </c>
      <c r="I220" s="0" t="str">
        <f aca="false">IF(H220="","",IF(OR(H220&lt;1,H220&gt;NW),"",INDEX(WMON,H220)))</f>
        <v/>
      </c>
      <c r="J220" s="0" t="str">
        <f aca="false">IF(OR(G220="",H220="",B220=""),"",IF(B220="عمر المصري",SUMIFS('ساعات عمر'!$H$7:$H$642,'ساعات عمر'!$A$7:$A$642,"&gt;="&amp;(SAT1+7*(H220-1)),'ساعات عمر'!$A$7:$A$642,"&lt;="&amp;G220),SUMIFS('ساعات عبدالعزيز'!$F$7:$F$642,'ساعات عبدالعزيز'!$A$7:$A$642,"&gt;="&amp;(SAT1+7*(H220-1)),'ساعات عبدالعزيز'!$A$7:$A$642,"&lt;="&amp;G220)))</f>
        <v/>
      </c>
    </row>
    <row r="221" customFormat="false" ht="15" hidden="false" customHeight="false" outlineLevel="0" collapsed="false">
      <c r="A221" s="57"/>
      <c r="B221" s="30"/>
      <c r="C221" s="58"/>
      <c r="D221" s="59"/>
      <c r="E221" s="60" t="str">
        <f aca="false">IF(A221="","",IF(G221="","⛔ التاريخ غلط — اكتبه كامل 05/10/2026 أو اختاره من القائمة",IF(OR(H221&lt;1,H221&gt;NW),"⛔ التاريخ برّا السنة",IF(AND(N(C221)&gt;0,N(J221)&gt;0,C221&gt;ADV_CAP*J221),"⚠️ أكثر من "&amp;TEXT(ADV_CAP,"0%")&amp;" من شغله ("&amp;TEXT(J221,"0.000")&amp;")",""))))</f>
        <v/>
      </c>
      <c r="G221" s="0" t="str">
        <f aca="false">IF(A221="","",IF(ISNUMBER(A221),IF(A221&gt;=36526,A221,""),IFERROR(DATEVALUE(A221),"")))</f>
        <v/>
      </c>
      <c r="H221" s="0" t="str">
        <f aca="false">IF(G221="","",INT((G221-SAT1)/7)+1)</f>
        <v/>
      </c>
      <c r="I221" s="0" t="str">
        <f aca="false">IF(H221="","",IF(OR(H221&lt;1,H221&gt;NW),"",INDEX(WMON,H221)))</f>
        <v/>
      </c>
      <c r="J221" s="0" t="str">
        <f aca="false">IF(OR(G221="",H221="",B221=""),"",IF(B221="عمر المصري",SUMIFS('ساعات عمر'!$H$7:$H$642,'ساعات عمر'!$A$7:$A$642,"&gt;="&amp;(SAT1+7*(H221-1)),'ساعات عمر'!$A$7:$A$642,"&lt;="&amp;G221),SUMIFS('ساعات عبدالعزيز'!$F$7:$F$642,'ساعات عبدالعزيز'!$A$7:$A$642,"&gt;="&amp;(SAT1+7*(H221-1)),'ساعات عبدالعزيز'!$A$7:$A$642,"&lt;="&amp;G221)))</f>
        <v/>
      </c>
    </row>
    <row r="222" customFormat="false" ht="15" hidden="false" customHeight="false" outlineLevel="0" collapsed="false">
      <c r="A222" s="57"/>
      <c r="B222" s="30"/>
      <c r="C222" s="58"/>
      <c r="D222" s="59"/>
      <c r="E222" s="60" t="str">
        <f aca="false">IF(A222="","",IF(G222="","⛔ التاريخ غلط — اكتبه كامل 05/10/2026 أو اختاره من القائمة",IF(OR(H222&lt;1,H222&gt;NW),"⛔ التاريخ برّا السنة",IF(AND(N(C222)&gt;0,N(J222)&gt;0,C222&gt;ADV_CAP*J222),"⚠️ أكثر من "&amp;TEXT(ADV_CAP,"0%")&amp;" من شغله ("&amp;TEXT(J222,"0.000")&amp;")",""))))</f>
        <v/>
      </c>
      <c r="G222" s="0" t="str">
        <f aca="false">IF(A222="","",IF(ISNUMBER(A222),IF(A222&gt;=36526,A222,""),IFERROR(DATEVALUE(A222),"")))</f>
        <v/>
      </c>
      <c r="H222" s="0" t="str">
        <f aca="false">IF(G222="","",INT((G222-SAT1)/7)+1)</f>
        <v/>
      </c>
      <c r="I222" s="0" t="str">
        <f aca="false">IF(H222="","",IF(OR(H222&lt;1,H222&gt;NW),"",INDEX(WMON,H222)))</f>
        <v/>
      </c>
      <c r="J222" s="0" t="str">
        <f aca="false">IF(OR(G222="",H222="",B222=""),"",IF(B222="عمر المصري",SUMIFS('ساعات عمر'!$H$7:$H$642,'ساعات عمر'!$A$7:$A$642,"&gt;="&amp;(SAT1+7*(H222-1)),'ساعات عمر'!$A$7:$A$642,"&lt;="&amp;G222),SUMIFS('ساعات عبدالعزيز'!$F$7:$F$642,'ساعات عبدالعزيز'!$A$7:$A$642,"&gt;="&amp;(SAT1+7*(H222-1)),'ساعات عبدالعزيز'!$A$7:$A$642,"&lt;="&amp;G222)))</f>
        <v/>
      </c>
    </row>
    <row r="223" customFormat="false" ht="15" hidden="false" customHeight="false" outlineLevel="0" collapsed="false">
      <c r="A223" s="57"/>
      <c r="B223" s="30"/>
      <c r="C223" s="58"/>
      <c r="D223" s="59"/>
      <c r="E223" s="60" t="str">
        <f aca="false">IF(A223="","",IF(G223="","⛔ التاريخ غلط — اكتبه كامل 05/10/2026 أو اختاره من القائمة",IF(OR(H223&lt;1,H223&gt;NW),"⛔ التاريخ برّا السنة",IF(AND(N(C223)&gt;0,N(J223)&gt;0,C223&gt;ADV_CAP*J223),"⚠️ أكثر من "&amp;TEXT(ADV_CAP,"0%")&amp;" من شغله ("&amp;TEXT(J223,"0.000")&amp;")",""))))</f>
        <v/>
      </c>
      <c r="G223" s="0" t="str">
        <f aca="false">IF(A223="","",IF(ISNUMBER(A223),IF(A223&gt;=36526,A223,""),IFERROR(DATEVALUE(A223),"")))</f>
        <v/>
      </c>
      <c r="H223" s="0" t="str">
        <f aca="false">IF(G223="","",INT((G223-SAT1)/7)+1)</f>
        <v/>
      </c>
      <c r="I223" s="0" t="str">
        <f aca="false">IF(H223="","",IF(OR(H223&lt;1,H223&gt;NW),"",INDEX(WMON,H223)))</f>
        <v/>
      </c>
      <c r="J223" s="0" t="str">
        <f aca="false">IF(OR(G223="",H223="",B223=""),"",IF(B223="عمر المصري",SUMIFS('ساعات عمر'!$H$7:$H$642,'ساعات عمر'!$A$7:$A$642,"&gt;="&amp;(SAT1+7*(H223-1)),'ساعات عمر'!$A$7:$A$642,"&lt;="&amp;G223),SUMIFS('ساعات عبدالعزيز'!$F$7:$F$642,'ساعات عبدالعزيز'!$A$7:$A$642,"&gt;="&amp;(SAT1+7*(H223-1)),'ساعات عبدالعزيز'!$A$7:$A$642,"&lt;="&amp;G223)))</f>
        <v/>
      </c>
    </row>
    <row r="224" customFormat="false" ht="15" hidden="false" customHeight="false" outlineLevel="0" collapsed="false">
      <c r="A224" s="57"/>
      <c r="B224" s="30"/>
      <c r="C224" s="58"/>
      <c r="D224" s="59"/>
      <c r="E224" s="60" t="str">
        <f aca="false">IF(A224="","",IF(G224="","⛔ التاريخ غلط — اكتبه كامل 05/10/2026 أو اختاره من القائمة",IF(OR(H224&lt;1,H224&gt;NW),"⛔ التاريخ برّا السنة",IF(AND(N(C224)&gt;0,N(J224)&gt;0,C224&gt;ADV_CAP*J224),"⚠️ أكثر من "&amp;TEXT(ADV_CAP,"0%")&amp;" من شغله ("&amp;TEXT(J224,"0.000")&amp;")",""))))</f>
        <v/>
      </c>
      <c r="G224" s="0" t="str">
        <f aca="false">IF(A224="","",IF(ISNUMBER(A224),IF(A224&gt;=36526,A224,""),IFERROR(DATEVALUE(A224),"")))</f>
        <v/>
      </c>
      <c r="H224" s="0" t="str">
        <f aca="false">IF(G224="","",INT((G224-SAT1)/7)+1)</f>
        <v/>
      </c>
      <c r="I224" s="0" t="str">
        <f aca="false">IF(H224="","",IF(OR(H224&lt;1,H224&gt;NW),"",INDEX(WMON,H224)))</f>
        <v/>
      </c>
      <c r="J224" s="0" t="str">
        <f aca="false">IF(OR(G224="",H224="",B224=""),"",IF(B224="عمر المصري",SUMIFS('ساعات عمر'!$H$7:$H$642,'ساعات عمر'!$A$7:$A$642,"&gt;="&amp;(SAT1+7*(H224-1)),'ساعات عمر'!$A$7:$A$642,"&lt;="&amp;G224),SUMIFS('ساعات عبدالعزيز'!$F$7:$F$642,'ساعات عبدالعزيز'!$A$7:$A$642,"&gt;="&amp;(SAT1+7*(H224-1)),'ساعات عبدالعزيز'!$A$7:$A$642,"&lt;="&amp;G224)))</f>
        <v/>
      </c>
    </row>
    <row r="225" customFormat="false" ht="15" hidden="false" customHeight="false" outlineLevel="0" collapsed="false">
      <c r="A225" s="57"/>
      <c r="B225" s="30"/>
      <c r="C225" s="58"/>
      <c r="D225" s="59"/>
      <c r="E225" s="60" t="str">
        <f aca="false">IF(A225="","",IF(G225="","⛔ التاريخ غلط — اكتبه كامل 05/10/2026 أو اختاره من القائمة",IF(OR(H225&lt;1,H225&gt;NW),"⛔ التاريخ برّا السنة",IF(AND(N(C225)&gt;0,N(J225)&gt;0,C225&gt;ADV_CAP*J225),"⚠️ أكثر من "&amp;TEXT(ADV_CAP,"0%")&amp;" من شغله ("&amp;TEXT(J225,"0.000")&amp;")",""))))</f>
        <v/>
      </c>
      <c r="G225" s="0" t="str">
        <f aca="false">IF(A225="","",IF(ISNUMBER(A225),IF(A225&gt;=36526,A225,""),IFERROR(DATEVALUE(A225),"")))</f>
        <v/>
      </c>
      <c r="H225" s="0" t="str">
        <f aca="false">IF(G225="","",INT((G225-SAT1)/7)+1)</f>
        <v/>
      </c>
      <c r="I225" s="0" t="str">
        <f aca="false">IF(H225="","",IF(OR(H225&lt;1,H225&gt;NW),"",INDEX(WMON,H225)))</f>
        <v/>
      </c>
      <c r="J225" s="0" t="str">
        <f aca="false">IF(OR(G225="",H225="",B225=""),"",IF(B225="عمر المصري",SUMIFS('ساعات عمر'!$H$7:$H$642,'ساعات عمر'!$A$7:$A$642,"&gt;="&amp;(SAT1+7*(H225-1)),'ساعات عمر'!$A$7:$A$642,"&lt;="&amp;G225),SUMIFS('ساعات عبدالعزيز'!$F$7:$F$642,'ساعات عبدالعزيز'!$A$7:$A$642,"&gt;="&amp;(SAT1+7*(H225-1)),'ساعات عبدالعزيز'!$A$7:$A$642,"&lt;="&amp;G225)))</f>
        <v/>
      </c>
    </row>
    <row r="226" customFormat="false" ht="15" hidden="false" customHeight="false" outlineLevel="0" collapsed="false">
      <c r="A226" s="57"/>
      <c r="B226" s="30"/>
      <c r="C226" s="58"/>
      <c r="D226" s="59"/>
      <c r="E226" s="60" t="str">
        <f aca="false">IF(A226="","",IF(G226="","⛔ التاريخ غلط — اكتبه كامل 05/10/2026 أو اختاره من القائمة",IF(OR(H226&lt;1,H226&gt;NW),"⛔ التاريخ برّا السنة",IF(AND(N(C226)&gt;0,N(J226)&gt;0,C226&gt;ADV_CAP*J226),"⚠️ أكثر من "&amp;TEXT(ADV_CAP,"0%")&amp;" من شغله ("&amp;TEXT(J226,"0.000")&amp;")",""))))</f>
        <v/>
      </c>
      <c r="G226" s="0" t="str">
        <f aca="false">IF(A226="","",IF(ISNUMBER(A226),IF(A226&gt;=36526,A226,""),IFERROR(DATEVALUE(A226),"")))</f>
        <v/>
      </c>
      <c r="H226" s="0" t="str">
        <f aca="false">IF(G226="","",INT((G226-SAT1)/7)+1)</f>
        <v/>
      </c>
      <c r="I226" s="0" t="str">
        <f aca="false">IF(H226="","",IF(OR(H226&lt;1,H226&gt;NW),"",INDEX(WMON,H226)))</f>
        <v/>
      </c>
      <c r="J226" s="0" t="str">
        <f aca="false">IF(OR(G226="",H226="",B226=""),"",IF(B226="عمر المصري",SUMIFS('ساعات عمر'!$H$7:$H$642,'ساعات عمر'!$A$7:$A$642,"&gt;="&amp;(SAT1+7*(H226-1)),'ساعات عمر'!$A$7:$A$642,"&lt;="&amp;G226),SUMIFS('ساعات عبدالعزيز'!$F$7:$F$642,'ساعات عبدالعزيز'!$A$7:$A$642,"&gt;="&amp;(SAT1+7*(H226-1)),'ساعات عبدالعزيز'!$A$7:$A$642,"&lt;="&amp;G226)))</f>
        <v/>
      </c>
    </row>
    <row r="227" customFormat="false" ht="15" hidden="false" customHeight="false" outlineLevel="0" collapsed="false">
      <c r="A227" s="57"/>
      <c r="B227" s="30"/>
      <c r="C227" s="58"/>
      <c r="D227" s="59"/>
      <c r="E227" s="60" t="str">
        <f aca="false">IF(A227="","",IF(G227="","⛔ التاريخ غلط — اكتبه كامل 05/10/2026 أو اختاره من القائمة",IF(OR(H227&lt;1,H227&gt;NW),"⛔ التاريخ برّا السنة",IF(AND(N(C227)&gt;0,N(J227)&gt;0,C227&gt;ADV_CAP*J227),"⚠️ أكثر من "&amp;TEXT(ADV_CAP,"0%")&amp;" من شغله ("&amp;TEXT(J227,"0.000")&amp;")",""))))</f>
        <v/>
      </c>
      <c r="G227" s="0" t="str">
        <f aca="false">IF(A227="","",IF(ISNUMBER(A227),IF(A227&gt;=36526,A227,""),IFERROR(DATEVALUE(A227),"")))</f>
        <v/>
      </c>
      <c r="H227" s="0" t="str">
        <f aca="false">IF(G227="","",INT((G227-SAT1)/7)+1)</f>
        <v/>
      </c>
      <c r="I227" s="0" t="str">
        <f aca="false">IF(H227="","",IF(OR(H227&lt;1,H227&gt;NW),"",INDEX(WMON,H227)))</f>
        <v/>
      </c>
      <c r="J227" s="0" t="str">
        <f aca="false">IF(OR(G227="",H227="",B227=""),"",IF(B227="عمر المصري",SUMIFS('ساعات عمر'!$H$7:$H$642,'ساعات عمر'!$A$7:$A$642,"&gt;="&amp;(SAT1+7*(H227-1)),'ساعات عمر'!$A$7:$A$642,"&lt;="&amp;G227),SUMIFS('ساعات عبدالعزيز'!$F$7:$F$642,'ساعات عبدالعزيز'!$A$7:$A$642,"&gt;="&amp;(SAT1+7*(H227-1)),'ساعات عبدالعزيز'!$A$7:$A$642,"&lt;="&amp;G227)))</f>
        <v/>
      </c>
    </row>
    <row r="228" customFormat="false" ht="15" hidden="false" customHeight="false" outlineLevel="0" collapsed="false">
      <c r="A228" s="57"/>
      <c r="B228" s="30"/>
      <c r="C228" s="58"/>
      <c r="D228" s="59"/>
      <c r="E228" s="60" t="str">
        <f aca="false">IF(A228="","",IF(G228="","⛔ التاريخ غلط — اكتبه كامل 05/10/2026 أو اختاره من القائمة",IF(OR(H228&lt;1,H228&gt;NW),"⛔ التاريخ برّا السنة",IF(AND(N(C228)&gt;0,N(J228)&gt;0,C228&gt;ADV_CAP*J228),"⚠️ أكثر من "&amp;TEXT(ADV_CAP,"0%")&amp;" من شغله ("&amp;TEXT(J228,"0.000")&amp;")",""))))</f>
        <v/>
      </c>
      <c r="G228" s="0" t="str">
        <f aca="false">IF(A228="","",IF(ISNUMBER(A228),IF(A228&gt;=36526,A228,""),IFERROR(DATEVALUE(A228),"")))</f>
        <v/>
      </c>
      <c r="H228" s="0" t="str">
        <f aca="false">IF(G228="","",INT((G228-SAT1)/7)+1)</f>
        <v/>
      </c>
      <c r="I228" s="0" t="str">
        <f aca="false">IF(H228="","",IF(OR(H228&lt;1,H228&gt;NW),"",INDEX(WMON,H228)))</f>
        <v/>
      </c>
      <c r="J228" s="0" t="str">
        <f aca="false">IF(OR(G228="",H228="",B228=""),"",IF(B228="عمر المصري",SUMIFS('ساعات عمر'!$H$7:$H$642,'ساعات عمر'!$A$7:$A$642,"&gt;="&amp;(SAT1+7*(H228-1)),'ساعات عمر'!$A$7:$A$642,"&lt;="&amp;G228),SUMIFS('ساعات عبدالعزيز'!$F$7:$F$642,'ساعات عبدالعزيز'!$A$7:$A$642,"&gt;="&amp;(SAT1+7*(H228-1)),'ساعات عبدالعزيز'!$A$7:$A$642,"&lt;="&amp;G228)))</f>
        <v/>
      </c>
    </row>
    <row r="229" customFormat="false" ht="15" hidden="false" customHeight="false" outlineLevel="0" collapsed="false">
      <c r="A229" s="57"/>
      <c r="B229" s="30"/>
      <c r="C229" s="58"/>
      <c r="D229" s="59"/>
      <c r="E229" s="60" t="str">
        <f aca="false">IF(A229="","",IF(G229="","⛔ التاريخ غلط — اكتبه كامل 05/10/2026 أو اختاره من القائمة",IF(OR(H229&lt;1,H229&gt;NW),"⛔ التاريخ برّا السنة",IF(AND(N(C229)&gt;0,N(J229)&gt;0,C229&gt;ADV_CAP*J229),"⚠️ أكثر من "&amp;TEXT(ADV_CAP,"0%")&amp;" من شغله ("&amp;TEXT(J229,"0.000")&amp;")",""))))</f>
        <v/>
      </c>
      <c r="G229" s="0" t="str">
        <f aca="false">IF(A229="","",IF(ISNUMBER(A229),IF(A229&gt;=36526,A229,""),IFERROR(DATEVALUE(A229),"")))</f>
        <v/>
      </c>
      <c r="H229" s="0" t="str">
        <f aca="false">IF(G229="","",INT((G229-SAT1)/7)+1)</f>
        <v/>
      </c>
      <c r="I229" s="0" t="str">
        <f aca="false">IF(H229="","",IF(OR(H229&lt;1,H229&gt;NW),"",INDEX(WMON,H229)))</f>
        <v/>
      </c>
      <c r="J229" s="0" t="str">
        <f aca="false">IF(OR(G229="",H229="",B229=""),"",IF(B229="عمر المصري",SUMIFS('ساعات عمر'!$H$7:$H$642,'ساعات عمر'!$A$7:$A$642,"&gt;="&amp;(SAT1+7*(H229-1)),'ساعات عمر'!$A$7:$A$642,"&lt;="&amp;G229),SUMIFS('ساعات عبدالعزيز'!$F$7:$F$642,'ساعات عبدالعزيز'!$A$7:$A$642,"&gt;="&amp;(SAT1+7*(H229-1)),'ساعات عبدالعزيز'!$A$7:$A$642,"&lt;="&amp;G229)))</f>
        <v/>
      </c>
    </row>
    <row r="230" customFormat="false" ht="15" hidden="false" customHeight="false" outlineLevel="0" collapsed="false">
      <c r="A230" s="57"/>
      <c r="B230" s="30"/>
      <c r="C230" s="58"/>
      <c r="D230" s="59"/>
      <c r="E230" s="60" t="str">
        <f aca="false">IF(A230="","",IF(G230="","⛔ التاريخ غلط — اكتبه كامل 05/10/2026 أو اختاره من القائمة",IF(OR(H230&lt;1,H230&gt;NW),"⛔ التاريخ برّا السنة",IF(AND(N(C230)&gt;0,N(J230)&gt;0,C230&gt;ADV_CAP*J230),"⚠️ أكثر من "&amp;TEXT(ADV_CAP,"0%")&amp;" من شغله ("&amp;TEXT(J230,"0.000")&amp;")",""))))</f>
        <v/>
      </c>
      <c r="G230" s="0" t="str">
        <f aca="false">IF(A230="","",IF(ISNUMBER(A230),IF(A230&gt;=36526,A230,""),IFERROR(DATEVALUE(A230),"")))</f>
        <v/>
      </c>
      <c r="H230" s="0" t="str">
        <f aca="false">IF(G230="","",INT((G230-SAT1)/7)+1)</f>
        <v/>
      </c>
      <c r="I230" s="0" t="str">
        <f aca="false">IF(H230="","",IF(OR(H230&lt;1,H230&gt;NW),"",INDEX(WMON,H230)))</f>
        <v/>
      </c>
      <c r="J230" s="0" t="str">
        <f aca="false">IF(OR(G230="",H230="",B230=""),"",IF(B230="عمر المصري",SUMIFS('ساعات عمر'!$H$7:$H$642,'ساعات عمر'!$A$7:$A$642,"&gt;="&amp;(SAT1+7*(H230-1)),'ساعات عمر'!$A$7:$A$642,"&lt;="&amp;G230),SUMIFS('ساعات عبدالعزيز'!$F$7:$F$642,'ساعات عبدالعزيز'!$A$7:$A$642,"&gt;="&amp;(SAT1+7*(H230-1)),'ساعات عبدالعزيز'!$A$7:$A$642,"&lt;="&amp;G230)))</f>
        <v/>
      </c>
    </row>
    <row r="231" customFormat="false" ht="15" hidden="false" customHeight="false" outlineLevel="0" collapsed="false">
      <c r="A231" s="57"/>
      <c r="B231" s="30"/>
      <c r="C231" s="58"/>
      <c r="D231" s="59"/>
      <c r="E231" s="60" t="str">
        <f aca="false">IF(A231="","",IF(G231="","⛔ التاريخ غلط — اكتبه كامل 05/10/2026 أو اختاره من القائمة",IF(OR(H231&lt;1,H231&gt;NW),"⛔ التاريخ برّا السنة",IF(AND(N(C231)&gt;0,N(J231)&gt;0,C231&gt;ADV_CAP*J231),"⚠️ أكثر من "&amp;TEXT(ADV_CAP,"0%")&amp;" من شغله ("&amp;TEXT(J231,"0.000")&amp;")",""))))</f>
        <v/>
      </c>
      <c r="G231" s="0" t="str">
        <f aca="false">IF(A231="","",IF(ISNUMBER(A231),IF(A231&gt;=36526,A231,""),IFERROR(DATEVALUE(A231),"")))</f>
        <v/>
      </c>
      <c r="H231" s="0" t="str">
        <f aca="false">IF(G231="","",INT((G231-SAT1)/7)+1)</f>
        <v/>
      </c>
      <c r="I231" s="0" t="str">
        <f aca="false">IF(H231="","",IF(OR(H231&lt;1,H231&gt;NW),"",INDEX(WMON,H231)))</f>
        <v/>
      </c>
      <c r="J231" s="0" t="str">
        <f aca="false">IF(OR(G231="",H231="",B231=""),"",IF(B231="عمر المصري",SUMIFS('ساعات عمر'!$H$7:$H$642,'ساعات عمر'!$A$7:$A$642,"&gt;="&amp;(SAT1+7*(H231-1)),'ساعات عمر'!$A$7:$A$642,"&lt;="&amp;G231),SUMIFS('ساعات عبدالعزيز'!$F$7:$F$642,'ساعات عبدالعزيز'!$A$7:$A$642,"&gt;="&amp;(SAT1+7*(H231-1)),'ساعات عبدالعزيز'!$A$7:$A$642,"&lt;="&amp;G231)))</f>
        <v/>
      </c>
    </row>
    <row r="232" customFormat="false" ht="15" hidden="false" customHeight="false" outlineLevel="0" collapsed="false">
      <c r="A232" s="57"/>
      <c r="B232" s="30"/>
      <c r="C232" s="58"/>
      <c r="D232" s="59"/>
      <c r="E232" s="60" t="str">
        <f aca="false">IF(A232="","",IF(G232="","⛔ التاريخ غلط — اكتبه كامل 05/10/2026 أو اختاره من القائمة",IF(OR(H232&lt;1,H232&gt;NW),"⛔ التاريخ برّا السنة",IF(AND(N(C232)&gt;0,N(J232)&gt;0,C232&gt;ADV_CAP*J232),"⚠️ أكثر من "&amp;TEXT(ADV_CAP,"0%")&amp;" من شغله ("&amp;TEXT(J232,"0.000")&amp;")",""))))</f>
        <v/>
      </c>
      <c r="G232" s="0" t="str">
        <f aca="false">IF(A232="","",IF(ISNUMBER(A232),IF(A232&gt;=36526,A232,""),IFERROR(DATEVALUE(A232),"")))</f>
        <v/>
      </c>
      <c r="H232" s="0" t="str">
        <f aca="false">IF(G232="","",INT((G232-SAT1)/7)+1)</f>
        <v/>
      </c>
      <c r="I232" s="0" t="str">
        <f aca="false">IF(H232="","",IF(OR(H232&lt;1,H232&gt;NW),"",INDEX(WMON,H232)))</f>
        <v/>
      </c>
      <c r="J232" s="0" t="str">
        <f aca="false">IF(OR(G232="",H232="",B232=""),"",IF(B232="عمر المصري",SUMIFS('ساعات عمر'!$H$7:$H$642,'ساعات عمر'!$A$7:$A$642,"&gt;="&amp;(SAT1+7*(H232-1)),'ساعات عمر'!$A$7:$A$642,"&lt;="&amp;G232),SUMIFS('ساعات عبدالعزيز'!$F$7:$F$642,'ساعات عبدالعزيز'!$A$7:$A$642,"&gt;="&amp;(SAT1+7*(H232-1)),'ساعات عبدالعزيز'!$A$7:$A$642,"&lt;="&amp;G232)))</f>
        <v/>
      </c>
    </row>
    <row r="233" customFormat="false" ht="15" hidden="false" customHeight="false" outlineLevel="0" collapsed="false">
      <c r="A233" s="57"/>
      <c r="B233" s="30"/>
      <c r="C233" s="58"/>
      <c r="D233" s="59"/>
      <c r="E233" s="60" t="str">
        <f aca="false">IF(A233="","",IF(G233="","⛔ التاريخ غلط — اكتبه كامل 05/10/2026 أو اختاره من القائمة",IF(OR(H233&lt;1,H233&gt;NW),"⛔ التاريخ برّا السنة",IF(AND(N(C233)&gt;0,N(J233)&gt;0,C233&gt;ADV_CAP*J233),"⚠️ أكثر من "&amp;TEXT(ADV_CAP,"0%")&amp;" من شغله ("&amp;TEXT(J233,"0.000")&amp;")",""))))</f>
        <v/>
      </c>
      <c r="G233" s="0" t="str">
        <f aca="false">IF(A233="","",IF(ISNUMBER(A233),IF(A233&gt;=36526,A233,""),IFERROR(DATEVALUE(A233),"")))</f>
        <v/>
      </c>
      <c r="H233" s="0" t="str">
        <f aca="false">IF(G233="","",INT((G233-SAT1)/7)+1)</f>
        <v/>
      </c>
      <c r="I233" s="0" t="str">
        <f aca="false">IF(H233="","",IF(OR(H233&lt;1,H233&gt;NW),"",INDEX(WMON,H233)))</f>
        <v/>
      </c>
      <c r="J233" s="0" t="str">
        <f aca="false">IF(OR(G233="",H233="",B233=""),"",IF(B233="عمر المصري",SUMIFS('ساعات عمر'!$H$7:$H$642,'ساعات عمر'!$A$7:$A$642,"&gt;="&amp;(SAT1+7*(H233-1)),'ساعات عمر'!$A$7:$A$642,"&lt;="&amp;G233),SUMIFS('ساعات عبدالعزيز'!$F$7:$F$642,'ساعات عبدالعزيز'!$A$7:$A$642,"&gt;="&amp;(SAT1+7*(H233-1)),'ساعات عبدالعزيز'!$A$7:$A$642,"&lt;="&amp;G233)))</f>
        <v/>
      </c>
    </row>
    <row r="234" customFormat="false" ht="15" hidden="false" customHeight="false" outlineLevel="0" collapsed="false">
      <c r="A234" s="57"/>
      <c r="B234" s="30"/>
      <c r="C234" s="58"/>
      <c r="D234" s="59"/>
      <c r="E234" s="60" t="str">
        <f aca="false">IF(A234="","",IF(G234="","⛔ التاريخ غلط — اكتبه كامل 05/10/2026 أو اختاره من القائمة",IF(OR(H234&lt;1,H234&gt;NW),"⛔ التاريخ برّا السنة",IF(AND(N(C234)&gt;0,N(J234)&gt;0,C234&gt;ADV_CAP*J234),"⚠️ أكثر من "&amp;TEXT(ADV_CAP,"0%")&amp;" من شغله ("&amp;TEXT(J234,"0.000")&amp;")",""))))</f>
        <v/>
      </c>
      <c r="G234" s="0" t="str">
        <f aca="false">IF(A234="","",IF(ISNUMBER(A234),IF(A234&gt;=36526,A234,""),IFERROR(DATEVALUE(A234),"")))</f>
        <v/>
      </c>
      <c r="H234" s="0" t="str">
        <f aca="false">IF(G234="","",INT((G234-SAT1)/7)+1)</f>
        <v/>
      </c>
      <c r="I234" s="0" t="str">
        <f aca="false">IF(H234="","",IF(OR(H234&lt;1,H234&gt;NW),"",INDEX(WMON,H234)))</f>
        <v/>
      </c>
      <c r="J234" s="0" t="str">
        <f aca="false">IF(OR(G234="",H234="",B234=""),"",IF(B234="عمر المصري",SUMIFS('ساعات عمر'!$H$7:$H$642,'ساعات عمر'!$A$7:$A$642,"&gt;="&amp;(SAT1+7*(H234-1)),'ساعات عمر'!$A$7:$A$642,"&lt;="&amp;G234),SUMIFS('ساعات عبدالعزيز'!$F$7:$F$642,'ساعات عبدالعزيز'!$A$7:$A$642,"&gt;="&amp;(SAT1+7*(H234-1)),'ساعات عبدالعزيز'!$A$7:$A$642,"&lt;="&amp;G234)))</f>
        <v/>
      </c>
    </row>
    <row r="235" customFormat="false" ht="15" hidden="false" customHeight="false" outlineLevel="0" collapsed="false">
      <c r="A235" s="57"/>
      <c r="B235" s="30"/>
      <c r="C235" s="58"/>
      <c r="D235" s="59"/>
      <c r="E235" s="60" t="str">
        <f aca="false">IF(A235="","",IF(G235="","⛔ التاريخ غلط — اكتبه كامل 05/10/2026 أو اختاره من القائمة",IF(OR(H235&lt;1,H235&gt;NW),"⛔ التاريخ برّا السنة",IF(AND(N(C235)&gt;0,N(J235)&gt;0,C235&gt;ADV_CAP*J235),"⚠️ أكثر من "&amp;TEXT(ADV_CAP,"0%")&amp;" من شغله ("&amp;TEXT(J235,"0.000")&amp;")",""))))</f>
        <v/>
      </c>
      <c r="G235" s="0" t="str">
        <f aca="false">IF(A235="","",IF(ISNUMBER(A235),IF(A235&gt;=36526,A235,""),IFERROR(DATEVALUE(A235),"")))</f>
        <v/>
      </c>
      <c r="H235" s="0" t="str">
        <f aca="false">IF(G235="","",INT((G235-SAT1)/7)+1)</f>
        <v/>
      </c>
      <c r="I235" s="0" t="str">
        <f aca="false">IF(H235="","",IF(OR(H235&lt;1,H235&gt;NW),"",INDEX(WMON,H235)))</f>
        <v/>
      </c>
      <c r="J235" s="0" t="str">
        <f aca="false">IF(OR(G235="",H235="",B235=""),"",IF(B235="عمر المصري",SUMIFS('ساعات عمر'!$H$7:$H$642,'ساعات عمر'!$A$7:$A$642,"&gt;="&amp;(SAT1+7*(H235-1)),'ساعات عمر'!$A$7:$A$642,"&lt;="&amp;G235),SUMIFS('ساعات عبدالعزيز'!$F$7:$F$642,'ساعات عبدالعزيز'!$A$7:$A$642,"&gt;="&amp;(SAT1+7*(H235-1)),'ساعات عبدالعزيز'!$A$7:$A$642,"&lt;="&amp;G235)))</f>
        <v/>
      </c>
    </row>
    <row r="236" customFormat="false" ht="15" hidden="false" customHeight="false" outlineLevel="0" collapsed="false">
      <c r="A236" s="57"/>
      <c r="B236" s="30"/>
      <c r="C236" s="58"/>
      <c r="D236" s="59"/>
      <c r="E236" s="60" t="str">
        <f aca="false">IF(A236="","",IF(G236="","⛔ التاريخ غلط — اكتبه كامل 05/10/2026 أو اختاره من القائمة",IF(OR(H236&lt;1,H236&gt;NW),"⛔ التاريخ برّا السنة",IF(AND(N(C236)&gt;0,N(J236)&gt;0,C236&gt;ADV_CAP*J236),"⚠️ أكثر من "&amp;TEXT(ADV_CAP,"0%")&amp;" من شغله ("&amp;TEXT(J236,"0.000")&amp;")",""))))</f>
        <v/>
      </c>
      <c r="G236" s="0" t="str">
        <f aca="false">IF(A236="","",IF(ISNUMBER(A236),IF(A236&gt;=36526,A236,""),IFERROR(DATEVALUE(A236),"")))</f>
        <v/>
      </c>
      <c r="H236" s="0" t="str">
        <f aca="false">IF(G236="","",INT((G236-SAT1)/7)+1)</f>
        <v/>
      </c>
      <c r="I236" s="0" t="str">
        <f aca="false">IF(H236="","",IF(OR(H236&lt;1,H236&gt;NW),"",INDEX(WMON,H236)))</f>
        <v/>
      </c>
      <c r="J236" s="0" t="str">
        <f aca="false">IF(OR(G236="",H236="",B236=""),"",IF(B236="عمر المصري",SUMIFS('ساعات عمر'!$H$7:$H$642,'ساعات عمر'!$A$7:$A$642,"&gt;="&amp;(SAT1+7*(H236-1)),'ساعات عمر'!$A$7:$A$642,"&lt;="&amp;G236),SUMIFS('ساعات عبدالعزيز'!$F$7:$F$642,'ساعات عبدالعزيز'!$A$7:$A$642,"&gt;="&amp;(SAT1+7*(H236-1)),'ساعات عبدالعزيز'!$A$7:$A$642,"&lt;="&amp;G236)))</f>
        <v/>
      </c>
    </row>
    <row r="237" customFormat="false" ht="15" hidden="false" customHeight="false" outlineLevel="0" collapsed="false">
      <c r="A237" s="57"/>
      <c r="B237" s="30"/>
      <c r="C237" s="58"/>
      <c r="D237" s="59"/>
      <c r="E237" s="60" t="str">
        <f aca="false">IF(A237="","",IF(G237="","⛔ التاريخ غلط — اكتبه كامل 05/10/2026 أو اختاره من القائمة",IF(OR(H237&lt;1,H237&gt;NW),"⛔ التاريخ برّا السنة",IF(AND(N(C237)&gt;0,N(J237)&gt;0,C237&gt;ADV_CAP*J237),"⚠️ أكثر من "&amp;TEXT(ADV_CAP,"0%")&amp;" من شغله ("&amp;TEXT(J237,"0.000")&amp;")",""))))</f>
        <v/>
      </c>
      <c r="G237" s="0" t="str">
        <f aca="false">IF(A237="","",IF(ISNUMBER(A237),IF(A237&gt;=36526,A237,""),IFERROR(DATEVALUE(A237),"")))</f>
        <v/>
      </c>
      <c r="H237" s="0" t="str">
        <f aca="false">IF(G237="","",INT((G237-SAT1)/7)+1)</f>
        <v/>
      </c>
      <c r="I237" s="0" t="str">
        <f aca="false">IF(H237="","",IF(OR(H237&lt;1,H237&gt;NW),"",INDEX(WMON,H237)))</f>
        <v/>
      </c>
      <c r="J237" s="0" t="str">
        <f aca="false">IF(OR(G237="",H237="",B237=""),"",IF(B237="عمر المصري",SUMIFS('ساعات عمر'!$H$7:$H$642,'ساعات عمر'!$A$7:$A$642,"&gt;="&amp;(SAT1+7*(H237-1)),'ساعات عمر'!$A$7:$A$642,"&lt;="&amp;G237),SUMIFS('ساعات عبدالعزيز'!$F$7:$F$642,'ساعات عبدالعزيز'!$A$7:$A$642,"&gt;="&amp;(SAT1+7*(H237-1)),'ساعات عبدالعزيز'!$A$7:$A$642,"&lt;="&amp;G237)))</f>
        <v/>
      </c>
    </row>
    <row r="238" customFormat="false" ht="15" hidden="false" customHeight="false" outlineLevel="0" collapsed="false">
      <c r="A238" s="57"/>
      <c r="B238" s="30"/>
      <c r="C238" s="58"/>
      <c r="D238" s="59"/>
      <c r="E238" s="60" t="str">
        <f aca="false">IF(A238="","",IF(G238="","⛔ التاريخ غلط — اكتبه كامل 05/10/2026 أو اختاره من القائمة",IF(OR(H238&lt;1,H238&gt;NW),"⛔ التاريخ برّا السنة",IF(AND(N(C238)&gt;0,N(J238)&gt;0,C238&gt;ADV_CAP*J238),"⚠️ أكثر من "&amp;TEXT(ADV_CAP,"0%")&amp;" من شغله ("&amp;TEXT(J238,"0.000")&amp;")",""))))</f>
        <v/>
      </c>
      <c r="G238" s="0" t="str">
        <f aca="false">IF(A238="","",IF(ISNUMBER(A238),IF(A238&gt;=36526,A238,""),IFERROR(DATEVALUE(A238),"")))</f>
        <v/>
      </c>
      <c r="H238" s="0" t="str">
        <f aca="false">IF(G238="","",INT((G238-SAT1)/7)+1)</f>
        <v/>
      </c>
      <c r="I238" s="0" t="str">
        <f aca="false">IF(H238="","",IF(OR(H238&lt;1,H238&gt;NW),"",INDEX(WMON,H238)))</f>
        <v/>
      </c>
      <c r="J238" s="0" t="str">
        <f aca="false">IF(OR(G238="",H238="",B238=""),"",IF(B238="عمر المصري",SUMIFS('ساعات عمر'!$H$7:$H$642,'ساعات عمر'!$A$7:$A$642,"&gt;="&amp;(SAT1+7*(H238-1)),'ساعات عمر'!$A$7:$A$642,"&lt;="&amp;G238),SUMIFS('ساعات عبدالعزيز'!$F$7:$F$642,'ساعات عبدالعزيز'!$A$7:$A$642,"&gt;="&amp;(SAT1+7*(H238-1)),'ساعات عبدالعزيز'!$A$7:$A$642,"&lt;="&amp;G238)))</f>
        <v/>
      </c>
    </row>
    <row r="239" customFormat="false" ht="15" hidden="false" customHeight="false" outlineLevel="0" collapsed="false">
      <c r="A239" s="57"/>
      <c r="B239" s="30"/>
      <c r="C239" s="58"/>
      <c r="D239" s="59"/>
      <c r="E239" s="60" t="str">
        <f aca="false">IF(A239="","",IF(G239="","⛔ التاريخ غلط — اكتبه كامل 05/10/2026 أو اختاره من القائمة",IF(OR(H239&lt;1,H239&gt;NW),"⛔ التاريخ برّا السنة",IF(AND(N(C239)&gt;0,N(J239)&gt;0,C239&gt;ADV_CAP*J239),"⚠️ أكثر من "&amp;TEXT(ADV_CAP,"0%")&amp;" من شغله ("&amp;TEXT(J239,"0.000")&amp;")",""))))</f>
        <v/>
      </c>
      <c r="G239" s="0" t="str">
        <f aca="false">IF(A239="","",IF(ISNUMBER(A239),IF(A239&gt;=36526,A239,""),IFERROR(DATEVALUE(A239),"")))</f>
        <v/>
      </c>
      <c r="H239" s="0" t="str">
        <f aca="false">IF(G239="","",INT((G239-SAT1)/7)+1)</f>
        <v/>
      </c>
      <c r="I239" s="0" t="str">
        <f aca="false">IF(H239="","",IF(OR(H239&lt;1,H239&gt;NW),"",INDEX(WMON,H239)))</f>
        <v/>
      </c>
      <c r="J239" s="0" t="str">
        <f aca="false">IF(OR(G239="",H239="",B239=""),"",IF(B239="عمر المصري",SUMIFS('ساعات عمر'!$H$7:$H$642,'ساعات عمر'!$A$7:$A$642,"&gt;="&amp;(SAT1+7*(H239-1)),'ساعات عمر'!$A$7:$A$642,"&lt;="&amp;G239),SUMIFS('ساعات عبدالعزيز'!$F$7:$F$642,'ساعات عبدالعزيز'!$A$7:$A$642,"&gt;="&amp;(SAT1+7*(H239-1)),'ساعات عبدالعزيز'!$A$7:$A$642,"&lt;="&amp;G239)))</f>
        <v/>
      </c>
    </row>
    <row r="240" customFormat="false" ht="15" hidden="false" customHeight="false" outlineLevel="0" collapsed="false">
      <c r="A240" s="57"/>
      <c r="B240" s="30"/>
      <c r="C240" s="58"/>
      <c r="D240" s="59"/>
      <c r="E240" s="60" t="str">
        <f aca="false">IF(A240="","",IF(G240="","⛔ التاريخ غلط — اكتبه كامل 05/10/2026 أو اختاره من القائمة",IF(OR(H240&lt;1,H240&gt;NW),"⛔ التاريخ برّا السنة",IF(AND(N(C240)&gt;0,N(J240)&gt;0,C240&gt;ADV_CAP*J240),"⚠️ أكثر من "&amp;TEXT(ADV_CAP,"0%")&amp;" من شغله ("&amp;TEXT(J240,"0.000")&amp;")",""))))</f>
        <v/>
      </c>
      <c r="G240" s="0" t="str">
        <f aca="false">IF(A240="","",IF(ISNUMBER(A240),IF(A240&gt;=36526,A240,""),IFERROR(DATEVALUE(A240),"")))</f>
        <v/>
      </c>
      <c r="H240" s="0" t="str">
        <f aca="false">IF(G240="","",INT((G240-SAT1)/7)+1)</f>
        <v/>
      </c>
      <c r="I240" s="0" t="str">
        <f aca="false">IF(H240="","",IF(OR(H240&lt;1,H240&gt;NW),"",INDEX(WMON,H240)))</f>
        <v/>
      </c>
      <c r="J240" s="0" t="str">
        <f aca="false">IF(OR(G240="",H240="",B240=""),"",IF(B240="عمر المصري",SUMIFS('ساعات عمر'!$H$7:$H$642,'ساعات عمر'!$A$7:$A$642,"&gt;="&amp;(SAT1+7*(H240-1)),'ساعات عمر'!$A$7:$A$642,"&lt;="&amp;G240),SUMIFS('ساعات عبدالعزيز'!$F$7:$F$642,'ساعات عبدالعزيز'!$A$7:$A$642,"&gt;="&amp;(SAT1+7*(H240-1)),'ساعات عبدالعزيز'!$A$7:$A$642,"&lt;="&amp;G240)))</f>
        <v/>
      </c>
    </row>
    <row r="241" customFormat="false" ht="15" hidden="false" customHeight="false" outlineLevel="0" collapsed="false">
      <c r="A241" s="57"/>
      <c r="B241" s="30"/>
      <c r="C241" s="58"/>
      <c r="D241" s="59"/>
      <c r="E241" s="60" t="str">
        <f aca="false">IF(A241="","",IF(G241="","⛔ التاريخ غلط — اكتبه كامل 05/10/2026 أو اختاره من القائمة",IF(OR(H241&lt;1,H241&gt;NW),"⛔ التاريخ برّا السنة",IF(AND(N(C241)&gt;0,N(J241)&gt;0,C241&gt;ADV_CAP*J241),"⚠️ أكثر من "&amp;TEXT(ADV_CAP,"0%")&amp;" من شغله ("&amp;TEXT(J241,"0.000")&amp;")",""))))</f>
        <v/>
      </c>
      <c r="G241" s="0" t="str">
        <f aca="false">IF(A241="","",IF(ISNUMBER(A241),IF(A241&gt;=36526,A241,""),IFERROR(DATEVALUE(A241),"")))</f>
        <v/>
      </c>
      <c r="H241" s="0" t="str">
        <f aca="false">IF(G241="","",INT((G241-SAT1)/7)+1)</f>
        <v/>
      </c>
      <c r="I241" s="0" t="str">
        <f aca="false">IF(H241="","",IF(OR(H241&lt;1,H241&gt;NW),"",INDEX(WMON,H241)))</f>
        <v/>
      </c>
      <c r="J241" s="0" t="str">
        <f aca="false">IF(OR(G241="",H241="",B241=""),"",IF(B241="عمر المصري",SUMIFS('ساعات عمر'!$H$7:$H$642,'ساعات عمر'!$A$7:$A$642,"&gt;="&amp;(SAT1+7*(H241-1)),'ساعات عمر'!$A$7:$A$642,"&lt;="&amp;G241),SUMIFS('ساعات عبدالعزيز'!$F$7:$F$642,'ساعات عبدالعزيز'!$A$7:$A$642,"&gt;="&amp;(SAT1+7*(H241-1)),'ساعات عبدالعزيز'!$A$7:$A$642,"&lt;="&amp;G241)))</f>
        <v/>
      </c>
    </row>
    <row r="242" customFormat="false" ht="15" hidden="false" customHeight="false" outlineLevel="0" collapsed="false">
      <c r="A242" s="57"/>
      <c r="B242" s="30"/>
      <c r="C242" s="58"/>
      <c r="D242" s="59"/>
      <c r="E242" s="60" t="str">
        <f aca="false">IF(A242="","",IF(G242="","⛔ التاريخ غلط — اكتبه كامل 05/10/2026 أو اختاره من القائمة",IF(OR(H242&lt;1,H242&gt;NW),"⛔ التاريخ برّا السنة",IF(AND(N(C242)&gt;0,N(J242)&gt;0,C242&gt;ADV_CAP*J242),"⚠️ أكثر من "&amp;TEXT(ADV_CAP,"0%")&amp;" من شغله ("&amp;TEXT(J242,"0.000")&amp;")",""))))</f>
        <v/>
      </c>
      <c r="G242" s="0" t="str">
        <f aca="false">IF(A242="","",IF(ISNUMBER(A242),IF(A242&gt;=36526,A242,""),IFERROR(DATEVALUE(A242),"")))</f>
        <v/>
      </c>
      <c r="H242" s="0" t="str">
        <f aca="false">IF(G242="","",INT((G242-SAT1)/7)+1)</f>
        <v/>
      </c>
      <c r="I242" s="0" t="str">
        <f aca="false">IF(H242="","",IF(OR(H242&lt;1,H242&gt;NW),"",INDEX(WMON,H242)))</f>
        <v/>
      </c>
      <c r="J242" s="0" t="str">
        <f aca="false">IF(OR(G242="",H242="",B242=""),"",IF(B242="عمر المصري",SUMIFS('ساعات عمر'!$H$7:$H$642,'ساعات عمر'!$A$7:$A$642,"&gt;="&amp;(SAT1+7*(H242-1)),'ساعات عمر'!$A$7:$A$642,"&lt;="&amp;G242),SUMIFS('ساعات عبدالعزيز'!$F$7:$F$642,'ساعات عبدالعزيز'!$A$7:$A$642,"&gt;="&amp;(SAT1+7*(H242-1)),'ساعات عبدالعزيز'!$A$7:$A$642,"&lt;="&amp;G242)))</f>
        <v/>
      </c>
    </row>
    <row r="243" customFormat="false" ht="15" hidden="false" customHeight="false" outlineLevel="0" collapsed="false">
      <c r="A243" s="57"/>
      <c r="B243" s="30"/>
      <c r="C243" s="58"/>
      <c r="D243" s="59"/>
      <c r="E243" s="60" t="str">
        <f aca="false">IF(A243="","",IF(G243="","⛔ التاريخ غلط — اكتبه كامل 05/10/2026 أو اختاره من القائمة",IF(OR(H243&lt;1,H243&gt;NW),"⛔ التاريخ برّا السنة",IF(AND(N(C243)&gt;0,N(J243)&gt;0,C243&gt;ADV_CAP*J243),"⚠️ أكثر من "&amp;TEXT(ADV_CAP,"0%")&amp;" من شغله ("&amp;TEXT(J243,"0.000")&amp;")",""))))</f>
        <v/>
      </c>
      <c r="G243" s="0" t="str">
        <f aca="false">IF(A243="","",IF(ISNUMBER(A243),IF(A243&gt;=36526,A243,""),IFERROR(DATEVALUE(A243),"")))</f>
        <v/>
      </c>
      <c r="H243" s="0" t="str">
        <f aca="false">IF(G243="","",INT((G243-SAT1)/7)+1)</f>
        <v/>
      </c>
      <c r="I243" s="0" t="str">
        <f aca="false">IF(H243="","",IF(OR(H243&lt;1,H243&gt;NW),"",INDEX(WMON,H243)))</f>
        <v/>
      </c>
      <c r="J243" s="0" t="str">
        <f aca="false">IF(OR(G243="",H243="",B243=""),"",IF(B243="عمر المصري",SUMIFS('ساعات عمر'!$H$7:$H$642,'ساعات عمر'!$A$7:$A$642,"&gt;="&amp;(SAT1+7*(H243-1)),'ساعات عمر'!$A$7:$A$642,"&lt;="&amp;G243),SUMIFS('ساعات عبدالعزيز'!$F$7:$F$642,'ساعات عبدالعزيز'!$A$7:$A$642,"&gt;="&amp;(SAT1+7*(H243-1)),'ساعات عبدالعزيز'!$A$7:$A$642,"&lt;="&amp;G243)))</f>
        <v/>
      </c>
    </row>
    <row r="244" customFormat="false" ht="15" hidden="false" customHeight="false" outlineLevel="0" collapsed="false">
      <c r="A244" s="57"/>
      <c r="B244" s="30"/>
      <c r="C244" s="58"/>
      <c r="D244" s="59"/>
      <c r="E244" s="60" t="str">
        <f aca="false">IF(A244="","",IF(G244="","⛔ التاريخ غلط — اكتبه كامل 05/10/2026 أو اختاره من القائمة",IF(OR(H244&lt;1,H244&gt;NW),"⛔ التاريخ برّا السنة",IF(AND(N(C244)&gt;0,N(J244)&gt;0,C244&gt;ADV_CAP*J244),"⚠️ أكثر من "&amp;TEXT(ADV_CAP,"0%")&amp;" من شغله ("&amp;TEXT(J244,"0.000")&amp;")",""))))</f>
        <v/>
      </c>
      <c r="G244" s="0" t="str">
        <f aca="false">IF(A244="","",IF(ISNUMBER(A244),IF(A244&gt;=36526,A244,""),IFERROR(DATEVALUE(A244),"")))</f>
        <v/>
      </c>
      <c r="H244" s="0" t="str">
        <f aca="false">IF(G244="","",INT((G244-SAT1)/7)+1)</f>
        <v/>
      </c>
      <c r="I244" s="0" t="str">
        <f aca="false">IF(H244="","",IF(OR(H244&lt;1,H244&gt;NW),"",INDEX(WMON,H244)))</f>
        <v/>
      </c>
      <c r="J244" s="0" t="str">
        <f aca="false">IF(OR(G244="",H244="",B244=""),"",IF(B244="عمر المصري",SUMIFS('ساعات عمر'!$H$7:$H$642,'ساعات عمر'!$A$7:$A$642,"&gt;="&amp;(SAT1+7*(H244-1)),'ساعات عمر'!$A$7:$A$642,"&lt;="&amp;G244),SUMIFS('ساعات عبدالعزيز'!$F$7:$F$642,'ساعات عبدالعزيز'!$A$7:$A$642,"&gt;="&amp;(SAT1+7*(H244-1)),'ساعات عبدالعزيز'!$A$7:$A$642,"&lt;="&amp;G244)))</f>
        <v/>
      </c>
    </row>
    <row r="245" customFormat="false" ht="15" hidden="false" customHeight="false" outlineLevel="0" collapsed="false">
      <c r="A245" s="57"/>
      <c r="B245" s="30"/>
      <c r="C245" s="58"/>
      <c r="D245" s="59"/>
      <c r="E245" s="60" t="str">
        <f aca="false">IF(A245="","",IF(G245="","⛔ التاريخ غلط — اكتبه كامل 05/10/2026 أو اختاره من القائمة",IF(OR(H245&lt;1,H245&gt;NW),"⛔ التاريخ برّا السنة",IF(AND(N(C245)&gt;0,N(J245)&gt;0,C245&gt;ADV_CAP*J245),"⚠️ أكثر من "&amp;TEXT(ADV_CAP,"0%")&amp;" من شغله ("&amp;TEXT(J245,"0.000")&amp;")",""))))</f>
        <v/>
      </c>
      <c r="G245" s="0" t="str">
        <f aca="false">IF(A245="","",IF(ISNUMBER(A245),IF(A245&gt;=36526,A245,""),IFERROR(DATEVALUE(A245),"")))</f>
        <v/>
      </c>
      <c r="H245" s="0" t="str">
        <f aca="false">IF(G245="","",INT((G245-SAT1)/7)+1)</f>
        <v/>
      </c>
      <c r="I245" s="0" t="str">
        <f aca="false">IF(H245="","",IF(OR(H245&lt;1,H245&gt;NW),"",INDEX(WMON,H245)))</f>
        <v/>
      </c>
      <c r="J245" s="0" t="str">
        <f aca="false">IF(OR(G245="",H245="",B245=""),"",IF(B245="عمر المصري",SUMIFS('ساعات عمر'!$H$7:$H$642,'ساعات عمر'!$A$7:$A$642,"&gt;="&amp;(SAT1+7*(H245-1)),'ساعات عمر'!$A$7:$A$642,"&lt;="&amp;G245),SUMIFS('ساعات عبدالعزيز'!$F$7:$F$642,'ساعات عبدالعزيز'!$A$7:$A$642,"&gt;="&amp;(SAT1+7*(H245-1)),'ساعات عبدالعزيز'!$A$7:$A$642,"&lt;="&amp;G245)))</f>
        <v/>
      </c>
    </row>
    <row r="246" customFormat="false" ht="15" hidden="false" customHeight="false" outlineLevel="0" collapsed="false">
      <c r="A246" s="57"/>
      <c r="B246" s="30"/>
      <c r="C246" s="58"/>
      <c r="D246" s="59"/>
      <c r="E246" s="60" t="str">
        <f aca="false">IF(A246="","",IF(G246="","⛔ التاريخ غلط — اكتبه كامل 05/10/2026 أو اختاره من القائمة",IF(OR(H246&lt;1,H246&gt;NW),"⛔ التاريخ برّا السنة",IF(AND(N(C246)&gt;0,N(J246)&gt;0,C246&gt;ADV_CAP*J246),"⚠️ أكثر من "&amp;TEXT(ADV_CAP,"0%")&amp;" من شغله ("&amp;TEXT(J246,"0.000")&amp;")",""))))</f>
        <v/>
      </c>
      <c r="G246" s="0" t="str">
        <f aca="false">IF(A246="","",IF(ISNUMBER(A246),IF(A246&gt;=36526,A246,""),IFERROR(DATEVALUE(A246),"")))</f>
        <v/>
      </c>
      <c r="H246" s="0" t="str">
        <f aca="false">IF(G246="","",INT((G246-SAT1)/7)+1)</f>
        <v/>
      </c>
      <c r="I246" s="0" t="str">
        <f aca="false">IF(H246="","",IF(OR(H246&lt;1,H246&gt;NW),"",INDEX(WMON,H246)))</f>
        <v/>
      </c>
      <c r="J246" s="0" t="str">
        <f aca="false">IF(OR(G246="",H246="",B246=""),"",IF(B246="عمر المصري",SUMIFS('ساعات عمر'!$H$7:$H$642,'ساعات عمر'!$A$7:$A$642,"&gt;="&amp;(SAT1+7*(H246-1)),'ساعات عمر'!$A$7:$A$642,"&lt;="&amp;G246),SUMIFS('ساعات عبدالعزيز'!$F$7:$F$642,'ساعات عبدالعزيز'!$A$7:$A$642,"&gt;="&amp;(SAT1+7*(H246-1)),'ساعات عبدالعزيز'!$A$7:$A$642,"&lt;="&amp;G246)))</f>
        <v/>
      </c>
    </row>
    <row r="247" customFormat="false" ht="15" hidden="false" customHeight="false" outlineLevel="0" collapsed="false">
      <c r="A247" s="57"/>
      <c r="B247" s="30"/>
      <c r="C247" s="58"/>
      <c r="D247" s="59"/>
      <c r="E247" s="60" t="str">
        <f aca="false">IF(A247="","",IF(G247="","⛔ التاريخ غلط — اكتبه كامل 05/10/2026 أو اختاره من القائمة",IF(OR(H247&lt;1,H247&gt;NW),"⛔ التاريخ برّا السنة",IF(AND(N(C247)&gt;0,N(J247)&gt;0,C247&gt;ADV_CAP*J247),"⚠️ أكثر من "&amp;TEXT(ADV_CAP,"0%")&amp;" من شغله ("&amp;TEXT(J247,"0.000")&amp;")",""))))</f>
        <v/>
      </c>
      <c r="G247" s="0" t="str">
        <f aca="false">IF(A247="","",IF(ISNUMBER(A247),IF(A247&gt;=36526,A247,""),IFERROR(DATEVALUE(A247),"")))</f>
        <v/>
      </c>
      <c r="H247" s="0" t="str">
        <f aca="false">IF(G247="","",INT((G247-SAT1)/7)+1)</f>
        <v/>
      </c>
      <c r="I247" s="0" t="str">
        <f aca="false">IF(H247="","",IF(OR(H247&lt;1,H247&gt;NW),"",INDEX(WMON,H247)))</f>
        <v/>
      </c>
      <c r="J247" s="0" t="str">
        <f aca="false">IF(OR(G247="",H247="",B247=""),"",IF(B247="عمر المصري",SUMIFS('ساعات عمر'!$H$7:$H$642,'ساعات عمر'!$A$7:$A$642,"&gt;="&amp;(SAT1+7*(H247-1)),'ساعات عمر'!$A$7:$A$642,"&lt;="&amp;G247),SUMIFS('ساعات عبدالعزيز'!$F$7:$F$642,'ساعات عبدالعزيز'!$A$7:$A$642,"&gt;="&amp;(SAT1+7*(H247-1)),'ساعات عبدالعزيز'!$A$7:$A$642,"&lt;="&amp;G247)))</f>
        <v/>
      </c>
    </row>
    <row r="248" customFormat="false" ht="15" hidden="false" customHeight="false" outlineLevel="0" collapsed="false">
      <c r="A248" s="57"/>
      <c r="B248" s="30"/>
      <c r="C248" s="58"/>
      <c r="D248" s="59"/>
      <c r="E248" s="60" t="str">
        <f aca="false">IF(A248="","",IF(G248="","⛔ التاريخ غلط — اكتبه كامل 05/10/2026 أو اختاره من القائمة",IF(OR(H248&lt;1,H248&gt;NW),"⛔ التاريخ برّا السنة",IF(AND(N(C248)&gt;0,N(J248)&gt;0,C248&gt;ADV_CAP*J248),"⚠️ أكثر من "&amp;TEXT(ADV_CAP,"0%")&amp;" من شغله ("&amp;TEXT(J248,"0.000")&amp;")",""))))</f>
        <v/>
      </c>
      <c r="G248" s="0" t="str">
        <f aca="false">IF(A248="","",IF(ISNUMBER(A248),IF(A248&gt;=36526,A248,""),IFERROR(DATEVALUE(A248),"")))</f>
        <v/>
      </c>
      <c r="H248" s="0" t="str">
        <f aca="false">IF(G248="","",INT((G248-SAT1)/7)+1)</f>
        <v/>
      </c>
      <c r="I248" s="0" t="str">
        <f aca="false">IF(H248="","",IF(OR(H248&lt;1,H248&gt;NW),"",INDEX(WMON,H248)))</f>
        <v/>
      </c>
      <c r="J248" s="0" t="str">
        <f aca="false">IF(OR(G248="",H248="",B248=""),"",IF(B248="عمر المصري",SUMIFS('ساعات عمر'!$H$7:$H$642,'ساعات عمر'!$A$7:$A$642,"&gt;="&amp;(SAT1+7*(H248-1)),'ساعات عمر'!$A$7:$A$642,"&lt;="&amp;G248),SUMIFS('ساعات عبدالعزيز'!$F$7:$F$642,'ساعات عبدالعزيز'!$A$7:$A$642,"&gt;="&amp;(SAT1+7*(H248-1)),'ساعات عبدالعزيز'!$A$7:$A$642,"&lt;="&amp;G248)))</f>
        <v/>
      </c>
    </row>
    <row r="249" customFormat="false" ht="15" hidden="false" customHeight="false" outlineLevel="0" collapsed="false">
      <c r="A249" s="57"/>
      <c r="B249" s="30"/>
      <c r="C249" s="58"/>
      <c r="D249" s="59"/>
      <c r="E249" s="60" t="str">
        <f aca="false">IF(A249="","",IF(G249="","⛔ التاريخ غلط — اكتبه كامل 05/10/2026 أو اختاره من القائمة",IF(OR(H249&lt;1,H249&gt;NW),"⛔ التاريخ برّا السنة",IF(AND(N(C249)&gt;0,N(J249)&gt;0,C249&gt;ADV_CAP*J249),"⚠️ أكثر من "&amp;TEXT(ADV_CAP,"0%")&amp;" من شغله ("&amp;TEXT(J249,"0.000")&amp;")",""))))</f>
        <v/>
      </c>
      <c r="G249" s="0" t="str">
        <f aca="false">IF(A249="","",IF(ISNUMBER(A249),IF(A249&gt;=36526,A249,""),IFERROR(DATEVALUE(A249),"")))</f>
        <v/>
      </c>
      <c r="H249" s="0" t="str">
        <f aca="false">IF(G249="","",INT((G249-SAT1)/7)+1)</f>
        <v/>
      </c>
      <c r="I249" s="0" t="str">
        <f aca="false">IF(H249="","",IF(OR(H249&lt;1,H249&gt;NW),"",INDEX(WMON,H249)))</f>
        <v/>
      </c>
      <c r="J249" s="0" t="str">
        <f aca="false">IF(OR(G249="",H249="",B249=""),"",IF(B249="عمر المصري",SUMIFS('ساعات عمر'!$H$7:$H$642,'ساعات عمر'!$A$7:$A$642,"&gt;="&amp;(SAT1+7*(H249-1)),'ساعات عمر'!$A$7:$A$642,"&lt;="&amp;G249),SUMIFS('ساعات عبدالعزيز'!$F$7:$F$642,'ساعات عبدالعزيز'!$A$7:$A$642,"&gt;="&amp;(SAT1+7*(H249-1)),'ساعات عبدالعزيز'!$A$7:$A$642,"&lt;="&amp;G249)))</f>
        <v/>
      </c>
    </row>
    <row r="250" customFormat="false" ht="15" hidden="false" customHeight="false" outlineLevel="0" collapsed="false">
      <c r="A250" s="57"/>
      <c r="B250" s="30"/>
      <c r="C250" s="58"/>
      <c r="D250" s="59"/>
      <c r="E250" s="60" t="str">
        <f aca="false">IF(A250="","",IF(G250="","⛔ التاريخ غلط — اكتبه كامل 05/10/2026 أو اختاره من القائمة",IF(OR(H250&lt;1,H250&gt;NW),"⛔ التاريخ برّا السنة",IF(AND(N(C250)&gt;0,N(J250)&gt;0,C250&gt;ADV_CAP*J250),"⚠️ أكثر من "&amp;TEXT(ADV_CAP,"0%")&amp;" من شغله ("&amp;TEXT(J250,"0.000")&amp;")",""))))</f>
        <v/>
      </c>
      <c r="G250" s="0" t="str">
        <f aca="false">IF(A250="","",IF(ISNUMBER(A250),IF(A250&gt;=36526,A250,""),IFERROR(DATEVALUE(A250),"")))</f>
        <v/>
      </c>
      <c r="H250" s="0" t="str">
        <f aca="false">IF(G250="","",INT((G250-SAT1)/7)+1)</f>
        <v/>
      </c>
      <c r="I250" s="0" t="str">
        <f aca="false">IF(H250="","",IF(OR(H250&lt;1,H250&gt;NW),"",INDEX(WMON,H250)))</f>
        <v/>
      </c>
      <c r="J250" s="0" t="str">
        <f aca="false">IF(OR(G250="",H250="",B250=""),"",IF(B250="عمر المصري",SUMIFS('ساعات عمر'!$H$7:$H$642,'ساعات عمر'!$A$7:$A$642,"&gt;="&amp;(SAT1+7*(H250-1)),'ساعات عمر'!$A$7:$A$642,"&lt;="&amp;G250),SUMIFS('ساعات عبدالعزيز'!$F$7:$F$642,'ساعات عبدالعزيز'!$A$7:$A$642,"&gt;="&amp;(SAT1+7*(H250-1)),'ساعات عبدالعزيز'!$A$7:$A$642,"&lt;="&amp;G250)))</f>
        <v/>
      </c>
    </row>
    <row r="251" customFormat="false" ht="15" hidden="false" customHeight="false" outlineLevel="0" collapsed="false">
      <c r="A251" s="57"/>
      <c r="B251" s="30"/>
      <c r="C251" s="58"/>
      <c r="D251" s="59"/>
      <c r="E251" s="60" t="str">
        <f aca="false">IF(A251="","",IF(G251="","⛔ التاريخ غلط — اكتبه كامل 05/10/2026 أو اختاره من القائمة",IF(OR(H251&lt;1,H251&gt;NW),"⛔ التاريخ برّا السنة",IF(AND(N(C251)&gt;0,N(J251)&gt;0,C251&gt;ADV_CAP*J251),"⚠️ أكثر من "&amp;TEXT(ADV_CAP,"0%")&amp;" من شغله ("&amp;TEXT(J251,"0.000")&amp;")",""))))</f>
        <v/>
      </c>
      <c r="G251" s="0" t="str">
        <f aca="false">IF(A251="","",IF(ISNUMBER(A251),IF(A251&gt;=36526,A251,""),IFERROR(DATEVALUE(A251),"")))</f>
        <v/>
      </c>
      <c r="H251" s="0" t="str">
        <f aca="false">IF(G251="","",INT((G251-SAT1)/7)+1)</f>
        <v/>
      </c>
      <c r="I251" s="0" t="str">
        <f aca="false">IF(H251="","",IF(OR(H251&lt;1,H251&gt;NW),"",INDEX(WMON,H251)))</f>
        <v/>
      </c>
      <c r="J251" s="0" t="str">
        <f aca="false">IF(OR(G251="",H251="",B251=""),"",IF(B251="عمر المصري",SUMIFS('ساعات عمر'!$H$7:$H$642,'ساعات عمر'!$A$7:$A$642,"&gt;="&amp;(SAT1+7*(H251-1)),'ساعات عمر'!$A$7:$A$642,"&lt;="&amp;G251),SUMIFS('ساعات عبدالعزيز'!$F$7:$F$642,'ساعات عبدالعزيز'!$A$7:$A$642,"&gt;="&amp;(SAT1+7*(H251-1)),'ساعات عبدالعزيز'!$A$7:$A$642,"&lt;="&amp;G251)))</f>
        <v/>
      </c>
    </row>
    <row r="252" customFormat="false" ht="15" hidden="false" customHeight="false" outlineLevel="0" collapsed="false">
      <c r="A252" s="57"/>
      <c r="B252" s="30"/>
      <c r="C252" s="58"/>
      <c r="D252" s="59"/>
      <c r="E252" s="60" t="str">
        <f aca="false">IF(A252="","",IF(G252="","⛔ التاريخ غلط — اكتبه كامل 05/10/2026 أو اختاره من القائمة",IF(OR(H252&lt;1,H252&gt;NW),"⛔ التاريخ برّا السنة",IF(AND(N(C252)&gt;0,N(J252)&gt;0,C252&gt;ADV_CAP*J252),"⚠️ أكثر من "&amp;TEXT(ADV_CAP,"0%")&amp;" من شغله ("&amp;TEXT(J252,"0.000")&amp;")",""))))</f>
        <v/>
      </c>
      <c r="G252" s="0" t="str">
        <f aca="false">IF(A252="","",IF(ISNUMBER(A252),IF(A252&gt;=36526,A252,""),IFERROR(DATEVALUE(A252),"")))</f>
        <v/>
      </c>
      <c r="H252" s="0" t="str">
        <f aca="false">IF(G252="","",INT((G252-SAT1)/7)+1)</f>
        <v/>
      </c>
      <c r="I252" s="0" t="str">
        <f aca="false">IF(H252="","",IF(OR(H252&lt;1,H252&gt;NW),"",INDEX(WMON,H252)))</f>
        <v/>
      </c>
      <c r="J252" s="0" t="str">
        <f aca="false">IF(OR(G252="",H252="",B252=""),"",IF(B252="عمر المصري",SUMIFS('ساعات عمر'!$H$7:$H$642,'ساعات عمر'!$A$7:$A$642,"&gt;="&amp;(SAT1+7*(H252-1)),'ساعات عمر'!$A$7:$A$642,"&lt;="&amp;G252),SUMIFS('ساعات عبدالعزيز'!$F$7:$F$642,'ساعات عبدالعزيز'!$A$7:$A$642,"&gt;="&amp;(SAT1+7*(H252-1)),'ساعات عبدالعزيز'!$A$7:$A$642,"&lt;="&amp;G252)))</f>
        <v/>
      </c>
    </row>
    <row r="253" customFormat="false" ht="15" hidden="false" customHeight="false" outlineLevel="0" collapsed="false">
      <c r="A253" s="57"/>
      <c r="B253" s="30"/>
      <c r="C253" s="58"/>
      <c r="D253" s="59"/>
      <c r="E253" s="60" t="str">
        <f aca="false">IF(A253="","",IF(G253="","⛔ التاريخ غلط — اكتبه كامل 05/10/2026 أو اختاره من القائمة",IF(OR(H253&lt;1,H253&gt;NW),"⛔ التاريخ برّا السنة",IF(AND(N(C253)&gt;0,N(J253)&gt;0,C253&gt;ADV_CAP*J253),"⚠️ أكثر من "&amp;TEXT(ADV_CAP,"0%")&amp;" من شغله ("&amp;TEXT(J253,"0.000")&amp;")",""))))</f>
        <v/>
      </c>
      <c r="G253" s="0" t="str">
        <f aca="false">IF(A253="","",IF(ISNUMBER(A253),IF(A253&gt;=36526,A253,""),IFERROR(DATEVALUE(A253),"")))</f>
        <v/>
      </c>
      <c r="H253" s="0" t="str">
        <f aca="false">IF(G253="","",INT((G253-SAT1)/7)+1)</f>
        <v/>
      </c>
      <c r="I253" s="0" t="str">
        <f aca="false">IF(H253="","",IF(OR(H253&lt;1,H253&gt;NW),"",INDEX(WMON,H253)))</f>
        <v/>
      </c>
      <c r="J253" s="0" t="str">
        <f aca="false">IF(OR(G253="",H253="",B253=""),"",IF(B253="عمر المصري",SUMIFS('ساعات عمر'!$H$7:$H$642,'ساعات عمر'!$A$7:$A$642,"&gt;="&amp;(SAT1+7*(H253-1)),'ساعات عمر'!$A$7:$A$642,"&lt;="&amp;G253),SUMIFS('ساعات عبدالعزيز'!$F$7:$F$642,'ساعات عبدالعزيز'!$A$7:$A$642,"&gt;="&amp;(SAT1+7*(H253-1)),'ساعات عبدالعزيز'!$A$7:$A$642,"&lt;="&amp;G253)))</f>
        <v/>
      </c>
    </row>
    <row r="254" customFormat="false" ht="15" hidden="false" customHeight="false" outlineLevel="0" collapsed="false">
      <c r="A254" s="57"/>
      <c r="B254" s="30"/>
      <c r="C254" s="58"/>
      <c r="D254" s="59"/>
      <c r="E254" s="60" t="str">
        <f aca="false">IF(A254="","",IF(G254="","⛔ التاريخ غلط — اكتبه كامل 05/10/2026 أو اختاره من القائمة",IF(OR(H254&lt;1,H254&gt;NW),"⛔ التاريخ برّا السنة",IF(AND(N(C254)&gt;0,N(J254)&gt;0,C254&gt;ADV_CAP*J254),"⚠️ أكثر من "&amp;TEXT(ADV_CAP,"0%")&amp;" من شغله ("&amp;TEXT(J254,"0.000")&amp;")",""))))</f>
        <v/>
      </c>
      <c r="G254" s="0" t="str">
        <f aca="false">IF(A254="","",IF(ISNUMBER(A254),IF(A254&gt;=36526,A254,""),IFERROR(DATEVALUE(A254),"")))</f>
        <v/>
      </c>
      <c r="H254" s="0" t="str">
        <f aca="false">IF(G254="","",INT((G254-SAT1)/7)+1)</f>
        <v/>
      </c>
      <c r="I254" s="0" t="str">
        <f aca="false">IF(H254="","",IF(OR(H254&lt;1,H254&gt;NW),"",INDEX(WMON,H254)))</f>
        <v/>
      </c>
      <c r="J254" s="0" t="str">
        <f aca="false">IF(OR(G254="",H254="",B254=""),"",IF(B254="عمر المصري",SUMIFS('ساعات عمر'!$H$7:$H$642,'ساعات عمر'!$A$7:$A$642,"&gt;="&amp;(SAT1+7*(H254-1)),'ساعات عمر'!$A$7:$A$642,"&lt;="&amp;G254),SUMIFS('ساعات عبدالعزيز'!$F$7:$F$642,'ساعات عبدالعزيز'!$A$7:$A$642,"&gt;="&amp;(SAT1+7*(H254-1)),'ساعات عبدالعزيز'!$A$7:$A$642,"&lt;="&amp;G254)))</f>
        <v/>
      </c>
    </row>
    <row r="255" customFormat="false" ht="15" hidden="false" customHeight="false" outlineLevel="0" collapsed="false">
      <c r="A255" s="57"/>
      <c r="B255" s="30"/>
      <c r="C255" s="58"/>
      <c r="D255" s="59"/>
      <c r="E255" s="60" t="str">
        <f aca="false">IF(A255="","",IF(G255="","⛔ التاريخ غلط — اكتبه كامل 05/10/2026 أو اختاره من القائمة",IF(OR(H255&lt;1,H255&gt;NW),"⛔ التاريخ برّا السنة",IF(AND(N(C255)&gt;0,N(J255)&gt;0,C255&gt;ADV_CAP*J255),"⚠️ أكثر من "&amp;TEXT(ADV_CAP,"0%")&amp;" من شغله ("&amp;TEXT(J255,"0.000")&amp;")",""))))</f>
        <v/>
      </c>
      <c r="G255" s="0" t="str">
        <f aca="false">IF(A255="","",IF(ISNUMBER(A255),IF(A255&gt;=36526,A255,""),IFERROR(DATEVALUE(A255),"")))</f>
        <v/>
      </c>
      <c r="H255" s="0" t="str">
        <f aca="false">IF(G255="","",INT((G255-SAT1)/7)+1)</f>
        <v/>
      </c>
      <c r="I255" s="0" t="str">
        <f aca="false">IF(H255="","",IF(OR(H255&lt;1,H255&gt;NW),"",INDEX(WMON,H255)))</f>
        <v/>
      </c>
      <c r="J255" s="0" t="str">
        <f aca="false">IF(OR(G255="",H255="",B255=""),"",IF(B255="عمر المصري",SUMIFS('ساعات عمر'!$H$7:$H$642,'ساعات عمر'!$A$7:$A$642,"&gt;="&amp;(SAT1+7*(H255-1)),'ساعات عمر'!$A$7:$A$642,"&lt;="&amp;G255),SUMIFS('ساعات عبدالعزيز'!$F$7:$F$642,'ساعات عبدالعزيز'!$A$7:$A$642,"&gt;="&amp;(SAT1+7*(H255-1)),'ساعات عبدالعزيز'!$A$7:$A$642,"&lt;="&amp;G255)))</f>
        <v/>
      </c>
    </row>
    <row r="256" customFormat="false" ht="15" hidden="false" customHeight="false" outlineLevel="0" collapsed="false">
      <c r="A256" s="57"/>
      <c r="B256" s="30"/>
      <c r="C256" s="58"/>
      <c r="D256" s="59"/>
      <c r="E256" s="60" t="str">
        <f aca="false">IF(A256="","",IF(G256="","⛔ التاريخ غلط — اكتبه كامل 05/10/2026 أو اختاره من القائمة",IF(OR(H256&lt;1,H256&gt;NW),"⛔ التاريخ برّا السنة",IF(AND(N(C256)&gt;0,N(J256)&gt;0,C256&gt;ADV_CAP*J256),"⚠️ أكثر من "&amp;TEXT(ADV_CAP,"0%")&amp;" من شغله ("&amp;TEXT(J256,"0.000")&amp;")",""))))</f>
        <v/>
      </c>
      <c r="G256" s="0" t="str">
        <f aca="false">IF(A256="","",IF(ISNUMBER(A256),IF(A256&gt;=36526,A256,""),IFERROR(DATEVALUE(A256),"")))</f>
        <v/>
      </c>
      <c r="H256" s="0" t="str">
        <f aca="false">IF(G256="","",INT((G256-SAT1)/7)+1)</f>
        <v/>
      </c>
      <c r="I256" s="0" t="str">
        <f aca="false">IF(H256="","",IF(OR(H256&lt;1,H256&gt;NW),"",INDEX(WMON,H256)))</f>
        <v/>
      </c>
      <c r="J256" s="0" t="str">
        <f aca="false">IF(OR(G256="",H256="",B256=""),"",IF(B256="عمر المصري",SUMIFS('ساعات عمر'!$H$7:$H$642,'ساعات عمر'!$A$7:$A$642,"&gt;="&amp;(SAT1+7*(H256-1)),'ساعات عمر'!$A$7:$A$642,"&lt;="&amp;G256),SUMIFS('ساعات عبدالعزيز'!$F$7:$F$642,'ساعات عبدالعزيز'!$A$7:$A$642,"&gt;="&amp;(SAT1+7*(H256-1)),'ساعات عبدالعزيز'!$A$7:$A$642,"&lt;="&amp;G256)))</f>
        <v/>
      </c>
    </row>
    <row r="257" customFormat="false" ht="15" hidden="false" customHeight="false" outlineLevel="0" collapsed="false">
      <c r="A257" s="57"/>
      <c r="B257" s="30"/>
      <c r="C257" s="58"/>
      <c r="D257" s="59"/>
      <c r="E257" s="60" t="str">
        <f aca="false">IF(A257="","",IF(G257="","⛔ التاريخ غلط — اكتبه كامل 05/10/2026 أو اختاره من القائمة",IF(OR(H257&lt;1,H257&gt;NW),"⛔ التاريخ برّا السنة",IF(AND(N(C257)&gt;0,N(J257)&gt;0,C257&gt;ADV_CAP*J257),"⚠️ أكثر من "&amp;TEXT(ADV_CAP,"0%")&amp;" من شغله ("&amp;TEXT(J257,"0.000")&amp;")",""))))</f>
        <v/>
      </c>
      <c r="G257" s="0" t="str">
        <f aca="false">IF(A257="","",IF(ISNUMBER(A257),IF(A257&gt;=36526,A257,""),IFERROR(DATEVALUE(A257),"")))</f>
        <v/>
      </c>
      <c r="H257" s="0" t="str">
        <f aca="false">IF(G257="","",INT((G257-SAT1)/7)+1)</f>
        <v/>
      </c>
      <c r="I257" s="0" t="str">
        <f aca="false">IF(H257="","",IF(OR(H257&lt;1,H257&gt;NW),"",INDEX(WMON,H257)))</f>
        <v/>
      </c>
      <c r="J257" s="0" t="str">
        <f aca="false">IF(OR(G257="",H257="",B257=""),"",IF(B257="عمر المصري",SUMIFS('ساعات عمر'!$H$7:$H$642,'ساعات عمر'!$A$7:$A$642,"&gt;="&amp;(SAT1+7*(H257-1)),'ساعات عمر'!$A$7:$A$642,"&lt;="&amp;G257),SUMIFS('ساعات عبدالعزيز'!$F$7:$F$642,'ساعات عبدالعزيز'!$A$7:$A$642,"&gt;="&amp;(SAT1+7*(H257-1)),'ساعات عبدالعزيز'!$A$7:$A$642,"&lt;="&amp;G257)))</f>
        <v/>
      </c>
    </row>
    <row r="258" customFormat="false" ht="15" hidden="false" customHeight="false" outlineLevel="0" collapsed="false">
      <c r="A258" s="57"/>
      <c r="B258" s="30"/>
      <c r="C258" s="58"/>
      <c r="D258" s="59"/>
      <c r="E258" s="60" t="str">
        <f aca="false">IF(A258="","",IF(G258="","⛔ التاريخ غلط — اكتبه كامل 05/10/2026 أو اختاره من القائمة",IF(OR(H258&lt;1,H258&gt;NW),"⛔ التاريخ برّا السنة",IF(AND(N(C258)&gt;0,N(J258)&gt;0,C258&gt;ADV_CAP*J258),"⚠️ أكثر من "&amp;TEXT(ADV_CAP,"0%")&amp;" من شغله ("&amp;TEXT(J258,"0.000")&amp;")",""))))</f>
        <v/>
      </c>
      <c r="G258" s="0" t="str">
        <f aca="false">IF(A258="","",IF(ISNUMBER(A258),IF(A258&gt;=36526,A258,""),IFERROR(DATEVALUE(A258),"")))</f>
        <v/>
      </c>
      <c r="H258" s="0" t="str">
        <f aca="false">IF(G258="","",INT((G258-SAT1)/7)+1)</f>
        <v/>
      </c>
      <c r="I258" s="0" t="str">
        <f aca="false">IF(H258="","",IF(OR(H258&lt;1,H258&gt;NW),"",INDEX(WMON,H258)))</f>
        <v/>
      </c>
      <c r="J258" s="0" t="str">
        <f aca="false">IF(OR(G258="",H258="",B258=""),"",IF(B258="عمر المصري",SUMIFS('ساعات عمر'!$H$7:$H$642,'ساعات عمر'!$A$7:$A$642,"&gt;="&amp;(SAT1+7*(H258-1)),'ساعات عمر'!$A$7:$A$642,"&lt;="&amp;G258),SUMIFS('ساعات عبدالعزيز'!$F$7:$F$642,'ساعات عبدالعزيز'!$A$7:$A$642,"&gt;="&amp;(SAT1+7*(H258-1)),'ساعات عبدالعزيز'!$A$7:$A$642,"&lt;="&amp;G258)))</f>
        <v/>
      </c>
    </row>
    <row r="259" customFormat="false" ht="15" hidden="false" customHeight="false" outlineLevel="0" collapsed="false">
      <c r="A259" s="57"/>
      <c r="B259" s="30"/>
      <c r="C259" s="58"/>
      <c r="D259" s="59"/>
      <c r="E259" s="60" t="str">
        <f aca="false">IF(A259="","",IF(G259="","⛔ التاريخ غلط — اكتبه كامل 05/10/2026 أو اختاره من القائمة",IF(OR(H259&lt;1,H259&gt;NW),"⛔ التاريخ برّا السنة",IF(AND(N(C259)&gt;0,N(J259)&gt;0,C259&gt;ADV_CAP*J259),"⚠️ أكثر من "&amp;TEXT(ADV_CAP,"0%")&amp;" من شغله ("&amp;TEXT(J259,"0.000")&amp;")",""))))</f>
        <v/>
      </c>
      <c r="G259" s="0" t="str">
        <f aca="false">IF(A259="","",IF(ISNUMBER(A259),IF(A259&gt;=36526,A259,""),IFERROR(DATEVALUE(A259),"")))</f>
        <v/>
      </c>
      <c r="H259" s="0" t="str">
        <f aca="false">IF(G259="","",INT((G259-SAT1)/7)+1)</f>
        <v/>
      </c>
      <c r="I259" s="0" t="str">
        <f aca="false">IF(H259="","",IF(OR(H259&lt;1,H259&gt;NW),"",INDEX(WMON,H259)))</f>
        <v/>
      </c>
      <c r="J259" s="0" t="str">
        <f aca="false">IF(OR(G259="",H259="",B259=""),"",IF(B259="عمر المصري",SUMIFS('ساعات عمر'!$H$7:$H$642,'ساعات عمر'!$A$7:$A$642,"&gt;="&amp;(SAT1+7*(H259-1)),'ساعات عمر'!$A$7:$A$642,"&lt;="&amp;G259),SUMIFS('ساعات عبدالعزيز'!$F$7:$F$642,'ساعات عبدالعزيز'!$A$7:$A$642,"&gt;="&amp;(SAT1+7*(H259-1)),'ساعات عبدالعزيز'!$A$7:$A$642,"&lt;="&amp;G259)))</f>
        <v/>
      </c>
    </row>
    <row r="260" customFormat="false" ht="15" hidden="false" customHeight="false" outlineLevel="0" collapsed="false">
      <c r="A260" s="57"/>
      <c r="B260" s="30"/>
      <c r="C260" s="58"/>
      <c r="D260" s="59"/>
      <c r="E260" s="60" t="str">
        <f aca="false">IF(A260="","",IF(G260="","⛔ التاريخ غلط — اكتبه كامل 05/10/2026 أو اختاره من القائمة",IF(OR(H260&lt;1,H260&gt;NW),"⛔ التاريخ برّا السنة",IF(AND(N(C260)&gt;0,N(J260)&gt;0,C260&gt;ADV_CAP*J260),"⚠️ أكثر من "&amp;TEXT(ADV_CAP,"0%")&amp;" من شغله ("&amp;TEXT(J260,"0.000")&amp;")",""))))</f>
        <v/>
      </c>
      <c r="G260" s="0" t="str">
        <f aca="false">IF(A260="","",IF(ISNUMBER(A260),IF(A260&gt;=36526,A260,""),IFERROR(DATEVALUE(A260),"")))</f>
        <v/>
      </c>
      <c r="H260" s="0" t="str">
        <f aca="false">IF(G260="","",INT((G260-SAT1)/7)+1)</f>
        <v/>
      </c>
      <c r="I260" s="0" t="str">
        <f aca="false">IF(H260="","",IF(OR(H260&lt;1,H260&gt;NW),"",INDEX(WMON,H260)))</f>
        <v/>
      </c>
      <c r="J260" s="0" t="str">
        <f aca="false">IF(OR(G260="",H260="",B260=""),"",IF(B260="عمر المصري",SUMIFS('ساعات عمر'!$H$7:$H$642,'ساعات عمر'!$A$7:$A$642,"&gt;="&amp;(SAT1+7*(H260-1)),'ساعات عمر'!$A$7:$A$642,"&lt;="&amp;G260),SUMIFS('ساعات عبدالعزيز'!$F$7:$F$642,'ساعات عبدالعزيز'!$A$7:$A$642,"&gt;="&amp;(SAT1+7*(H260-1)),'ساعات عبدالعزيز'!$A$7:$A$642,"&lt;="&amp;G260)))</f>
        <v/>
      </c>
    </row>
    <row r="261" customFormat="false" ht="15" hidden="false" customHeight="false" outlineLevel="0" collapsed="false">
      <c r="A261" s="57"/>
      <c r="B261" s="30"/>
      <c r="C261" s="58"/>
      <c r="D261" s="59"/>
      <c r="E261" s="60" t="str">
        <f aca="false">IF(A261="","",IF(G261="","⛔ التاريخ غلط — اكتبه كامل 05/10/2026 أو اختاره من القائمة",IF(OR(H261&lt;1,H261&gt;NW),"⛔ التاريخ برّا السنة",IF(AND(N(C261)&gt;0,N(J261)&gt;0,C261&gt;ADV_CAP*J261),"⚠️ أكثر من "&amp;TEXT(ADV_CAP,"0%")&amp;" من شغله ("&amp;TEXT(J261,"0.000")&amp;")",""))))</f>
        <v/>
      </c>
      <c r="G261" s="0" t="str">
        <f aca="false">IF(A261="","",IF(ISNUMBER(A261),IF(A261&gt;=36526,A261,""),IFERROR(DATEVALUE(A261),"")))</f>
        <v/>
      </c>
      <c r="H261" s="0" t="str">
        <f aca="false">IF(G261="","",INT((G261-SAT1)/7)+1)</f>
        <v/>
      </c>
      <c r="I261" s="0" t="str">
        <f aca="false">IF(H261="","",IF(OR(H261&lt;1,H261&gt;NW),"",INDEX(WMON,H261)))</f>
        <v/>
      </c>
      <c r="J261" s="0" t="str">
        <f aca="false">IF(OR(G261="",H261="",B261=""),"",IF(B261="عمر المصري",SUMIFS('ساعات عمر'!$H$7:$H$642,'ساعات عمر'!$A$7:$A$642,"&gt;="&amp;(SAT1+7*(H261-1)),'ساعات عمر'!$A$7:$A$642,"&lt;="&amp;G261),SUMIFS('ساعات عبدالعزيز'!$F$7:$F$642,'ساعات عبدالعزيز'!$A$7:$A$642,"&gt;="&amp;(SAT1+7*(H261-1)),'ساعات عبدالعزيز'!$A$7:$A$642,"&lt;="&amp;G261)))</f>
        <v/>
      </c>
    </row>
    <row r="262" customFormat="false" ht="15" hidden="false" customHeight="false" outlineLevel="0" collapsed="false">
      <c r="A262" s="57"/>
      <c r="B262" s="30"/>
      <c r="C262" s="58"/>
      <c r="D262" s="59"/>
      <c r="E262" s="60" t="str">
        <f aca="false">IF(A262="","",IF(G262="","⛔ التاريخ غلط — اكتبه كامل 05/10/2026 أو اختاره من القائمة",IF(OR(H262&lt;1,H262&gt;NW),"⛔ التاريخ برّا السنة",IF(AND(N(C262)&gt;0,N(J262)&gt;0,C262&gt;ADV_CAP*J262),"⚠️ أكثر من "&amp;TEXT(ADV_CAP,"0%")&amp;" من شغله ("&amp;TEXT(J262,"0.000")&amp;")",""))))</f>
        <v/>
      </c>
      <c r="G262" s="0" t="str">
        <f aca="false">IF(A262="","",IF(ISNUMBER(A262),IF(A262&gt;=36526,A262,""),IFERROR(DATEVALUE(A262),"")))</f>
        <v/>
      </c>
      <c r="H262" s="0" t="str">
        <f aca="false">IF(G262="","",INT((G262-SAT1)/7)+1)</f>
        <v/>
      </c>
      <c r="I262" s="0" t="str">
        <f aca="false">IF(H262="","",IF(OR(H262&lt;1,H262&gt;NW),"",INDEX(WMON,H262)))</f>
        <v/>
      </c>
      <c r="J262" s="0" t="str">
        <f aca="false">IF(OR(G262="",H262="",B262=""),"",IF(B262="عمر المصري",SUMIFS('ساعات عمر'!$H$7:$H$642,'ساعات عمر'!$A$7:$A$642,"&gt;="&amp;(SAT1+7*(H262-1)),'ساعات عمر'!$A$7:$A$642,"&lt;="&amp;G262),SUMIFS('ساعات عبدالعزيز'!$F$7:$F$642,'ساعات عبدالعزيز'!$A$7:$A$642,"&gt;="&amp;(SAT1+7*(H262-1)),'ساعات عبدالعزيز'!$A$7:$A$642,"&lt;="&amp;G262)))</f>
        <v/>
      </c>
    </row>
    <row r="263" customFormat="false" ht="15" hidden="false" customHeight="false" outlineLevel="0" collapsed="false">
      <c r="A263" s="57"/>
      <c r="B263" s="30"/>
      <c r="C263" s="58"/>
      <c r="D263" s="59"/>
      <c r="E263" s="60" t="str">
        <f aca="false">IF(A263="","",IF(G263="","⛔ التاريخ غلط — اكتبه كامل 05/10/2026 أو اختاره من القائمة",IF(OR(H263&lt;1,H263&gt;NW),"⛔ التاريخ برّا السنة",IF(AND(N(C263)&gt;0,N(J263)&gt;0,C263&gt;ADV_CAP*J263),"⚠️ أكثر من "&amp;TEXT(ADV_CAP,"0%")&amp;" من شغله ("&amp;TEXT(J263,"0.000")&amp;")",""))))</f>
        <v/>
      </c>
      <c r="G263" s="0" t="str">
        <f aca="false">IF(A263="","",IF(ISNUMBER(A263),IF(A263&gt;=36526,A263,""),IFERROR(DATEVALUE(A263),"")))</f>
        <v/>
      </c>
      <c r="H263" s="0" t="str">
        <f aca="false">IF(G263="","",INT((G263-SAT1)/7)+1)</f>
        <v/>
      </c>
      <c r="I263" s="0" t="str">
        <f aca="false">IF(H263="","",IF(OR(H263&lt;1,H263&gt;NW),"",INDEX(WMON,H263)))</f>
        <v/>
      </c>
      <c r="J263" s="0" t="str">
        <f aca="false">IF(OR(G263="",H263="",B263=""),"",IF(B263="عمر المصري",SUMIFS('ساعات عمر'!$H$7:$H$642,'ساعات عمر'!$A$7:$A$642,"&gt;="&amp;(SAT1+7*(H263-1)),'ساعات عمر'!$A$7:$A$642,"&lt;="&amp;G263),SUMIFS('ساعات عبدالعزيز'!$F$7:$F$642,'ساعات عبدالعزيز'!$A$7:$A$642,"&gt;="&amp;(SAT1+7*(H263-1)),'ساعات عبدالعزيز'!$A$7:$A$642,"&lt;="&amp;G263)))</f>
        <v/>
      </c>
    </row>
    <row r="264" customFormat="false" ht="15" hidden="false" customHeight="false" outlineLevel="0" collapsed="false">
      <c r="A264" s="57"/>
      <c r="B264" s="30"/>
      <c r="C264" s="58"/>
      <c r="D264" s="59"/>
      <c r="E264" s="60" t="str">
        <f aca="false">IF(A264="","",IF(G264="","⛔ التاريخ غلط — اكتبه كامل 05/10/2026 أو اختاره من القائمة",IF(OR(H264&lt;1,H264&gt;NW),"⛔ التاريخ برّا السنة",IF(AND(N(C264)&gt;0,N(J264)&gt;0,C264&gt;ADV_CAP*J264),"⚠️ أكثر من "&amp;TEXT(ADV_CAP,"0%")&amp;" من شغله ("&amp;TEXT(J264,"0.000")&amp;")",""))))</f>
        <v/>
      </c>
      <c r="G264" s="0" t="str">
        <f aca="false">IF(A264="","",IF(ISNUMBER(A264),IF(A264&gt;=36526,A264,""),IFERROR(DATEVALUE(A264),"")))</f>
        <v/>
      </c>
      <c r="H264" s="0" t="str">
        <f aca="false">IF(G264="","",INT((G264-SAT1)/7)+1)</f>
        <v/>
      </c>
      <c r="I264" s="0" t="str">
        <f aca="false">IF(H264="","",IF(OR(H264&lt;1,H264&gt;NW),"",INDEX(WMON,H264)))</f>
        <v/>
      </c>
      <c r="J264" s="0" t="str">
        <f aca="false">IF(OR(G264="",H264="",B264=""),"",IF(B264="عمر المصري",SUMIFS('ساعات عمر'!$H$7:$H$642,'ساعات عمر'!$A$7:$A$642,"&gt;="&amp;(SAT1+7*(H264-1)),'ساعات عمر'!$A$7:$A$642,"&lt;="&amp;G264),SUMIFS('ساعات عبدالعزيز'!$F$7:$F$642,'ساعات عبدالعزيز'!$A$7:$A$642,"&gt;="&amp;(SAT1+7*(H264-1)),'ساعات عبدالعزيز'!$A$7:$A$642,"&lt;="&amp;G264)))</f>
        <v/>
      </c>
    </row>
    <row r="265" customFormat="false" ht="15" hidden="false" customHeight="false" outlineLevel="0" collapsed="false">
      <c r="A265" s="57"/>
      <c r="B265" s="30"/>
      <c r="C265" s="58"/>
      <c r="D265" s="59"/>
      <c r="E265" s="60" t="str">
        <f aca="false">IF(A265="","",IF(G265="","⛔ التاريخ غلط — اكتبه كامل 05/10/2026 أو اختاره من القائمة",IF(OR(H265&lt;1,H265&gt;NW),"⛔ التاريخ برّا السنة",IF(AND(N(C265)&gt;0,N(J265)&gt;0,C265&gt;ADV_CAP*J265),"⚠️ أكثر من "&amp;TEXT(ADV_CAP,"0%")&amp;" من شغله ("&amp;TEXT(J265,"0.000")&amp;")",""))))</f>
        <v/>
      </c>
      <c r="G265" s="0" t="str">
        <f aca="false">IF(A265="","",IF(ISNUMBER(A265),IF(A265&gt;=36526,A265,""),IFERROR(DATEVALUE(A265),"")))</f>
        <v/>
      </c>
      <c r="H265" s="0" t="str">
        <f aca="false">IF(G265="","",INT((G265-SAT1)/7)+1)</f>
        <v/>
      </c>
      <c r="I265" s="0" t="str">
        <f aca="false">IF(H265="","",IF(OR(H265&lt;1,H265&gt;NW),"",INDEX(WMON,H265)))</f>
        <v/>
      </c>
      <c r="J265" s="0" t="str">
        <f aca="false">IF(OR(G265="",H265="",B265=""),"",IF(B265="عمر المصري",SUMIFS('ساعات عمر'!$H$7:$H$642,'ساعات عمر'!$A$7:$A$642,"&gt;="&amp;(SAT1+7*(H265-1)),'ساعات عمر'!$A$7:$A$642,"&lt;="&amp;G265),SUMIFS('ساعات عبدالعزيز'!$F$7:$F$642,'ساعات عبدالعزيز'!$A$7:$A$642,"&gt;="&amp;(SAT1+7*(H265-1)),'ساعات عبدالعزيز'!$A$7:$A$642,"&lt;="&amp;G265)))</f>
        <v/>
      </c>
    </row>
    <row r="266" customFormat="false" ht="15" hidden="false" customHeight="false" outlineLevel="0" collapsed="false">
      <c r="A266" s="57"/>
      <c r="B266" s="30"/>
      <c r="C266" s="58"/>
      <c r="D266" s="59"/>
      <c r="E266" s="60" t="str">
        <f aca="false">IF(A266="","",IF(G266="","⛔ التاريخ غلط — اكتبه كامل 05/10/2026 أو اختاره من القائمة",IF(OR(H266&lt;1,H266&gt;NW),"⛔ التاريخ برّا السنة",IF(AND(N(C266)&gt;0,N(J266)&gt;0,C266&gt;ADV_CAP*J266),"⚠️ أكثر من "&amp;TEXT(ADV_CAP,"0%")&amp;" من شغله ("&amp;TEXT(J266,"0.000")&amp;")",""))))</f>
        <v/>
      </c>
      <c r="G266" s="0" t="str">
        <f aca="false">IF(A266="","",IF(ISNUMBER(A266),IF(A266&gt;=36526,A266,""),IFERROR(DATEVALUE(A266),"")))</f>
        <v/>
      </c>
      <c r="H266" s="0" t="str">
        <f aca="false">IF(G266="","",INT((G266-SAT1)/7)+1)</f>
        <v/>
      </c>
      <c r="I266" s="0" t="str">
        <f aca="false">IF(H266="","",IF(OR(H266&lt;1,H266&gt;NW),"",INDEX(WMON,H266)))</f>
        <v/>
      </c>
      <c r="J266" s="0" t="str">
        <f aca="false">IF(OR(G266="",H266="",B266=""),"",IF(B266="عمر المصري",SUMIFS('ساعات عمر'!$H$7:$H$642,'ساعات عمر'!$A$7:$A$642,"&gt;="&amp;(SAT1+7*(H266-1)),'ساعات عمر'!$A$7:$A$642,"&lt;="&amp;G266),SUMIFS('ساعات عبدالعزيز'!$F$7:$F$642,'ساعات عبدالعزيز'!$A$7:$A$642,"&gt;="&amp;(SAT1+7*(H266-1)),'ساعات عبدالعزيز'!$A$7:$A$642,"&lt;="&amp;G266)))</f>
        <v/>
      </c>
    </row>
    <row r="267" customFormat="false" ht="15" hidden="false" customHeight="false" outlineLevel="0" collapsed="false">
      <c r="A267" s="57"/>
      <c r="B267" s="30"/>
      <c r="C267" s="58"/>
      <c r="D267" s="59"/>
      <c r="E267" s="60" t="str">
        <f aca="false">IF(A267="","",IF(G267="","⛔ التاريخ غلط — اكتبه كامل 05/10/2026 أو اختاره من القائمة",IF(OR(H267&lt;1,H267&gt;NW),"⛔ التاريخ برّا السنة",IF(AND(N(C267)&gt;0,N(J267)&gt;0,C267&gt;ADV_CAP*J267),"⚠️ أكثر من "&amp;TEXT(ADV_CAP,"0%")&amp;" من شغله ("&amp;TEXT(J267,"0.000")&amp;")",""))))</f>
        <v/>
      </c>
      <c r="G267" s="0" t="str">
        <f aca="false">IF(A267="","",IF(ISNUMBER(A267),IF(A267&gt;=36526,A267,""),IFERROR(DATEVALUE(A267),"")))</f>
        <v/>
      </c>
      <c r="H267" s="0" t="str">
        <f aca="false">IF(G267="","",INT((G267-SAT1)/7)+1)</f>
        <v/>
      </c>
      <c r="I267" s="0" t="str">
        <f aca="false">IF(H267="","",IF(OR(H267&lt;1,H267&gt;NW),"",INDEX(WMON,H267)))</f>
        <v/>
      </c>
      <c r="J267" s="0" t="str">
        <f aca="false">IF(OR(G267="",H267="",B267=""),"",IF(B267="عمر المصري",SUMIFS('ساعات عمر'!$H$7:$H$642,'ساعات عمر'!$A$7:$A$642,"&gt;="&amp;(SAT1+7*(H267-1)),'ساعات عمر'!$A$7:$A$642,"&lt;="&amp;G267),SUMIFS('ساعات عبدالعزيز'!$F$7:$F$642,'ساعات عبدالعزيز'!$A$7:$A$642,"&gt;="&amp;(SAT1+7*(H267-1)),'ساعات عبدالعزيز'!$A$7:$A$642,"&lt;="&amp;G267)))</f>
        <v/>
      </c>
    </row>
    <row r="268" customFormat="false" ht="15" hidden="false" customHeight="false" outlineLevel="0" collapsed="false">
      <c r="A268" s="57"/>
      <c r="B268" s="30"/>
      <c r="C268" s="58"/>
      <c r="D268" s="59"/>
      <c r="E268" s="60" t="str">
        <f aca="false">IF(A268="","",IF(G268="","⛔ التاريخ غلط — اكتبه كامل 05/10/2026 أو اختاره من القائمة",IF(OR(H268&lt;1,H268&gt;NW),"⛔ التاريخ برّا السنة",IF(AND(N(C268)&gt;0,N(J268)&gt;0,C268&gt;ADV_CAP*J268),"⚠️ أكثر من "&amp;TEXT(ADV_CAP,"0%")&amp;" من شغله ("&amp;TEXT(J268,"0.000")&amp;")",""))))</f>
        <v/>
      </c>
      <c r="G268" s="0" t="str">
        <f aca="false">IF(A268="","",IF(ISNUMBER(A268),IF(A268&gt;=36526,A268,""),IFERROR(DATEVALUE(A268),"")))</f>
        <v/>
      </c>
      <c r="H268" s="0" t="str">
        <f aca="false">IF(G268="","",INT((G268-SAT1)/7)+1)</f>
        <v/>
      </c>
      <c r="I268" s="0" t="str">
        <f aca="false">IF(H268="","",IF(OR(H268&lt;1,H268&gt;NW),"",INDEX(WMON,H268)))</f>
        <v/>
      </c>
      <c r="J268" s="0" t="str">
        <f aca="false">IF(OR(G268="",H268="",B268=""),"",IF(B268="عمر المصري",SUMIFS('ساعات عمر'!$H$7:$H$642,'ساعات عمر'!$A$7:$A$642,"&gt;="&amp;(SAT1+7*(H268-1)),'ساعات عمر'!$A$7:$A$642,"&lt;="&amp;G268),SUMIFS('ساعات عبدالعزيز'!$F$7:$F$642,'ساعات عبدالعزيز'!$A$7:$A$642,"&gt;="&amp;(SAT1+7*(H268-1)),'ساعات عبدالعزيز'!$A$7:$A$642,"&lt;="&amp;G268)))</f>
        <v/>
      </c>
    </row>
    <row r="269" customFormat="false" ht="15" hidden="false" customHeight="false" outlineLevel="0" collapsed="false">
      <c r="A269" s="57"/>
      <c r="B269" s="30"/>
      <c r="C269" s="58"/>
      <c r="D269" s="59"/>
      <c r="E269" s="60" t="str">
        <f aca="false">IF(A269="","",IF(G269="","⛔ التاريخ غلط — اكتبه كامل 05/10/2026 أو اختاره من القائمة",IF(OR(H269&lt;1,H269&gt;NW),"⛔ التاريخ برّا السنة",IF(AND(N(C269)&gt;0,N(J269)&gt;0,C269&gt;ADV_CAP*J269),"⚠️ أكثر من "&amp;TEXT(ADV_CAP,"0%")&amp;" من شغله ("&amp;TEXT(J269,"0.000")&amp;")",""))))</f>
        <v/>
      </c>
      <c r="G269" s="0" t="str">
        <f aca="false">IF(A269="","",IF(ISNUMBER(A269),IF(A269&gt;=36526,A269,""),IFERROR(DATEVALUE(A269),"")))</f>
        <v/>
      </c>
      <c r="H269" s="0" t="str">
        <f aca="false">IF(G269="","",INT((G269-SAT1)/7)+1)</f>
        <v/>
      </c>
      <c r="I269" s="0" t="str">
        <f aca="false">IF(H269="","",IF(OR(H269&lt;1,H269&gt;NW),"",INDEX(WMON,H269)))</f>
        <v/>
      </c>
      <c r="J269" s="0" t="str">
        <f aca="false">IF(OR(G269="",H269="",B269=""),"",IF(B269="عمر المصري",SUMIFS('ساعات عمر'!$H$7:$H$642,'ساعات عمر'!$A$7:$A$642,"&gt;="&amp;(SAT1+7*(H269-1)),'ساعات عمر'!$A$7:$A$642,"&lt;="&amp;G269),SUMIFS('ساعات عبدالعزيز'!$F$7:$F$642,'ساعات عبدالعزيز'!$A$7:$A$642,"&gt;="&amp;(SAT1+7*(H269-1)),'ساعات عبدالعزيز'!$A$7:$A$642,"&lt;="&amp;G269)))</f>
        <v/>
      </c>
    </row>
    <row r="270" customFormat="false" ht="15" hidden="false" customHeight="false" outlineLevel="0" collapsed="false">
      <c r="A270" s="57"/>
      <c r="B270" s="30"/>
      <c r="C270" s="58"/>
      <c r="D270" s="59"/>
      <c r="E270" s="60" t="str">
        <f aca="false">IF(A270="","",IF(G270="","⛔ التاريخ غلط — اكتبه كامل 05/10/2026 أو اختاره من القائمة",IF(OR(H270&lt;1,H270&gt;NW),"⛔ التاريخ برّا السنة",IF(AND(N(C270)&gt;0,N(J270)&gt;0,C270&gt;ADV_CAP*J270),"⚠️ أكثر من "&amp;TEXT(ADV_CAP,"0%")&amp;" من شغله ("&amp;TEXT(J270,"0.000")&amp;")",""))))</f>
        <v/>
      </c>
      <c r="G270" s="0" t="str">
        <f aca="false">IF(A270="","",IF(ISNUMBER(A270),IF(A270&gt;=36526,A270,""),IFERROR(DATEVALUE(A270),"")))</f>
        <v/>
      </c>
      <c r="H270" s="0" t="str">
        <f aca="false">IF(G270="","",INT((G270-SAT1)/7)+1)</f>
        <v/>
      </c>
      <c r="I270" s="0" t="str">
        <f aca="false">IF(H270="","",IF(OR(H270&lt;1,H270&gt;NW),"",INDEX(WMON,H270)))</f>
        <v/>
      </c>
      <c r="J270" s="0" t="str">
        <f aca="false">IF(OR(G270="",H270="",B270=""),"",IF(B270="عمر المصري",SUMIFS('ساعات عمر'!$H$7:$H$642,'ساعات عمر'!$A$7:$A$642,"&gt;="&amp;(SAT1+7*(H270-1)),'ساعات عمر'!$A$7:$A$642,"&lt;="&amp;G270),SUMIFS('ساعات عبدالعزيز'!$F$7:$F$642,'ساعات عبدالعزيز'!$A$7:$A$642,"&gt;="&amp;(SAT1+7*(H270-1)),'ساعات عبدالعزيز'!$A$7:$A$642,"&lt;="&amp;G270)))</f>
        <v/>
      </c>
    </row>
    <row r="271" customFormat="false" ht="15" hidden="false" customHeight="false" outlineLevel="0" collapsed="false">
      <c r="A271" s="57"/>
      <c r="B271" s="30"/>
      <c r="C271" s="58"/>
      <c r="D271" s="59"/>
      <c r="E271" s="60" t="str">
        <f aca="false">IF(A271="","",IF(G271="","⛔ التاريخ غلط — اكتبه كامل 05/10/2026 أو اختاره من القائمة",IF(OR(H271&lt;1,H271&gt;NW),"⛔ التاريخ برّا السنة",IF(AND(N(C271)&gt;0,N(J271)&gt;0,C271&gt;ADV_CAP*J271),"⚠️ أكثر من "&amp;TEXT(ADV_CAP,"0%")&amp;" من شغله ("&amp;TEXT(J271,"0.000")&amp;")",""))))</f>
        <v/>
      </c>
      <c r="G271" s="0" t="str">
        <f aca="false">IF(A271="","",IF(ISNUMBER(A271),IF(A271&gt;=36526,A271,""),IFERROR(DATEVALUE(A271),"")))</f>
        <v/>
      </c>
      <c r="H271" s="0" t="str">
        <f aca="false">IF(G271="","",INT((G271-SAT1)/7)+1)</f>
        <v/>
      </c>
      <c r="I271" s="0" t="str">
        <f aca="false">IF(H271="","",IF(OR(H271&lt;1,H271&gt;NW),"",INDEX(WMON,H271)))</f>
        <v/>
      </c>
      <c r="J271" s="0" t="str">
        <f aca="false">IF(OR(G271="",H271="",B271=""),"",IF(B271="عمر المصري",SUMIFS('ساعات عمر'!$H$7:$H$642,'ساعات عمر'!$A$7:$A$642,"&gt;="&amp;(SAT1+7*(H271-1)),'ساعات عمر'!$A$7:$A$642,"&lt;="&amp;G271),SUMIFS('ساعات عبدالعزيز'!$F$7:$F$642,'ساعات عبدالعزيز'!$A$7:$A$642,"&gt;="&amp;(SAT1+7*(H271-1)),'ساعات عبدالعزيز'!$A$7:$A$642,"&lt;="&amp;G271)))</f>
        <v/>
      </c>
    </row>
    <row r="272" customFormat="false" ht="15" hidden="false" customHeight="false" outlineLevel="0" collapsed="false">
      <c r="A272" s="57"/>
      <c r="B272" s="30"/>
      <c r="C272" s="58"/>
      <c r="D272" s="59"/>
      <c r="E272" s="60" t="str">
        <f aca="false">IF(A272="","",IF(G272="","⛔ التاريخ غلط — اكتبه كامل 05/10/2026 أو اختاره من القائمة",IF(OR(H272&lt;1,H272&gt;NW),"⛔ التاريخ برّا السنة",IF(AND(N(C272)&gt;0,N(J272)&gt;0,C272&gt;ADV_CAP*J272),"⚠️ أكثر من "&amp;TEXT(ADV_CAP,"0%")&amp;" من شغله ("&amp;TEXT(J272,"0.000")&amp;")",""))))</f>
        <v/>
      </c>
      <c r="G272" s="0" t="str">
        <f aca="false">IF(A272="","",IF(ISNUMBER(A272),IF(A272&gt;=36526,A272,""),IFERROR(DATEVALUE(A272),"")))</f>
        <v/>
      </c>
      <c r="H272" s="0" t="str">
        <f aca="false">IF(G272="","",INT((G272-SAT1)/7)+1)</f>
        <v/>
      </c>
      <c r="I272" s="0" t="str">
        <f aca="false">IF(H272="","",IF(OR(H272&lt;1,H272&gt;NW),"",INDEX(WMON,H272)))</f>
        <v/>
      </c>
      <c r="J272" s="0" t="str">
        <f aca="false">IF(OR(G272="",H272="",B272=""),"",IF(B272="عمر المصري",SUMIFS('ساعات عمر'!$H$7:$H$642,'ساعات عمر'!$A$7:$A$642,"&gt;="&amp;(SAT1+7*(H272-1)),'ساعات عمر'!$A$7:$A$642,"&lt;="&amp;G272),SUMIFS('ساعات عبدالعزيز'!$F$7:$F$642,'ساعات عبدالعزيز'!$A$7:$A$642,"&gt;="&amp;(SAT1+7*(H272-1)),'ساعات عبدالعزيز'!$A$7:$A$642,"&lt;="&amp;G272)))</f>
        <v/>
      </c>
    </row>
    <row r="273" customFormat="false" ht="15" hidden="false" customHeight="false" outlineLevel="0" collapsed="false">
      <c r="A273" s="57"/>
      <c r="B273" s="30"/>
      <c r="C273" s="58"/>
      <c r="D273" s="59"/>
      <c r="E273" s="60" t="str">
        <f aca="false">IF(A273="","",IF(G273="","⛔ التاريخ غلط — اكتبه كامل 05/10/2026 أو اختاره من القائمة",IF(OR(H273&lt;1,H273&gt;NW),"⛔ التاريخ برّا السنة",IF(AND(N(C273)&gt;0,N(J273)&gt;0,C273&gt;ADV_CAP*J273),"⚠️ أكثر من "&amp;TEXT(ADV_CAP,"0%")&amp;" من شغله ("&amp;TEXT(J273,"0.000")&amp;")",""))))</f>
        <v/>
      </c>
      <c r="G273" s="0" t="str">
        <f aca="false">IF(A273="","",IF(ISNUMBER(A273),IF(A273&gt;=36526,A273,""),IFERROR(DATEVALUE(A273),"")))</f>
        <v/>
      </c>
      <c r="H273" s="0" t="str">
        <f aca="false">IF(G273="","",INT((G273-SAT1)/7)+1)</f>
        <v/>
      </c>
      <c r="I273" s="0" t="str">
        <f aca="false">IF(H273="","",IF(OR(H273&lt;1,H273&gt;NW),"",INDEX(WMON,H273)))</f>
        <v/>
      </c>
      <c r="J273" s="0" t="str">
        <f aca="false">IF(OR(G273="",H273="",B273=""),"",IF(B273="عمر المصري",SUMIFS('ساعات عمر'!$H$7:$H$642,'ساعات عمر'!$A$7:$A$642,"&gt;="&amp;(SAT1+7*(H273-1)),'ساعات عمر'!$A$7:$A$642,"&lt;="&amp;G273),SUMIFS('ساعات عبدالعزيز'!$F$7:$F$642,'ساعات عبدالعزيز'!$A$7:$A$642,"&gt;="&amp;(SAT1+7*(H273-1)),'ساعات عبدالعزيز'!$A$7:$A$642,"&lt;="&amp;G273)))</f>
        <v/>
      </c>
    </row>
    <row r="274" customFormat="false" ht="15" hidden="false" customHeight="false" outlineLevel="0" collapsed="false">
      <c r="A274" s="57"/>
      <c r="B274" s="30"/>
      <c r="C274" s="58"/>
      <c r="D274" s="59"/>
      <c r="E274" s="60" t="str">
        <f aca="false">IF(A274="","",IF(G274="","⛔ التاريخ غلط — اكتبه كامل 05/10/2026 أو اختاره من القائمة",IF(OR(H274&lt;1,H274&gt;NW),"⛔ التاريخ برّا السنة",IF(AND(N(C274)&gt;0,N(J274)&gt;0,C274&gt;ADV_CAP*J274),"⚠️ أكثر من "&amp;TEXT(ADV_CAP,"0%")&amp;" من شغله ("&amp;TEXT(J274,"0.000")&amp;")",""))))</f>
        <v/>
      </c>
      <c r="G274" s="0" t="str">
        <f aca="false">IF(A274="","",IF(ISNUMBER(A274),IF(A274&gt;=36526,A274,""),IFERROR(DATEVALUE(A274),"")))</f>
        <v/>
      </c>
      <c r="H274" s="0" t="str">
        <f aca="false">IF(G274="","",INT((G274-SAT1)/7)+1)</f>
        <v/>
      </c>
      <c r="I274" s="0" t="str">
        <f aca="false">IF(H274="","",IF(OR(H274&lt;1,H274&gt;NW),"",INDEX(WMON,H274)))</f>
        <v/>
      </c>
      <c r="J274" s="0" t="str">
        <f aca="false">IF(OR(G274="",H274="",B274=""),"",IF(B274="عمر المصري",SUMIFS('ساعات عمر'!$H$7:$H$642,'ساعات عمر'!$A$7:$A$642,"&gt;="&amp;(SAT1+7*(H274-1)),'ساعات عمر'!$A$7:$A$642,"&lt;="&amp;G274),SUMIFS('ساعات عبدالعزيز'!$F$7:$F$642,'ساعات عبدالعزيز'!$A$7:$A$642,"&gt;="&amp;(SAT1+7*(H274-1)),'ساعات عبدالعزيز'!$A$7:$A$642,"&lt;="&amp;G274)))</f>
        <v/>
      </c>
    </row>
    <row r="275" customFormat="false" ht="15" hidden="false" customHeight="false" outlineLevel="0" collapsed="false">
      <c r="A275" s="57"/>
      <c r="B275" s="30"/>
      <c r="C275" s="58"/>
      <c r="D275" s="59"/>
      <c r="E275" s="60" t="str">
        <f aca="false">IF(A275="","",IF(G275="","⛔ التاريخ غلط — اكتبه كامل 05/10/2026 أو اختاره من القائمة",IF(OR(H275&lt;1,H275&gt;NW),"⛔ التاريخ برّا السنة",IF(AND(N(C275)&gt;0,N(J275)&gt;0,C275&gt;ADV_CAP*J275),"⚠️ أكثر من "&amp;TEXT(ADV_CAP,"0%")&amp;" من شغله ("&amp;TEXT(J275,"0.000")&amp;")",""))))</f>
        <v/>
      </c>
      <c r="G275" s="0" t="str">
        <f aca="false">IF(A275="","",IF(ISNUMBER(A275),IF(A275&gt;=36526,A275,""),IFERROR(DATEVALUE(A275),"")))</f>
        <v/>
      </c>
      <c r="H275" s="0" t="str">
        <f aca="false">IF(G275="","",INT((G275-SAT1)/7)+1)</f>
        <v/>
      </c>
      <c r="I275" s="0" t="str">
        <f aca="false">IF(H275="","",IF(OR(H275&lt;1,H275&gt;NW),"",INDEX(WMON,H275)))</f>
        <v/>
      </c>
      <c r="J275" s="0" t="str">
        <f aca="false">IF(OR(G275="",H275="",B275=""),"",IF(B275="عمر المصري",SUMIFS('ساعات عمر'!$H$7:$H$642,'ساعات عمر'!$A$7:$A$642,"&gt;="&amp;(SAT1+7*(H275-1)),'ساعات عمر'!$A$7:$A$642,"&lt;="&amp;G275),SUMIFS('ساعات عبدالعزيز'!$F$7:$F$642,'ساعات عبدالعزيز'!$A$7:$A$642,"&gt;="&amp;(SAT1+7*(H275-1)),'ساعات عبدالعزيز'!$A$7:$A$642,"&lt;="&amp;G275)))</f>
        <v/>
      </c>
    </row>
    <row r="276" customFormat="false" ht="15" hidden="false" customHeight="false" outlineLevel="0" collapsed="false">
      <c r="A276" s="57"/>
      <c r="B276" s="30"/>
      <c r="C276" s="58"/>
      <c r="D276" s="59"/>
      <c r="E276" s="60" t="str">
        <f aca="false">IF(A276="","",IF(G276="","⛔ التاريخ غلط — اكتبه كامل 05/10/2026 أو اختاره من القائمة",IF(OR(H276&lt;1,H276&gt;NW),"⛔ التاريخ برّا السنة",IF(AND(N(C276)&gt;0,N(J276)&gt;0,C276&gt;ADV_CAP*J276),"⚠️ أكثر من "&amp;TEXT(ADV_CAP,"0%")&amp;" من شغله ("&amp;TEXT(J276,"0.000")&amp;")",""))))</f>
        <v/>
      </c>
      <c r="G276" s="0" t="str">
        <f aca="false">IF(A276="","",IF(ISNUMBER(A276),IF(A276&gt;=36526,A276,""),IFERROR(DATEVALUE(A276),"")))</f>
        <v/>
      </c>
      <c r="H276" s="0" t="str">
        <f aca="false">IF(G276="","",INT((G276-SAT1)/7)+1)</f>
        <v/>
      </c>
      <c r="I276" s="0" t="str">
        <f aca="false">IF(H276="","",IF(OR(H276&lt;1,H276&gt;NW),"",INDEX(WMON,H276)))</f>
        <v/>
      </c>
      <c r="J276" s="0" t="str">
        <f aca="false">IF(OR(G276="",H276="",B276=""),"",IF(B276="عمر المصري",SUMIFS('ساعات عمر'!$H$7:$H$642,'ساعات عمر'!$A$7:$A$642,"&gt;="&amp;(SAT1+7*(H276-1)),'ساعات عمر'!$A$7:$A$642,"&lt;="&amp;G276),SUMIFS('ساعات عبدالعزيز'!$F$7:$F$642,'ساعات عبدالعزيز'!$A$7:$A$642,"&gt;="&amp;(SAT1+7*(H276-1)),'ساعات عبدالعزيز'!$A$7:$A$642,"&lt;="&amp;G276)))</f>
        <v/>
      </c>
    </row>
    <row r="277" customFormat="false" ht="15" hidden="false" customHeight="false" outlineLevel="0" collapsed="false">
      <c r="A277" s="57"/>
      <c r="B277" s="30"/>
      <c r="C277" s="58"/>
      <c r="D277" s="59"/>
      <c r="E277" s="60" t="str">
        <f aca="false">IF(A277="","",IF(G277="","⛔ التاريخ غلط — اكتبه كامل 05/10/2026 أو اختاره من القائمة",IF(OR(H277&lt;1,H277&gt;NW),"⛔ التاريخ برّا السنة",IF(AND(N(C277)&gt;0,N(J277)&gt;0,C277&gt;ADV_CAP*J277),"⚠️ أكثر من "&amp;TEXT(ADV_CAP,"0%")&amp;" من شغله ("&amp;TEXT(J277,"0.000")&amp;")",""))))</f>
        <v/>
      </c>
      <c r="G277" s="0" t="str">
        <f aca="false">IF(A277="","",IF(ISNUMBER(A277),IF(A277&gt;=36526,A277,""),IFERROR(DATEVALUE(A277),"")))</f>
        <v/>
      </c>
      <c r="H277" s="0" t="str">
        <f aca="false">IF(G277="","",INT((G277-SAT1)/7)+1)</f>
        <v/>
      </c>
      <c r="I277" s="0" t="str">
        <f aca="false">IF(H277="","",IF(OR(H277&lt;1,H277&gt;NW),"",INDEX(WMON,H277)))</f>
        <v/>
      </c>
      <c r="J277" s="0" t="str">
        <f aca="false">IF(OR(G277="",H277="",B277=""),"",IF(B277="عمر المصري",SUMIFS('ساعات عمر'!$H$7:$H$642,'ساعات عمر'!$A$7:$A$642,"&gt;="&amp;(SAT1+7*(H277-1)),'ساعات عمر'!$A$7:$A$642,"&lt;="&amp;G277),SUMIFS('ساعات عبدالعزيز'!$F$7:$F$642,'ساعات عبدالعزيز'!$A$7:$A$642,"&gt;="&amp;(SAT1+7*(H277-1)),'ساعات عبدالعزيز'!$A$7:$A$642,"&lt;="&amp;G277)))</f>
        <v/>
      </c>
    </row>
    <row r="278" customFormat="false" ht="15" hidden="false" customHeight="false" outlineLevel="0" collapsed="false">
      <c r="A278" s="57"/>
      <c r="B278" s="30"/>
      <c r="C278" s="58"/>
      <c r="D278" s="59"/>
      <c r="E278" s="60" t="str">
        <f aca="false">IF(A278="","",IF(G278="","⛔ التاريخ غلط — اكتبه كامل 05/10/2026 أو اختاره من القائمة",IF(OR(H278&lt;1,H278&gt;NW),"⛔ التاريخ برّا السنة",IF(AND(N(C278)&gt;0,N(J278)&gt;0,C278&gt;ADV_CAP*J278),"⚠️ أكثر من "&amp;TEXT(ADV_CAP,"0%")&amp;" من شغله ("&amp;TEXT(J278,"0.000")&amp;")",""))))</f>
        <v/>
      </c>
      <c r="G278" s="0" t="str">
        <f aca="false">IF(A278="","",IF(ISNUMBER(A278),IF(A278&gt;=36526,A278,""),IFERROR(DATEVALUE(A278),"")))</f>
        <v/>
      </c>
      <c r="H278" s="0" t="str">
        <f aca="false">IF(G278="","",INT((G278-SAT1)/7)+1)</f>
        <v/>
      </c>
      <c r="I278" s="0" t="str">
        <f aca="false">IF(H278="","",IF(OR(H278&lt;1,H278&gt;NW),"",INDEX(WMON,H278)))</f>
        <v/>
      </c>
      <c r="J278" s="0" t="str">
        <f aca="false">IF(OR(G278="",H278="",B278=""),"",IF(B278="عمر المصري",SUMIFS('ساعات عمر'!$H$7:$H$642,'ساعات عمر'!$A$7:$A$642,"&gt;="&amp;(SAT1+7*(H278-1)),'ساعات عمر'!$A$7:$A$642,"&lt;="&amp;G278),SUMIFS('ساعات عبدالعزيز'!$F$7:$F$642,'ساعات عبدالعزيز'!$A$7:$A$642,"&gt;="&amp;(SAT1+7*(H278-1)),'ساعات عبدالعزيز'!$A$7:$A$642,"&lt;="&amp;G278)))</f>
        <v/>
      </c>
    </row>
    <row r="279" customFormat="false" ht="15" hidden="false" customHeight="false" outlineLevel="0" collapsed="false">
      <c r="A279" s="57"/>
      <c r="B279" s="30"/>
      <c r="C279" s="58"/>
      <c r="D279" s="59"/>
      <c r="E279" s="60" t="str">
        <f aca="false">IF(A279="","",IF(G279="","⛔ التاريخ غلط — اكتبه كامل 05/10/2026 أو اختاره من القائمة",IF(OR(H279&lt;1,H279&gt;NW),"⛔ التاريخ برّا السنة",IF(AND(N(C279)&gt;0,N(J279)&gt;0,C279&gt;ADV_CAP*J279),"⚠️ أكثر من "&amp;TEXT(ADV_CAP,"0%")&amp;" من شغله ("&amp;TEXT(J279,"0.000")&amp;")",""))))</f>
        <v/>
      </c>
      <c r="G279" s="0" t="str">
        <f aca="false">IF(A279="","",IF(ISNUMBER(A279),IF(A279&gt;=36526,A279,""),IFERROR(DATEVALUE(A279),"")))</f>
        <v/>
      </c>
      <c r="H279" s="0" t="str">
        <f aca="false">IF(G279="","",INT((G279-SAT1)/7)+1)</f>
        <v/>
      </c>
      <c r="I279" s="0" t="str">
        <f aca="false">IF(H279="","",IF(OR(H279&lt;1,H279&gt;NW),"",INDEX(WMON,H279)))</f>
        <v/>
      </c>
      <c r="J279" s="0" t="str">
        <f aca="false">IF(OR(G279="",H279="",B279=""),"",IF(B279="عمر المصري",SUMIFS('ساعات عمر'!$H$7:$H$642,'ساعات عمر'!$A$7:$A$642,"&gt;="&amp;(SAT1+7*(H279-1)),'ساعات عمر'!$A$7:$A$642,"&lt;="&amp;G279),SUMIFS('ساعات عبدالعزيز'!$F$7:$F$642,'ساعات عبدالعزيز'!$A$7:$A$642,"&gt;="&amp;(SAT1+7*(H279-1)),'ساعات عبدالعزيز'!$A$7:$A$642,"&lt;="&amp;G279)))</f>
        <v/>
      </c>
    </row>
    <row r="280" customFormat="false" ht="15" hidden="false" customHeight="false" outlineLevel="0" collapsed="false">
      <c r="A280" s="57"/>
      <c r="B280" s="30"/>
      <c r="C280" s="58"/>
      <c r="D280" s="59"/>
      <c r="E280" s="60" t="str">
        <f aca="false">IF(A280="","",IF(G280="","⛔ التاريخ غلط — اكتبه كامل 05/10/2026 أو اختاره من القائمة",IF(OR(H280&lt;1,H280&gt;NW),"⛔ التاريخ برّا السنة",IF(AND(N(C280)&gt;0,N(J280)&gt;0,C280&gt;ADV_CAP*J280),"⚠️ أكثر من "&amp;TEXT(ADV_CAP,"0%")&amp;" من شغله ("&amp;TEXT(J280,"0.000")&amp;")",""))))</f>
        <v/>
      </c>
      <c r="G280" s="0" t="str">
        <f aca="false">IF(A280="","",IF(ISNUMBER(A280),IF(A280&gt;=36526,A280,""),IFERROR(DATEVALUE(A280),"")))</f>
        <v/>
      </c>
      <c r="H280" s="0" t="str">
        <f aca="false">IF(G280="","",INT((G280-SAT1)/7)+1)</f>
        <v/>
      </c>
      <c r="I280" s="0" t="str">
        <f aca="false">IF(H280="","",IF(OR(H280&lt;1,H280&gt;NW),"",INDEX(WMON,H280)))</f>
        <v/>
      </c>
      <c r="J280" s="0" t="str">
        <f aca="false">IF(OR(G280="",H280="",B280=""),"",IF(B280="عمر المصري",SUMIFS('ساعات عمر'!$H$7:$H$642,'ساعات عمر'!$A$7:$A$642,"&gt;="&amp;(SAT1+7*(H280-1)),'ساعات عمر'!$A$7:$A$642,"&lt;="&amp;G280),SUMIFS('ساعات عبدالعزيز'!$F$7:$F$642,'ساعات عبدالعزيز'!$A$7:$A$642,"&gt;="&amp;(SAT1+7*(H280-1)),'ساعات عبدالعزيز'!$A$7:$A$642,"&lt;="&amp;G280)))</f>
        <v/>
      </c>
    </row>
    <row r="281" customFormat="false" ht="15" hidden="false" customHeight="false" outlineLevel="0" collapsed="false">
      <c r="A281" s="57"/>
      <c r="B281" s="30"/>
      <c r="C281" s="58"/>
      <c r="D281" s="59"/>
      <c r="E281" s="60" t="str">
        <f aca="false">IF(A281="","",IF(G281="","⛔ التاريخ غلط — اكتبه كامل 05/10/2026 أو اختاره من القائمة",IF(OR(H281&lt;1,H281&gt;NW),"⛔ التاريخ برّا السنة",IF(AND(N(C281)&gt;0,N(J281)&gt;0,C281&gt;ADV_CAP*J281),"⚠️ أكثر من "&amp;TEXT(ADV_CAP,"0%")&amp;" من شغله ("&amp;TEXT(J281,"0.000")&amp;")",""))))</f>
        <v/>
      </c>
      <c r="G281" s="0" t="str">
        <f aca="false">IF(A281="","",IF(ISNUMBER(A281),IF(A281&gt;=36526,A281,""),IFERROR(DATEVALUE(A281),"")))</f>
        <v/>
      </c>
      <c r="H281" s="0" t="str">
        <f aca="false">IF(G281="","",INT((G281-SAT1)/7)+1)</f>
        <v/>
      </c>
      <c r="I281" s="0" t="str">
        <f aca="false">IF(H281="","",IF(OR(H281&lt;1,H281&gt;NW),"",INDEX(WMON,H281)))</f>
        <v/>
      </c>
      <c r="J281" s="0" t="str">
        <f aca="false">IF(OR(G281="",H281="",B281=""),"",IF(B281="عمر المصري",SUMIFS('ساعات عمر'!$H$7:$H$642,'ساعات عمر'!$A$7:$A$642,"&gt;="&amp;(SAT1+7*(H281-1)),'ساعات عمر'!$A$7:$A$642,"&lt;="&amp;G281),SUMIFS('ساعات عبدالعزيز'!$F$7:$F$642,'ساعات عبدالعزيز'!$A$7:$A$642,"&gt;="&amp;(SAT1+7*(H281-1)),'ساعات عبدالعزيز'!$A$7:$A$642,"&lt;="&amp;G281)))</f>
        <v/>
      </c>
    </row>
    <row r="282" customFormat="false" ht="15" hidden="false" customHeight="false" outlineLevel="0" collapsed="false">
      <c r="A282" s="57"/>
      <c r="B282" s="30"/>
      <c r="C282" s="58"/>
      <c r="D282" s="59"/>
      <c r="E282" s="60" t="str">
        <f aca="false">IF(A282="","",IF(G282="","⛔ التاريخ غلط — اكتبه كامل 05/10/2026 أو اختاره من القائمة",IF(OR(H282&lt;1,H282&gt;NW),"⛔ التاريخ برّا السنة",IF(AND(N(C282)&gt;0,N(J282)&gt;0,C282&gt;ADV_CAP*J282),"⚠️ أكثر من "&amp;TEXT(ADV_CAP,"0%")&amp;" من شغله ("&amp;TEXT(J282,"0.000")&amp;")",""))))</f>
        <v/>
      </c>
      <c r="G282" s="0" t="str">
        <f aca="false">IF(A282="","",IF(ISNUMBER(A282),IF(A282&gt;=36526,A282,""),IFERROR(DATEVALUE(A282),"")))</f>
        <v/>
      </c>
      <c r="H282" s="0" t="str">
        <f aca="false">IF(G282="","",INT((G282-SAT1)/7)+1)</f>
        <v/>
      </c>
      <c r="I282" s="0" t="str">
        <f aca="false">IF(H282="","",IF(OR(H282&lt;1,H282&gt;NW),"",INDEX(WMON,H282)))</f>
        <v/>
      </c>
      <c r="J282" s="0" t="str">
        <f aca="false">IF(OR(G282="",H282="",B282=""),"",IF(B282="عمر المصري",SUMIFS('ساعات عمر'!$H$7:$H$642,'ساعات عمر'!$A$7:$A$642,"&gt;="&amp;(SAT1+7*(H282-1)),'ساعات عمر'!$A$7:$A$642,"&lt;="&amp;G282),SUMIFS('ساعات عبدالعزيز'!$F$7:$F$642,'ساعات عبدالعزيز'!$A$7:$A$642,"&gt;="&amp;(SAT1+7*(H282-1)),'ساعات عبدالعزيز'!$A$7:$A$642,"&lt;="&amp;G282)))</f>
        <v/>
      </c>
    </row>
    <row r="283" customFormat="false" ht="15" hidden="false" customHeight="false" outlineLevel="0" collapsed="false">
      <c r="A283" s="57"/>
      <c r="B283" s="30"/>
      <c r="C283" s="58"/>
      <c r="D283" s="59"/>
      <c r="E283" s="60" t="str">
        <f aca="false">IF(A283="","",IF(G283="","⛔ التاريخ غلط — اكتبه كامل 05/10/2026 أو اختاره من القائمة",IF(OR(H283&lt;1,H283&gt;NW),"⛔ التاريخ برّا السنة",IF(AND(N(C283)&gt;0,N(J283)&gt;0,C283&gt;ADV_CAP*J283),"⚠️ أكثر من "&amp;TEXT(ADV_CAP,"0%")&amp;" من شغله ("&amp;TEXT(J283,"0.000")&amp;")",""))))</f>
        <v/>
      </c>
      <c r="G283" s="0" t="str">
        <f aca="false">IF(A283="","",IF(ISNUMBER(A283),IF(A283&gt;=36526,A283,""),IFERROR(DATEVALUE(A283),"")))</f>
        <v/>
      </c>
      <c r="H283" s="0" t="str">
        <f aca="false">IF(G283="","",INT((G283-SAT1)/7)+1)</f>
        <v/>
      </c>
      <c r="I283" s="0" t="str">
        <f aca="false">IF(H283="","",IF(OR(H283&lt;1,H283&gt;NW),"",INDEX(WMON,H283)))</f>
        <v/>
      </c>
      <c r="J283" s="0" t="str">
        <f aca="false">IF(OR(G283="",H283="",B283=""),"",IF(B283="عمر المصري",SUMIFS('ساعات عمر'!$H$7:$H$642,'ساعات عمر'!$A$7:$A$642,"&gt;="&amp;(SAT1+7*(H283-1)),'ساعات عمر'!$A$7:$A$642,"&lt;="&amp;G283),SUMIFS('ساعات عبدالعزيز'!$F$7:$F$642,'ساعات عبدالعزيز'!$A$7:$A$642,"&gt;="&amp;(SAT1+7*(H283-1)),'ساعات عبدالعزيز'!$A$7:$A$642,"&lt;="&amp;G283)))</f>
        <v/>
      </c>
    </row>
    <row r="284" customFormat="false" ht="15" hidden="false" customHeight="false" outlineLevel="0" collapsed="false">
      <c r="A284" s="57"/>
      <c r="B284" s="30"/>
      <c r="C284" s="58"/>
      <c r="D284" s="59"/>
      <c r="E284" s="60" t="str">
        <f aca="false">IF(A284="","",IF(G284="","⛔ التاريخ غلط — اكتبه كامل 05/10/2026 أو اختاره من القائمة",IF(OR(H284&lt;1,H284&gt;NW),"⛔ التاريخ برّا السنة",IF(AND(N(C284)&gt;0,N(J284)&gt;0,C284&gt;ADV_CAP*J284),"⚠️ أكثر من "&amp;TEXT(ADV_CAP,"0%")&amp;" من شغله ("&amp;TEXT(J284,"0.000")&amp;")",""))))</f>
        <v/>
      </c>
      <c r="G284" s="0" t="str">
        <f aca="false">IF(A284="","",IF(ISNUMBER(A284),IF(A284&gt;=36526,A284,""),IFERROR(DATEVALUE(A284),"")))</f>
        <v/>
      </c>
      <c r="H284" s="0" t="str">
        <f aca="false">IF(G284="","",INT((G284-SAT1)/7)+1)</f>
        <v/>
      </c>
      <c r="I284" s="0" t="str">
        <f aca="false">IF(H284="","",IF(OR(H284&lt;1,H284&gt;NW),"",INDEX(WMON,H284)))</f>
        <v/>
      </c>
      <c r="J284" s="0" t="str">
        <f aca="false">IF(OR(G284="",H284="",B284=""),"",IF(B284="عمر المصري",SUMIFS('ساعات عمر'!$H$7:$H$642,'ساعات عمر'!$A$7:$A$642,"&gt;="&amp;(SAT1+7*(H284-1)),'ساعات عمر'!$A$7:$A$642,"&lt;="&amp;G284),SUMIFS('ساعات عبدالعزيز'!$F$7:$F$642,'ساعات عبدالعزيز'!$A$7:$A$642,"&gt;="&amp;(SAT1+7*(H284-1)),'ساعات عبدالعزيز'!$A$7:$A$642,"&lt;="&amp;G284)))</f>
        <v/>
      </c>
    </row>
    <row r="285" customFormat="false" ht="15" hidden="false" customHeight="false" outlineLevel="0" collapsed="false">
      <c r="A285" s="57"/>
      <c r="B285" s="30"/>
      <c r="C285" s="58"/>
      <c r="D285" s="59"/>
      <c r="E285" s="60" t="str">
        <f aca="false">IF(A285="","",IF(G285="","⛔ التاريخ غلط — اكتبه كامل 05/10/2026 أو اختاره من القائمة",IF(OR(H285&lt;1,H285&gt;NW),"⛔ التاريخ برّا السنة",IF(AND(N(C285)&gt;0,N(J285)&gt;0,C285&gt;ADV_CAP*J285),"⚠️ أكثر من "&amp;TEXT(ADV_CAP,"0%")&amp;" من شغله ("&amp;TEXT(J285,"0.000")&amp;")",""))))</f>
        <v/>
      </c>
      <c r="G285" s="0" t="str">
        <f aca="false">IF(A285="","",IF(ISNUMBER(A285),IF(A285&gt;=36526,A285,""),IFERROR(DATEVALUE(A285),"")))</f>
        <v/>
      </c>
      <c r="H285" s="0" t="str">
        <f aca="false">IF(G285="","",INT((G285-SAT1)/7)+1)</f>
        <v/>
      </c>
      <c r="I285" s="0" t="str">
        <f aca="false">IF(H285="","",IF(OR(H285&lt;1,H285&gt;NW),"",INDEX(WMON,H285)))</f>
        <v/>
      </c>
      <c r="J285" s="0" t="str">
        <f aca="false">IF(OR(G285="",H285="",B285=""),"",IF(B285="عمر المصري",SUMIFS('ساعات عمر'!$H$7:$H$642,'ساعات عمر'!$A$7:$A$642,"&gt;="&amp;(SAT1+7*(H285-1)),'ساعات عمر'!$A$7:$A$642,"&lt;="&amp;G285),SUMIFS('ساعات عبدالعزيز'!$F$7:$F$642,'ساعات عبدالعزيز'!$A$7:$A$642,"&gt;="&amp;(SAT1+7*(H285-1)),'ساعات عبدالعزيز'!$A$7:$A$642,"&lt;="&amp;G285)))</f>
        <v/>
      </c>
    </row>
    <row r="286" customFormat="false" ht="15" hidden="false" customHeight="false" outlineLevel="0" collapsed="false">
      <c r="A286" s="57"/>
      <c r="B286" s="30"/>
      <c r="C286" s="58"/>
      <c r="D286" s="59"/>
      <c r="E286" s="60" t="str">
        <f aca="false">IF(A286="","",IF(G286="","⛔ التاريخ غلط — اكتبه كامل 05/10/2026 أو اختاره من القائمة",IF(OR(H286&lt;1,H286&gt;NW),"⛔ التاريخ برّا السنة",IF(AND(N(C286)&gt;0,N(J286)&gt;0,C286&gt;ADV_CAP*J286),"⚠️ أكثر من "&amp;TEXT(ADV_CAP,"0%")&amp;" من شغله ("&amp;TEXT(J286,"0.000")&amp;")",""))))</f>
        <v/>
      </c>
      <c r="G286" s="0" t="str">
        <f aca="false">IF(A286="","",IF(ISNUMBER(A286),IF(A286&gt;=36526,A286,""),IFERROR(DATEVALUE(A286),"")))</f>
        <v/>
      </c>
      <c r="H286" s="0" t="str">
        <f aca="false">IF(G286="","",INT((G286-SAT1)/7)+1)</f>
        <v/>
      </c>
      <c r="I286" s="0" t="str">
        <f aca="false">IF(H286="","",IF(OR(H286&lt;1,H286&gt;NW),"",INDEX(WMON,H286)))</f>
        <v/>
      </c>
      <c r="J286" s="0" t="str">
        <f aca="false">IF(OR(G286="",H286="",B286=""),"",IF(B286="عمر المصري",SUMIFS('ساعات عمر'!$H$7:$H$642,'ساعات عمر'!$A$7:$A$642,"&gt;="&amp;(SAT1+7*(H286-1)),'ساعات عمر'!$A$7:$A$642,"&lt;="&amp;G286),SUMIFS('ساعات عبدالعزيز'!$F$7:$F$642,'ساعات عبدالعزيز'!$A$7:$A$642,"&gt;="&amp;(SAT1+7*(H286-1)),'ساعات عبدالعزيز'!$A$7:$A$642,"&lt;="&amp;G286)))</f>
        <v/>
      </c>
    </row>
    <row r="287" customFormat="false" ht="15" hidden="false" customHeight="false" outlineLevel="0" collapsed="false">
      <c r="A287" s="57"/>
      <c r="B287" s="30"/>
      <c r="C287" s="58"/>
      <c r="D287" s="59"/>
      <c r="E287" s="60" t="str">
        <f aca="false">IF(A287="","",IF(G287="","⛔ التاريخ غلط — اكتبه كامل 05/10/2026 أو اختاره من القائمة",IF(OR(H287&lt;1,H287&gt;NW),"⛔ التاريخ برّا السنة",IF(AND(N(C287)&gt;0,N(J287)&gt;0,C287&gt;ADV_CAP*J287),"⚠️ أكثر من "&amp;TEXT(ADV_CAP,"0%")&amp;" من شغله ("&amp;TEXT(J287,"0.000")&amp;")",""))))</f>
        <v/>
      </c>
      <c r="G287" s="0" t="str">
        <f aca="false">IF(A287="","",IF(ISNUMBER(A287),IF(A287&gt;=36526,A287,""),IFERROR(DATEVALUE(A287),"")))</f>
        <v/>
      </c>
      <c r="H287" s="0" t="str">
        <f aca="false">IF(G287="","",INT((G287-SAT1)/7)+1)</f>
        <v/>
      </c>
      <c r="I287" s="0" t="str">
        <f aca="false">IF(H287="","",IF(OR(H287&lt;1,H287&gt;NW),"",INDEX(WMON,H287)))</f>
        <v/>
      </c>
      <c r="J287" s="0" t="str">
        <f aca="false">IF(OR(G287="",H287="",B287=""),"",IF(B287="عمر المصري",SUMIFS('ساعات عمر'!$H$7:$H$642,'ساعات عمر'!$A$7:$A$642,"&gt;="&amp;(SAT1+7*(H287-1)),'ساعات عمر'!$A$7:$A$642,"&lt;="&amp;G287),SUMIFS('ساعات عبدالعزيز'!$F$7:$F$642,'ساعات عبدالعزيز'!$A$7:$A$642,"&gt;="&amp;(SAT1+7*(H287-1)),'ساعات عبدالعزيز'!$A$7:$A$642,"&lt;="&amp;G287)))</f>
        <v/>
      </c>
    </row>
    <row r="288" customFormat="false" ht="15" hidden="false" customHeight="false" outlineLevel="0" collapsed="false">
      <c r="A288" s="57"/>
      <c r="B288" s="30"/>
      <c r="C288" s="58"/>
      <c r="D288" s="59"/>
      <c r="E288" s="60" t="str">
        <f aca="false">IF(A288="","",IF(G288="","⛔ التاريخ غلط — اكتبه كامل 05/10/2026 أو اختاره من القائمة",IF(OR(H288&lt;1,H288&gt;NW),"⛔ التاريخ برّا السنة",IF(AND(N(C288)&gt;0,N(J288)&gt;0,C288&gt;ADV_CAP*J288),"⚠️ أكثر من "&amp;TEXT(ADV_CAP,"0%")&amp;" من شغله ("&amp;TEXT(J288,"0.000")&amp;")",""))))</f>
        <v/>
      </c>
      <c r="G288" s="0" t="str">
        <f aca="false">IF(A288="","",IF(ISNUMBER(A288),IF(A288&gt;=36526,A288,""),IFERROR(DATEVALUE(A288),"")))</f>
        <v/>
      </c>
      <c r="H288" s="0" t="str">
        <f aca="false">IF(G288="","",INT((G288-SAT1)/7)+1)</f>
        <v/>
      </c>
      <c r="I288" s="0" t="str">
        <f aca="false">IF(H288="","",IF(OR(H288&lt;1,H288&gt;NW),"",INDEX(WMON,H288)))</f>
        <v/>
      </c>
      <c r="J288" s="0" t="str">
        <f aca="false">IF(OR(G288="",H288="",B288=""),"",IF(B288="عمر المصري",SUMIFS('ساعات عمر'!$H$7:$H$642,'ساعات عمر'!$A$7:$A$642,"&gt;="&amp;(SAT1+7*(H288-1)),'ساعات عمر'!$A$7:$A$642,"&lt;="&amp;G288),SUMIFS('ساعات عبدالعزيز'!$F$7:$F$642,'ساعات عبدالعزيز'!$A$7:$A$642,"&gt;="&amp;(SAT1+7*(H288-1)),'ساعات عبدالعزيز'!$A$7:$A$642,"&lt;="&amp;G288)))</f>
        <v/>
      </c>
    </row>
    <row r="289" customFormat="false" ht="15" hidden="false" customHeight="false" outlineLevel="0" collapsed="false">
      <c r="A289" s="57"/>
      <c r="B289" s="30"/>
      <c r="C289" s="58"/>
      <c r="D289" s="59"/>
      <c r="E289" s="60" t="str">
        <f aca="false">IF(A289="","",IF(G289="","⛔ التاريخ غلط — اكتبه كامل 05/10/2026 أو اختاره من القائمة",IF(OR(H289&lt;1,H289&gt;NW),"⛔ التاريخ برّا السنة",IF(AND(N(C289)&gt;0,N(J289)&gt;0,C289&gt;ADV_CAP*J289),"⚠️ أكثر من "&amp;TEXT(ADV_CAP,"0%")&amp;" من شغله ("&amp;TEXT(J289,"0.000")&amp;")",""))))</f>
        <v/>
      </c>
      <c r="G289" s="0" t="str">
        <f aca="false">IF(A289="","",IF(ISNUMBER(A289),IF(A289&gt;=36526,A289,""),IFERROR(DATEVALUE(A289),"")))</f>
        <v/>
      </c>
      <c r="H289" s="0" t="str">
        <f aca="false">IF(G289="","",INT((G289-SAT1)/7)+1)</f>
        <v/>
      </c>
      <c r="I289" s="0" t="str">
        <f aca="false">IF(H289="","",IF(OR(H289&lt;1,H289&gt;NW),"",INDEX(WMON,H289)))</f>
        <v/>
      </c>
      <c r="J289" s="0" t="str">
        <f aca="false">IF(OR(G289="",H289="",B289=""),"",IF(B289="عمر المصري",SUMIFS('ساعات عمر'!$H$7:$H$642,'ساعات عمر'!$A$7:$A$642,"&gt;="&amp;(SAT1+7*(H289-1)),'ساعات عمر'!$A$7:$A$642,"&lt;="&amp;G289),SUMIFS('ساعات عبدالعزيز'!$F$7:$F$642,'ساعات عبدالعزيز'!$A$7:$A$642,"&gt;="&amp;(SAT1+7*(H289-1)),'ساعات عبدالعزيز'!$A$7:$A$642,"&lt;="&amp;G289)))</f>
        <v/>
      </c>
    </row>
    <row r="290" customFormat="false" ht="15" hidden="false" customHeight="false" outlineLevel="0" collapsed="false">
      <c r="A290" s="57"/>
      <c r="B290" s="30"/>
      <c r="C290" s="58"/>
      <c r="D290" s="59"/>
      <c r="E290" s="60" t="str">
        <f aca="false">IF(A290="","",IF(G290="","⛔ التاريخ غلط — اكتبه كامل 05/10/2026 أو اختاره من القائمة",IF(OR(H290&lt;1,H290&gt;NW),"⛔ التاريخ برّا السنة",IF(AND(N(C290)&gt;0,N(J290)&gt;0,C290&gt;ADV_CAP*J290),"⚠️ أكثر من "&amp;TEXT(ADV_CAP,"0%")&amp;" من شغله ("&amp;TEXT(J290,"0.000")&amp;")",""))))</f>
        <v/>
      </c>
      <c r="G290" s="0" t="str">
        <f aca="false">IF(A290="","",IF(ISNUMBER(A290),IF(A290&gt;=36526,A290,""),IFERROR(DATEVALUE(A290),"")))</f>
        <v/>
      </c>
      <c r="H290" s="0" t="str">
        <f aca="false">IF(G290="","",INT((G290-SAT1)/7)+1)</f>
        <v/>
      </c>
      <c r="I290" s="0" t="str">
        <f aca="false">IF(H290="","",IF(OR(H290&lt;1,H290&gt;NW),"",INDEX(WMON,H290)))</f>
        <v/>
      </c>
      <c r="J290" s="0" t="str">
        <f aca="false">IF(OR(G290="",H290="",B290=""),"",IF(B290="عمر المصري",SUMIFS('ساعات عمر'!$H$7:$H$642,'ساعات عمر'!$A$7:$A$642,"&gt;="&amp;(SAT1+7*(H290-1)),'ساعات عمر'!$A$7:$A$642,"&lt;="&amp;G290),SUMIFS('ساعات عبدالعزيز'!$F$7:$F$642,'ساعات عبدالعزيز'!$A$7:$A$642,"&gt;="&amp;(SAT1+7*(H290-1)),'ساعات عبدالعزيز'!$A$7:$A$642,"&lt;="&amp;G290)))</f>
        <v/>
      </c>
    </row>
    <row r="291" customFormat="false" ht="15" hidden="false" customHeight="false" outlineLevel="0" collapsed="false">
      <c r="A291" s="57"/>
      <c r="B291" s="30"/>
      <c r="C291" s="58"/>
      <c r="D291" s="59"/>
      <c r="E291" s="60" t="str">
        <f aca="false">IF(A291="","",IF(G291="","⛔ التاريخ غلط — اكتبه كامل 05/10/2026 أو اختاره من القائمة",IF(OR(H291&lt;1,H291&gt;NW),"⛔ التاريخ برّا السنة",IF(AND(N(C291)&gt;0,N(J291)&gt;0,C291&gt;ADV_CAP*J291),"⚠️ أكثر من "&amp;TEXT(ADV_CAP,"0%")&amp;" من شغله ("&amp;TEXT(J291,"0.000")&amp;")",""))))</f>
        <v/>
      </c>
      <c r="G291" s="0" t="str">
        <f aca="false">IF(A291="","",IF(ISNUMBER(A291),IF(A291&gt;=36526,A291,""),IFERROR(DATEVALUE(A291),"")))</f>
        <v/>
      </c>
      <c r="H291" s="0" t="str">
        <f aca="false">IF(G291="","",INT((G291-SAT1)/7)+1)</f>
        <v/>
      </c>
      <c r="I291" s="0" t="str">
        <f aca="false">IF(H291="","",IF(OR(H291&lt;1,H291&gt;NW),"",INDEX(WMON,H291)))</f>
        <v/>
      </c>
      <c r="J291" s="0" t="str">
        <f aca="false">IF(OR(G291="",H291="",B291=""),"",IF(B291="عمر المصري",SUMIFS('ساعات عمر'!$H$7:$H$642,'ساعات عمر'!$A$7:$A$642,"&gt;="&amp;(SAT1+7*(H291-1)),'ساعات عمر'!$A$7:$A$642,"&lt;="&amp;G291),SUMIFS('ساعات عبدالعزيز'!$F$7:$F$642,'ساعات عبدالعزيز'!$A$7:$A$642,"&gt;="&amp;(SAT1+7*(H291-1)),'ساعات عبدالعزيز'!$A$7:$A$642,"&lt;="&amp;G291)))</f>
        <v/>
      </c>
    </row>
    <row r="292" customFormat="false" ht="15" hidden="false" customHeight="false" outlineLevel="0" collapsed="false">
      <c r="A292" s="57"/>
      <c r="B292" s="30"/>
      <c r="C292" s="58"/>
      <c r="D292" s="59"/>
      <c r="E292" s="60" t="str">
        <f aca="false">IF(A292="","",IF(G292="","⛔ التاريخ غلط — اكتبه كامل 05/10/2026 أو اختاره من القائمة",IF(OR(H292&lt;1,H292&gt;NW),"⛔ التاريخ برّا السنة",IF(AND(N(C292)&gt;0,N(J292)&gt;0,C292&gt;ADV_CAP*J292),"⚠️ أكثر من "&amp;TEXT(ADV_CAP,"0%")&amp;" من شغله ("&amp;TEXT(J292,"0.000")&amp;")",""))))</f>
        <v/>
      </c>
      <c r="G292" s="0" t="str">
        <f aca="false">IF(A292="","",IF(ISNUMBER(A292),IF(A292&gt;=36526,A292,""),IFERROR(DATEVALUE(A292),"")))</f>
        <v/>
      </c>
      <c r="H292" s="0" t="str">
        <f aca="false">IF(G292="","",INT((G292-SAT1)/7)+1)</f>
        <v/>
      </c>
      <c r="I292" s="0" t="str">
        <f aca="false">IF(H292="","",IF(OR(H292&lt;1,H292&gt;NW),"",INDEX(WMON,H292)))</f>
        <v/>
      </c>
      <c r="J292" s="0" t="str">
        <f aca="false">IF(OR(G292="",H292="",B292=""),"",IF(B292="عمر المصري",SUMIFS('ساعات عمر'!$H$7:$H$642,'ساعات عمر'!$A$7:$A$642,"&gt;="&amp;(SAT1+7*(H292-1)),'ساعات عمر'!$A$7:$A$642,"&lt;="&amp;G292),SUMIFS('ساعات عبدالعزيز'!$F$7:$F$642,'ساعات عبدالعزيز'!$A$7:$A$642,"&gt;="&amp;(SAT1+7*(H292-1)),'ساعات عبدالعزيز'!$A$7:$A$642,"&lt;="&amp;G292)))</f>
        <v/>
      </c>
    </row>
    <row r="293" customFormat="false" ht="15" hidden="false" customHeight="false" outlineLevel="0" collapsed="false">
      <c r="A293" s="57"/>
      <c r="B293" s="30"/>
      <c r="C293" s="58"/>
      <c r="D293" s="59"/>
      <c r="E293" s="60" t="str">
        <f aca="false">IF(A293="","",IF(G293="","⛔ التاريخ غلط — اكتبه كامل 05/10/2026 أو اختاره من القائمة",IF(OR(H293&lt;1,H293&gt;NW),"⛔ التاريخ برّا السنة",IF(AND(N(C293)&gt;0,N(J293)&gt;0,C293&gt;ADV_CAP*J293),"⚠️ أكثر من "&amp;TEXT(ADV_CAP,"0%")&amp;" من شغله ("&amp;TEXT(J293,"0.000")&amp;")",""))))</f>
        <v/>
      </c>
      <c r="G293" s="0" t="str">
        <f aca="false">IF(A293="","",IF(ISNUMBER(A293),IF(A293&gt;=36526,A293,""),IFERROR(DATEVALUE(A293),"")))</f>
        <v/>
      </c>
      <c r="H293" s="0" t="str">
        <f aca="false">IF(G293="","",INT((G293-SAT1)/7)+1)</f>
        <v/>
      </c>
      <c r="I293" s="0" t="str">
        <f aca="false">IF(H293="","",IF(OR(H293&lt;1,H293&gt;NW),"",INDEX(WMON,H293)))</f>
        <v/>
      </c>
      <c r="J293" s="0" t="str">
        <f aca="false">IF(OR(G293="",H293="",B293=""),"",IF(B293="عمر المصري",SUMIFS('ساعات عمر'!$H$7:$H$642,'ساعات عمر'!$A$7:$A$642,"&gt;="&amp;(SAT1+7*(H293-1)),'ساعات عمر'!$A$7:$A$642,"&lt;="&amp;G293),SUMIFS('ساعات عبدالعزيز'!$F$7:$F$642,'ساعات عبدالعزيز'!$A$7:$A$642,"&gt;="&amp;(SAT1+7*(H293-1)),'ساعات عبدالعزيز'!$A$7:$A$642,"&lt;="&amp;G293)))</f>
        <v/>
      </c>
    </row>
    <row r="294" customFormat="false" ht="15" hidden="false" customHeight="false" outlineLevel="0" collapsed="false">
      <c r="A294" s="57"/>
      <c r="B294" s="30"/>
      <c r="C294" s="58"/>
      <c r="D294" s="59"/>
      <c r="E294" s="60" t="str">
        <f aca="false">IF(A294="","",IF(G294="","⛔ التاريخ غلط — اكتبه كامل 05/10/2026 أو اختاره من القائمة",IF(OR(H294&lt;1,H294&gt;NW),"⛔ التاريخ برّا السنة",IF(AND(N(C294)&gt;0,N(J294)&gt;0,C294&gt;ADV_CAP*J294),"⚠️ أكثر من "&amp;TEXT(ADV_CAP,"0%")&amp;" من شغله ("&amp;TEXT(J294,"0.000")&amp;")",""))))</f>
        <v/>
      </c>
      <c r="G294" s="0" t="str">
        <f aca="false">IF(A294="","",IF(ISNUMBER(A294),IF(A294&gt;=36526,A294,""),IFERROR(DATEVALUE(A294),"")))</f>
        <v/>
      </c>
      <c r="H294" s="0" t="str">
        <f aca="false">IF(G294="","",INT((G294-SAT1)/7)+1)</f>
        <v/>
      </c>
      <c r="I294" s="0" t="str">
        <f aca="false">IF(H294="","",IF(OR(H294&lt;1,H294&gt;NW),"",INDEX(WMON,H294)))</f>
        <v/>
      </c>
      <c r="J294" s="0" t="str">
        <f aca="false">IF(OR(G294="",H294="",B294=""),"",IF(B294="عمر المصري",SUMIFS('ساعات عمر'!$H$7:$H$642,'ساعات عمر'!$A$7:$A$642,"&gt;="&amp;(SAT1+7*(H294-1)),'ساعات عمر'!$A$7:$A$642,"&lt;="&amp;G294),SUMIFS('ساعات عبدالعزيز'!$F$7:$F$642,'ساعات عبدالعزيز'!$A$7:$A$642,"&gt;="&amp;(SAT1+7*(H294-1)),'ساعات عبدالعزيز'!$A$7:$A$642,"&lt;="&amp;G294)))</f>
        <v/>
      </c>
    </row>
    <row r="295" customFormat="false" ht="15" hidden="false" customHeight="false" outlineLevel="0" collapsed="false">
      <c r="A295" s="57"/>
      <c r="B295" s="30"/>
      <c r="C295" s="58"/>
      <c r="D295" s="59"/>
      <c r="E295" s="60" t="str">
        <f aca="false">IF(A295="","",IF(G295="","⛔ التاريخ غلط — اكتبه كامل 05/10/2026 أو اختاره من القائمة",IF(OR(H295&lt;1,H295&gt;NW),"⛔ التاريخ برّا السنة",IF(AND(N(C295)&gt;0,N(J295)&gt;0,C295&gt;ADV_CAP*J295),"⚠️ أكثر من "&amp;TEXT(ADV_CAP,"0%")&amp;" من شغله ("&amp;TEXT(J295,"0.000")&amp;")",""))))</f>
        <v/>
      </c>
      <c r="G295" s="0" t="str">
        <f aca="false">IF(A295="","",IF(ISNUMBER(A295),IF(A295&gt;=36526,A295,""),IFERROR(DATEVALUE(A295),"")))</f>
        <v/>
      </c>
      <c r="H295" s="0" t="str">
        <f aca="false">IF(G295="","",INT((G295-SAT1)/7)+1)</f>
        <v/>
      </c>
      <c r="I295" s="0" t="str">
        <f aca="false">IF(H295="","",IF(OR(H295&lt;1,H295&gt;NW),"",INDEX(WMON,H295)))</f>
        <v/>
      </c>
      <c r="J295" s="0" t="str">
        <f aca="false">IF(OR(G295="",H295="",B295=""),"",IF(B295="عمر المصري",SUMIFS('ساعات عمر'!$H$7:$H$642,'ساعات عمر'!$A$7:$A$642,"&gt;="&amp;(SAT1+7*(H295-1)),'ساعات عمر'!$A$7:$A$642,"&lt;="&amp;G295),SUMIFS('ساعات عبدالعزيز'!$F$7:$F$642,'ساعات عبدالعزيز'!$A$7:$A$642,"&gt;="&amp;(SAT1+7*(H295-1)),'ساعات عبدالعزيز'!$A$7:$A$642,"&lt;="&amp;G295)))</f>
        <v/>
      </c>
    </row>
    <row r="296" customFormat="false" ht="15" hidden="false" customHeight="false" outlineLevel="0" collapsed="false">
      <c r="A296" s="57"/>
      <c r="B296" s="30"/>
      <c r="C296" s="58"/>
      <c r="D296" s="59"/>
      <c r="E296" s="60" t="str">
        <f aca="false">IF(A296="","",IF(G296="","⛔ التاريخ غلط — اكتبه كامل 05/10/2026 أو اختاره من القائمة",IF(OR(H296&lt;1,H296&gt;NW),"⛔ التاريخ برّا السنة",IF(AND(N(C296)&gt;0,N(J296)&gt;0,C296&gt;ADV_CAP*J296),"⚠️ أكثر من "&amp;TEXT(ADV_CAP,"0%")&amp;" من شغله ("&amp;TEXT(J296,"0.000")&amp;")",""))))</f>
        <v/>
      </c>
      <c r="G296" s="0" t="str">
        <f aca="false">IF(A296="","",IF(ISNUMBER(A296),IF(A296&gt;=36526,A296,""),IFERROR(DATEVALUE(A296),"")))</f>
        <v/>
      </c>
      <c r="H296" s="0" t="str">
        <f aca="false">IF(G296="","",INT((G296-SAT1)/7)+1)</f>
        <v/>
      </c>
      <c r="I296" s="0" t="str">
        <f aca="false">IF(H296="","",IF(OR(H296&lt;1,H296&gt;NW),"",INDEX(WMON,H296)))</f>
        <v/>
      </c>
      <c r="J296" s="0" t="str">
        <f aca="false">IF(OR(G296="",H296="",B296=""),"",IF(B296="عمر المصري",SUMIFS('ساعات عمر'!$H$7:$H$642,'ساعات عمر'!$A$7:$A$642,"&gt;="&amp;(SAT1+7*(H296-1)),'ساعات عمر'!$A$7:$A$642,"&lt;="&amp;G296),SUMIFS('ساعات عبدالعزيز'!$F$7:$F$642,'ساعات عبدالعزيز'!$A$7:$A$642,"&gt;="&amp;(SAT1+7*(H296-1)),'ساعات عبدالعزيز'!$A$7:$A$642,"&lt;="&amp;G296)))</f>
        <v/>
      </c>
    </row>
    <row r="297" customFormat="false" ht="15" hidden="false" customHeight="false" outlineLevel="0" collapsed="false">
      <c r="A297" s="57"/>
      <c r="B297" s="30"/>
      <c r="C297" s="58"/>
      <c r="D297" s="59"/>
      <c r="E297" s="60" t="str">
        <f aca="false">IF(A297="","",IF(G297="","⛔ التاريخ غلط — اكتبه كامل 05/10/2026 أو اختاره من القائمة",IF(OR(H297&lt;1,H297&gt;NW),"⛔ التاريخ برّا السنة",IF(AND(N(C297)&gt;0,N(J297)&gt;0,C297&gt;ADV_CAP*J297),"⚠️ أكثر من "&amp;TEXT(ADV_CAP,"0%")&amp;" من شغله ("&amp;TEXT(J297,"0.000")&amp;")",""))))</f>
        <v/>
      </c>
      <c r="G297" s="0" t="str">
        <f aca="false">IF(A297="","",IF(ISNUMBER(A297),IF(A297&gt;=36526,A297,""),IFERROR(DATEVALUE(A297),"")))</f>
        <v/>
      </c>
      <c r="H297" s="0" t="str">
        <f aca="false">IF(G297="","",INT((G297-SAT1)/7)+1)</f>
        <v/>
      </c>
      <c r="I297" s="0" t="str">
        <f aca="false">IF(H297="","",IF(OR(H297&lt;1,H297&gt;NW),"",INDEX(WMON,H297)))</f>
        <v/>
      </c>
      <c r="J297" s="0" t="str">
        <f aca="false">IF(OR(G297="",H297="",B297=""),"",IF(B297="عمر المصري",SUMIFS('ساعات عمر'!$H$7:$H$642,'ساعات عمر'!$A$7:$A$642,"&gt;="&amp;(SAT1+7*(H297-1)),'ساعات عمر'!$A$7:$A$642,"&lt;="&amp;G297),SUMIFS('ساعات عبدالعزيز'!$F$7:$F$642,'ساعات عبدالعزيز'!$A$7:$A$642,"&gt;="&amp;(SAT1+7*(H297-1)),'ساعات عبدالعزيز'!$A$7:$A$642,"&lt;="&amp;G297)))</f>
        <v/>
      </c>
    </row>
    <row r="298" customFormat="false" ht="15" hidden="false" customHeight="false" outlineLevel="0" collapsed="false">
      <c r="A298" s="57"/>
      <c r="B298" s="30"/>
      <c r="C298" s="58"/>
      <c r="D298" s="59"/>
      <c r="E298" s="60" t="str">
        <f aca="false">IF(A298="","",IF(G298="","⛔ التاريخ غلط — اكتبه كامل 05/10/2026 أو اختاره من القائمة",IF(OR(H298&lt;1,H298&gt;NW),"⛔ التاريخ برّا السنة",IF(AND(N(C298)&gt;0,N(J298)&gt;0,C298&gt;ADV_CAP*J298),"⚠️ أكثر من "&amp;TEXT(ADV_CAP,"0%")&amp;" من شغله ("&amp;TEXT(J298,"0.000")&amp;")",""))))</f>
        <v/>
      </c>
      <c r="G298" s="0" t="str">
        <f aca="false">IF(A298="","",IF(ISNUMBER(A298),IF(A298&gt;=36526,A298,""),IFERROR(DATEVALUE(A298),"")))</f>
        <v/>
      </c>
      <c r="H298" s="0" t="str">
        <f aca="false">IF(G298="","",INT((G298-SAT1)/7)+1)</f>
        <v/>
      </c>
      <c r="I298" s="0" t="str">
        <f aca="false">IF(H298="","",IF(OR(H298&lt;1,H298&gt;NW),"",INDEX(WMON,H298)))</f>
        <v/>
      </c>
      <c r="J298" s="0" t="str">
        <f aca="false">IF(OR(G298="",H298="",B298=""),"",IF(B298="عمر المصري",SUMIFS('ساعات عمر'!$H$7:$H$642,'ساعات عمر'!$A$7:$A$642,"&gt;="&amp;(SAT1+7*(H298-1)),'ساعات عمر'!$A$7:$A$642,"&lt;="&amp;G298),SUMIFS('ساعات عبدالعزيز'!$F$7:$F$642,'ساعات عبدالعزيز'!$A$7:$A$642,"&gt;="&amp;(SAT1+7*(H298-1)),'ساعات عبدالعزيز'!$A$7:$A$642,"&lt;="&amp;G298)))</f>
        <v/>
      </c>
    </row>
    <row r="299" customFormat="false" ht="15" hidden="false" customHeight="false" outlineLevel="0" collapsed="false">
      <c r="A299" s="57"/>
      <c r="B299" s="30"/>
      <c r="C299" s="58"/>
      <c r="D299" s="59"/>
      <c r="E299" s="60" t="str">
        <f aca="false">IF(A299="","",IF(G299="","⛔ التاريخ غلط — اكتبه كامل 05/10/2026 أو اختاره من القائمة",IF(OR(H299&lt;1,H299&gt;NW),"⛔ التاريخ برّا السنة",IF(AND(N(C299)&gt;0,N(J299)&gt;0,C299&gt;ADV_CAP*J299),"⚠️ أكثر من "&amp;TEXT(ADV_CAP,"0%")&amp;" من شغله ("&amp;TEXT(J299,"0.000")&amp;")",""))))</f>
        <v/>
      </c>
      <c r="G299" s="0" t="str">
        <f aca="false">IF(A299="","",IF(ISNUMBER(A299),IF(A299&gt;=36526,A299,""),IFERROR(DATEVALUE(A299),"")))</f>
        <v/>
      </c>
      <c r="H299" s="0" t="str">
        <f aca="false">IF(G299="","",INT((G299-SAT1)/7)+1)</f>
        <v/>
      </c>
      <c r="I299" s="0" t="str">
        <f aca="false">IF(H299="","",IF(OR(H299&lt;1,H299&gt;NW),"",INDEX(WMON,H299)))</f>
        <v/>
      </c>
      <c r="J299" s="0" t="str">
        <f aca="false">IF(OR(G299="",H299="",B299=""),"",IF(B299="عمر المصري",SUMIFS('ساعات عمر'!$H$7:$H$642,'ساعات عمر'!$A$7:$A$642,"&gt;="&amp;(SAT1+7*(H299-1)),'ساعات عمر'!$A$7:$A$642,"&lt;="&amp;G299),SUMIFS('ساعات عبدالعزيز'!$F$7:$F$642,'ساعات عبدالعزيز'!$A$7:$A$642,"&gt;="&amp;(SAT1+7*(H299-1)),'ساعات عبدالعزيز'!$A$7:$A$642,"&lt;="&amp;G299)))</f>
        <v/>
      </c>
    </row>
    <row r="300" customFormat="false" ht="15" hidden="false" customHeight="false" outlineLevel="0" collapsed="false">
      <c r="A300" s="57"/>
      <c r="B300" s="30"/>
      <c r="C300" s="58"/>
      <c r="D300" s="59"/>
      <c r="E300" s="60" t="str">
        <f aca="false">IF(A300="","",IF(G300="","⛔ التاريخ غلط — اكتبه كامل 05/10/2026 أو اختاره من القائمة",IF(OR(H300&lt;1,H300&gt;NW),"⛔ التاريخ برّا السنة",IF(AND(N(C300)&gt;0,N(J300)&gt;0,C300&gt;ADV_CAP*J300),"⚠️ أكثر من "&amp;TEXT(ADV_CAP,"0%")&amp;" من شغله ("&amp;TEXT(J300,"0.000")&amp;")",""))))</f>
        <v/>
      </c>
      <c r="G300" s="0" t="str">
        <f aca="false">IF(A300="","",IF(ISNUMBER(A300),IF(A300&gt;=36526,A300,""),IFERROR(DATEVALUE(A300),"")))</f>
        <v/>
      </c>
      <c r="H300" s="0" t="str">
        <f aca="false">IF(G300="","",INT((G300-SAT1)/7)+1)</f>
        <v/>
      </c>
      <c r="I300" s="0" t="str">
        <f aca="false">IF(H300="","",IF(OR(H300&lt;1,H300&gt;NW),"",INDEX(WMON,H300)))</f>
        <v/>
      </c>
      <c r="J300" s="0" t="str">
        <f aca="false">IF(OR(G300="",H300="",B300=""),"",IF(B300="عمر المصري",SUMIFS('ساعات عمر'!$H$7:$H$642,'ساعات عمر'!$A$7:$A$642,"&gt;="&amp;(SAT1+7*(H300-1)),'ساعات عمر'!$A$7:$A$642,"&lt;="&amp;G300),SUMIFS('ساعات عبدالعزيز'!$F$7:$F$642,'ساعات عبدالعزيز'!$A$7:$A$642,"&gt;="&amp;(SAT1+7*(H300-1)),'ساعات عبدالعزيز'!$A$7:$A$642,"&lt;="&amp;G300)))</f>
        <v/>
      </c>
    </row>
    <row r="301" customFormat="false" ht="15" hidden="false" customHeight="false" outlineLevel="0" collapsed="false">
      <c r="A301" s="57"/>
      <c r="B301" s="30"/>
      <c r="C301" s="58"/>
      <c r="D301" s="59"/>
      <c r="E301" s="60" t="str">
        <f aca="false">IF(A301="","",IF(G301="","⛔ التاريخ غلط — اكتبه كامل 05/10/2026 أو اختاره من القائمة",IF(OR(H301&lt;1,H301&gt;NW),"⛔ التاريخ برّا السنة",IF(AND(N(C301)&gt;0,N(J301)&gt;0,C301&gt;ADV_CAP*J301),"⚠️ أكثر من "&amp;TEXT(ADV_CAP,"0%")&amp;" من شغله ("&amp;TEXT(J301,"0.000")&amp;")",""))))</f>
        <v/>
      </c>
      <c r="G301" s="0" t="str">
        <f aca="false">IF(A301="","",IF(ISNUMBER(A301),IF(A301&gt;=36526,A301,""),IFERROR(DATEVALUE(A301),"")))</f>
        <v/>
      </c>
      <c r="H301" s="0" t="str">
        <f aca="false">IF(G301="","",INT((G301-SAT1)/7)+1)</f>
        <v/>
      </c>
      <c r="I301" s="0" t="str">
        <f aca="false">IF(H301="","",IF(OR(H301&lt;1,H301&gt;NW),"",INDEX(WMON,H301)))</f>
        <v/>
      </c>
      <c r="J301" s="0" t="str">
        <f aca="false">IF(OR(G301="",H301="",B301=""),"",IF(B301="عمر المصري",SUMIFS('ساعات عمر'!$H$7:$H$642,'ساعات عمر'!$A$7:$A$642,"&gt;="&amp;(SAT1+7*(H301-1)),'ساعات عمر'!$A$7:$A$642,"&lt;="&amp;G301),SUMIFS('ساعات عبدالعزيز'!$F$7:$F$642,'ساعات عبدالعزيز'!$A$7:$A$642,"&gt;="&amp;(SAT1+7*(H301-1)),'ساعات عبدالعزيز'!$A$7:$A$642,"&lt;="&amp;G301)))</f>
        <v/>
      </c>
    </row>
    <row r="302" customFormat="false" ht="15" hidden="false" customHeight="false" outlineLevel="0" collapsed="false">
      <c r="A302" s="57"/>
      <c r="B302" s="30"/>
      <c r="C302" s="58"/>
      <c r="D302" s="59"/>
      <c r="E302" s="60" t="str">
        <f aca="false">IF(A302="","",IF(G302="","⛔ التاريخ غلط — اكتبه كامل 05/10/2026 أو اختاره من القائمة",IF(OR(H302&lt;1,H302&gt;NW),"⛔ التاريخ برّا السنة",IF(AND(N(C302)&gt;0,N(J302)&gt;0,C302&gt;ADV_CAP*J302),"⚠️ أكثر من "&amp;TEXT(ADV_CAP,"0%")&amp;" من شغله ("&amp;TEXT(J302,"0.000")&amp;")",""))))</f>
        <v/>
      </c>
      <c r="G302" s="0" t="str">
        <f aca="false">IF(A302="","",IF(ISNUMBER(A302),IF(A302&gt;=36526,A302,""),IFERROR(DATEVALUE(A302),"")))</f>
        <v/>
      </c>
      <c r="H302" s="0" t="str">
        <f aca="false">IF(G302="","",INT((G302-SAT1)/7)+1)</f>
        <v/>
      </c>
      <c r="I302" s="0" t="str">
        <f aca="false">IF(H302="","",IF(OR(H302&lt;1,H302&gt;NW),"",INDEX(WMON,H302)))</f>
        <v/>
      </c>
      <c r="J302" s="0" t="str">
        <f aca="false">IF(OR(G302="",H302="",B302=""),"",IF(B302="عمر المصري",SUMIFS('ساعات عمر'!$H$7:$H$642,'ساعات عمر'!$A$7:$A$642,"&gt;="&amp;(SAT1+7*(H302-1)),'ساعات عمر'!$A$7:$A$642,"&lt;="&amp;G302),SUMIFS('ساعات عبدالعزيز'!$F$7:$F$642,'ساعات عبدالعزيز'!$A$7:$A$642,"&gt;="&amp;(SAT1+7*(H302-1)),'ساعات عبدالعزيز'!$A$7:$A$642,"&lt;="&amp;G302)))</f>
        <v/>
      </c>
    </row>
    <row r="303" customFormat="false" ht="15" hidden="false" customHeight="false" outlineLevel="0" collapsed="false">
      <c r="A303" s="57"/>
      <c r="B303" s="30"/>
      <c r="C303" s="58"/>
      <c r="D303" s="59"/>
      <c r="E303" s="60" t="str">
        <f aca="false">IF(A303="","",IF(G303="","⛔ التاريخ غلط — اكتبه كامل 05/10/2026 أو اختاره من القائمة",IF(OR(H303&lt;1,H303&gt;NW),"⛔ التاريخ برّا السنة",IF(AND(N(C303)&gt;0,N(J303)&gt;0,C303&gt;ADV_CAP*J303),"⚠️ أكثر من "&amp;TEXT(ADV_CAP,"0%")&amp;" من شغله ("&amp;TEXT(J303,"0.000")&amp;")",""))))</f>
        <v/>
      </c>
      <c r="G303" s="0" t="str">
        <f aca="false">IF(A303="","",IF(ISNUMBER(A303),IF(A303&gt;=36526,A303,""),IFERROR(DATEVALUE(A303),"")))</f>
        <v/>
      </c>
      <c r="H303" s="0" t="str">
        <f aca="false">IF(G303="","",INT((G303-SAT1)/7)+1)</f>
        <v/>
      </c>
      <c r="I303" s="0" t="str">
        <f aca="false">IF(H303="","",IF(OR(H303&lt;1,H303&gt;NW),"",INDEX(WMON,H303)))</f>
        <v/>
      </c>
      <c r="J303" s="0" t="str">
        <f aca="false">IF(OR(G303="",H303="",B303=""),"",IF(B303="عمر المصري",SUMIFS('ساعات عمر'!$H$7:$H$642,'ساعات عمر'!$A$7:$A$642,"&gt;="&amp;(SAT1+7*(H303-1)),'ساعات عمر'!$A$7:$A$642,"&lt;="&amp;G303),SUMIFS('ساعات عبدالعزيز'!$F$7:$F$642,'ساعات عبدالعزيز'!$A$7:$A$642,"&gt;="&amp;(SAT1+7*(H303-1)),'ساعات عبدالعزيز'!$A$7:$A$642,"&lt;="&amp;G303)))</f>
        <v/>
      </c>
    </row>
    <row r="304" customFormat="false" ht="15" hidden="false" customHeight="false" outlineLevel="0" collapsed="false">
      <c r="A304" s="57"/>
      <c r="B304" s="30"/>
      <c r="C304" s="58"/>
      <c r="D304" s="59"/>
      <c r="E304" s="60" t="str">
        <f aca="false">IF(A304="","",IF(G304="","⛔ التاريخ غلط — اكتبه كامل 05/10/2026 أو اختاره من القائمة",IF(OR(H304&lt;1,H304&gt;NW),"⛔ التاريخ برّا السنة",IF(AND(N(C304)&gt;0,N(J304)&gt;0,C304&gt;ADV_CAP*J304),"⚠️ أكثر من "&amp;TEXT(ADV_CAP,"0%")&amp;" من شغله ("&amp;TEXT(J304,"0.000")&amp;")",""))))</f>
        <v/>
      </c>
      <c r="G304" s="0" t="str">
        <f aca="false">IF(A304="","",IF(ISNUMBER(A304),IF(A304&gt;=36526,A304,""),IFERROR(DATEVALUE(A304),"")))</f>
        <v/>
      </c>
      <c r="H304" s="0" t="str">
        <f aca="false">IF(G304="","",INT((G304-SAT1)/7)+1)</f>
        <v/>
      </c>
      <c r="I304" s="0" t="str">
        <f aca="false">IF(H304="","",IF(OR(H304&lt;1,H304&gt;NW),"",INDEX(WMON,H304)))</f>
        <v/>
      </c>
      <c r="J304" s="0" t="str">
        <f aca="false">IF(OR(G304="",H304="",B304=""),"",IF(B304="عمر المصري",SUMIFS('ساعات عمر'!$H$7:$H$642,'ساعات عمر'!$A$7:$A$642,"&gt;="&amp;(SAT1+7*(H304-1)),'ساعات عمر'!$A$7:$A$642,"&lt;="&amp;G304),SUMIFS('ساعات عبدالعزيز'!$F$7:$F$642,'ساعات عبدالعزيز'!$A$7:$A$642,"&gt;="&amp;(SAT1+7*(H304-1)),'ساعات عبدالعزيز'!$A$7:$A$642,"&lt;="&amp;G304)))</f>
        <v/>
      </c>
    </row>
    <row r="305" customFormat="false" ht="15" hidden="false" customHeight="false" outlineLevel="0" collapsed="false">
      <c r="A305" s="57"/>
      <c r="B305" s="30"/>
      <c r="C305" s="58"/>
      <c r="D305" s="59"/>
      <c r="E305" s="60" t="str">
        <f aca="false">IF(A305="","",IF(G305="","⛔ التاريخ غلط — اكتبه كامل 05/10/2026 أو اختاره من القائمة",IF(OR(H305&lt;1,H305&gt;NW),"⛔ التاريخ برّا السنة",IF(AND(N(C305)&gt;0,N(J305)&gt;0,C305&gt;ADV_CAP*J305),"⚠️ أكثر من "&amp;TEXT(ADV_CAP,"0%")&amp;" من شغله ("&amp;TEXT(J305,"0.000")&amp;")",""))))</f>
        <v/>
      </c>
      <c r="G305" s="0" t="str">
        <f aca="false">IF(A305="","",IF(ISNUMBER(A305),IF(A305&gt;=36526,A305,""),IFERROR(DATEVALUE(A305),"")))</f>
        <v/>
      </c>
      <c r="H305" s="0" t="str">
        <f aca="false">IF(G305="","",INT((G305-SAT1)/7)+1)</f>
        <v/>
      </c>
      <c r="I305" s="0" t="str">
        <f aca="false">IF(H305="","",IF(OR(H305&lt;1,H305&gt;NW),"",INDEX(WMON,H305)))</f>
        <v/>
      </c>
      <c r="J305" s="0" t="str">
        <f aca="false">IF(OR(G305="",H305="",B305=""),"",IF(B305="عمر المصري",SUMIFS('ساعات عمر'!$H$7:$H$642,'ساعات عمر'!$A$7:$A$642,"&gt;="&amp;(SAT1+7*(H305-1)),'ساعات عمر'!$A$7:$A$642,"&lt;="&amp;G305),SUMIFS('ساعات عبدالعزيز'!$F$7:$F$642,'ساعات عبدالعزيز'!$A$7:$A$642,"&gt;="&amp;(SAT1+7*(H305-1)),'ساعات عبدالعزيز'!$A$7:$A$642,"&lt;="&amp;G305)))</f>
        <v/>
      </c>
    </row>
    <row r="306" customFormat="false" ht="15" hidden="false" customHeight="false" outlineLevel="0" collapsed="false">
      <c r="A306" s="57"/>
      <c r="B306" s="30"/>
      <c r="C306" s="58"/>
      <c r="D306" s="59"/>
      <c r="E306" s="60" t="str">
        <f aca="false">IF(A306="","",IF(G306="","⛔ التاريخ غلط — اكتبه كامل 05/10/2026 أو اختاره من القائمة",IF(OR(H306&lt;1,H306&gt;NW),"⛔ التاريخ برّا السنة",IF(AND(N(C306)&gt;0,N(J306)&gt;0,C306&gt;ADV_CAP*J306),"⚠️ أكثر من "&amp;TEXT(ADV_CAP,"0%")&amp;" من شغله ("&amp;TEXT(J306,"0.000")&amp;")",""))))</f>
        <v/>
      </c>
      <c r="G306" s="0" t="str">
        <f aca="false">IF(A306="","",IF(ISNUMBER(A306),IF(A306&gt;=36526,A306,""),IFERROR(DATEVALUE(A306),"")))</f>
        <v/>
      </c>
      <c r="H306" s="0" t="str">
        <f aca="false">IF(G306="","",INT((G306-SAT1)/7)+1)</f>
        <v/>
      </c>
      <c r="I306" s="0" t="str">
        <f aca="false">IF(H306="","",IF(OR(H306&lt;1,H306&gt;NW),"",INDEX(WMON,H306)))</f>
        <v/>
      </c>
      <c r="J306" s="0" t="str">
        <f aca="false">IF(OR(G306="",H306="",B306=""),"",IF(B306="عمر المصري",SUMIFS('ساعات عمر'!$H$7:$H$642,'ساعات عمر'!$A$7:$A$642,"&gt;="&amp;(SAT1+7*(H306-1)),'ساعات عمر'!$A$7:$A$642,"&lt;="&amp;G306),SUMIFS('ساعات عبدالعزيز'!$F$7:$F$642,'ساعات عبدالعزيز'!$A$7:$A$642,"&gt;="&amp;(SAT1+7*(H306-1)),'ساعات عبدالعزيز'!$A$7:$A$642,"&lt;="&amp;G306)))</f>
        <v/>
      </c>
    </row>
    <row r="307" customFormat="false" ht="15" hidden="false" customHeight="false" outlineLevel="0" collapsed="false">
      <c r="A307" s="57"/>
      <c r="B307" s="30"/>
      <c r="C307" s="58"/>
      <c r="D307" s="59"/>
      <c r="E307" s="60" t="str">
        <f aca="false">IF(A307="","",IF(G307="","⛔ التاريخ غلط — اكتبه كامل 05/10/2026 أو اختاره من القائمة",IF(OR(H307&lt;1,H307&gt;NW),"⛔ التاريخ برّا السنة",IF(AND(N(C307)&gt;0,N(J307)&gt;0,C307&gt;ADV_CAP*J307),"⚠️ أكثر من "&amp;TEXT(ADV_CAP,"0%")&amp;" من شغله ("&amp;TEXT(J307,"0.000")&amp;")",""))))</f>
        <v/>
      </c>
      <c r="G307" s="0" t="str">
        <f aca="false">IF(A307="","",IF(ISNUMBER(A307),IF(A307&gt;=36526,A307,""),IFERROR(DATEVALUE(A307),"")))</f>
        <v/>
      </c>
      <c r="H307" s="0" t="str">
        <f aca="false">IF(G307="","",INT((G307-SAT1)/7)+1)</f>
        <v/>
      </c>
      <c r="I307" s="0" t="str">
        <f aca="false">IF(H307="","",IF(OR(H307&lt;1,H307&gt;NW),"",INDEX(WMON,H307)))</f>
        <v/>
      </c>
      <c r="J307" s="0" t="str">
        <f aca="false">IF(OR(G307="",H307="",B307=""),"",IF(B307="عمر المصري",SUMIFS('ساعات عمر'!$H$7:$H$642,'ساعات عمر'!$A$7:$A$642,"&gt;="&amp;(SAT1+7*(H307-1)),'ساعات عمر'!$A$7:$A$642,"&lt;="&amp;G307),SUMIFS('ساعات عبدالعزيز'!$F$7:$F$642,'ساعات عبدالعزيز'!$A$7:$A$642,"&gt;="&amp;(SAT1+7*(H307-1)),'ساعات عبدالعزيز'!$A$7:$A$642,"&lt;="&amp;G307)))</f>
        <v/>
      </c>
    </row>
    <row r="308" customFormat="false" ht="15" hidden="false" customHeight="false" outlineLevel="0" collapsed="false">
      <c r="A308" s="57"/>
      <c r="B308" s="30"/>
      <c r="C308" s="58"/>
      <c r="D308" s="59"/>
      <c r="E308" s="60" t="str">
        <f aca="false">IF(A308="","",IF(G308="","⛔ التاريخ غلط — اكتبه كامل 05/10/2026 أو اختاره من القائمة",IF(OR(H308&lt;1,H308&gt;NW),"⛔ التاريخ برّا السنة",IF(AND(N(C308)&gt;0,N(J308)&gt;0,C308&gt;ADV_CAP*J308),"⚠️ أكثر من "&amp;TEXT(ADV_CAP,"0%")&amp;" من شغله ("&amp;TEXT(J308,"0.000")&amp;")",""))))</f>
        <v/>
      </c>
      <c r="G308" s="0" t="str">
        <f aca="false">IF(A308="","",IF(ISNUMBER(A308),IF(A308&gt;=36526,A308,""),IFERROR(DATEVALUE(A308),"")))</f>
        <v/>
      </c>
      <c r="H308" s="0" t="str">
        <f aca="false">IF(G308="","",INT((G308-SAT1)/7)+1)</f>
        <v/>
      </c>
      <c r="I308" s="0" t="str">
        <f aca="false">IF(H308="","",IF(OR(H308&lt;1,H308&gt;NW),"",INDEX(WMON,H308)))</f>
        <v/>
      </c>
      <c r="J308" s="0" t="str">
        <f aca="false">IF(OR(G308="",H308="",B308=""),"",IF(B308="عمر المصري",SUMIFS('ساعات عمر'!$H$7:$H$642,'ساعات عمر'!$A$7:$A$642,"&gt;="&amp;(SAT1+7*(H308-1)),'ساعات عمر'!$A$7:$A$642,"&lt;="&amp;G308),SUMIFS('ساعات عبدالعزيز'!$F$7:$F$642,'ساعات عبدالعزيز'!$A$7:$A$642,"&gt;="&amp;(SAT1+7*(H308-1)),'ساعات عبدالعزيز'!$A$7:$A$642,"&lt;="&amp;G308)))</f>
        <v/>
      </c>
    </row>
    <row r="309" customFormat="false" ht="15" hidden="false" customHeight="false" outlineLevel="0" collapsed="false">
      <c r="A309" s="57"/>
      <c r="B309" s="30"/>
      <c r="C309" s="58"/>
      <c r="D309" s="59"/>
      <c r="E309" s="60" t="str">
        <f aca="false">IF(A309="","",IF(G309="","⛔ التاريخ غلط — اكتبه كامل 05/10/2026 أو اختاره من القائمة",IF(OR(H309&lt;1,H309&gt;NW),"⛔ التاريخ برّا السنة",IF(AND(N(C309)&gt;0,N(J309)&gt;0,C309&gt;ADV_CAP*J309),"⚠️ أكثر من "&amp;TEXT(ADV_CAP,"0%")&amp;" من شغله ("&amp;TEXT(J309,"0.000")&amp;")",""))))</f>
        <v/>
      </c>
      <c r="G309" s="0" t="str">
        <f aca="false">IF(A309="","",IF(ISNUMBER(A309),IF(A309&gt;=36526,A309,""),IFERROR(DATEVALUE(A309),"")))</f>
        <v/>
      </c>
      <c r="H309" s="0" t="str">
        <f aca="false">IF(G309="","",INT((G309-SAT1)/7)+1)</f>
        <v/>
      </c>
      <c r="I309" s="0" t="str">
        <f aca="false">IF(H309="","",IF(OR(H309&lt;1,H309&gt;NW),"",INDEX(WMON,H309)))</f>
        <v/>
      </c>
      <c r="J309" s="0" t="str">
        <f aca="false">IF(OR(G309="",H309="",B309=""),"",IF(B309="عمر المصري",SUMIFS('ساعات عمر'!$H$7:$H$642,'ساعات عمر'!$A$7:$A$642,"&gt;="&amp;(SAT1+7*(H309-1)),'ساعات عمر'!$A$7:$A$642,"&lt;="&amp;G309),SUMIFS('ساعات عبدالعزيز'!$F$7:$F$642,'ساعات عبدالعزيز'!$A$7:$A$642,"&gt;="&amp;(SAT1+7*(H309-1)),'ساعات عبدالعزيز'!$A$7:$A$642,"&lt;="&amp;G309)))</f>
        <v/>
      </c>
    </row>
    <row r="310" customFormat="false" ht="15" hidden="false" customHeight="false" outlineLevel="0" collapsed="false">
      <c r="A310" s="57"/>
      <c r="B310" s="30"/>
      <c r="C310" s="58"/>
      <c r="D310" s="59"/>
      <c r="E310" s="60" t="str">
        <f aca="false">IF(A310="","",IF(G310="","⛔ التاريخ غلط — اكتبه كامل 05/10/2026 أو اختاره من القائمة",IF(OR(H310&lt;1,H310&gt;NW),"⛔ التاريخ برّا السنة",IF(AND(N(C310)&gt;0,N(J310)&gt;0,C310&gt;ADV_CAP*J310),"⚠️ أكثر من "&amp;TEXT(ADV_CAP,"0%")&amp;" من شغله ("&amp;TEXT(J310,"0.000")&amp;")",""))))</f>
        <v/>
      </c>
      <c r="G310" s="0" t="str">
        <f aca="false">IF(A310="","",IF(ISNUMBER(A310),IF(A310&gt;=36526,A310,""),IFERROR(DATEVALUE(A310),"")))</f>
        <v/>
      </c>
      <c r="H310" s="0" t="str">
        <f aca="false">IF(G310="","",INT((G310-SAT1)/7)+1)</f>
        <v/>
      </c>
      <c r="I310" s="0" t="str">
        <f aca="false">IF(H310="","",IF(OR(H310&lt;1,H310&gt;NW),"",INDEX(WMON,H310)))</f>
        <v/>
      </c>
      <c r="J310" s="0" t="str">
        <f aca="false">IF(OR(G310="",H310="",B310=""),"",IF(B310="عمر المصري",SUMIFS('ساعات عمر'!$H$7:$H$642,'ساعات عمر'!$A$7:$A$642,"&gt;="&amp;(SAT1+7*(H310-1)),'ساعات عمر'!$A$7:$A$642,"&lt;="&amp;G310),SUMIFS('ساعات عبدالعزيز'!$F$7:$F$642,'ساعات عبدالعزيز'!$A$7:$A$642,"&gt;="&amp;(SAT1+7*(H310-1)),'ساعات عبدالعزيز'!$A$7:$A$642,"&lt;="&amp;G310)))</f>
        <v/>
      </c>
    </row>
    <row r="311" customFormat="false" ht="15" hidden="false" customHeight="false" outlineLevel="0" collapsed="false">
      <c r="A311" s="57"/>
      <c r="B311" s="30"/>
      <c r="C311" s="58"/>
      <c r="D311" s="59"/>
      <c r="E311" s="60" t="str">
        <f aca="false">IF(A311="","",IF(G311="","⛔ التاريخ غلط — اكتبه كامل 05/10/2026 أو اختاره من القائمة",IF(OR(H311&lt;1,H311&gt;NW),"⛔ التاريخ برّا السنة",IF(AND(N(C311)&gt;0,N(J311)&gt;0,C311&gt;ADV_CAP*J311),"⚠️ أكثر من "&amp;TEXT(ADV_CAP,"0%")&amp;" من شغله ("&amp;TEXT(J311,"0.000")&amp;")",""))))</f>
        <v/>
      </c>
      <c r="G311" s="0" t="str">
        <f aca="false">IF(A311="","",IF(ISNUMBER(A311),IF(A311&gt;=36526,A311,""),IFERROR(DATEVALUE(A311),"")))</f>
        <v/>
      </c>
      <c r="H311" s="0" t="str">
        <f aca="false">IF(G311="","",INT((G311-SAT1)/7)+1)</f>
        <v/>
      </c>
      <c r="I311" s="0" t="str">
        <f aca="false">IF(H311="","",IF(OR(H311&lt;1,H311&gt;NW),"",INDEX(WMON,H311)))</f>
        <v/>
      </c>
      <c r="J311" s="0" t="str">
        <f aca="false">IF(OR(G311="",H311="",B311=""),"",IF(B311="عمر المصري",SUMIFS('ساعات عمر'!$H$7:$H$642,'ساعات عمر'!$A$7:$A$642,"&gt;="&amp;(SAT1+7*(H311-1)),'ساعات عمر'!$A$7:$A$642,"&lt;="&amp;G311),SUMIFS('ساعات عبدالعزيز'!$F$7:$F$642,'ساعات عبدالعزيز'!$A$7:$A$642,"&gt;="&amp;(SAT1+7*(H311-1)),'ساعات عبدالعزيز'!$A$7:$A$642,"&lt;="&amp;G311)))</f>
        <v/>
      </c>
    </row>
    <row r="312" customFormat="false" ht="15" hidden="false" customHeight="false" outlineLevel="0" collapsed="false">
      <c r="A312" s="57"/>
      <c r="B312" s="30"/>
      <c r="C312" s="58"/>
      <c r="D312" s="59"/>
      <c r="E312" s="60" t="str">
        <f aca="false">IF(A312="","",IF(G312="","⛔ التاريخ غلط — اكتبه كامل 05/10/2026 أو اختاره من القائمة",IF(OR(H312&lt;1,H312&gt;NW),"⛔ التاريخ برّا السنة",IF(AND(N(C312)&gt;0,N(J312)&gt;0,C312&gt;ADV_CAP*J312),"⚠️ أكثر من "&amp;TEXT(ADV_CAP,"0%")&amp;" من شغله ("&amp;TEXT(J312,"0.000")&amp;")",""))))</f>
        <v/>
      </c>
      <c r="G312" s="0" t="str">
        <f aca="false">IF(A312="","",IF(ISNUMBER(A312),IF(A312&gt;=36526,A312,""),IFERROR(DATEVALUE(A312),"")))</f>
        <v/>
      </c>
      <c r="H312" s="0" t="str">
        <f aca="false">IF(G312="","",INT((G312-SAT1)/7)+1)</f>
        <v/>
      </c>
      <c r="I312" s="0" t="str">
        <f aca="false">IF(H312="","",IF(OR(H312&lt;1,H312&gt;NW),"",INDEX(WMON,H312)))</f>
        <v/>
      </c>
      <c r="J312" s="0" t="str">
        <f aca="false">IF(OR(G312="",H312="",B312=""),"",IF(B312="عمر المصري",SUMIFS('ساعات عمر'!$H$7:$H$642,'ساعات عمر'!$A$7:$A$642,"&gt;="&amp;(SAT1+7*(H312-1)),'ساعات عمر'!$A$7:$A$642,"&lt;="&amp;G312),SUMIFS('ساعات عبدالعزيز'!$F$7:$F$642,'ساعات عبدالعزيز'!$A$7:$A$642,"&gt;="&amp;(SAT1+7*(H312-1)),'ساعات عبدالعزيز'!$A$7:$A$642,"&lt;="&amp;G312)))</f>
        <v/>
      </c>
    </row>
    <row r="313" customFormat="false" ht="15" hidden="false" customHeight="false" outlineLevel="0" collapsed="false">
      <c r="A313" s="57"/>
      <c r="B313" s="30"/>
      <c r="C313" s="58"/>
      <c r="D313" s="59"/>
      <c r="E313" s="60" t="str">
        <f aca="false">IF(A313="","",IF(G313="","⛔ التاريخ غلط — اكتبه كامل 05/10/2026 أو اختاره من القائمة",IF(OR(H313&lt;1,H313&gt;NW),"⛔ التاريخ برّا السنة",IF(AND(N(C313)&gt;0,N(J313)&gt;0,C313&gt;ADV_CAP*J313),"⚠️ أكثر من "&amp;TEXT(ADV_CAP,"0%")&amp;" من شغله ("&amp;TEXT(J313,"0.000")&amp;")",""))))</f>
        <v/>
      </c>
      <c r="G313" s="0" t="str">
        <f aca="false">IF(A313="","",IF(ISNUMBER(A313),IF(A313&gt;=36526,A313,""),IFERROR(DATEVALUE(A313),"")))</f>
        <v/>
      </c>
      <c r="H313" s="0" t="str">
        <f aca="false">IF(G313="","",INT((G313-SAT1)/7)+1)</f>
        <v/>
      </c>
      <c r="I313" s="0" t="str">
        <f aca="false">IF(H313="","",IF(OR(H313&lt;1,H313&gt;NW),"",INDEX(WMON,H313)))</f>
        <v/>
      </c>
      <c r="J313" s="0" t="str">
        <f aca="false">IF(OR(G313="",H313="",B313=""),"",IF(B313="عمر المصري",SUMIFS('ساعات عمر'!$H$7:$H$642,'ساعات عمر'!$A$7:$A$642,"&gt;="&amp;(SAT1+7*(H313-1)),'ساعات عمر'!$A$7:$A$642,"&lt;="&amp;G313),SUMIFS('ساعات عبدالعزيز'!$F$7:$F$642,'ساعات عبدالعزيز'!$A$7:$A$642,"&gt;="&amp;(SAT1+7*(H313-1)),'ساعات عبدالعزيز'!$A$7:$A$642,"&lt;="&amp;G313)))</f>
        <v/>
      </c>
    </row>
    <row r="314" customFormat="false" ht="15" hidden="false" customHeight="false" outlineLevel="0" collapsed="false">
      <c r="A314" s="57"/>
      <c r="B314" s="30"/>
      <c r="C314" s="58"/>
      <c r="D314" s="59"/>
      <c r="E314" s="60" t="str">
        <f aca="false">IF(A314="","",IF(G314="","⛔ التاريخ غلط — اكتبه كامل 05/10/2026 أو اختاره من القائمة",IF(OR(H314&lt;1,H314&gt;NW),"⛔ التاريخ برّا السنة",IF(AND(N(C314)&gt;0,N(J314)&gt;0,C314&gt;ADV_CAP*J314),"⚠️ أكثر من "&amp;TEXT(ADV_CAP,"0%")&amp;" من شغله ("&amp;TEXT(J314,"0.000")&amp;")",""))))</f>
        <v/>
      </c>
      <c r="G314" s="0" t="str">
        <f aca="false">IF(A314="","",IF(ISNUMBER(A314),IF(A314&gt;=36526,A314,""),IFERROR(DATEVALUE(A314),"")))</f>
        <v/>
      </c>
      <c r="H314" s="0" t="str">
        <f aca="false">IF(G314="","",INT((G314-SAT1)/7)+1)</f>
        <v/>
      </c>
      <c r="I314" s="0" t="str">
        <f aca="false">IF(H314="","",IF(OR(H314&lt;1,H314&gt;NW),"",INDEX(WMON,H314)))</f>
        <v/>
      </c>
      <c r="J314" s="0" t="str">
        <f aca="false">IF(OR(G314="",H314="",B314=""),"",IF(B314="عمر المصري",SUMIFS('ساعات عمر'!$H$7:$H$642,'ساعات عمر'!$A$7:$A$642,"&gt;="&amp;(SAT1+7*(H314-1)),'ساعات عمر'!$A$7:$A$642,"&lt;="&amp;G314),SUMIFS('ساعات عبدالعزيز'!$F$7:$F$642,'ساعات عبدالعزيز'!$A$7:$A$642,"&gt;="&amp;(SAT1+7*(H314-1)),'ساعات عبدالعزيز'!$A$7:$A$642,"&lt;="&amp;G314)))</f>
        <v/>
      </c>
    </row>
    <row r="315" customFormat="false" ht="15" hidden="false" customHeight="false" outlineLevel="0" collapsed="false">
      <c r="A315" s="57"/>
      <c r="B315" s="30"/>
      <c r="C315" s="58"/>
      <c r="D315" s="59"/>
      <c r="E315" s="60" t="str">
        <f aca="false">IF(A315="","",IF(G315="","⛔ التاريخ غلط — اكتبه كامل 05/10/2026 أو اختاره من القائمة",IF(OR(H315&lt;1,H315&gt;NW),"⛔ التاريخ برّا السنة",IF(AND(N(C315)&gt;0,N(J315)&gt;0,C315&gt;ADV_CAP*J315),"⚠️ أكثر من "&amp;TEXT(ADV_CAP,"0%")&amp;" من شغله ("&amp;TEXT(J315,"0.000")&amp;")",""))))</f>
        <v/>
      </c>
      <c r="G315" s="0" t="str">
        <f aca="false">IF(A315="","",IF(ISNUMBER(A315),IF(A315&gt;=36526,A315,""),IFERROR(DATEVALUE(A315),"")))</f>
        <v/>
      </c>
      <c r="H315" s="0" t="str">
        <f aca="false">IF(G315="","",INT((G315-SAT1)/7)+1)</f>
        <v/>
      </c>
      <c r="I315" s="0" t="str">
        <f aca="false">IF(H315="","",IF(OR(H315&lt;1,H315&gt;NW),"",INDEX(WMON,H315)))</f>
        <v/>
      </c>
      <c r="J315" s="0" t="str">
        <f aca="false">IF(OR(G315="",H315="",B315=""),"",IF(B315="عمر المصري",SUMIFS('ساعات عمر'!$H$7:$H$642,'ساعات عمر'!$A$7:$A$642,"&gt;="&amp;(SAT1+7*(H315-1)),'ساعات عمر'!$A$7:$A$642,"&lt;="&amp;G315),SUMIFS('ساعات عبدالعزيز'!$F$7:$F$642,'ساعات عبدالعزيز'!$A$7:$A$642,"&gt;="&amp;(SAT1+7*(H315-1)),'ساعات عبدالعزيز'!$A$7:$A$642,"&lt;="&amp;G315)))</f>
        <v/>
      </c>
    </row>
    <row r="316" customFormat="false" ht="15" hidden="false" customHeight="false" outlineLevel="0" collapsed="false">
      <c r="A316" s="57"/>
      <c r="B316" s="30"/>
      <c r="C316" s="58"/>
      <c r="D316" s="59"/>
      <c r="E316" s="60" t="str">
        <f aca="false">IF(A316="","",IF(G316="","⛔ التاريخ غلط — اكتبه كامل 05/10/2026 أو اختاره من القائمة",IF(OR(H316&lt;1,H316&gt;NW),"⛔ التاريخ برّا السنة",IF(AND(N(C316)&gt;0,N(J316)&gt;0,C316&gt;ADV_CAP*J316),"⚠️ أكثر من "&amp;TEXT(ADV_CAP,"0%")&amp;" من شغله ("&amp;TEXT(J316,"0.000")&amp;")",""))))</f>
        <v/>
      </c>
      <c r="G316" s="0" t="str">
        <f aca="false">IF(A316="","",IF(ISNUMBER(A316),IF(A316&gt;=36526,A316,""),IFERROR(DATEVALUE(A316),"")))</f>
        <v/>
      </c>
      <c r="H316" s="0" t="str">
        <f aca="false">IF(G316="","",INT((G316-SAT1)/7)+1)</f>
        <v/>
      </c>
      <c r="I316" s="0" t="str">
        <f aca="false">IF(H316="","",IF(OR(H316&lt;1,H316&gt;NW),"",INDEX(WMON,H316)))</f>
        <v/>
      </c>
      <c r="J316" s="0" t="str">
        <f aca="false">IF(OR(G316="",H316="",B316=""),"",IF(B316="عمر المصري",SUMIFS('ساعات عمر'!$H$7:$H$642,'ساعات عمر'!$A$7:$A$642,"&gt;="&amp;(SAT1+7*(H316-1)),'ساعات عمر'!$A$7:$A$642,"&lt;="&amp;G316),SUMIFS('ساعات عبدالعزيز'!$F$7:$F$642,'ساعات عبدالعزيز'!$A$7:$A$642,"&gt;="&amp;(SAT1+7*(H316-1)),'ساعات عبدالعزيز'!$A$7:$A$642,"&lt;="&amp;G316)))</f>
        <v/>
      </c>
    </row>
    <row r="317" customFormat="false" ht="15" hidden="false" customHeight="false" outlineLevel="0" collapsed="false">
      <c r="A317" s="57"/>
      <c r="B317" s="30"/>
      <c r="C317" s="58"/>
      <c r="D317" s="59"/>
      <c r="E317" s="60" t="str">
        <f aca="false">IF(A317="","",IF(G317="","⛔ التاريخ غلط — اكتبه كامل 05/10/2026 أو اختاره من القائمة",IF(OR(H317&lt;1,H317&gt;NW),"⛔ التاريخ برّا السنة",IF(AND(N(C317)&gt;0,N(J317)&gt;0,C317&gt;ADV_CAP*J317),"⚠️ أكثر من "&amp;TEXT(ADV_CAP,"0%")&amp;" من شغله ("&amp;TEXT(J317,"0.000")&amp;")",""))))</f>
        <v/>
      </c>
      <c r="G317" s="0" t="str">
        <f aca="false">IF(A317="","",IF(ISNUMBER(A317),IF(A317&gt;=36526,A317,""),IFERROR(DATEVALUE(A317),"")))</f>
        <v/>
      </c>
      <c r="H317" s="0" t="str">
        <f aca="false">IF(G317="","",INT((G317-SAT1)/7)+1)</f>
        <v/>
      </c>
      <c r="I317" s="0" t="str">
        <f aca="false">IF(H317="","",IF(OR(H317&lt;1,H317&gt;NW),"",INDEX(WMON,H317)))</f>
        <v/>
      </c>
      <c r="J317" s="0" t="str">
        <f aca="false">IF(OR(G317="",H317="",B317=""),"",IF(B317="عمر المصري",SUMIFS('ساعات عمر'!$H$7:$H$642,'ساعات عمر'!$A$7:$A$642,"&gt;="&amp;(SAT1+7*(H317-1)),'ساعات عمر'!$A$7:$A$642,"&lt;="&amp;G317),SUMIFS('ساعات عبدالعزيز'!$F$7:$F$642,'ساعات عبدالعزيز'!$A$7:$A$642,"&gt;="&amp;(SAT1+7*(H317-1)),'ساعات عبدالعزيز'!$A$7:$A$642,"&lt;="&amp;G317)))</f>
        <v/>
      </c>
    </row>
    <row r="318" customFormat="false" ht="15" hidden="false" customHeight="false" outlineLevel="0" collapsed="false">
      <c r="A318" s="57"/>
      <c r="B318" s="30"/>
      <c r="C318" s="58"/>
      <c r="D318" s="59"/>
      <c r="E318" s="60" t="str">
        <f aca="false">IF(A318="","",IF(G318="","⛔ التاريخ غلط — اكتبه كامل 05/10/2026 أو اختاره من القائمة",IF(OR(H318&lt;1,H318&gt;NW),"⛔ التاريخ برّا السنة",IF(AND(N(C318)&gt;0,N(J318)&gt;0,C318&gt;ADV_CAP*J318),"⚠️ أكثر من "&amp;TEXT(ADV_CAP,"0%")&amp;" من شغله ("&amp;TEXT(J318,"0.000")&amp;")",""))))</f>
        <v/>
      </c>
      <c r="G318" s="0" t="str">
        <f aca="false">IF(A318="","",IF(ISNUMBER(A318),IF(A318&gt;=36526,A318,""),IFERROR(DATEVALUE(A318),"")))</f>
        <v/>
      </c>
      <c r="H318" s="0" t="str">
        <f aca="false">IF(G318="","",INT((G318-SAT1)/7)+1)</f>
        <v/>
      </c>
      <c r="I318" s="0" t="str">
        <f aca="false">IF(H318="","",IF(OR(H318&lt;1,H318&gt;NW),"",INDEX(WMON,H318)))</f>
        <v/>
      </c>
      <c r="J318" s="0" t="str">
        <f aca="false">IF(OR(G318="",H318="",B318=""),"",IF(B318="عمر المصري",SUMIFS('ساعات عمر'!$H$7:$H$642,'ساعات عمر'!$A$7:$A$642,"&gt;="&amp;(SAT1+7*(H318-1)),'ساعات عمر'!$A$7:$A$642,"&lt;="&amp;G318),SUMIFS('ساعات عبدالعزيز'!$F$7:$F$642,'ساعات عبدالعزيز'!$A$7:$A$642,"&gt;="&amp;(SAT1+7*(H318-1)),'ساعات عبدالعزيز'!$A$7:$A$642,"&lt;="&amp;G318)))</f>
        <v/>
      </c>
    </row>
    <row r="319" customFormat="false" ht="15" hidden="false" customHeight="false" outlineLevel="0" collapsed="false">
      <c r="A319" s="57"/>
      <c r="B319" s="30"/>
      <c r="C319" s="58"/>
      <c r="D319" s="59"/>
      <c r="E319" s="60" t="str">
        <f aca="false">IF(A319="","",IF(G319="","⛔ التاريخ غلط — اكتبه كامل 05/10/2026 أو اختاره من القائمة",IF(OR(H319&lt;1,H319&gt;NW),"⛔ التاريخ برّا السنة",IF(AND(N(C319)&gt;0,N(J319)&gt;0,C319&gt;ADV_CAP*J319),"⚠️ أكثر من "&amp;TEXT(ADV_CAP,"0%")&amp;" من شغله ("&amp;TEXT(J319,"0.000")&amp;")",""))))</f>
        <v/>
      </c>
      <c r="G319" s="0" t="str">
        <f aca="false">IF(A319="","",IF(ISNUMBER(A319),IF(A319&gt;=36526,A319,""),IFERROR(DATEVALUE(A319),"")))</f>
        <v/>
      </c>
      <c r="H319" s="0" t="str">
        <f aca="false">IF(G319="","",INT((G319-SAT1)/7)+1)</f>
        <v/>
      </c>
      <c r="I319" s="0" t="str">
        <f aca="false">IF(H319="","",IF(OR(H319&lt;1,H319&gt;NW),"",INDEX(WMON,H319)))</f>
        <v/>
      </c>
      <c r="J319" s="0" t="str">
        <f aca="false">IF(OR(G319="",H319="",B319=""),"",IF(B319="عمر المصري",SUMIFS('ساعات عمر'!$H$7:$H$642,'ساعات عمر'!$A$7:$A$642,"&gt;="&amp;(SAT1+7*(H319-1)),'ساعات عمر'!$A$7:$A$642,"&lt;="&amp;G319),SUMIFS('ساعات عبدالعزيز'!$F$7:$F$642,'ساعات عبدالعزيز'!$A$7:$A$642,"&gt;="&amp;(SAT1+7*(H319-1)),'ساعات عبدالعزيز'!$A$7:$A$642,"&lt;="&amp;G319)))</f>
        <v/>
      </c>
    </row>
    <row r="320" customFormat="false" ht="15" hidden="false" customHeight="false" outlineLevel="0" collapsed="false">
      <c r="A320" s="57"/>
      <c r="B320" s="30"/>
      <c r="C320" s="58"/>
      <c r="D320" s="59"/>
      <c r="E320" s="60" t="str">
        <f aca="false">IF(A320="","",IF(G320="","⛔ التاريخ غلط — اكتبه كامل 05/10/2026 أو اختاره من القائمة",IF(OR(H320&lt;1,H320&gt;NW),"⛔ التاريخ برّا السنة",IF(AND(N(C320)&gt;0,N(J320)&gt;0,C320&gt;ADV_CAP*J320),"⚠️ أكثر من "&amp;TEXT(ADV_CAP,"0%")&amp;" من شغله ("&amp;TEXT(J320,"0.000")&amp;")",""))))</f>
        <v/>
      </c>
      <c r="G320" s="0" t="str">
        <f aca="false">IF(A320="","",IF(ISNUMBER(A320),IF(A320&gt;=36526,A320,""),IFERROR(DATEVALUE(A320),"")))</f>
        <v/>
      </c>
      <c r="H320" s="0" t="str">
        <f aca="false">IF(G320="","",INT((G320-SAT1)/7)+1)</f>
        <v/>
      </c>
      <c r="I320" s="0" t="str">
        <f aca="false">IF(H320="","",IF(OR(H320&lt;1,H320&gt;NW),"",INDEX(WMON,H320)))</f>
        <v/>
      </c>
      <c r="J320" s="0" t="str">
        <f aca="false">IF(OR(G320="",H320="",B320=""),"",IF(B320="عمر المصري",SUMIFS('ساعات عمر'!$H$7:$H$642,'ساعات عمر'!$A$7:$A$642,"&gt;="&amp;(SAT1+7*(H320-1)),'ساعات عمر'!$A$7:$A$642,"&lt;="&amp;G320),SUMIFS('ساعات عبدالعزيز'!$F$7:$F$642,'ساعات عبدالعزيز'!$A$7:$A$642,"&gt;="&amp;(SAT1+7*(H320-1)),'ساعات عبدالعزيز'!$A$7:$A$642,"&lt;="&amp;G320)))</f>
        <v/>
      </c>
    </row>
    <row r="321" customFormat="false" ht="15" hidden="false" customHeight="false" outlineLevel="0" collapsed="false">
      <c r="A321" s="57"/>
      <c r="B321" s="30"/>
      <c r="C321" s="58"/>
      <c r="D321" s="59"/>
      <c r="E321" s="60" t="str">
        <f aca="false">IF(A321="","",IF(G321="","⛔ التاريخ غلط — اكتبه كامل 05/10/2026 أو اختاره من القائمة",IF(OR(H321&lt;1,H321&gt;NW),"⛔ التاريخ برّا السنة",IF(AND(N(C321)&gt;0,N(J321)&gt;0,C321&gt;ADV_CAP*J321),"⚠️ أكثر من "&amp;TEXT(ADV_CAP,"0%")&amp;" من شغله ("&amp;TEXT(J321,"0.000")&amp;")",""))))</f>
        <v/>
      </c>
      <c r="G321" s="0" t="str">
        <f aca="false">IF(A321="","",IF(ISNUMBER(A321),IF(A321&gt;=36526,A321,""),IFERROR(DATEVALUE(A321),"")))</f>
        <v/>
      </c>
      <c r="H321" s="0" t="str">
        <f aca="false">IF(G321="","",INT((G321-SAT1)/7)+1)</f>
        <v/>
      </c>
      <c r="I321" s="0" t="str">
        <f aca="false">IF(H321="","",IF(OR(H321&lt;1,H321&gt;NW),"",INDEX(WMON,H321)))</f>
        <v/>
      </c>
      <c r="J321" s="0" t="str">
        <f aca="false">IF(OR(G321="",H321="",B321=""),"",IF(B321="عمر المصري",SUMIFS('ساعات عمر'!$H$7:$H$642,'ساعات عمر'!$A$7:$A$642,"&gt;="&amp;(SAT1+7*(H321-1)),'ساعات عمر'!$A$7:$A$642,"&lt;="&amp;G321),SUMIFS('ساعات عبدالعزيز'!$F$7:$F$642,'ساعات عبدالعزيز'!$A$7:$A$642,"&gt;="&amp;(SAT1+7*(H321-1)),'ساعات عبدالعزيز'!$A$7:$A$642,"&lt;="&amp;G321)))</f>
        <v/>
      </c>
    </row>
    <row r="322" customFormat="false" ht="15" hidden="false" customHeight="false" outlineLevel="0" collapsed="false">
      <c r="A322" s="57"/>
      <c r="B322" s="30"/>
      <c r="C322" s="58"/>
      <c r="D322" s="59"/>
      <c r="E322" s="60" t="str">
        <f aca="false">IF(A322="","",IF(G322="","⛔ التاريخ غلط — اكتبه كامل 05/10/2026 أو اختاره من القائمة",IF(OR(H322&lt;1,H322&gt;NW),"⛔ التاريخ برّا السنة",IF(AND(N(C322)&gt;0,N(J322)&gt;0,C322&gt;ADV_CAP*J322),"⚠️ أكثر من "&amp;TEXT(ADV_CAP,"0%")&amp;" من شغله ("&amp;TEXT(J322,"0.000")&amp;")",""))))</f>
        <v/>
      </c>
      <c r="G322" s="0" t="str">
        <f aca="false">IF(A322="","",IF(ISNUMBER(A322),IF(A322&gt;=36526,A322,""),IFERROR(DATEVALUE(A322),"")))</f>
        <v/>
      </c>
      <c r="H322" s="0" t="str">
        <f aca="false">IF(G322="","",INT((G322-SAT1)/7)+1)</f>
        <v/>
      </c>
      <c r="I322" s="0" t="str">
        <f aca="false">IF(H322="","",IF(OR(H322&lt;1,H322&gt;NW),"",INDEX(WMON,H322)))</f>
        <v/>
      </c>
      <c r="J322" s="0" t="str">
        <f aca="false">IF(OR(G322="",H322="",B322=""),"",IF(B322="عمر المصري",SUMIFS('ساعات عمر'!$H$7:$H$642,'ساعات عمر'!$A$7:$A$642,"&gt;="&amp;(SAT1+7*(H322-1)),'ساعات عمر'!$A$7:$A$642,"&lt;="&amp;G322),SUMIFS('ساعات عبدالعزيز'!$F$7:$F$642,'ساعات عبدالعزيز'!$A$7:$A$642,"&gt;="&amp;(SAT1+7*(H322-1)),'ساعات عبدالعزيز'!$A$7:$A$642,"&lt;="&amp;G322)))</f>
        <v/>
      </c>
    </row>
    <row r="323" customFormat="false" ht="15" hidden="false" customHeight="false" outlineLevel="0" collapsed="false">
      <c r="A323" s="57"/>
      <c r="B323" s="30"/>
      <c r="C323" s="58"/>
      <c r="D323" s="59"/>
      <c r="E323" s="60" t="str">
        <f aca="false">IF(A323="","",IF(G323="","⛔ التاريخ غلط — اكتبه كامل 05/10/2026 أو اختاره من القائمة",IF(OR(H323&lt;1,H323&gt;NW),"⛔ التاريخ برّا السنة",IF(AND(N(C323)&gt;0,N(J323)&gt;0,C323&gt;ADV_CAP*J323),"⚠️ أكثر من "&amp;TEXT(ADV_CAP,"0%")&amp;" من شغله ("&amp;TEXT(J323,"0.000")&amp;")",""))))</f>
        <v/>
      </c>
      <c r="G323" s="0" t="str">
        <f aca="false">IF(A323="","",IF(ISNUMBER(A323),IF(A323&gt;=36526,A323,""),IFERROR(DATEVALUE(A323),"")))</f>
        <v/>
      </c>
      <c r="H323" s="0" t="str">
        <f aca="false">IF(G323="","",INT((G323-SAT1)/7)+1)</f>
        <v/>
      </c>
      <c r="I323" s="0" t="str">
        <f aca="false">IF(H323="","",IF(OR(H323&lt;1,H323&gt;NW),"",INDEX(WMON,H323)))</f>
        <v/>
      </c>
      <c r="J323" s="0" t="str">
        <f aca="false">IF(OR(G323="",H323="",B323=""),"",IF(B323="عمر المصري",SUMIFS('ساعات عمر'!$H$7:$H$642,'ساعات عمر'!$A$7:$A$642,"&gt;="&amp;(SAT1+7*(H323-1)),'ساعات عمر'!$A$7:$A$642,"&lt;="&amp;G323),SUMIFS('ساعات عبدالعزيز'!$F$7:$F$642,'ساعات عبدالعزيز'!$A$7:$A$642,"&gt;="&amp;(SAT1+7*(H323-1)),'ساعات عبدالعزيز'!$A$7:$A$642,"&lt;="&amp;G323)))</f>
        <v/>
      </c>
    </row>
    <row r="324" customFormat="false" ht="15" hidden="false" customHeight="false" outlineLevel="0" collapsed="false">
      <c r="A324" s="57"/>
      <c r="B324" s="30"/>
      <c r="C324" s="58"/>
      <c r="D324" s="59"/>
      <c r="E324" s="60" t="str">
        <f aca="false">IF(A324="","",IF(G324="","⛔ التاريخ غلط — اكتبه كامل 05/10/2026 أو اختاره من القائمة",IF(OR(H324&lt;1,H324&gt;NW),"⛔ التاريخ برّا السنة",IF(AND(N(C324)&gt;0,N(J324)&gt;0,C324&gt;ADV_CAP*J324),"⚠️ أكثر من "&amp;TEXT(ADV_CAP,"0%")&amp;" من شغله ("&amp;TEXT(J324,"0.000")&amp;")",""))))</f>
        <v/>
      </c>
      <c r="G324" s="0" t="str">
        <f aca="false">IF(A324="","",IF(ISNUMBER(A324),IF(A324&gt;=36526,A324,""),IFERROR(DATEVALUE(A324),"")))</f>
        <v/>
      </c>
      <c r="H324" s="0" t="str">
        <f aca="false">IF(G324="","",INT((G324-SAT1)/7)+1)</f>
        <v/>
      </c>
      <c r="I324" s="0" t="str">
        <f aca="false">IF(H324="","",IF(OR(H324&lt;1,H324&gt;NW),"",INDEX(WMON,H324)))</f>
        <v/>
      </c>
      <c r="J324" s="0" t="str">
        <f aca="false">IF(OR(G324="",H324="",B324=""),"",IF(B324="عمر المصري",SUMIFS('ساعات عمر'!$H$7:$H$642,'ساعات عمر'!$A$7:$A$642,"&gt;="&amp;(SAT1+7*(H324-1)),'ساعات عمر'!$A$7:$A$642,"&lt;="&amp;G324),SUMIFS('ساعات عبدالعزيز'!$F$7:$F$642,'ساعات عبدالعزيز'!$A$7:$A$642,"&gt;="&amp;(SAT1+7*(H324-1)),'ساعات عبدالعزيز'!$A$7:$A$642,"&lt;="&amp;G324)))</f>
        <v/>
      </c>
    </row>
    <row r="325" customFormat="false" ht="15" hidden="false" customHeight="false" outlineLevel="0" collapsed="false">
      <c r="A325" s="57"/>
      <c r="B325" s="30"/>
      <c r="C325" s="58"/>
      <c r="D325" s="59"/>
      <c r="E325" s="60" t="str">
        <f aca="false">IF(A325="","",IF(G325="","⛔ التاريخ غلط — اكتبه كامل 05/10/2026 أو اختاره من القائمة",IF(OR(H325&lt;1,H325&gt;NW),"⛔ التاريخ برّا السنة",IF(AND(N(C325)&gt;0,N(J325)&gt;0,C325&gt;ADV_CAP*J325),"⚠️ أكثر من "&amp;TEXT(ADV_CAP,"0%")&amp;" من شغله ("&amp;TEXT(J325,"0.000")&amp;")",""))))</f>
        <v/>
      </c>
      <c r="G325" s="0" t="str">
        <f aca="false">IF(A325="","",IF(ISNUMBER(A325),IF(A325&gt;=36526,A325,""),IFERROR(DATEVALUE(A325),"")))</f>
        <v/>
      </c>
      <c r="H325" s="0" t="str">
        <f aca="false">IF(G325="","",INT((G325-SAT1)/7)+1)</f>
        <v/>
      </c>
      <c r="I325" s="0" t="str">
        <f aca="false">IF(H325="","",IF(OR(H325&lt;1,H325&gt;NW),"",INDEX(WMON,H325)))</f>
        <v/>
      </c>
      <c r="J325" s="0" t="str">
        <f aca="false">IF(OR(G325="",H325="",B325=""),"",IF(B325="عمر المصري",SUMIFS('ساعات عمر'!$H$7:$H$642,'ساعات عمر'!$A$7:$A$642,"&gt;="&amp;(SAT1+7*(H325-1)),'ساعات عمر'!$A$7:$A$642,"&lt;="&amp;G325),SUMIFS('ساعات عبدالعزيز'!$F$7:$F$642,'ساعات عبدالعزيز'!$A$7:$A$642,"&gt;="&amp;(SAT1+7*(H325-1)),'ساعات عبدالعزيز'!$A$7:$A$642,"&lt;="&amp;G325)))</f>
        <v/>
      </c>
    </row>
    <row r="326" customFormat="false" ht="15" hidden="false" customHeight="false" outlineLevel="0" collapsed="false">
      <c r="A326" s="57"/>
      <c r="B326" s="30"/>
      <c r="C326" s="58"/>
      <c r="D326" s="59"/>
      <c r="E326" s="60" t="str">
        <f aca="false">IF(A326="","",IF(G326="","⛔ التاريخ غلط — اكتبه كامل 05/10/2026 أو اختاره من القائمة",IF(OR(H326&lt;1,H326&gt;NW),"⛔ التاريخ برّا السنة",IF(AND(N(C326)&gt;0,N(J326)&gt;0,C326&gt;ADV_CAP*J326),"⚠️ أكثر من "&amp;TEXT(ADV_CAP,"0%")&amp;" من شغله ("&amp;TEXT(J326,"0.000")&amp;")",""))))</f>
        <v/>
      </c>
      <c r="G326" s="0" t="str">
        <f aca="false">IF(A326="","",IF(ISNUMBER(A326),IF(A326&gt;=36526,A326,""),IFERROR(DATEVALUE(A326),"")))</f>
        <v/>
      </c>
      <c r="H326" s="0" t="str">
        <f aca="false">IF(G326="","",INT((G326-SAT1)/7)+1)</f>
        <v/>
      </c>
      <c r="I326" s="0" t="str">
        <f aca="false">IF(H326="","",IF(OR(H326&lt;1,H326&gt;NW),"",INDEX(WMON,H326)))</f>
        <v/>
      </c>
      <c r="J326" s="0" t="str">
        <f aca="false">IF(OR(G326="",H326="",B326=""),"",IF(B326="عمر المصري",SUMIFS('ساعات عمر'!$H$7:$H$642,'ساعات عمر'!$A$7:$A$642,"&gt;="&amp;(SAT1+7*(H326-1)),'ساعات عمر'!$A$7:$A$642,"&lt;="&amp;G326),SUMIFS('ساعات عبدالعزيز'!$F$7:$F$642,'ساعات عبدالعزيز'!$A$7:$A$642,"&gt;="&amp;(SAT1+7*(H326-1)),'ساعات عبدالعزيز'!$A$7:$A$642,"&lt;="&amp;G326)))</f>
        <v/>
      </c>
    </row>
    <row r="327" customFormat="false" ht="15" hidden="false" customHeight="false" outlineLevel="0" collapsed="false">
      <c r="A327" s="57"/>
      <c r="B327" s="30"/>
      <c r="C327" s="58"/>
      <c r="D327" s="59"/>
      <c r="E327" s="60" t="str">
        <f aca="false">IF(A327="","",IF(G327="","⛔ التاريخ غلط — اكتبه كامل 05/10/2026 أو اختاره من القائمة",IF(OR(H327&lt;1,H327&gt;NW),"⛔ التاريخ برّا السنة",IF(AND(N(C327)&gt;0,N(J327)&gt;0,C327&gt;ADV_CAP*J327),"⚠️ أكثر من "&amp;TEXT(ADV_CAP,"0%")&amp;" من شغله ("&amp;TEXT(J327,"0.000")&amp;")",""))))</f>
        <v/>
      </c>
      <c r="G327" s="0" t="str">
        <f aca="false">IF(A327="","",IF(ISNUMBER(A327),IF(A327&gt;=36526,A327,""),IFERROR(DATEVALUE(A327),"")))</f>
        <v/>
      </c>
      <c r="H327" s="0" t="str">
        <f aca="false">IF(G327="","",INT((G327-SAT1)/7)+1)</f>
        <v/>
      </c>
      <c r="I327" s="0" t="str">
        <f aca="false">IF(H327="","",IF(OR(H327&lt;1,H327&gt;NW),"",INDEX(WMON,H327)))</f>
        <v/>
      </c>
      <c r="J327" s="0" t="str">
        <f aca="false">IF(OR(G327="",H327="",B327=""),"",IF(B327="عمر المصري",SUMIFS('ساعات عمر'!$H$7:$H$642,'ساعات عمر'!$A$7:$A$642,"&gt;="&amp;(SAT1+7*(H327-1)),'ساعات عمر'!$A$7:$A$642,"&lt;="&amp;G327),SUMIFS('ساعات عبدالعزيز'!$F$7:$F$642,'ساعات عبدالعزيز'!$A$7:$A$642,"&gt;="&amp;(SAT1+7*(H327-1)),'ساعات عبدالعزيز'!$A$7:$A$642,"&lt;="&amp;G327)))</f>
        <v/>
      </c>
    </row>
    <row r="328" customFormat="false" ht="15" hidden="false" customHeight="false" outlineLevel="0" collapsed="false">
      <c r="A328" s="57"/>
      <c r="B328" s="30"/>
      <c r="C328" s="58"/>
      <c r="D328" s="59"/>
      <c r="E328" s="60" t="str">
        <f aca="false">IF(A328="","",IF(G328="","⛔ التاريخ غلط — اكتبه كامل 05/10/2026 أو اختاره من القائمة",IF(OR(H328&lt;1,H328&gt;NW),"⛔ التاريخ برّا السنة",IF(AND(N(C328)&gt;0,N(J328)&gt;0,C328&gt;ADV_CAP*J328),"⚠️ أكثر من "&amp;TEXT(ADV_CAP,"0%")&amp;" من شغله ("&amp;TEXT(J328,"0.000")&amp;")",""))))</f>
        <v/>
      </c>
      <c r="G328" s="0" t="str">
        <f aca="false">IF(A328="","",IF(ISNUMBER(A328),IF(A328&gt;=36526,A328,""),IFERROR(DATEVALUE(A328),"")))</f>
        <v/>
      </c>
      <c r="H328" s="0" t="str">
        <f aca="false">IF(G328="","",INT((G328-SAT1)/7)+1)</f>
        <v/>
      </c>
      <c r="I328" s="0" t="str">
        <f aca="false">IF(H328="","",IF(OR(H328&lt;1,H328&gt;NW),"",INDEX(WMON,H328)))</f>
        <v/>
      </c>
      <c r="J328" s="0" t="str">
        <f aca="false">IF(OR(G328="",H328="",B328=""),"",IF(B328="عمر المصري",SUMIFS('ساعات عمر'!$H$7:$H$642,'ساعات عمر'!$A$7:$A$642,"&gt;="&amp;(SAT1+7*(H328-1)),'ساعات عمر'!$A$7:$A$642,"&lt;="&amp;G328),SUMIFS('ساعات عبدالعزيز'!$F$7:$F$642,'ساعات عبدالعزيز'!$A$7:$A$642,"&gt;="&amp;(SAT1+7*(H328-1)),'ساعات عبدالعزيز'!$A$7:$A$642,"&lt;="&amp;G328)))</f>
        <v/>
      </c>
    </row>
    <row r="329" customFormat="false" ht="15" hidden="false" customHeight="false" outlineLevel="0" collapsed="false">
      <c r="A329" s="57"/>
      <c r="B329" s="30"/>
      <c r="C329" s="58"/>
      <c r="D329" s="59"/>
      <c r="E329" s="60" t="str">
        <f aca="false">IF(A329="","",IF(G329="","⛔ التاريخ غلط — اكتبه كامل 05/10/2026 أو اختاره من القائمة",IF(OR(H329&lt;1,H329&gt;NW),"⛔ التاريخ برّا السنة",IF(AND(N(C329)&gt;0,N(J329)&gt;0,C329&gt;ADV_CAP*J329),"⚠️ أكثر من "&amp;TEXT(ADV_CAP,"0%")&amp;" من شغله ("&amp;TEXT(J329,"0.000")&amp;")",""))))</f>
        <v/>
      </c>
      <c r="G329" s="0" t="str">
        <f aca="false">IF(A329="","",IF(ISNUMBER(A329),IF(A329&gt;=36526,A329,""),IFERROR(DATEVALUE(A329),"")))</f>
        <v/>
      </c>
      <c r="H329" s="0" t="str">
        <f aca="false">IF(G329="","",INT((G329-SAT1)/7)+1)</f>
        <v/>
      </c>
      <c r="I329" s="0" t="str">
        <f aca="false">IF(H329="","",IF(OR(H329&lt;1,H329&gt;NW),"",INDEX(WMON,H329)))</f>
        <v/>
      </c>
      <c r="J329" s="0" t="str">
        <f aca="false">IF(OR(G329="",H329="",B329=""),"",IF(B329="عمر المصري",SUMIFS('ساعات عمر'!$H$7:$H$642,'ساعات عمر'!$A$7:$A$642,"&gt;="&amp;(SAT1+7*(H329-1)),'ساعات عمر'!$A$7:$A$642,"&lt;="&amp;G329),SUMIFS('ساعات عبدالعزيز'!$F$7:$F$642,'ساعات عبدالعزيز'!$A$7:$A$642,"&gt;="&amp;(SAT1+7*(H329-1)),'ساعات عبدالعزيز'!$A$7:$A$642,"&lt;="&amp;G329)))</f>
        <v/>
      </c>
    </row>
    <row r="330" customFormat="false" ht="15" hidden="false" customHeight="false" outlineLevel="0" collapsed="false">
      <c r="A330" s="57"/>
      <c r="B330" s="30"/>
      <c r="C330" s="58"/>
      <c r="D330" s="59"/>
      <c r="E330" s="60" t="str">
        <f aca="false">IF(A330="","",IF(G330="","⛔ التاريخ غلط — اكتبه كامل 05/10/2026 أو اختاره من القائمة",IF(OR(H330&lt;1,H330&gt;NW),"⛔ التاريخ برّا السنة",IF(AND(N(C330)&gt;0,N(J330)&gt;0,C330&gt;ADV_CAP*J330),"⚠️ أكثر من "&amp;TEXT(ADV_CAP,"0%")&amp;" من شغله ("&amp;TEXT(J330,"0.000")&amp;")",""))))</f>
        <v/>
      </c>
      <c r="G330" s="0" t="str">
        <f aca="false">IF(A330="","",IF(ISNUMBER(A330),IF(A330&gt;=36526,A330,""),IFERROR(DATEVALUE(A330),"")))</f>
        <v/>
      </c>
      <c r="H330" s="0" t="str">
        <f aca="false">IF(G330="","",INT((G330-SAT1)/7)+1)</f>
        <v/>
      </c>
      <c r="I330" s="0" t="str">
        <f aca="false">IF(H330="","",IF(OR(H330&lt;1,H330&gt;NW),"",INDEX(WMON,H330)))</f>
        <v/>
      </c>
      <c r="J330" s="0" t="str">
        <f aca="false">IF(OR(G330="",H330="",B330=""),"",IF(B330="عمر المصري",SUMIFS('ساعات عمر'!$H$7:$H$642,'ساعات عمر'!$A$7:$A$642,"&gt;="&amp;(SAT1+7*(H330-1)),'ساعات عمر'!$A$7:$A$642,"&lt;="&amp;G330),SUMIFS('ساعات عبدالعزيز'!$F$7:$F$642,'ساعات عبدالعزيز'!$A$7:$A$642,"&gt;="&amp;(SAT1+7*(H330-1)),'ساعات عبدالعزيز'!$A$7:$A$642,"&lt;="&amp;G330)))</f>
        <v/>
      </c>
    </row>
    <row r="331" customFormat="false" ht="15" hidden="false" customHeight="false" outlineLevel="0" collapsed="false">
      <c r="A331" s="57"/>
      <c r="B331" s="30"/>
      <c r="C331" s="58"/>
      <c r="D331" s="59"/>
      <c r="E331" s="60" t="str">
        <f aca="false">IF(A331="","",IF(G331="","⛔ التاريخ غلط — اكتبه كامل 05/10/2026 أو اختاره من القائمة",IF(OR(H331&lt;1,H331&gt;NW),"⛔ التاريخ برّا السنة",IF(AND(N(C331)&gt;0,N(J331)&gt;0,C331&gt;ADV_CAP*J331),"⚠️ أكثر من "&amp;TEXT(ADV_CAP,"0%")&amp;" من شغله ("&amp;TEXT(J331,"0.000")&amp;")",""))))</f>
        <v/>
      </c>
      <c r="G331" s="0" t="str">
        <f aca="false">IF(A331="","",IF(ISNUMBER(A331),IF(A331&gt;=36526,A331,""),IFERROR(DATEVALUE(A331),"")))</f>
        <v/>
      </c>
      <c r="H331" s="0" t="str">
        <f aca="false">IF(G331="","",INT((G331-SAT1)/7)+1)</f>
        <v/>
      </c>
      <c r="I331" s="0" t="str">
        <f aca="false">IF(H331="","",IF(OR(H331&lt;1,H331&gt;NW),"",INDEX(WMON,H331)))</f>
        <v/>
      </c>
      <c r="J331" s="0" t="str">
        <f aca="false">IF(OR(G331="",H331="",B331=""),"",IF(B331="عمر المصري",SUMIFS('ساعات عمر'!$H$7:$H$642,'ساعات عمر'!$A$7:$A$642,"&gt;="&amp;(SAT1+7*(H331-1)),'ساعات عمر'!$A$7:$A$642,"&lt;="&amp;G331),SUMIFS('ساعات عبدالعزيز'!$F$7:$F$642,'ساعات عبدالعزيز'!$A$7:$A$642,"&gt;="&amp;(SAT1+7*(H331-1)),'ساعات عبدالعزيز'!$A$7:$A$642,"&lt;="&amp;G331)))</f>
        <v/>
      </c>
    </row>
    <row r="332" customFormat="false" ht="15" hidden="false" customHeight="false" outlineLevel="0" collapsed="false">
      <c r="A332" s="57"/>
      <c r="B332" s="30"/>
      <c r="C332" s="58"/>
      <c r="D332" s="59"/>
      <c r="E332" s="60" t="str">
        <f aca="false">IF(A332="","",IF(G332="","⛔ التاريخ غلط — اكتبه كامل 05/10/2026 أو اختاره من القائمة",IF(OR(H332&lt;1,H332&gt;NW),"⛔ التاريخ برّا السنة",IF(AND(N(C332)&gt;0,N(J332)&gt;0,C332&gt;ADV_CAP*J332),"⚠️ أكثر من "&amp;TEXT(ADV_CAP,"0%")&amp;" من شغله ("&amp;TEXT(J332,"0.000")&amp;")",""))))</f>
        <v/>
      </c>
      <c r="G332" s="0" t="str">
        <f aca="false">IF(A332="","",IF(ISNUMBER(A332),IF(A332&gt;=36526,A332,""),IFERROR(DATEVALUE(A332),"")))</f>
        <v/>
      </c>
      <c r="H332" s="0" t="str">
        <f aca="false">IF(G332="","",INT((G332-SAT1)/7)+1)</f>
        <v/>
      </c>
      <c r="I332" s="0" t="str">
        <f aca="false">IF(H332="","",IF(OR(H332&lt;1,H332&gt;NW),"",INDEX(WMON,H332)))</f>
        <v/>
      </c>
      <c r="J332" s="0" t="str">
        <f aca="false">IF(OR(G332="",H332="",B332=""),"",IF(B332="عمر المصري",SUMIFS('ساعات عمر'!$H$7:$H$642,'ساعات عمر'!$A$7:$A$642,"&gt;="&amp;(SAT1+7*(H332-1)),'ساعات عمر'!$A$7:$A$642,"&lt;="&amp;G332),SUMIFS('ساعات عبدالعزيز'!$F$7:$F$642,'ساعات عبدالعزيز'!$A$7:$A$642,"&gt;="&amp;(SAT1+7*(H332-1)),'ساعات عبدالعزيز'!$A$7:$A$642,"&lt;="&amp;G332)))</f>
        <v/>
      </c>
    </row>
    <row r="333" customFormat="false" ht="15" hidden="false" customHeight="false" outlineLevel="0" collapsed="false">
      <c r="A333" s="57"/>
      <c r="B333" s="30"/>
      <c r="C333" s="58"/>
      <c r="D333" s="59"/>
      <c r="E333" s="60" t="str">
        <f aca="false">IF(A333="","",IF(G333="","⛔ التاريخ غلط — اكتبه كامل 05/10/2026 أو اختاره من القائمة",IF(OR(H333&lt;1,H333&gt;NW),"⛔ التاريخ برّا السنة",IF(AND(N(C333)&gt;0,N(J333)&gt;0,C333&gt;ADV_CAP*J333),"⚠️ أكثر من "&amp;TEXT(ADV_CAP,"0%")&amp;" من شغله ("&amp;TEXT(J333,"0.000")&amp;")",""))))</f>
        <v/>
      </c>
      <c r="G333" s="0" t="str">
        <f aca="false">IF(A333="","",IF(ISNUMBER(A333),IF(A333&gt;=36526,A333,""),IFERROR(DATEVALUE(A333),"")))</f>
        <v/>
      </c>
      <c r="H333" s="0" t="str">
        <f aca="false">IF(G333="","",INT((G333-SAT1)/7)+1)</f>
        <v/>
      </c>
      <c r="I333" s="0" t="str">
        <f aca="false">IF(H333="","",IF(OR(H333&lt;1,H333&gt;NW),"",INDEX(WMON,H333)))</f>
        <v/>
      </c>
      <c r="J333" s="0" t="str">
        <f aca="false">IF(OR(G333="",H333="",B333=""),"",IF(B333="عمر المصري",SUMIFS('ساعات عمر'!$H$7:$H$642,'ساعات عمر'!$A$7:$A$642,"&gt;="&amp;(SAT1+7*(H333-1)),'ساعات عمر'!$A$7:$A$642,"&lt;="&amp;G333),SUMIFS('ساعات عبدالعزيز'!$F$7:$F$642,'ساعات عبدالعزيز'!$A$7:$A$642,"&gt;="&amp;(SAT1+7*(H333-1)),'ساعات عبدالعزيز'!$A$7:$A$642,"&lt;="&amp;G333)))</f>
        <v/>
      </c>
    </row>
    <row r="334" customFormat="false" ht="15" hidden="false" customHeight="false" outlineLevel="0" collapsed="false">
      <c r="A334" s="57"/>
      <c r="B334" s="30"/>
      <c r="C334" s="58"/>
      <c r="D334" s="59"/>
      <c r="E334" s="60" t="str">
        <f aca="false">IF(A334="","",IF(G334="","⛔ التاريخ غلط — اكتبه كامل 05/10/2026 أو اختاره من القائمة",IF(OR(H334&lt;1,H334&gt;NW),"⛔ التاريخ برّا السنة",IF(AND(N(C334)&gt;0,N(J334)&gt;0,C334&gt;ADV_CAP*J334),"⚠️ أكثر من "&amp;TEXT(ADV_CAP,"0%")&amp;" من شغله ("&amp;TEXT(J334,"0.000")&amp;")",""))))</f>
        <v/>
      </c>
      <c r="G334" s="0" t="str">
        <f aca="false">IF(A334="","",IF(ISNUMBER(A334),IF(A334&gt;=36526,A334,""),IFERROR(DATEVALUE(A334),"")))</f>
        <v/>
      </c>
      <c r="H334" s="0" t="str">
        <f aca="false">IF(G334="","",INT((G334-SAT1)/7)+1)</f>
        <v/>
      </c>
      <c r="I334" s="0" t="str">
        <f aca="false">IF(H334="","",IF(OR(H334&lt;1,H334&gt;NW),"",INDEX(WMON,H334)))</f>
        <v/>
      </c>
      <c r="J334" s="0" t="str">
        <f aca="false">IF(OR(G334="",H334="",B334=""),"",IF(B334="عمر المصري",SUMIFS('ساعات عمر'!$H$7:$H$642,'ساعات عمر'!$A$7:$A$642,"&gt;="&amp;(SAT1+7*(H334-1)),'ساعات عمر'!$A$7:$A$642,"&lt;="&amp;G334),SUMIFS('ساعات عبدالعزيز'!$F$7:$F$642,'ساعات عبدالعزيز'!$A$7:$A$642,"&gt;="&amp;(SAT1+7*(H334-1)),'ساعات عبدالعزيز'!$A$7:$A$642,"&lt;="&amp;G334)))</f>
        <v/>
      </c>
    </row>
    <row r="335" customFormat="false" ht="15" hidden="false" customHeight="false" outlineLevel="0" collapsed="false">
      <c r="A335" s="57"/>
      <c r="B335" s="30"/>
      <c r="C335" s="58"/>
      <c r="D335" s="59"/>
      <c r="E335" s="60" t="str">
        <f aca="false">IF(A335="","",IF(G335="","⛔ التاريخ غلط — اكتبه كامل 05/10/2026 أو اختاره من القائمة",IF(OR(H335&lt;1,H335&gt;NW),"⛔ التاريخ برّا السنة",IF(AND(N(C335)&gt;0,N(J335)&gt;0,C335&gt;ADV_CAP*J335),"⚠️ أكثر من "&amp;TEXT(ADV_CAP,"0%")&amp;" من شغله ("&amp;TEXT(J335,"0.000")&amp;")",""))))</f>
        <v/>
      </c>
      <c r="G335" s="0" t="str">
        <f aca="false">IF(A335="","",IF(ISNUMBER(A335),IF(A335&gt;=36526,A335,""),IFERROR(DATEVALUE(A335),"")))</f>
        <v/>
      </c>
      <c r="H335" s="0" t="str">
        <f aca="false">IF(G335="","",INT((G335-SAT1)/7)+1)</f>
        <v/>
      </c>
      <c r="I335" s="0" t="str">
        <f aca="false">IF(H335="","",IF(OR(H335&lt;1,H335&gt;NW),"",INDEX(WMON,H335)))</f>
        <v/>
      </c>
      <c r="J335" s="0" t="str">
        <f aca="false">IF(OR(G335="",H335="",B335=""),"",IF(B335="عمر المصري",SUMIFS('ساعات عمر'!$H$7:$H$642,'ساعات عمر'!$A$7:$A$642,"&gt;="&amp;(SAT1+7*(H335-1)),'ساعات عمر'!$A$7:$A$642,"&lt;="&amp;G335),SUMIFS('ساعات عبدالعزيز'!$F$7:$F$642,'ساعات عبدالعزيز'!$A$7:$A$642,"&gt;="&amp;(SAT1+7*(H335-1)),'ساعات عبدالعزيز'!$A$7:$A$642,"&lt;="&amp;G335)))</f>
        <v/>
      </c>
    </row>
    <row r="336" customFormat="false" ht="15" hidden="false" customHeight="false" outlineLevel="0" collapsed="false">
      <c r="A336" s="57"/>
      <c r="B336" s="30"/>
      <c r="C336" s="58"/>
      <c r="D336" s="59"/>
      <c r="E336" s="60" t="str">
        <f aca="false">IF(A336="","",IF(G336="","⛔ التاريخ غلط — اكتبه كامل 05/10/2026 أو اختاره من القائمة",IF(OR(H336&lt;1,H336&gt;NW),"⛔ التاريخ برّا السنة",IF(AND(N(C336)&gt;0,N(J336)&gt;0,C336&gt;ADV_CAP*J336),"⚠️ أكثر من "&amp;TEXT(ADV_CAP,"0%")&amp;" من شغله ("&amp;TEXT(J336,"0.000")&amp;")",""))))</f>
        <v/>
      </c>
      <c r="G336" s="0" t="str">
        <f aca="false">IF(A336="","",IF(ISNUMBER(A336),IF(A336&gt;=36526,A336,""),IFERROR(DATEVALUE(A336),"")))</f>
        <v/>
      </c>
      <c r="H336" s="0" t="str">
        <f aca="false">IF(G336="","",INT((G336-SAT1)/7)+1)</f>
        <v/>
      </c>
      <c r="I336" s="0" t="str">
        <f aca="false">IF(H336="","",IF(OR(H336&lt;1,H336&gt;NW),"",INDEX(WMON,H336)))</f>
        <v/>
      </c>
      <c r="J336" s="0" t="str">
        <f aca="false">IF(OR(G336="",H336="",B336=""),"",IF(B336="عمر المصري",SUMIFS('ساعات عمر'!$H$7:$H$642,'ساعات عمر'!$A$7:$A$642,"&gt;="&amp;(SAT1+7*(H336-1)),'ساعات عمر'!$A$7:$A$642,"&lt;="&amp;G336),SUMIFS('ساعات عبدالعزيز'!$F$7:$F$642,'ساعات عبدالعزيز'!$A$7:$A$642,"&gt;="&amp;(SAT1+7*(H336-1)),'ساعات عبدالعزيز'!$A$7:$A$642,"&lt;="&amp;G336)))</f>
        <v/>
      </c>
    </row>
    <row r="337" customFormat="false" ht="15" hidden="false" customHeight="false" outlineLevel="0" collapsed="false">
      <c r="A337" s="57"/>
      <c r="B337" s="30"/>
      <c r="C337" s="58"/>
      <c r="D337" s="59"/>
      <c r="E337" s="60" t="str">
        <f aca="false">IF(A337="","",IF(G337="","⛔ التاريخ غلط — اكتبه كامل 05/10/2026 أو اختاره من القائمة",IF(OR(H337&lt;1,H337&gt;NW),"⛔ التاريخ برّا السنة",IF(AND(N(C337)&gt;0,N(J337)&gt;0,C337&gt;ADV_CAP*J337),"⚠️ أكثر من "&amp;TEXT(ADV_CAP,"0%")&amp;" من شغله ("&amp;TEXT(J337,"0.000")&amp;")",""))))</f>
        <v/>
      </c>
      <c r="G337" s="0" t="str">
        <f aca="false">IF(A337="","",IF(ISNUMBER(A337),IF(A337&gt;=36526,A337,""),IFERROR(DATEVALUE(A337),"")))</f>
        <v/>
      </c>
      <c r="H337" s="0" t="str">
        <f aca="false">IF(G337="","",INT((G337-SAT1)/7)+1)</f>
        <v/>
      </c>
      <c r="I337" s="0" t="str">
        <f aca="false">IF(H337="","",IF(OR(H337&lt;1,H337&gt;NW),"",INDEX(WMON,H337)))</f>
        <v/>
      </c>
      <c r="J337" s="0" t="str">
        <f aca="false">IF(OR(G337="",H337="",B337=""),"",IF(B337="عمر المصري",SUMIFS('ساعات عمر'!$H$7:$H$642,'ساعات عمر'!$A$7:$A$642,"&gt;="&amp;(SAT1+7*(H337-1)),'ساعات عمر'!$A$7:$A$642,"&lt;="&amp;G337),SUMIFS('ساعات عبدالعزيز'!$F$7:$F$642,'ساعات عبدالعزيز'!$A$7:$A$642,"&gt;="&amp;(SAT1+7*(H337-1)),'ساعات عبدالعزيز'!$A$7:$A$642,"&lt;="&amp;G337)))</f>
        <v/>
      </c>
    </row>
    <row r="338" customFormat="false" ht="15" hidden="false" customHeight="false" outlineLevel="0" collapsed="false">
      <c r="A338" s="57"/>
      <c r="B338" s="30"/>
      <c r="C338" s="58"/>
      <c r="D338" s="59"/>
      <c r="E338" s="60" t="str">
        <f aca="false">IF(A338="","",IF(G338="","⛔ التاريخ غلط — اكتبه كامل 05/10/2026 أو اختاره من القائمة",IF(OR(H338&lt;1,H338&gt;NW),"⛔ التاريخ برّا السنة",IF(AND(N(C338)&gt;0,N(J338)&gt;0,C338&gt;ADV_CAP*J338),"⚠️ أكثر من "&amp;TEXT(ADV_CAP,"0%")&amp;" من شغله ("&amp;TEXT(J338,"0.000")&amp;")",""))))</f>
        <v/>
      </c>
      <c r="G338" s="0" t="str">
        <f aca="false">IF(A338="","",IF(ISNUMBER(A338),IF(A338&gt;=36526,A338,""),IFERROR(DATEVALUE(A338),"")))</f>
        <v/>
      </c>
      <c r="H338" s="0" t="str">
        <f aca="false">IF(G338="","",INT((G338-SAT1)/7)+1)</f>
        <v/>
      </c>
      <c r="I338" s="0" t="str">
        <f aca="false">IF(H338="","",IF(OR(H338&lt;1,H338&gt;NW),"",INDEX(WMON,H338)))</f>
        <v/>
      </c>
      <c r="J338" s="0" t="str">
        <f aca="false">IF(OR(G338="",H338="",B338=""),"",IF(B338="عمر المصري",SUMIFS('ساعات عمر'!$H$7:$H$642,'ساعات عمر'!$A$7:$A$642,"&gt;="&amp;(SAT1+7*(H338-1)),'ساعات عمر'!$A$7:$A$642,"&lt;="&amp;G338),SUMIFS('ساعات عبدالعزيز'!$F$7:$F$642,'ساعات عبدالعزيز'!$A$7:$A$642,"&gt;="&amp;(SAT1+7*(H338-1)),'ساعات عبدالعزيز'!$A$7:$A$642,"&lt;="&amp;G338)))</f>
        <v/>
      </c>
    </row>
    <row r="339" customFormat="false" ht="15" hidden="false" customHeight="false" outlineLevel="0" collapsed="false">
      <c r="A339" s="57"/>
      <c r="B339" s="30"/>
      <c r="C339" s="58"/>
      <c r="D339" s="59"/>
      <c r="E339" s="60" t="str">
        <f aca="false">IF(A339="","",IF(G339="","⛔ التاريخ غلط — اكتبه كامل 05/10/2026 أو اختاره من القائمة",IF(OR(H339&lt;1,H339&gt;NW),"⛔ التاريخ برّا السنة",IF(AND(N(C339)&gt;0,N(J339)&gt;0,C339&gt;ADV_CAP*J339),"⚠️ أكثر من "&amp;TEXT(ADV_CAP,"0%")&amp;" من شغله ("&amp;TEXT(J339,"0.000")&amp;")",""))))</f>
        <v/>
      </c>
      <c r="G339" s="0" t="str">
        <f aca="false">IF(A339="","",IF(ISNUMBER(A339),IF(A339&gt;=36526,A339,""),IFERROR(DATEVALUE(A339),"")))</f>
        <v/>
      </c>
      <c r="H339" s="0" t="str">
        <f aca="false">IF(G339="","",INT((G339-SAT1)/7)+1)</f>
        <v/>
      </c>
      <c r="I339" s="0" t="str">
        <f aca="false">IF(H339="","",IF(OR(H339&lt;1,H339&gt;NW),"",INDEX(WMON,H339)))</f>
        <v/>
      </c>
      <c r="J339" s="0" t="str">
        <f aca="false">IF(OR(G339="",H339="",B339=""),"",IF(B339="عمر المصري",SUMIFS('ساعات عمر'!$H$7:$H$642,'ساعات عمر'!$A$7:$A$642,"&gt;="&amp;(SAT1+7*(H339-1)),'ساعات عمر'!$A$7:$A$642,"&lt;="&amp;G339),SUMIFS('ساعات عبدالعزيز'!$F$7:$F$642,'ساعات عبدالعزيز'!$A$7:$A$642,"&gt;="&amp;(SAT1+7*(H339-1)),'ساعات عبدالعزيز'!$A$7:$A$642,"&lt;="&amp;G339)))</f>
        <v/>
      </c>
    </row>
    <row r="340" customFormat="false" ht="15" hidden="false" customHeight="false" outlineLevel="0" collapsed="false">
      <c r="A340" s="57"/>
      <c r="B340" s="30"/>
      <c r="C340" s="58"/>
      <c r="D340" s="59"/>
      <c r="E340" s="60" t="str">
        <f aca="false">IF(A340="","",IF(G340="","⛔ التاريخ غلط — اكتبه كامل 05/10/2026 أو اختاره من القائمة",IF(OR(H340&lt;1,H340&gt;NW),"⛔ التاريخ برّا السنة",IF(AND(N(C340)&gt;0,N(J340)&gt;0,C340&gt;ADV_CAP*J340),"⚠️ أكثر من "&amp;TEXT(ADV_CAP,"0%")&amp;" من شغله ("&amp;TEXT(J340,"0.000")&amp;")",""))))</f>
        <v/>
      </c>
      <c r="G340" s="0" t="str">
        <f aca="false">IF(A340="","",IF(ISNUMBER(A340),IF(A340&gt;=36526,A340,""),IFERROR(DATEVALUE(A340),"")))</f>
        <v/>
      </c>
      <c r="H340" s="0" t="str">
        <f aca="false">IF(G340="","",INT((G340-SAT1)/7)+1)</f>
        <v/>
      </c>
      <c r="I340" s="0" t="str">
        <f aca="false">IF(H340="","",IF(OR(H340&lt;1,H340&gt;NW),"",INDEX(WMON,H340)))</f>
        <v/>
      </c>
      <c r="J340" s="0" t="str">
        <f aca="false">IF(OR(G340="",H340="",B340=""),"",IF(B340="عمر المصري",SUMIFS('ساعات عمر'!$H$7:$H$642,'ساعات عمر'!$A$7:$A$642,"&gt;="&amp;(SAT1+7*(H340-1)),'ساعات عمر'!$A$7:$A$642,"&lt;="&amp;G340),SUMIFS('ساعات عبدالعزيز'!$F$7:$F$642,'ساعات عبدالعزيز'!$A$7:$A$642,"&gt;="&amp;(SAT1+7*(H340-1)),'ساعات عبدالعزيز'!$A$7:$A$642,"&lt;="&amp;G340)))</f>
        <v/>
      </c>
    </row>
    <row r="341" customFormat="false" ht="15" hidden="false" customHeight="false" outlineLevel="0" collapsed="false">
      <c r="A341" s="57"/>
      <c r="B341" s="30"/>
      <c r="C341" s="58"/>
      <c r="D341" s="59"/>
      <c r="E341" s="60" t="str">
        <f aca="false">IF(A341="","",IF(G341="","⛔ التاريخ غلط — اكتبه كامل 05/10/2026 أو اختاره من القائمة",IF(OR(H341&lt;1,H341&gt;NW),"⛔ التاريخ برّا السنة",IF(AND(N(C341)&gt;0,N(J341)&gt;0,C341&gt;ADV_CAP*J341),"⚠️ أكثر من "&amp;TEXT(ADV_CAP,"0%")&amp;" من شغله ("&amp;TEXT(J341,"0.000")&amp;")",""))))</f>
        <v/>
      </c>
      <c r="G341" s="0" t="str">
        <f aca="false">IF(A341="","",IF(ISNUMBER(A341),IF(A341&gt;=36526,A341,""),IFERROR(DATEVALUE(A341),"")))</f>
        <v/>
      </c>
      <c r="H341" s="0" t="str">
        <f aca="false">IF(G341="","",INT((G341-SAT1)/7)+1)</f>
        <v/>
      </c>
      <c r="I341" s="0" t="str">
        <f aca="false">IF(H341="","",IF(OR(H341&lt;1,H341&gt;NW),"",INDEX(WMON,H341)))</f>
        <v/>
      </c>
      <c r="J341" s="0" t="str">
        <f aca="false">IF(OR(G341="",H341="",B341=""),"",IF(B341="عمر المصري",SUMIFS('ساعات عمر'!$H$7:$H$642,'ساعات عمر'!$A$7:$A$642,"&gt;="&amp;(SAT1+7*(H341-1)),'ساعات عمر'!$A$7:$A$642,"&lt;="&amp;G341),SUMIFS('ساعات عبدالعزيز'!$F$7:$F$642,'ساعات عبدالعزيز'!$A$7:$A$642,"&gt;="&amp;(SAT1+7*(H341-1)),'ساعات عبدالعزيز'!$A$7:$A$642,"&lt;="&amp;G341)))</f>
        <v/>
      </c>
    </row>
    <row r="342" customFormat="false" ht="15" hidden="false" customHeight="false" outlineLevel="0" collapsed="false">
      <c r="A342" s="57"/>
      <c r="B342" s="30"/>
      <c r="C342" s="58"/>
      <c r="D342" s="59"/>
      <c r="E342" s="60" t="str">
        <f aca="false">IF(A342="","",IF(G342="","⛔ التاريخ غلط — اكتبه كامل 05/10/2026 أو اختاره من القائمة",IF(OR(H342&lt;1,H342&gt;NW),"⛔ التاريخ برّا السنة",IF(AND(N(C342)&gt;0,N(J342)&gt;0,C342&gt;ADV_CAP*J342),"⚠️ أكثر من "&amp;TEXT(ADV_CAP,"0%")&amp;" من شغله ("&amp;TEXT(J342,"0.000")&amp;")",""))))</f>
        <v/>
      </c>
      <c r="G342" s="0" t="str">
        <f aca="false">IF(A342="","",IF(ISNUMBER(A342),IF(A342&gt;=36526,A342,""),IFERROR(DATEVALUE(A342),"")))</f>
        <v/>
      </c>
      <c r="H342" s="0" t="str">
        <f aca="false">IF(G342="","",INT((G342-SAT1)/7)+1)</f>
        <v/>
      </c>
      <c r="I342" s="0" t="str">
        <f aca="false">IF(H342="","",IF(OR(H342&lt;1,H342&gt;NW),"",INDEX(WMON,H342)))</f>
        <v/>
      </c>
      <c r="J342" s="0" t="str">
        <f aca="false">IF(OR(G342="",H342="",B342=""),"",IF(B342="عمر المصري",SUMIFS('ساعات عمر'!$H$7:$H$642,'ساعات عمر'!$A$7:$A$642,"&gt;="&amp;(SAT1+7*(H342-1)),'ساعات عمر'!$A$7:$A$642,"&lt;="&amp;G342),SUMIFS('ساعات عبدالعزيز'!$F$7:$F$642,'ساعات عبدالعزيز'!$A$7:$A$642,"&gt;="&amp;(SAT1+7*(H342-1)),'ساعات عبدالعزيز'!$A$7:$A$642,"&lt;="&amp;G342)))</f>
        <v/>
      </c>
    </row>
    <row r="343" customFormat="false" ht="15" hidden="false" customHeight="false" outlineLevel="0" collapsed="false">
      <c r="A343" s="57"/>
      <c r="B343" s="30"/>
      <c r="C343" s="58"/>
      <c r="D343" s="59"/>
      <c r="E343" s="60" t="str">
        <f aca="false">IF(A343="","",IF(G343="","⛔ التاريخ غلط — اكتبه كامل 05/10/2026 أو اختاره من القائمة",IF(OR(H343&lt;1,H343&gt;NW),"⛔ التاريخ برّا السنة",IF(AND(N(C343)&gt;0,N(J343)&gt;0,C343&gt;ADV_CAP*J343),"⚠️ أكثر من "&amp;TEXT(ADV_CAP,"0%")&amp;" من شغله ("&amp;TEXT(J343,"0.000")&amp;")",""))))</f>
        <v/>
      </c>
      <c r="G343" s="0" t="str">
        <f aca="false">IF(A343="","",IF(ISNUMBER(A343),IF(A343&gt;=36526,A343,""),IFERROR(DATEVALUE(A343),"")))</f>
        <v/>
      </c>
      <c r="H343" s="0" t="str">
        <f aca="false">IF(G343="","",INT((G343-SAT1)/7)+1)</f>
        <v/>
      </c>
      <c r="I343" s="0" t="str">
        <f aca="false">IF(H343="","",IF(OR(H343&lt;1,H343&gt;NW),"",INDEX(WMON,H343)))</f>
        <v/>
      </c>
      <c r="J343" s="0" t="str">
        <f aca="false">IF(OR(G343="",H343="",B343=""),"",IF(B343="عمر المصري",SUMIFS('ساعات عمر'!$H$7:$H$642,'ساعات عمر'!$A$7:$A$642,"&gt;="&amp;(SAT1+7*(H343-1)),'ساعات عمر'!$A$7:$A$642,"&lt;="&amp;G343),SUMIFS('ساعات عبدالعزيز'!$F$7:$F$642,'ساعات عبدالعزيز'!$A$7:$A$642,"&gt;="&amp;(SAT1+7*(H343-1)),'ساعات عبدالعزيز'!$A$7:$A$642,"&lt;="&amp;G343)))</f>
        <v/>
      </c>
    </row>
    <row r="344" customFormat="false" ht="15" hidden="false" customHeight="false" outlineLevel="0" collapsed="false">
      <c r="A344" s="57"/>
      <c r="B344" s="30"/>
      <c r="C344" s="58"/>
      <c r="D344" s="59"/>
      <c r="E344" s="60" t="str">
        <f aca="false">IF(A344="","",IF(G344="","⛔ التاريخ غلط — اكتبه كامل 05/10/2026 أو اختاره من القائمة",IF(OR(H344&lt;1,H344&gt;NW),"⛔ التاريخ برّا السنة",IF(AND(N(C344)&gt;0,N(J344)&gt;0,C344&gt;ADV_CAP*J344),"⚠️ أكثر من "&amp;TEXT(ADV_CAP,"0%")&amp;" من شغله ("&amp;TEXT(J344,"0.000")&amp;")",""))))</f>
        <v/>
      </c>
      <c r="G344" s="0" t="str">
        <f aca="false">IF(A344="","",IF(ISNUMBER(A344),IF(A344&gt;=36526,A344,""),IFERROR(DATEVALUE(A344),"")))</f>
        <v/>
      </c>
      <c r="H344" s="0" t="str">
        <f aca="false">IF(G344="","",INT((G344-SAT1)/7)+1)</f>
        <v/>
      </c>
      <c r="I344" s="0" t="str">
        <f aca="false">IF(H344="","",IF(OR(H344&lt;1,H344&gt;NW),"",INDEX(WMON,H344)))</f>
        <v/>
      </c>
      <c r="J344" s="0" t="str">
        <f aca="false">IF(OR(G344="",H344="",B344=""),"",IF(B344="عمر المصري",SUMIFS('ساعات عمر'!$H$7:$H$642,'ساعات عمر'!$A$7:$A$642,"&gt;="&amp;(SAT1+7*(H344-1)),'ساعات عمر'!$A$7:$A$642,"&lt;="&amp;G344),SUMIFS('ساعات عبدالعزيز'!$F$7:$F$642,'ساعات عبدالعزيز'!$A$7:$A$642,"&gt;="&amp;(SAT1+7*(H344-1)),'ساعات عبدالعزيز'!$A$7:$A$642,"&lt;="&amp;G344)))</f>
        <v/>
      </c>
    </row>
    <row r="345" customFormat="false" ht="15" hidden="false" customHeight="false" outlineLevel="0" collapsed="false">
      <c r="A345" s="57"/>
      <c r="B345" s="30"/>
      <c r="C345" s="58"/>
      <c r="D345" s="59"/>
      <c r="E345" s="60" t="str">
        <f aca="false">IF(A345="","",IF(G345="","⛔ التاريخ غلط — اكتبه كامل 05/10/2026 أو اختاره من القائمة",IF(OR(H345&lt;1,H345&gt;NW),"⛔ التاريخ برّا السنة",IF(AND(N(C345)&gt;0,N(J345)&gt;0,C345&gt;ADV_CAP*J345),"⚠️ أكثر من "&amp;TEXT(ADV_CAP,"0%")&amp;" من شغله ("&amp;TEXT(J345,"0.000")&amp;")",""))))</f>
        <v/>
      </c>
      <c r="G345" s="0" t="str">
        <f aca="false">IF(A345="","",IF(ISNUMBER(A345),IF(A345&gt;=36526,A345,""),IFERROR(DATEVALUE(A345),"")))</f>
        <v/>
      </c>
      <c r="H345" s="0" t="str">
        <f aca="false">IF(G345="","",INT((G345-SAT1)/7)+1)</f>
        <v/>
      </c>
      <c r="I345" s="0" t="str">
        <f aca="false">IF(H345="","",IF(OR(H345&lt;1,H345&gt;NW),"",INDEX(WMON,H345)))</f>
        <v/>
      </c>
      <c r="J345" s="0" t="str">
        <f aca="false">IF(OR(G345="",H345="",B345=""),"",IF(B345="عمر المصري",SUMIFS('ساعات عمر'!$H$7:$H$642,'ساعات عمر'!$A$7:$A$642,"&gt;="&amp;(SAT1+7*(H345-1)),'ساعات عمر'!$A$7:$A$642,"&lt;="&amp;G345),SUMIFS('ساعات عبدالعزيز'!$F$7:$F$642,'ساعات عبدالعزيز'!$A$7:$A$642,"&gt;="&amp;(SAT1+7*(H345-1)),'ساعات عبدالعزيز'!$A$7:$A$642,"&lt;="&amp;G345)))</f>
        <v/>
      </c>
    </row>
    <row r="346" customFormat="false" ht="15" hidden="false" customHeight="false" outlineLevel="0" collapsed="false">
      <c r="A346" s="57"/>
      <c r="B346" s="30"/>
      <c r="C346" s="58"/>
      <c r="D346" s="59"/>
      <c r="E346" s="60" t="str">
        <f aca="false">IF(A346="","",IF(G346="","⛔ التاريخ غلط — اكتبه كامل 05/10/2026 أو اختاره من القائمة",IF(OR(H346&lt;1,H346&gt;NW),"⛔ التاريخ برّا السنة",IF(AND(N(C346)&gt;0,N(J346)&gt;0,C346&gt;ADV_CAP*J346),"⚠️ أكثر من "&amp;TEXT(ADV_CAP,"0%")&amp;" من شغله ("&amp;TEXT(J346,"0.000")&amp;")",""))))</f>
        <v/>
      </c>
      <c r="G346" s="0" t="str">
        <f aca="false">IF(A346="","",IF(ISNUMBER(A346),IF(A346&gt;=36526,A346,""),IFERROR(DATEVALUE(A346),"")))</f>
        <v/>
      </c>
      <c r="H346" s="0" t="str">
        <f aca="false">IF(G346="","",INT((G346-SAT1)/7)+1)</f>
        <v/>
      </c>
      <c r="I346" s="0" t="str">
        <f aca="false">IF(H346="","",IF(OR(H346&lt;1,H346&gt;NW),"",INDEX(WMON,H346)))</f>
        <v/>
      </c>
      <c r="J346" s="0" t="str">
        <f aca="false">IF(OR(G346="",H346="",B346=""),"",IF(B346="عمر المصري",SUMIFS('ساعات عمر'!$H$7:$H$642,'ساعات عمر'!$A$7:$A$642,"&gt;="&amp;(SAT1+7*(H346-1)),'ساعات عمر'!$A$7:$A$642,"&lt;="&amp;G346),SUMIFS('ساعات عبدالعزيز'!$F$7:$F$642,'ساعات عبدالعزيز'!$A$7:$A$642,"&gt;="&amp;(SAT1+7*(H346-1)),'ساعات عبدالعزيز'!$A$7:$A$642,"&lt;="&amp;G346)))</f>
        <v/>
      </c>
    </row>
    <row r="347" customFormat="false" ht="15" hidden="false" customHeight="false" outlineLevel="0" collapsed="false">
      <c r="A347" s="57"/>
      <c r="B347" s="30"/>
      <c r="C347" s="58"/>
      <c r="D347" s="59"/>
      <c r="E347" s="60" t="str">
        <f aca="false">IF(A347="","",IF(G347="","⛔ التاريخ غلط — اكتبه كامل 05/10/2026 أو اختاره من القائمة",IF(OR(H347&lt;1,H347&gt;NW),"⛔ التاريخ برّا السنة",IF(AND(N(C347)&gt;0,N(J347)&gt;0,C347&gt;ADV_CAP*J347),"⚠️ أكثر من "&amp;TEXT(ADV_CAP,"0%")&amp;" من شغله ("&amp;TEXT(J347,"0.000")&amp;")",""))))</f>
        <v/>
      </c>
      <c r="G347" s="0" t="str">
        <f aca="false">IF(A347="","",IF(ISNUMBER(A347),IF(A347&gt;=36526,A347,""),IFERROR(DATEVALUE(A347),"")))</f>
        <v/>
      </c>
      <c r="H347" s="0" t="str">
        <f aca="false">IF(G347="","",INT((G347-SAT1)/7)+1)</f>
        <v/>
      </c>
      <c r="I347" s="0" t="str">
        <f aca="false">IF(H347="","",IF(OR(H347&lt;1,H347&gt;NW),"",INDEX(WMON,H347)))</f>
        <v/>
      </c>
      <c r="J347" s="0" t="str">
        <f aca="false">IF(OR(G347="",H347="",B347=""),"",IF(B347="عمر المصري",SUMIFS('ساعات عمر'!$H$7:$H$642,'ساعات عمر'!$A$7:$A$642,"&gt;="&amp;(SAT1+7*(H347-1)),'ساعات عمر'!$A$7:$A$642,"&lt;="&amp;G347),SUMIFS('ساعات عبدالعزيز'!$F$7:$F$642,'ساعات عبدالعزيز'!$A$7:$A$642,"&gt;="&amp;(SAT1+7*(H347-1)),'ساعات عبدالعزيز'!$A$7:$A$642,"&lt;="&amp;G347)))</f>
        <v/>
      </c>
    </row>
    <row r="348" customFormat="false" ht="15" hidden="false" customHeight="false" outlineLevel="0" collapsed="false">
      <c r="A348" s="57"/>
      <c r="B348" s="30"/>
      <c r="C348" s="58"/>
      <c r="D348" s="59"/>
      <c r="E348" s="60" t="str">
        <f aca="false">IF(A348="","",IF(G348="","⛔ التاريخ غلط — اكتبه كامل 05/10/2026 أو اختاره من القائمة",IF(OR(H348&lt;1,H348&gt;NW),"⛔ التاريخ برّا السنة",IF(AND(N(C348)&gt;0,N(J348)&gt;0,C348&gt;ADV_CAP*J348),"⚠️ أكثر من "&amp;TEXT(ADV_CAP,"0%")&amp;" من شغله ("&amp;TEXT(J348,"0.000")&amp;")",""))))</f>
        <v/>
      </c>
      <c r="G348" s="0" t="str">
        <f aca="false">IF(A348="","",IF(ISNUMBER(A348),IF(A348&gt;=36526,A348,""),IFERROR(DATEVALUE(A348),"")))</f>
        <v/>
      </c>
      <c r="H348" s="0" t="str">
        <f aca="false">IF(G348="","",INT((G348-SAT1)/7)+1)</f>
        <v/>
      </c>
      <c r="I348" s="0" t="str">
        <f aca="false">IF(H348="","",IF(OR(H348&lt;1,H348&gt;NW),"",INDEX(WMON,H348)))</f>
        <v/>
      </c>
      <c r="J348" s="0" t="str">
        <f aca="false">IF(OR(G348="",H348="",B348=""),"",IF(B348="عمر المصري",SUMIFS('ساعات عمر'!$H$7:$H$642,'ساعات عمر'!$A$7:$A$642,"&gt;="&amp;(SAT1+7*(H348-1)),'ساعات عمر'!$A$7:$A$642,"&lt;="&amp;G348),SUMIFS('ساعات عبدالعزيز'!$F$7:$F$642,'ساعات عبدالعزيز'!$A$7:$A$642,"&gt;="&amp;(SAT1+7*(H348-1)),'ساعات عبدالعزيز'!$A$7:$A$642,"&lt;="&amp;G348)))</f>
        <v/>
      </c>
    </row>
    <row r="349" customFormat="false" ht="15" hidden="false" customHeight="false" outlineLevel="0" collapsed="false">
      <c r="A349" s="57"/>
      <c r="B349" s="30"/>
      <c r="C349" s="58"/>
      <c r="D349" s="59"/>
      <c r="E349" s="60" t="str">
        <f aca="false">IF(A349="","",IF(G349="","⛔ التاريخ غلط — اكتبه كامل 05/10/2026 أو اختاره من القائمة",IF(OR(H349&lt;1,H349&gt;NW),"⛔ التاريخ برّا السنة",IF(AND(N(C349)&gt;0,N(J349)&gt;0,C349&gt;ADV_CAP*J349),"⚠️ أكثر من "&amp;TEXT(ADV_CAP,"0%")&amp;" من شغله ("&amp;TEXT(J349,"0.000")&amp;")",""))))</f>
        <v/>
      </c>
      <c r="G349" s="0" t="str">
        <f aca="false">IF(A349="","",IF(ISNUMBER(A349),IF(A349&gt;=36526,A349,""),IFERROR(DATEVALUE(A349),"")))</f>
        <v/>
      </c>
      <c r="H349" s="0" t="str">
        <f aca="false">IF(G349="","",INT((G349-SAT1)/7)+1)</f>
        <v/>
      </c>
      <c r="I349" s="0" t="str">
        <f aca="false">IF(H349="","",IF(OR(H349&lt;1,H349&gt;NW),"",INDEX(WMON,H349)))</f>
        <v/>
      </c>
      <c r="J349" s="0" t="str">
        <f aca="false">IF(OR(G349="",H349="",B349=""),"",IF(B349="عمر المصري",SUMIFS('ساعات عمر'!$H$7:$H$642,'ساعات عمر'!$A$7:$A$642,"&gt;="&amp;(SAT1+7*(H349-1)),'ساعات عمر'!$A$7:$A$642,"&lt;="&amp;G349),SUMIFS('ساعات عبدالعزيز'!$F$7:$F$642,'ساعات عبدالعزيز'!$A$7:$A$642,"&gt;="&amp;(SAT1+7*(H349-1)),'ساعات عبدالعزيز'!$A$7:$A$642,"&lt;="&amp;G349)))</f>
        <v/>
      </c>
    </row>
    <row r="350" customFormat="false" ht="15" hidden="false" customHeight="false" outlineLevel="0" collapsed="false">
      <c r="A350" s="57"/>
      <c r="B350" s="30"/>
      <c r="C350" s="58"/>
      <c r="D350" s="59"/>
      <c r="E350" s="60" t="str">
        <f aca="false">IF(A350="","",IF(G350="","⛔ التاريخ غلط — اكتبه كامل 05/10/2026 أو اختاره من القائمة",IF(OR(H350&lt;1,H350&gt;NW),"⛔ التاريخ برّا السنة",IF(AND(N(C350)&gt;0,N(J350)&gt;0,C350&gt;ADV_CAP*J350),"⚠️ أكثر من "&amp;TEXT(ADV_CAP,"0%")&amp;" من شغله ("&amp;TEXT(J350,"0.000")&amp;")",""))))</f>
        <v/>
      </c>
      <c r="G350" s="0" t="str">
        <f aca="false">IF(A350="","",IF(ISNUMBER(A350),IF(A350&gt;=36526,A350,""),IFERROR(DATEVALUE(A350),"")))</f>
        <v/>
      </c>
      <c r="H350" s="0" t="str">
        <f aca="false">IF(G350="","",INT((G350-SAT1)/7)+1)</f>
        <v/>
      </c>
      <c r="I350" s="0" t="str">
        <f aca="false">IF(H350="","",IF(OR(H350&lt;1,H350&gt;NW),"",INDEX(WMON,H350)))</f>
        <v/>
      </c>
      <c r="J350" s="0" t="str">
        <f aca="false">IF(OR(G350="",H350="",B350=""),"",IF(B350="عمر المصري",SUMIFS('ساعات عمر'!$H$7:$H$642,'ساعات عمر'!$A$7:$A$642,"&gt;="&amp;(SAT1+7*(H350-1)),'ساعات عمر'!$A$7:$A$642,"&lt;="&amp;G350),SUMIFS('ساعات عبدالعزيز'!$F$7:$F$642,'ساعات عبدالعزيز'!$A$7:$A$642,"&gt;="&amp;(SAT1+7*(H350-1)),'ساعات عبدالعزيز'!$A$7:$A$642,"&lt;="&amp;G350)))</f>
        <v/>
      </c>
    </row>
    <row r="351" customFormat="false" ht="15" hidden="false" customHeight="false" outlineLevel="0" collapsed="false">
      <c r="A351" s="57"/>
      <c r="B351" s="30"/>
      <c r="C351" s="58"/>
      <c r="D351" s="59"/>
      <c r="E351" s="60" t="str">
        <f aca="false">IF(A351="","",IF(G351="","⛔ التاريخ غلط — اكتبه كامل 05/10/2026 أو اختاره من القائمة",IF(OR(H351&lt;1,H351&gt;NW),"⛔ التاريخ برّا السنة",IF(AND(N(C351)&gt;0,N(J351)&gt;0,C351&gt;ADV_CAP*J351),"⚠️ أكثر من "&amp;TEXT(ADV_CAP,"0%")&amp;" من شغله ("&amp;TEXT(J351,"0.000")&amp;")",""))))</f>
        <v/>
      </c>
      <c r="G351" s="0" t="str">
        <f aca="false">IF(A351="","",IF(ISNUMBER(A351),IF(A351&gt;=36526,A351,""),IFERROR(DATEVALUE(A351),"")))</f>
        <v/>
      </c>
      <c r="H351" s="0" t="str">
        <f aca="false">IF(G351="","",INT((G351-SAT1)/7)+1)</f>
        <v/>
      </c>
      <c r="I351" s="0" t="str">
        <f aca="false">IF(H351="","",IF(OR(H351&lt;1,H351&gt;NW),"",INDEX(WMON,H351)))</f>
        <v/>
      </c>
      <c r="J351" s="0" t="str">
        <f aca="false">IF(OR(G351="",H351="",B351=""),"",IF(B351="عمر المصري",SUMIFS('ساعات عمر'!$H$7:$H$642,'ساعات عمر'!$A$7:$A$642,"&gt;="&amp;(SAT1+7*(H351-1)),'ساعات عمر'!$A$7:$A$642,"&lt;="&amp;G351),SUMIFS('ساعات عبدالعزيز'!$F$7:$F$642,'ساعات عبدالعزيز'!$A$7:$A$642,"&gt;="&amp;(SAT1+7*(H351-1)),'ساعات عبدالعزيز'!$A$7:$A$642,"&lt;="&amp;G351)))</f>
        <v/>
      </c>
    </row>
    <row r="352" customFormat="false" ht="15" hidden="false" customHeight="false" outlineLevel="0" collapsed="false">
      <c r="A352" s="57"/>
      <c r="B352" s="30"/>
      <c r="C352" s="58"/>
      <c r="D352" s="59"/>
      <c r="E352" s="60" t="str">
        <f aca="false">IF(A352="","",IF(G352="","⛔ التاريخ غلط — اكتبه كامل 05/10/2026 أو اختاره من القائمة",IF(OR(H352&lt;1,H352&gt;NW),"⛔ التاريخ برّا السنة",IF(AND(N(C352)&gt;0,N(J352)&gt;0,C352&gt;ADV_CAP*J352),"⚠️ أكثر من "&amp;TEXT(ADV_CAP,"0%")&amp;" من شغله ("&amp;TEXT(J352,"0.000")&amp;")",""))))</f>
        <v/>
      </c>
      <c r="G352" s="0" t="str">
        <f aca="false">IF(A352="","",IF(ISNUMBER(A352),IF(A352&gt;=36526,A352,""),IFERROR(DATEVALUE(A352),"")))</f>
        <v/>
      </c>
      <c r="H352" s="0" t="str">
        <f aca="false">IF(G352="","",INT((G352-SAT1)/7)+1)</f>
        <v/>
      </c>
      <c r="I352" s="0" t="str">
        <f aca="false">IF(H352="","",IF(OR(H352&lt;1,H352&gt;NW),"",INDEX(WMON,H352)))</f>
        <v/>
      </c>
      <c r="J352" s="0" t="str">
        <f aca="false">IF(OR(G352="",H352="",B352=""),"",IF(B352="عمر المصري",SUMIFS('ساعات عمر'!$H$7:$H$642,'ساعات عمر'!$A$7:$A$642,"&gt;="&amp;(SAT1+7*(H352-1)),'ساعات عمر'!$A$7:$A$642,"&lt;="&amp;G352),SUMIFS('ساعات عبدالعزيز'!$F$7:$F$642,'ساعات عبدالعزيز'!$A$7:$A$642,"&gt;="&amp;(SAT1+7*(H352-1)),'ساعات عبدالعزيز'!$A$7:$A$642,"&lt;="&amp;G352)))</f>
        <v/>
      </c>
    </row>
    <row r="353" customFormat="false" ht="15" hidden="false" customHeight="false" outlineLevel="0" collapsed="false">
      <c r="A353" s="57"/>
      <c r="B353" s="30"/>
      <c r="C353" s="58"/>
      <c r="D353" s="59"/>
      <c r="E353" s="60" t="str">
        <f aca="false">IF(A353="","",IF(G353="","⛔ التاريخ غلط — اكتبه كامل 05/10/2026 أو اختاره من القائمة",IF(OR(H353&lt;1,H353&gt;NW),"⛔ التاريخ برّا السنة",IF(AND(N(C353)&gt;0,N(J353)&gt;0,C353&gt;ADV_CAP*J353),"⚠️ أكثر من "&amp;TEXT(ADV_CAP,"0%")&amp;" من شغله ("&amp;TEXT(J353,"0.000")&amp;")",""))))</f>
        <v/>
      </c>
      <c r="G353" s="0" t="str">
        <f aca="false">IF(A353="","",IF(ISNUMBER(A353),IF(A353&gt;=36526,A353,""),IFERROR(DATEVALUE(A353),"")))</f>
        <v/>
      </c>
      <c r="H353" s="0" t="str">
        <f aca="false">IF(G353="","",INT((G353-SAT1)/7)+1)</f>
        <v/>
      </c>
      <c r="I353" s="0" t="str">
        <f aca="false">IF(H353="","",IF(OR(H353&lt;1,H353&gt;NW),"",INDEX(WMON,H353)))</f>
        <v/>
      </c>
      <c r="J353" s="0" t="str">
        <f aca="false">IF(OR(G353="",H353="",B353=""),"",IF(B353="عمر المصري",SUMIFS('ساعات عمر'!$H$7:$H$642,'ساعات عمر'!$A$7:$A$642,"&gt;="&amp;(SAT1+7*(H353-1)),'ساعات عمر'!$A$7:$A$642,"&lt;="&amp;G353),SUMIFS('ساعات عبدالعزيز'!$F$7:$F$642,'ساعات عبدالعزيز'!$A$7:$A$642,"&gt;="&amp;(SAT1+7*(H353-1)),'ساعات عبدالعزيز'!$A$7:$A$642,"&lt;="&amp;G353)))</f>
        <v/>
      </c>
    </row>
    <row r="354" customFormat="false" ht="15" hidden="false" customHeight="false" outlineLevel="0" collapsed="false">
      <c r="A354" s="57"/>
      <c r="B354" s="30"/>
      <c r="C354" s="58"/>
      <c r="D354" s="59"/>
      <c r="E354" s="60" t="str">
        <f aca="false">IF(A354="","",IF(G354="","⛔ التاريخ غلط — اكتبه كامل 05/10/2026 أو اختاره من القائمة",IF(OR(H354&lt;1,H354&gt;NW),"⛔ التاريخ برّا السنة",IF(AND(N(C354)&gt;0,N(J354)&gt;0,C354&gt;ADV_CAP*J354),"⚠️ أكثر من "&amp;TEXT(ADV_CAP,"0%")&amp;" من شغله ("&amp;TEXT(J354,"0.000")&amp;")",""))))</f>
        <v/>
      </c>
      <c r="G354" s="0" t="str">
        <f aca="false">IF(A354="","",IF(ISNUMBER(A354),IF(A354&gt;=36526,A354,""),IFERROR(DATEVALUE(A354),"")))</f>
        <v/>
      </c>
      <c r="H354" s="0" t="str">
        <f aca="false">IF(G354="","",INT((G354-SAT1)/7)+1)</f>
        <v/>
      </c>
      <c r="I354" s="0" t="str">
        <f aca="false">IF(H354="","",IF(OR(H354&lt;1,H354&gt;NW),"",INDEX(WMON,H354)))</f>
        <v/>
      </c>
      <c r="J354" s="0" t="str">
        <f aca="false">IF(OR(G354="",H354="",B354=""),"",IF(B354="عمر المصري",SUMIFS('ساعات عمر'!$H$7:$H$642,'ساعات عمر'!$A$7:$A$642,"&gt;="&amp;(SAT1+7*(H354-1)),'ساعات عمر'!$A$7:$A$642,"&lt;="&amp;G354),SUMIFS('ساعات عبدالعزيز'!$F$7:$F$642,'ساعات عبدالعزيز'!$A$7:$A$642,"&gt;="&amp;(SAT1+7*(H354-1)),'ساعات عبدالعزيز'!$A$7:$A$642,"&lt;="&amp;G354)))</f>
        <v/>
      </c>
    </row>
    <row r="355" customFormat="false" ht="15" hidden="false" customHeight="false" outlineLevel="0" collapsed="false">
      <c r="A355" s="57"/>
      <c r="B355" s="30"/>
      <c r="C355" s="58"/>
      <c r="D355" s="59"/>
      <c r="E355" s="60" t="str">
        <f aca="false">IF(A355="","",IF(G355="","⛔ التاريخ غلط — اكتبه كامل 05/10/2026 أو اختاره من القائمة",IF(OR(H355&lt;1,H355&gt;NW),"⛔ التاريخ برّا السنة",IF(AND(N(C355)&gt;0,N(J355)&gt;0,C355&gt;ADV_CAP*J355),"⚠️ أكثر من "&amp;TEXT(ADV_CAP,"0%")&amp;" من شغله ("&amp;TEXT(J355,"0.000")&amp;")",""))))</f>
        <v/>
      </c>
      <c r="G355" s="0" t="str">
        <f aca="false">IF(A355="","",IF(ISNUMBER(A355),IF(A355&gt;=36526,A355,""),IFERROR(DATEVALUE(A355),"")))</f>
        <v/>
      </c>
      <c r="H355" s="0" t="str">
        <f aca="false">IF(G355="","",INT((G355-SAT1)/7)+1)</f>
        <v/>
      </c>
      <c r="I355" s="0" t="str">
        <f aca="false">IF(H355="","",IF(OR(H355&lt;1,H355&gt;NW),"",INDEX(WMON,H355)))</f>
        <v/>
      </c>
      <c r="J355" s="0" t="str">
        <f aca="false">IF(OR(G355="",H355="",B355=""),"",IF(B355="عمر المصري",SUMIFS('ساعات عمر'!$H$7:$H$642,'ساعات عمر'!$A$7:$A$642,"&gt;="&amp;(SAT1+7*(H355-1)),'ساعات عمر'!$A$7:$A$642,"&lt;="&amp;G355),SUMIFS('ساعات عبدالعزيز'!$F$7:$F$642,'ساعات عبدالعزيز'!$A$7:$A$642,"&gt;="&amp;(SAT1+7*(H355-1)),'ساعات عبدالعزيز'!$A$7:$A$642,"&lt;="&amp;G355)))</f>
        <v/>
      </c>
    </row>
    <row r="356" customFormat="false" ht="15" hidden="false" customHeight="false" outlineLevel="0" collapsed="false">
      <c r="A356" s="57"/>
      <c r="B356" s="30"/>
      <c r="C356" s="58"/>
      <c r="D356" s="59"/>
      <c r="E356" s="60" t="str">
        <f aca="false">IF(A356="","",IF(G356="","⛔ التاريخ غلط — اكتبه كامل 05/10/2026 أو اختاره من القائمة",IF(OR(H356&lt;1,H356&gt;NW),"⛔ التاريخ برّا السنة",IF(AND(N(C356)&gt;0,N(J356)&gt;0,C356&gt;ADV_CAP*J356),"⚠️ أكثر من "&amp;TEXT(ADV_CAP,"0%")&amp;" من شغله ("&amp;TEXT(J356,"0.000")&amp;")",""))))</f>
        <v/>
      </c>
      <c r="G356" s="0" t="str">
        <f aca="false">IF(A356="","",IF(ISNUMBER(A356),IF(A356&gt;=36526,A356,""),IFERROR(DATEVALUE(A356),"")))</f>
        <v/>
      </c>
      <c r="H356" s="0" t="str">
        <f aca="false">IF(G356="","",INT((G356-SAT1)/7)+1)</f>
        <v/>
      </c>
      <c r="I356" s="0" t="str">
        <f aca="false">IF(H356="","",IF(OR(H356&lt;1,H356&gt;NW),"",INDEX(WMON,H356)))</f>
        <v/>
      </c>
      <c r="J356" s="0" t="str">
        <f aca="false">IF(OR(G356="",H356="",B356=""),"",IF(B356="عمر المصري",SUMIFS('ساعات عمر'!$H$7:$H$642,'ساعات عمر'!$A$7:$A$642,"&gt;="&amp;(SAT1+7*(H356-1)),'ساعات عمر'!$A$7:$A$642,"&lt;="&amp;G356),SUMIFS('ساعات عبدالعزيز'!$F$7:$F$642,'ساعات عبدالعزيز'!$A$7:$A$642,"&gt;="&amp;(SAT1+7*(H356-1)),'ساعات عبدالعزيز'!$A$7:$A$642,"&lt;="&amp;G356)))</f>
        <v/>
      </c>
    </row>
    <row r="357" customFormat="false" ht="15" hidden="false" customHeight="false" outlineLevel="0" collapsed="false">
      <c r="A357" s="57"/>
      <c r="B357" s="30"/>
      <c r="C357" s="58"/>
      <c r="D357" s="59"/>
      <c r="E357" s="60" t="str">
        <f aca="false">IF(A357="","",IF(G357="","⛔ التاريخ غلط — اكتبه كامل 05/10/2026 أو اختاره من القائمة",IF(OR(H357&lt;1,H357&gt;NW),"⛔ التاريخ برّا السنة",IF(AND(N(C357)&gt;0,N(J357)&gt;0,C357&gt;ADV_CAP*J357),"⚠️ أكثر من "&amp;TEXT(ADV_CAP,"0%")&amp;" من شغله ("&amp;TEXT(J357,"0.000")&amp;")",""))))</f>
        <v/>
      </c>
      <c r="G357" s="0" t="str">
        <f aca="false">IF(A357="","",IF(ISNUMBER(A357),IF(A357&gt;=36526,A357,""),IFERROR(DATEVALUE(A357),"")))</f>
        <v/>
      </c>
      <c r="H357" s="0" t="str">
        <f aca="false">IF(G357="","",INT((G357-SAT1)/7)+1)</f>
        <v/>
      </c>
      <c r="I357" s="0" t="str">
        <f aca="false">IF(H357="","",IF(OR(H357&lt;1,H357&gt;NW),"",INDEX(WMON,H357)))</f>
        <v/>
      </c>
      <c r="J357" s="0" t="str">
        <f aca="false">IF(OR(G357="",H357="",B357=""),"",IF(B357="عمر المصري",SUMIFS('ساعات عمر'!$H$7:$H$642,'ساعات عمر'!$A$7:$A$642,"&gt;="&amp;(SAT1+7*(H357-1)),'ساعات عمر'!$A$7:$A$642,"&lt;="&amp;G357),SUMIFS('ساعات عبدالعزيز'!$F$7:$F$642,'ساعات عبدالعزيز'!$A$7:$A$642,"&gt;="&amp;(SAT1+7*(H357-1)),'ساعات عبدالعزيز'!$A$7:$A$642,"&lt;="&amp;G357)))</f>
        <v/>
      </c>
    </row>
    <row r="358" customFormat="false" ht="15" hidden="false" customHeight="false" outlineLevel="0" collapsed="false">
      <c r="A358" s="57"/>
      <c r="B358" s="30"/>
      <c r="C358" s="58"/>
      <c r="D358" s="59"/>
      <c r="E358" s="60" t="str">
        <f aca="false">IF(A358="","",IF(G358="","⛔ التاريخ غلط — اكتبه كامل 05/10/2026 أو اختاره من القائمة",IF(OR(H358&lt;1,H358&gt;NW),"⛔ التاريخ برّا السنة",IF(AND(N(C358)&gt;0,N(J358)&gt;0,C358&gt;ADV_CAP*J358),"⚠️ أكثر من "&amp;TEXT(ADV_CAP,"0%")&amp;" من شغله ("&amp;TEXT(J358,"0.000")&amp;")",""))))</f>
        <v/>
      </c>
      <c r="G358" s="0" t="str">
        <f aca="false">IF(A358="","",IF(ISNUMBER(A358),IF(A358&gt;=36526,A358,""),IFERROR(DATEVALUE(A358),"")))</f>
        <v/>
      </c>
      <c r="H358" s="0" t="str">
        <f aca="false">IF(G358="","",INT((G358-SAT1)/7)+1)</f>
        <v/>
      </c>
      <c r="I358" s="0" t="str">
        <f aca="false">IF(H358="","",IF(OR(H358&lt;1,H358&gt;NW),"",INDEX(WMON,H358)))</f>
        <v/>
      </c>
      <c r="J358" s="0" t="str">
        <f aca="false">IF(OR(G358="",H358="",B358=""),"",IF(B358="عمر المصري",SUMIFS('ساعات عمر'!$H$7:$H$642,'ساعات عمر'!$A$7:$A$642,"&gt;="&amp;(SAT1+7*(H358-1)),'ساعات عمر'!$A$7:$A$642,"&lt;="&amp;G358),SUMIFS('ساعات عبدالعزيز'!$F$7:$F$642,'ساعات عبدالعزيز'!$A$7:$A$642,"&gt;="&amp;(SAT1+7*(H358-1)),'ساعات عبدالعزيز'!$A$7:$A$642,"&lt;="&amp;G358)))</f>
        <v/>
      </c>
    </row>
    <row r="359" customFormat="false" ht="15" hidden="false" customHeight="false" outlineLevel="0" collapsed="false">
      <c r="A359" s="57"/>
      <c r="B359" s="30"/>
      <c r="C359" s="58"/>
      <c r="D359" s="59"/>
      <c r="E359" s="60" t="str">
        <f aca="false">IF(A359="","",IF(G359="","⛔ التاريخ غلط — اكتبه كامل 05/10/2026 أو اختاره من القائمة",IF(OR(H359&lt;1,H359&gt;NW),"⛔ التاريخ برّا السنة",IF(AND(N(C359)&gt;0,N(J359)&gt;0,C359&gt;ADV_CAP*J359),"⚠️ أكثر من "&amp;TEXT(ADV_CAP,"0%")&amp;" من شغله ("&amp;TEXT(J359,"0.000")&amp;")",""))))</f>
        <v/>
      </c>
      <c r="G359" s="0" t="str">
        <f aca="false">IF(A359="","",IF(ISNUMBER(A359),IF(A359&gt;=36526,A359,""),IFERROR(DATEVALUE(A359),"")))</f>
        <v/>
      </c>
      <c r="H359" s="0" t="str">
        <f aca="false">IF(G359="","",INT((G359-SAT1)/7)+1)</f>
        <v/>
      </c>
      <c r="I359" s="0" t="str">
        <f aca="false">IF(H359="","",IF(OR(H359&lt;1,H359&gt;NW),"",INDEX(WMON,H359)))</f>
        <v/>
      </c>
      <c r="J359" s="0" t="str">
        <f aca="false">IF(OR(G359="",H359="",B359=""),"",IF(B359="عمر المصري",SUMIFS('ساعات عمر'!$H$7:$H$642,'ساعات عمر'!$A$7:$A$642,"&gt;="&amp;(SAT1+7*(H359-1)),'ساعات عمر'!$A$7:$A$642,"&lt;="&amp;G359),SUMIFS('ساعات عبدالعزيز'!$F$7:$F$642,'ساعات عبدالعزيز'!$A$7:$A$642,"&gt;="&amp;(SAT1+7*(H359-1)),'ساعات عبدالعزيز'!$A$7:$A$642,"&lt;="&amp;G359)))</f>
        <v/>
      </c>
    </row>
    <row r="360" customFormat="false" ht="15" hidden="false" customHeight="false" outlineLevel="0" collapsed="false">
      <c r="A360" s="57"/>
      <c r="B360" s="30"/>
      <c r="C360" s="58"/>
      <c r="D360" s="59"/>
      <c r="E360" s="60" t="str">
        <f aca="false">IF(A360="","",IF(G360="","⛔ التاريخ غلط — اكتبه كامل 05/10/2026 أو اختاره من القائمة",IF(OR(H360&lt;1,H360&gt;NW),"⛔ التاريخ برّا السنة",IF(AND(N(C360)&gt;0,N(J360)&gt;0,C360&gt;ADV_CAP*J360),"⚠️ أكثر من "&amp;TEXT(ADV_CAP,"0%")&amp;" من شغله ("&amp;TEXT(J360,"0.000")&amp;")",""))))</f>
        <v/>
      </c>
      <c r="G360" s="0" t="str">
        <f aca="false">IF(A360="","",IF(ISNUMBER(A360),IF(A360&gt;=36526,A360,""),IFERROR(DATEVALUE(A360),"")))</f>
        <v/>
      </c>
      <c r="H360" s="0" t="str">
        <f aca="false">IF(G360="","",INT((G360-SAT1)/7)+1)</f>
        <v/>
      </c>
      <c r="I360" s="0" t="str">
        <f aca="false">IF(H360="","",IF(OR(H360&lt;1,H360&gt;NW),"",INDEX(WMON,H360)))</f>
        <v/>
      </c>
      <c r="J360" s="0" t="str">
        <f aca="false">IF(OR(G360="",H360="",B360=""),"",IF(B360="عمر المصري",SUMIFS('ساعات عمر'!$H$7:$H$642,'ساعات عمر'!$A$7:$A$642,"&gt;="&amp;(SAT1+7*(H360-1)),'ساعات عمر'!$A$7:$A$642,"&lt;="&amp;G360),SUMIFS('ساعات عبدالعزيز'!$F$7:$F$642,'ساعات عبدالعزيز'!$A$7:$A$642,"&gt;="&amp;(SAT1+7*(H360-1)),'ساعات عبدالعزيز'!$A$7:$A$642,"&lt;="&amp;G360)))</f>
        <v/>
      </c>
    </row>
    <row r="361" customFormat="false" ht="15" hidden="false" customHeight="false" outlineLevel="0" collapsed="false">
      <c r="A361" s="57"/>
      <c r="B361" s="30"/>
      <c r="C361" s="58"/>
      <c r="D361" s="59"/>
      <c r="E361" s="60" t="str">
        <f aca="false">IF(A361="","",IF(G361="","⛔ التاريخ غلط — اكتبه كامل 05/10/2026 أو اختاره من القائمة",IF(OR(H361&lt;1,H361&gt;NW),"⛔ التاريخ برّا السنة",IF(AND(N(C361)&gt;0,N(J361)&gt;0,C361&gt;ADV_CAP*J361),"⚠️ أكثر من "&amp;TEXT(ADV_CAP,"0%")&amp;" من شغله ("&amp;TEXT(J361,"0.000")&amp;")",""))))</f>
        <v/>
      </c>
      <c r="G361" s="0" t="str">
        <f aca="false">IF(A361="","",IF(ISNUMBER(A361),IF(A361&gt;=36526,A361,""),IFERROR(DATEVALUE(A361),"")))</f>
        <v/>
      </c>
      <c r="H361" s="0" t="str">
        <f aca="false">IF(G361="","",INT((G361-SAT1)/7)+1)</f>
        <v/>
      </c>
      <c r="I361" s="0" t="str">
        <f aca="false">IF(H361="","",IF(OR(H361&lt;1,H361&gt;NW),"",INDEX(WMON,H361)))</f>
        <v/>
      </c>
      <c r="J361" s="0" t="str">
        <f aca="false">IF(OR(G361="",H361="",B361=""),"",IF(B361="عمر المصري",SUMIFS('ساعات عمر'!$H$7:$H$642,'ساعات عمر'!$A$7:$A$642,"&gt;="&amp;(SAT1+7*(H361-1)),'ساعات عمر'!$A$7:$A$642,"&lt;="&amp;G361),SUMIFS('ساعات عبدالعزيز'!$F$7:$F$642,'ساعات عبدالعزيز'!$A$7:$A$642,"&gt;="&amp;(SAT1+7*(H361-1)),'ساعات عبدالعزيز'!$A$7:$A$642,"&lt;="&amp;G361)))</f>
        <v/>
      </c>
    </row>
    <row r="362" customFormat="false" ht="15" hidden="false" customHeight="false" outlineLevel="0" collapsed="false">
      <c r="A362" s="57"/>
      <c r="B362" s="30"/>
      <c r="C362" s="58"/>
      <c r="D362" s="59"/>
      <c r="E362" s="60" t="str">
        <f aca="false">IF(A362="","",IF(G362="","⛔ التاريخ غلط — اكتبه كامل 05/10/2026 أو اختاره من القائمة",IF(OR(H362&lt;1,H362&gt;NW),"⛔ التاريخ برّا السنة",IF(AND(N(C362)&gt;0,N(J362)&gt;0,C362&gt;ADV_CAP*J362),"⚠️ أكثر من "&amp;TEXT(ADV_CAP,"0%")&amp;" من شغله ("&amp;TEXT(J362,"0.000")&amp;")",""))))</f>
        <v/>
      </c>
      <c r="G362" s="0" t="str">
        <f aca="false">IF(A362="","",IF(ISNUMBER(A362),IF(A362&gt;=36526,A362,""),IFERROR(DATEVALUE(A362),"")))</f>
        <v/>
      </c>
      <c r="H362" s="0" t="str">
        <f aca="false">IF(G362="","",INT((G362-SAT1)/7)+1)</f>
        <v/>
      </c>
      <c r="I362" s="0" t="str">
        <f aca="false">IF(H362="","",IF(OR(H362&lt;1,H362&gt;NW),"",INDEX(WMON,H362)))</f>
        <v/>
      </c>
      <c r="J362" s="0" t="str">
        <f aca="false">IF(OR(G362="",H362="",B362=""),"",IF(B362="عمر المصري",SUMIFS('ساعات عمر'!$H$7:$H$642,'ساعات عمر'!$A$7:$A$642,"&gt;="&amp;(SAT1+7*(H362-1)),'ساعات عمر'!$A$7:$A$642,"&lt;="&amp;G362),SUMIFS('ساعات عبدالعزيز'!$F$7:$F$642,'ساعات عبدالعزيز'!$A$7:$A$642,"&gt;="&amp;(SAT1+7*(H362-1)),'ساعات عبدالعزيز'!$A$7:$A$642,"&lt;="&amp;G362)))</f>
        <v/>
      </c>
    </row>
    <row r="363" customFormat="false" ht="15" hidden="false" customHeight="false" outlineLevel="0" collapsed="false">
      <c r="A363" s="57"/>
      <c r="B363" s="30"/>
      <c r="C363" s="58"/>
      <c r="D363" s="59"/>
      <c r="E363" s="60" t="str">
        <f aca="false">IF(A363="","",IF(G363="","⛔ التاريخ غلط — اكتبه كامل 05/10/2026 أو اختاره من القائمة",IF(OR(H363&lt;1,H363&gt;NW),"⛔ التاريخ برّا السنة",IF(AND(N(C363)&gt;0,N(J363)&gt;0,C363&gt;ADV_CAP*J363),"⚠️ أكثر من "&amp;TEXT(ADV_CAP,"0%")&amp;" من شغله ("&amp;TEXT(J363,"0.000")&amp;")",""))))</f>
        <v/>
      </c>
      <c r="G363" s="0" t="str">
        <f aca="false">IF(A363="","",IF(ISNUMBER(A363),IF(A363&gt;=36526,A363,""),IFERROR(DATEVALUE(A363),"")))</f>
        <v/>
      </c>
      <c r="H363" s="0" t="str">
        <f aca="false">IF(G363="","",INT((G363-SAT1)/7)+1)</f>
        <v/>
      </c>
      <c r="I363" s="0" t="str">
        <f aca="false">IF(H363="","",IF(OR(H363&lt;1,H363&gt;NW),"",INDEX(WMON,H363)))</f>
        <v/>
      </c>
      <c r="J363" s="0" t="str">
        <f aca="false">IF(OR(G363="",H363="",B363=""),"",IF(B363="عمر المصري",SUMIFS('ساعات عمر'!$H$7:$H$642,'ساعات عمر'!$A$7:$A$642,"&gt;="&amp;(SAT1+7*(H363-1)),'ساعات عمر'!$A$7:$A$642,"&lt;="&amp;G363),SUMIFS('ساعات عبدالعزيز'!$F$7:$F$642,'ساعات عبدالعزيز'!$A$7:$A$642,"&gt;="&amp;(SAT1+7*(H363-1)),'ساعات عبدالعزيز'!$A$7:$A$642,"&lt;="&amp;G363)))</f>
        <v/>
      </c>
    </row>
    <row r="364" customFormat="false" ht="15" hidden="false" customHeight="false" outlineLevel="0" collapsed="false">
      <c r="A364" s="57"/>
      <c r="B364" s="30"/>
      <c r="C364" s="58"/>
      <c r="D364" s="59"/>
      <c r="E364" s="60" t="str">
        <f aca="false">IF(A364="","",IF(G364="","⛔ التاريخ غلط — اكتبه كامل 05/10/2026 أو اختاره من القائمة",IF(OR(H364&lt;1,H364&gt;NW),"⛔ التاريخ برّا السنة",IF(AND(N(C364)&gt;0,N(J364)&gt;0,C364&gt;ADV_CAP*J364),"⚠️ أكثر من "&amp;TEXT(ADV_CAP,"0%")&amp;" من شغله ("&amp;TEXT(J364,"0.000")&amp;")",""))))</f>
        <v/>
      </c>
      <c r="G364" s="0" t="str">
        <f aca="false">IF(A364="","",IF(ISNUMBER(A364),IF(A364&gt;=36526,A364,""),IFERROR(DATEVALUE(A364),"")))</f>
        <v/>
      </c>
      <c r="H364" s="0" t="str">
        <f aca="false">IF(G364="","",INT((G364-SAT1)/7)+1)</f>
        <v/>
      </c>
      <c r="I364" s="0" t="str">
        <f aca="false">IF(H364="","",IF(OR(H364&lt;1,H364&gt;NW),"",INDEX(WMON,H364)))</f>
        <v/>
      </c>
      <c r="J364" s="0" t="str">
        <f aca="false">IF(OR(G364="",H364="",B364=""),"",IF(B364="عمر المصري",SUMIFS('ساعات عمر'!$H$7:$H$642,'ساعات عمر'!$A$7:$A$642,"&gt;="&amp;(SAT1+7*(H364-1)),'ساعات عمر'!$A$7:$A$642,"&lt;="&amp;G364),SUMIFS('ساعات عبدالعزيز'!$F$7:$F$642,'ساعات عبدالعزيز'!$A$7:$A$642,"&gt;="&amp;(SAT1+7*(H364-1)),'ساعات عبدالعزيز'!$A$7:$A$642,"&lt;="&amp;G364)))</f>
        <v/>
      </c>
    </row>
    <row r="365" customFormat="false" ht="15" hidden="false" customHeight="false" outlineLevel="0" collapsed="false">
      <c r="A365" s="57"/>
      <c r="B365" s="30"/>
      <c r="C365" s="58"/>
      <c r="D365" s="59"/>
      <c r="E365" s="60" t="str">
        <f aca="false">IF(A365="","",IF(G365="","⛔ التاريخ غلط — اكتبه كامل 05/10/2026 أو اختاره من القائمة",IF(OR(H365&lt;1,H365&gt;NW),"⛔ التاريخ برّا السنة",IF(AND(N(C365)&gt;0,N(J365)&gt;0,C365&gt;ADV_CAP*J365),"⚠️ أكثر من "&amp;TEXT(ADV_CAP,"0%")&amp;" من شغله ("&amp;TEXT(J365,"0.000")&amp;")",""))))</f>
        <v/>
      </c>
      <c r="G365" s="0" t="str">
        <f aca="false">IF(A365="","",IF(ISNUMBER(A365),IF(A365&gt;=36526,A365,""),IFERROR(DATEVALUE(A365),"")))</f>
        <v/>
      </c>
      <c r="H365" s="0" t="str">
        <f aca="false">IF(G365="","",INT((G365-SAT1)/7)+1)</f>
        <v/>
      </c>
      <c r="I365" s="0" t="str">
        <f aca="false">IF(H365="","",IF(OR(H365&lt;1,H365&gt;NW),"",INDEX(WMON,H365)))</f>
        <v/>
      </c>
      <c r="J365" s="0" t="str">
        <f aca="false">IF(OR(G365="",H365="",B365=""),"",IF(B365="عمر المصري",SUMIFS('ساعات عمر'!$H$7:$H$642,'ساعات عمر'!$A$7:$A$642,"&gt;="&amp;(SAT1+7*(H365-1)),'ساعات عمر'!$A$7:$A$642,"&lt;="&amp;G365),SUMIFS('ساعات عبدالعزيز'!$F$7:$F$642,'ساعات عبدالعزيز'!$A$7:$A$642,"&gt;="&amp;(SAT1+7*(H365-1)),'ساعات عبدالعزيز'!$A$7:$A$642,"&lt;="&amp;G365)))</f>
        <v/>
      </c>
    </row>
    <row r="366" customFormat="false" ht="15" hidden="false" customHeight="false" outlineLevel="0" collapsed="false">
      <c r="A366" s="57"/>
      <c r="B366" s="30"/>
      <c r="C366" s="58"/>
      <c r="D366" s="59"/>
      <c r="E366" s="60" t="str">
        <f aca="false">IF(A366="","",IF(G366="","⛔ التاريخ غلط — اكتبه كامل 05/10/2026 أو اختاره من القائمة",IF(OR(H366&lt;1,H366&gt;NW),"⛔ التاريخ برّا السنة",IF(AND(N(C366)&gt;0,N(J366)&gt;0,C366&gt;ADV_CAP*J366),"⚠️ أكثر من "&amp;TEXT(ADV_CAP,"0%")&amp;" من شغله ("&amp;TEXT(J366,"0.000")&amp;")",""))))</f>
        <v/>
      </c>
      <c r="G366" s="0" t="str">
        <f aca="false">IF(A366="","",IF(ISNUMBER(A366),IF(A366&gt;=36526,A366,""),IFERROR(DATEVALUE(A366),"")))</f>
        <v/>
      </c>
      <c r="H366" s="0" t="str">
        <f aca="false">IF(G366="","",INT((G366-SAT1)/7)+1)</f>
        <v/>
      </c>
      <c r="I366" s="0" t="str">
        <f aca="false">IF(H366="","",IF(OR(H366&lt;1,H366&gt;NW),"",INDEX(WMON,H366)))</f>
        <v/>
      </c>
      <c r="J366" s="0" t="str">
        <f aca="false">IF(OR(G366="",H366="",B366=""),"",IF(B366="عمر المصري",SUMIFS('ساعات عمر'!$H$7:$H$642,'ساعات عمر'!$A$7:$A$642,"&gt;="&amp;(SAT1+7*(H366-1)),'ساعات عمر'!$A$7:$A$642,"&lt;="&amp;G366),SUMIFS('ساعات عبدالعزيز'!$F$7:$F$642,'ساعات عبدالعزيز'!$A$7:$A$642,"&gt;="&amp;(SAT1+7*(H366-1)),'ساعات عبدالعزيز'!$A$7:$A$642,"&lt;="&amp;G366)))</f>
        <v/>
      </c>
    </row>
    <row r="367" customFormat="false" ht="15" hidden="false" customHeight="false" outlineLevel="0" collapsed="false">
      <c r="A367" s="57"/>
      <c r="B367" s="30"/>
      <c r="C367" s="58"/>
      <c r="D367" s="59"/>
      <c r="E367" s="60" t="str">
        <f aca="false">IF(A367="","",IF(G367="","⛔ التاريخ غلط — اكتبه كامل 05/10/2026 أو اختاره من القائمة",IF(OR(H367&lt;1,H367&gt;NW),"⛔ التاريخ برّا السنة",IF(AND(N(C367)&gt;0,N(J367)&gt;0,C367&gt;ADV_CAP*J367),"⚠️ أكثر من "&amp;TEXT(ADV_CAP,"0%")&amp;" من شغله ("&amp;TEXT(J367,"0.000")&amp;")",""))))</f>
        <v/>
      </c>
      <c r="G367" s="0" t="str">
        <f aca="false">IF(A367="","",IF(ISNUMBER(A367),IF(A367&gt;=36526,A367,""),IFERROR(DATEVALUE(A367),"")))</f>
        <v/>
      </c>
      <c r="H367" s="0" t="str">
        <f aca="false">IF(G367="","",INT((G367-SAT1)/7)+1)</f>
        <v/>
      </c>
      <c r="I367" s="0" t="str">
        <f aca="false">IF(H367="","",IF(OR(H367&lt;1,H367&gt;NW),"",INDEX(WMON,H367)))</f>
        <v/>
      </c>
      <c r="J367" s="0" t="str">
        <f aca="false">IF(OR(G367="",H367="",B367=""),"",IF(B367="عمر المصري",SUMIFS('ساعات عمر'!$H$7:$H$642,'ساعات عمر'!$A$7:$A$642,"&gt;="&amp;(SAT1+7*(H367-1)),'ساعات عمر'!$A$7:$A$642,"&lt;="&amp;G367),SUMIFS('ساعات عبدالعزيز'!$F$7:$F$642,'ساعات عبدالعزيز'!$A$7:$A$642,"&gt;="&amp;(SAT1+7*(H367-1)),'ساعات عبدالعزيز'!$A$7:$A$642,"&lt;="&amp;G367)))</f>
        <v/>
      </c>
    </row>
    <row r="368" customFormat="false" ht="15" hidden="false" customHeight="false" outlineLevel="0" collapsed="false">
      <c r="A368" s="57"/>
      <c r="B368" s="30"/>
      <c r="C368" s="58"/>
      <c r="D368" s="59"/>
      <c r="E368" s="60" t="str">
        <f aca="false">IF(A368="","",IF(G368="","⛔ التاريخ غلط — اكتبه كامل 05/10/2026 أو اختاره من القائمة",IF(OR(H368&lt;1,H368&gt;NW),"⛔ التاريخ برّا السنة",IF(AND(N(C368)&gt;0,N(J368)&gt;0,C368&gt;ADV_CAP*J368),"⚠️ أكثر من "&amp;TEXT(ADV_CAP,"0%")&amp;" من شغله ("&amp;TEXT(J368,"0.000")&amp;")",""))))</f>
        <v/>
      </c>
      <c r="G368" s="0" t="str">
        <f aca="false">IF(A368="","",IF(ISNUMBER(A368),IF(A368&gt;=36526,A368,""),IFERROR(DATEVALUE(A368),"")))</f>
        <v/>
      </c>
      <c r="H368" s="0" t="str">
        <f aca="false">IF(G368="","",INT((G368-SAT1)/7)+1)</f>
        <v/>
      </c>
      <c r="I368" s="0" t="str">
        <f aca="false">IF(H368="","",IF(OR(H368&lt;1,H368&gt;NW),"",INDEX(WMON,H368)))</f>
        <v/>
      </c>
      <c r="J368" s="0" t="str">
        <f aca="false">IF(OR(G368="",H368="",B368=""),"",IF(B368="عمر المصري",SUMIFS('ساعات عمر'!$H$7:$H$642,'ساعات عمر'!$A$7:$A$642,"&gt;="&amp;(SAT1+7*(H368-1)),'ساعات عمر'!$A$7:$A$642,"&lt;="&amp;G368),SUMIFS('ساعات عبدالعزيز'!$F$7:$F$642,'ساعات عبدالعزيز'!$A$7:$A$642,"&gt;="&amp;(SAT1+7*(H368-1)),'ساعات عبدالعزيز'!$A$7:$A$642,"&lt;="&amp;G368)))</f>
        <v/>
      </c>
    </row>
    <row r="369" customFormat="false" ht="15" hidden="false" customHeight="false" outlineLevel="0" collapsed="false">
      <c r="A369" s="57"/>
      <c r="B369" s="30"/>
      <c r="C369" s="58"/>
      <c r="D369" s="59"/>
      <c r="E369" s="60" t="str">
        <f aca="false">IF(A369="","",IF(G369="","⛔ التاريخ غلط — اكتبه كامل 05/10/2026 أو اختاره من القائمة",IF(OR(H369&lt;1,H369&gt;NW),"⛔ التاريخ برّا السنة",IF(AND(N(C369)&gt;0,N(J369)&gt;0,C369&gt;ADV_CAP*J369),"⚠️ أكثر من "&amp;TEXT(ADV_CAP,"0%")&amp;" من شغله ("&amp;TEXT(J369,"0.000")&amp;")",""))))</f>
        <v/>
      </c>
      <c r="G369" s="0" t="str">
        <f aca="false">IF(A369="","",IF(ISNUMBER(A369),IF(A369&gt;=36526,A369,""),IFERROR(DATEVALUE(A369),"")))</f>
        <v/>
      </c>
      <c r="H369" s="0" t="str">
        <f aca="false">IF(G369="","",INT((G369-SAT1)/7)+1)</f>
        <v/>
      </c>
      <c r="I369" s="0" t="str">
        <f aca="false">IF(H369="","",IF(OR(H369&lt;1,H369&gt;NW),"",INDEX(WMON,H369)))</f>
        <v/>
      </c>
      <c r="J369" s="0" t="str">
        <f aca="false">IF(OR(G369="",H369="",B369=""),"",IF(B369="عمر المصري",SUMIFS('ساعات عمر'!$H$7:$H$642,'ساعات عمر'!$A$7:$A$642,"&gt;="&amp;(SAT1+7*(H369-1)),'ساعات عمر'!$A$7:$A$642,"&lt;="&amp;G369),SUMIFS('ساعات عبدالعزيز'!$F$7:$F$642,'ساعات عبدالعزيز'!$A$7:$A$642,"&gt;="&amp;(SAT1+7*(H369-1)),'ساعات عبدالعزيز'!$A$7:$A$642,"&lt;="&amp;G369)))</f>
        <v/>
      </c>
    </row>
    <row r="370" customFormat="false" ht="15" hidden="false" customHeight="false" outlineLevel="0" collapsed="false">
      <c r="A370" s="57"/>
      <c r="B370" s="30"/>
      <c r="C370" s="58"/>
      <c r="D370" s="59"/>
      <c r="E370" s="60" t="str">
        <f aca="false">IF(A370="","",IF(G370="","⛔ التاريخ غلط — اكتبه كامل 05/10/2026 أو اختاره من القائمة",IF(OR(H370&lt;1,H370&gt;NW),"⛔ التاريخ برّا السنة",IF(AND(N(C370)&gt;0,N(J370)&gt;0,C370&gt;ADV_CAP*J370),"⚠️ أكثر من "&amp;TEXT(ADV_CAP,"0%")&amp;" من شغله ("&amp;TEXT(J370,"0.000")&amp;")",""))))</f>
        <v/>
      </c>
      <c r="G370" s="0" t="str">
        <f aca="false">IF(A370="","",IF(ISNUMBER(A370),IF(A370&gt;=36526,A370,""),IFERROR(DATEVALUE(A370),"")))</f>
        <v/>
      </c>
      <c r="H370" s="0" t="str">
        <f aca="false">IF(G370="","",INT((G370-SAT1)/7)+1)</f>
        <v/>
      </c>
      <c r="I370" s="0" t="str">
        <f aca="false">IF(H370="","",IF(OR(H370&lt;1,H370&gt;NW),"",INDEX(WMON,H370)))</f>
        <v/>
      </c>
      <c r="J370" s="0" t="str">
        <f aca="false">IF(OR(G370="",H370="",B370=""),"",IF(B370="عمر المصري",SUMIFS('ساعات عمر'!$H$7:$H$642,'ساعات عمر'!$A$7:$A$642,"&gt;="&amp;(SAT1+7*(H370-1)),'ساعات عمر'!$A$7:$A$642,"&lt;="&amp;G370),SUMIFS('ساعات عبدالعزيز'!$F$7:$F$642,'ساعات عبدالعزيز'!$A$7:$A$642,"&gt;="&amp;(SAT1+7*(H370-1)),'ساعات عبدالعزيز'!$A$7:$A$642,"&lt;="&amp;G370)))</f>
        <v/>
      </c>
    </row>
    <row r="371" customFormat="false" ht="15" hidden="false" customHeight="false" outlineLevel="0" collapsed="false">
      <c r="A371" s="57"/>
      <c r="B371" s="30"/>
      <c r="C371" s="58"/>
      <c r="D371" s="59"/>
      <c r="E371" s="60" t="str">
        <f aca="false">IF(A371="","",IF(G371="","⛔ التاريخ غلط — اكتبه كامل 05/10/2026 أو اختاره من القائمة",IF(OR(H371&lt;1,H371&gt;NW),"⛔ التاريخ برّا السنة",IF(AND(N(C371)&gt;0,N(J371)&gt;0,C371&gt;ADV_CAP*J371),"⚠️ أكثر من "&amp;TEXT(ADV_CAP,"0%")&amp;" من شغله ("&amp;TEXT(J371,"0.000")&amp;")",""))))</f>
        <v/>
      </c>
      <c r="G371" s="0" t="str">
        <f aca="false">IF(A371="","",IF(ISNUMBER(A371),IF(A371&gt;=36526,A371,""),IFERROR(DATEVALUE(A371),"")))</f>
        <v/>
      </c>
      <c r="H371" s="0" t="str">
        <f aca="false">IF(G371="","",INT((G371-SAT1)/7)+1)</f>
        <v/>
      </c>
      <c r="I371" s="0" t="str">
        <f aca="false">IF(H371="","",IF(OR(H371&lt;1,H371&gt;NW),"",INDEX(WMON,H371)))</f>
        <v/>
      </c>
      <c r="J371" s="0" t="str">
        <f aca="false">IF(OR(G371="",H371="",B371=""),"",IF(B371="عمر المصري",SUMIFS('ساعات عمر'!$H$7:$H$642,'ساعات عمر'!$A$7:$A$642,"&gt;="&amp;(SAT1+7*(H371-1)),'ساعات عمر'!$A$7:$A$642,"&lt;="&amp;G371),SUMIFS('ساعات عبدالعزيز'!$F$7:$F$642,'ساعات عبدالعزيز'!$A$7:$A$642,"&gt;="&amp;(SAT1+7*(H371-1)),'ساعات عبدالعزيز'!$A$7:$A$642,"&lt;="&amp;G371)))</f>
        <v/>
      </c>
    </row>
    <row r="372" customFormat="false" ht="15" hidden="false" customHeight="false" outlineLevel="0" collapsed="false">
      <c r="A372" s="57"/>
      <c r="B372" s="30"/>
      <c r="C372" s="58"/>
      <c r="D372" s="59"/>
      <c r="E372" s="60" t="str">
        <f aca="false">IF(A372="","",IF(G372="","⛔ التاريخ غلط — اكتبه كامل 05/10/2026 أو اختاره من القائمة",IF(OR(H372&lt;1,H372&gt;NW),"⛔ التاريخ برّا السنة",IF(AND(N(C372)&gt;0,N(J372)&gt;0,C372&gt;ADV_CAP*J372),"⚠️ أكثر من "&amp;TEXT(ADV_CAP,"0%")&amp;" من شغله ("&amp;TEXT(J372,"0.000")&amp;")",""))))</f>
        <v/>
      </c>
      <c r="G372" s="0" t="str">
        <f aca="false">IF(A372="","",IF(ISNUMBER(A372),IF(A372&gt;=36526,A372,""),IFERROR(DATEVALUE(A372),"")))</f>
        <v/>
      </c>
      <c r="H372" s="0" t="str">
        <f aca="false">IF(G372="","",INT((G372-SAT1)/7)+1)</f>
        <v/>
      </c>
      <c r="I372" s="0" t="str">
        <f aca="false">IF(H372="","",IF(OR(H372&lt;1,H372&gt;NW),"",INDEX(WMON,H372)))</f>
        <v/>
      </c>
      <c r="J372" s="0" t="str">
        <f aca="false">IF(OR(G372="",H372="",B372=""),"",IF(B372="عمر المصري",SUMIFS('ساعات عمر'!$H$7:$H$642,'ساعات عمر'!$A$7:$A$642,"&gt;="&amp;(SAT1+7*(H372-1)),'ساعات عمر'!$A$7:$A$642,"&lt;="&amp;G372),SUMIFS('ساعات عبدالعزيز'!$F$7:$F$642,'ساعات عبدالعزيز'!$A$7:$A$642,"&gt;="&amp;(SAT1+7*(H372-1)),'ساعات عبدالعزيز'!$A$7:$A$642,"&lt;="&amp;G372)))</f>
        <v/>
      </c>
    </row>
    <row r="373" customFormat="false" ht="15" hidden="false" customHeight="false" outlineLevel="0" collapsed="false">
      <c r="A373" s="57"/>
      <c r="B373" s="30"/>
      <c r="C373" s="58"/>
      <c r="D373" s="59"/>
      <c r="E373" s="60" t="str">
        <f aca="false">IF(A373="","",IF(G373="","⛔ التاريخ غلط — اكتبه كامل 05/10/2026 أو اختاره من القائمة",IF(OR(H373&lt;1,H373&gt;NW),"⛔ التاريخ برّا السنة",IF(AND(N(C373)&gt;0,N(J373)&gt;0,C373&gt;ADV_CAP*J373),"⚠️ أكثر من "&amp;TEXT(ADV_CAP,"0%")&amp;" من شغله ("&amp;TEXT(J373,"0.000")&amp;")",""))))</f>
        <v/>
      </c>
      <c r="G373" s="0" t="str">
        <f aca="false">IF(A373="","",IF(ISNUMBER(A373),IF(A373&gt;=36526,A373,""),IFERROR(DATEVALUE(A373),"")))</f>
        <v/>
      </c>
      <c r="H373" s="0" t="str">
        <f aca="false">IF(G373="","",INT((G373-SAT1)/7)+1)</f>
        <v/>
      </c>
      <c r="I373" s="0" t="str">
        <f aca="false">IF(H373="","",IF(OR(H373&lt;1,H373&gt;NW),"",INDEX(WMON,H373)))</f>
        <v/>
      </c>
      <c r="J373" s="0" t="str">
        <f aca="false">IF(OR(G373="",H373="",B373=""),"",IF(B373="عمر المصري",SUMIFS('ساعات عمر'!$H$7:$H$642,'ساعات عمر'!$A$7:$A$642,"&gt;="&amp;(SAT1+7*(H373-1)),'ساعات عمر'!$A$7:$A$642,"&lt;="&amp;G373),SUMIFS('ساعات عبدالعزيز'!$F$7:$F$642,'ساعات عبدالعزيز'!$A$7:$A$642,"&gt;="&amp;(SAT1+7*(H373-1)),'ساعات عبدالعزيز'!$A$7:$A$642,"&lt;="&amp;G373)))</f>
        <v/>
      </c>
    </row>
    <row r="374" customFormat="false" ht="15" hidden="false" customHeight="false" outlineLevel="0" collapsed="false">
      <c r="A374" s="57"/>
      <c r="B374" s="30"/>
      <c r="C374" s="58"/>
      <c r="D374" s="59"/>
      <c r="E374" s="60" t="str">
        <f aca="false">IF(A374="","",IF(G374="","⛔ التاريخ غلط — اكتبه كامل 05/10/2026 أو اختاره من القائمة",IF(OR(H374&lt;1,H374&gt;NW),"⛔ التاريخ برّا السنة",IF(AND(N(C374)&gt;0,N(J374)&gt;0,C374&gt;ADV_CAP*J374),"⚠️ أكثر من "&amp;TEXT(ADV_CAP,"0%")&amp;" من شغله ("&amp;TEXT(J374,"0.000")&amp;")",""))))</f>
        <v/>
      </c>
      <c r="G374" s="0" t="str">
        <f aca="false">IF(A374="","",IF(ISNUMBER(A374),IF(A374&gt;=36526,A374,""),IFERROR(DATEVALUE(A374),"")))</f>
        <v/>
      </c>
      <c r="H374" s="0" t="str">
        <f aca="false">IF(G374="","",INT((G374-SAT1)/7)+1)</f>
        <v/>
      </c>
      <c r="I374" s="0" t="str">
        <f aca="false">IF(H374="","",IF(OR(H374&lt;1,H374&gt;NW),"",INDEX(WMON,H374)))</f>
        <v/>
      </c>
      <c r="J374" s="0" t="str">
        <f aca="false">IF(OR(G374="",H374="",B374=""),"",IF(B374="عمر المصري",SUMIFS('ساعات عمر'!$H$7:$H$642,'ساعات عمر'!$A$7:$A$642,"&gt;="&amp;(SAT1+7*(H374-1)),'ساعات عمر'!$A$7:$A$642,"&lt;="&amp;G374),SUMIFS('ساعات عبدالعزيز'!$F$7:$F$642,'ساعات عبدالعزيز'!$A$7:$A$642,"&gt;="&amp;(SAT1+7*(H374-1)),'ساعات عبدالعزيز'!$A$7:$A$642,"&lt;="&amp;G374)))</f>
        <v/>
      </c>
    </row>
    <row r="375" customFormat="false" ht="15" hidden="false" customHeight="false" outlineLevel="0" collapsed="false">
      <c r="A375" s="57"/>
      <c r="B375" s="30"/>
      <c r="C375" s="58"/>
      <c r="D375" s="59"/>
      <c r="E375" s="60" t="str">
        <f aca="false">IF(A375="","",IF(G375="","⛔ التاريخ غلط — اكتبه كامل 05/10/2026 أو اختاره من القائمة",IF(OR(H375&lt;1,H375&gt;NW),"⛔ التاريخ برّا السنة",IF(AND(N(C375)&gt;0,N(J375)&gt;0,C375&gt;ADV_CAP*J375),"⚠️ أكثر من "&amp;TEXT(ADV_CAP,"0%")&amp;" من شغله ("&amp;TEXT(J375,"0.000")&amp;")",""))))</f>
        <v/>
      </c>
      <c r="G375" s="0" t="str">
        <f aca="false">IF(A375="","",IF(ISNUMBER(A375),IF(A375&gt;=36526,A375,""),IFERROR(DATEVALUE(A375),"")))</f>
        <v/>
      </c>
      <c r="H375" s="0" t="str">
        <f aca="false">IF(G375="","",INT((G375-SAT1)/7)+1)</f>
        <v/>
      </c>
      <c r="I375" s="0" t="str">
        <f aca="false">IF(H375="","",IF(OR(H375&lt;1,H375&gt;NW),"",INDEX(WMON,H375)))</f>
        <v/>
      </c>
      <c r="J375" s="0" t="str">
        <f aca="false">IF(OR(G375="",H375="",B375=""),"",IF(B375="عمر المصري",SUMIFS('ساعات عمر'!$H$7:$H$642,'ساعات عمر'!$A$7:$A$642,"&gt;="&amp;(SAT1+7*(H375-1)),'ساعات عمر'!$A$7:$A$642,"&lt;="&amp;G375),SUMIFS('ساعات عبدالعزيز'!$F$7:$F$642,'ساعات عبدالعزيز'!$A$7:$A$642,"&gt;="&amp;(SAT1+7*(H375-1)),'ساعات عبدالعزيز'!$A$7:$A$642,"&lt;="&amp;G375)))</f>
        <v/>
      </c>
    </row>
    <row r="376" customFormat="false" ht="15" hidden="false" customHeight="false" outlineLevel="0" collapsed="false">
      <c r="A376" s="57"/>
      <c r="B376" s="30"/>
      <c r="C376" s="58"/>
      <c r="D376" s="59"/>
      <c r="E376" s="60" t="str">
        <f aca="false">IF(A376="","",IF(G376="","⛔ التاريخ غلط — اكتبه كامل 05/10/2026 أو اختاره من القائمة",IF(OR(H376&lt;1,H376&gt;NW),"⛔ التاريخ برّا السنة",IF(AND(N(C376)&gt;0,N(J376)&gt;0,C376&gt;ADV_CAP*J376),"⚠️ أكثر من "&amp;TEXT(ADV_CAP,"0%")&amp;" من شغله ("&amp;TEXT(J376,"0.000")&amp;")",""))))</f>
        <v/>
      </c>
      <c r="G376" s="0" t="str">
        <f aca="false">IF(A376="","",IF(ISNUMBER(A376),IF(A376&gt;=36526,A376,""),IFERROR(DATEVALUE(A376),"")))</f>
        <v/>
      </c>
      <c r="H376" s="0" t="str">
        <f aca="false">IF(G376="","",INT((G376-SAT1)/7)+1)</f>
        <v/>
      </c>
      <c r="I376" s="0" t="str">
        <f aca="false">IF(H376="","",IF(OR(H376&lt;1,H376&gt;NW),"",INDEX(WMON,H376)))</f>
        <v/>
      </c>
      <c r="J376" s="0" t="str">
        <f aca="false">IF(OR(G376="",H376="",B376=""),"",IF(B376="عمر المصري",SUMIFS('ساعات عمر'!$H$7:$H$642,'ساعات عمر'!$A$7:$A$642,"&gt;="&amp;(SAT1+7*(H376-1)),'ساعات عمر'!$A$7:$A$642,"&lt;="&amp;G376),SUMIFS('ساعات عبدالعزيز'!$F$7:$F$642,'ساعات عبدالعزيز'!$A$7:$A$642,"&gt;="&amp;(SAT1+7*(H376-1)),'ساعات عبدالعزيز'!$A$7:$A$642,"&lt;="&amp;G376)))</f>
        <v/>
      </c>
    </row>
    <row r="377" customFormat="false" ht="15" hidden="false" customHeight="false" outlineLevel="0" collapsed="false">
      <c r="A377" s="57"/>
      <c r="B377" s="30"/>
      <c r="C377" s="58"/>
      <c r="D377" s="59"/>
      <c r="E377" s="60" t="str">
        <f aca="false">IF(A377="","",IF(G377="","⛔ التاريخ غلط — اكتبه كامل 05/10/2026 أو اختاره من القائمة",IF(OR(H377&lt;1,H377&gt;NW),"⛔ التاريخ برّا السنة",IF(AND(N(C377)&gt;0,N(J377)&gt;0,C377&gt;ADV_CAP*J377),"⚠️ أكثر من "&amp;TEXT(ADV_CAP,"0%")&amp;" من شغله ("&amp;TEXT(J377,"0.000")&amp;")",""))))</f>
        <v/>
      </c>
      <c r="G377" s="0" t="str">
        <f aca="false">IF(A377="","",IF(ISNUMBER(A377),IF(A377&gt;=36526,A377,""),IFERROR(DATEVALUE(A377),"")))</f>
        <v/>
      </c>
      <c r="H377" s="0" t="str">
        <f aca="false">IF(G377="","",INT((G377-SAT1)/7)+1)</f>
        <v/>
      </c>
      <c r="I377" s="0" t="str">
        <f aca="false">IF(H377="","",IF(OR(H377&lt;1,H377&gt;NW),"",INDEX(WMON,H377)))</f>
        <v/>
      </c>
      <c r="J377" s="0" t="str">
        <f aca="false">IF(OR(G377="",H377="",B377=""),"",IF(B377="عمر المصري",SUMIFS('ساعات عمر'!$H$7:$H$642,'ساعات عمر'!$A$7:$A$642,"&gt;="&amp;(SAT1+7*(H377-1)),'ساعات عمر'!$A$7:$A$642,"&lt;="&amp;G377),SUMIFS('ساعات عبدالعزيز'!$F$7:$F$642,'ساعات عبدالعزيز'!$A$7:$A$642,"&gt;="&amp;(SAT1+7*(H377-1)),'ساعات عبدالعزيز'!$A$7:$A$642,"&lt;="&amp;G377)))</f>
        <v/>
      </c>
    </row>
    <row r="378" customFormat="false" ht="15" hidden="false" customHeight="false" outlineLevel="0" collapsed="false">
      <c r="A378" s="57"/>
      <c r="B378" s="30"/>
      <c r="C378" s="58"/>
      <c r="D378" s="59"/>
      <c r="E378" s="60" t="str">
        <f aca="false">IF(A378="","",IF(G378="","⛔ التاريخ غلط — اكتبه كامل 05/10/2026 أو اختاره من القائمة",IF(OR(H378&lt;1,H378&gt;NW),"⛔ التاريخ برّا السنة",IF(AND(N(C378)&gt;0,N(J378)&gt;0,C378&gt;ADV_CAP*J378),"⚠️ أكثر من "&amp;TEXT(ADV_CAP,"0%")&amp;" من شغله ("&amp;TEXT(J378,"0.000")&amp;")",""))))</f>
        <v/>
      </c>
      <c r="G378" s="0" t="str">
        <f aca="false">IF(A378="","",IF(ISNUMBER(A378),IF(A378&gt;=36526,A378,""),IFERROR(DATEVALUE(A378),"")))</f>
        <v/>
      </c>
      <c r="H378" s="0" t="str">
        <f aca="false">IF(G378="","",INT((G378-SAT1)/7)+1)</f>
        <v/>
      </c>
      <c r="I378" s="0" t="str">
        <f aca="false">IF(H378="","",IF(OR(H378&lt;1,H378&gt;NW),"",INDEX(WMON,H378)))</f>
        <v/>
      </c>
      <c r="J378" s="0" t="str">
        <f aca="false">IF(OR(G378="",H378="",B378=""),"",IF(B378="عمر المصري",SUMIFS('ساعات عمر'!$H$7:$H$642,'ساعات عمر'!$A$7:$A$642,"&gt;="&amp;(SAT1+7*(H378-1)),'ساعات عمر'!$A$7:$A$642,"&lt;="&amp;G378),SUMIFS('ساعات عبدالعزيز'!$F$7:$F$642,'ساعات عبدالعزيز'!$A$7:$A$642,"&gt;="&amp;(SAT1+7*(H378-1)),'ساعات عبدالعزيز'!$A$7:$A$642,"&lt;="&amp;G378)))</f>
        <v/>
      </c>
    </row>
    <row r="379" customFormat="false" ht="15" hidden="false" customHeight="false" outlineLevel="0" collapsed="false">
      <c r="A379" s="57"/>
      <c r="B379" s="30"/>
      <c r="C379" s="58"/>
      <c r="D379" s="59"/>
      <c r="E379" s="60" t="str">
        <f aca="false">IF(A379="","",IF(G379="","⛔ التاريخ غلط — اكتبه كامل 05/10/2026 أو اختاره من القائمة",IF(OR(H379&lt;1,H379&gt;NW),"⛔ التاريخ برّا السنة",IF(AND(N(C379)&gt;0,N(J379)&gt;0,C379&gt;ADV_CAP*J379),"⚠️ أكثر من "&amp;TEXT(ADV_CAP,"0%")&amp;" من شغله ("&amp;TEXT(J379,"0.000")&amp;")",""))))</f>
        <v/>
      </c>
      <c r="G379" s="0" t="str">
        <f aca="false">IF(A379="","",IF(ISNUMBER(A379),IF(A379&gt;=36526,A379,""),IFERROR(DATEVALUE(A379),"")))</f>
        <v/>
      </c>
      <c r="H379" s="0" t="str">
        <f aca="false">IF(G379="","",INT((G379-SAT1)/7)+1)</f>
        <v/>
      </c>
      <c r="I379" s="0" t="str">
        <f aca="false">IF(H379="","",IF(OR(H379&lt;1,H379&gt;NW),"",INDEX(WMON,H379)))</f>
        <v/>
      </c>
      <c r="J379" s="0" t="str">
        <f aca="false">IF(OR(G379="",H379="",B379=""),"",IF(B379="عمر المصري",SUMIFS('ساعات عمر'!$H$7:$H$642,'ساعات عمر'!$A$7:$A$642,"&gt;="&amp;(SAT1+7*(H379-1)),'ساعات عمر'!$A$7:$A$642,"&lt;="&amp;G379),SUMIFS('ساعات عبدالعزيز'!$F$7:$F$642,'ساعات عبدالعزيز'!$A$7:$A$642,"&gt;="&amp;(SAT1+7*(H379-1)),'ساعات عبدالعزيز'!$A$7:$A$642,"&lt;="&amp;G379)))</f>
        <v/>
      </c>
    </row>
    <row r="380" customFormat="false" ht="15" hidden="false" customHeight="false" outlineLevel="0" collapsed="false">
      <c r="A380" s="57"/>
      <c r="B380" s="30"/>
      <c r="C380" s="58"/>
      <c r="D380" s="59"/>
      <c r="E380" s="60" t="str">
        <f aca="false">IF(A380="","",IF(G380="","⛔ التاريخ غلط — اكتبه كامل 05/10/2026 أو اختاره من القائمة",IF(OR(H380&lt;1,H380&gt;NW),"⛔ التاريخ برّا السنة",IF(AND(N(C380)&gt;0,N(J380)&gt;0,C380&gt;ADV_CAP*J380),"⚠️ أكثر من "&amp;TEXT(ADV_CAP,"0%")&amp;" من شغله ("&amp;TEXT(J380,"0.000")&amp;")",""))))</f>
        <v/>
      </c>
      <c r="G380" s="0" t="str">
        <f aca="false">IF(A380="","",IF(ISNUMBER(A380),IF(A380&gt;=36526,A380,""),IFERROR(DATEVALUE(A380),"")))</f>
        <v/>
      </c>
      <c r="H380" s="0" t="str">
        <f aca="false">IF(G380="","",INT((G380-SAT1)/7)+1)</f>
        <v/>
      </c>
      <c r="I380" s="0" t="str">
        <f aca="false">IF(H380="","",IF(OR(H380&lt;1,H380&gt;NW),"",INDEX(WMON,H380)))</f>
        <v/>
      </c>
      <c r="J380" s="0" t="str">
        <f aca="false">IF(OR(G380="",H380="",B380=""),"",IF(B380="عمر المصري",SUMIFS('ساعات عمر'!$H$7:$H$642,'ساعات عمر'!$A$7:$A$642,"&gt;="&amp;(SAT1+7*(H380-1)),'ساعات عمر'!$A$7:$A$642,"&lt;="&amp;G380),SUMIFS('ساعات عبدالعزيز'!$F$7:$F$642,'ساعات عبدالعزيز'!$A$7:$A$642,"&gt;="&amp;(SAT1+7*(H380-1)),'ساعات عبدالعزيز'!$A$7:$A$642,"&lt;="&amp;G380)))</f>
        <v/>
      </c>
    </row>
    <row r="381" customFormat="false" ht="15" hidden="false" customHeight="false" outlineLevel="0" collapsed="false">
      <c r="A381" s="57"/>
      <c r="B381" s="30"/>
      <c r="C381" s="58"/>
      <c r="D381" s="59"/>
      <c r="E381" s="60" t="str">
        <f aca="false">IF(A381="","",IF(G381="","⛔ التاريخ غلط — اكتبه كامل 05/10/2026 أو اختاره من القائمة",IF(OR(H381&lt;1,H381&gt;NW),"⛔ التاريخ برّا السنة",IF(AND(N(C381)&gt;0,N(J381)&gt;0,C381&gt;ADV_CAP*J381),"⚠️ أكثر من "&amp;TEXT(ADV_CAP,"0%")&amp;" من شغله ("&amp;TEXT(J381,"0.000")&amp;")",""))))</f>
        <v/>
      </c>
      <c r="G381" s="0" t="str">
        <f aca="false">IF(A381="","",IF(ISNUMBER(A381),IF(A381&gt;=36526,A381,""),IFERROR(DATEVALUE(A381),"")))</f>
        <v/>
      </c>
      <c r="H381" s="0" t="str">
        <f aca="false">IF(G381="","",INT((G381-SAT1)/7)+1)</f>
        <v/>
      </c>
      <c r="I381" s="0" t="str">
        <f aca="false">IF(H381="","",IF(OR(H381&lt;1,H381&gt;NW),"",INDEX(WMON,H381)))</f>
        <v/>
      </c>
      <c r="J381" s="0" t="str">
        <f aca="false">IF(OR(G381="",H381="",B381=""),"",IF(B381="عمر المصري",SUMIFS('ساعات عمر'!$H$7:$H$642,'ساعات عمر'!$A$7:$A$642,"&gt;="&amp;(SAT1+7*(H381-1)),'ساعات عمر'!$A$7:$A$642,"&lt;="&amp;G381),SUMIFS('ساعات عبدالعزيز'!$F$7:$F$642,'ساعات عبدالعزيز'!$A$7:$A$642,"&gt;="&amp;(SAT1+7*(H381-1)),'ساعات عبدالعزيز'!$A$7:$A$642,"&lt;="&amp;G381)))</f>
        <v/>
      </c>
    </row>
    <row r="382" customFormat="false" ht="15" hidden="false" customHeight="false" outlineLevel="0" collapsed="false">
      <c r="A382" s="57"/>
      <c r="B382" s="30"/>
      <c r="C382" s="58"/>
      <c r="D382" s="59"/>
      <c r="E382" s="60" t="str">
        <f aca="false">IF(A382="","",IF(G382="","⛔ التاريخ غلط — اكتبه كامل 05/10/2026 أو اختاره من القائمة",IF(OR(H382&lt;1,H382&gt;NW),"⛔ التاريخ برّا السنة",IF(AND(N(C382)&gt;0,N(J382)&gt;0,C382&gt;ADV_CAP*J382),"⚠️ أكثر من "&amp;TEXT(ADV_CAP,"0%")&amp;" من شغله ("&amp;TEXT(J382,"0.000")&amp;")",""))))</f>
        <v/>
      </c>
      <c r="G382" s="0" t="str">
        <f aca="false">IF(A382="","",IF(ISNUMBER(A382),IF(A382&gt;=36526,A382,""),IFERROR(DATEVALUE(A382),"")))</f>
        <v/>
      </c>
      <c r="H382" s="0" t="str">
        <f aca="false">IF(G382="","",INT((G382-SAT1)/7)+1)</f>
        <v/>
      </c>
      <c r="I382" s="0" t="str">
        <f aca="false">IF(H382="","",IF(OR(H382&lt;1,H382&gt;NW),"",INDEX(WMON,H382)))</f>
        <v/>
      </c>
      <c r="J382" s="0" t="str">
        <f aca="false">IF(OR(G382="",H382="",B382=""),"",IF(B382="عمر المصري",SUMIFS('ساعات عمر'!$H$7:$H$642,'ساعات عمر'!$A$7:$A$642,"&gt;="&amp;(SAT1+7*(H382-1)),'ساعات عمر'!$A$7:$A$642,"&lt;="&amp;G382),SUMIFS('ساعات عبدالعزيز'!$F$7:$F$642,'ساعات عبدالعزيز'!$A$7:$A$642,"&gt;="&amp;(SAT1+7*(H382-1)),'ساعات عبدالعزيز'!$A$7:$A$642,"&lt;="&amp;G382)))</f>
        <v/>
      </c>
    </row>
    <row r="383" customFormat="false" ht="15" hidden="false" customHeight="false" outlineLevel="0" collapsed="false">
      <c r="A383" s="57"/>
      <c r="B383" s="30"/>
      <c r="C383" s="58"/>
      <c r="D383" s="59"/>
      <c r="E383" s="60" t="str">
        <f aca="false">IF(A383="","",IF(G383="","⛔ التاريخ غلط — اكتبه كامل 05/10/2026 أو اختاره من القائمة",IF(OR(H383&lt;1,H383&gt;NW),"⛔ التاريخ برّا السنة",IF(AND(N(C383)&gt;0,N(J383)&gt;0,C383&gt;ADV_CAP*J383),"⚠️ أكثر من "&amp;TEXT(ADV_CAP,"0%")&amp;" من شغله ("&amp;TEXT(J383,"0.000")&amp;")",""))))</f>
        <v/>
      </c>
      <c r="G383" s="0" t="str">
        <f aca="false">IF(A383="","",IF(ISNUMBER(A383),IF(A383&gt;=36526,A383,""),IFERROR(DATEVALUE(A383),"")))</f>
        <v/>
      </c>
      <c r="H383" s="0" t="str">
        <f aca="false">IF(G383="","",INT((G383-SAT1)/7)+1)</f>
        <v/>
      </c>
      <c r="I383" s="0" t="str">
        <f aca="false">IF(H383="","",IF(OR(H383&lt;1,H383&gt;NW),"",INDEX(WMON,H383)))</f>
        <v/>
      </c>
      <c r="J383" s="0" t="str">
        <f aca="false">IF(OR(G383="",H383="",B383=""),"",IF(B383="عمر المصري",SUMIFS('ساعات عمر'!$H$7:$H$642,'ساعات عمر'!$A$7:$A$642,"&gt;="&amp;(SAT1+7*(H383-1)),'ساعات عمر'!$A$7:$A$642,"&lt;="&amp;G383),SUMIFS('ساعات عبدالعزيز'!$F$7:$F$642,'ساعات عبدالعزيز'!$A$7:$A$642,"&gt;="&amp;(SAT1+7*(H383-1)),'ساعات عبدالعزيز'!$A$7:$A$642,"&lt;="&amp;G383)))</f>
        <v/>
      </c>
    </row>
    <row r="384" customFormat="false" ht="15" hidden="false" customHeight="false" outlineLevel="0" collapsed="false">
      <c r="A384" s="57"/>
      <c r="B384" s="30"/>
      <c r="C384" s="58"/>
      <c r="D384" s="59"/>
      <c r="E384" s="60" t="str">
        <f aca="false">IF(A384="","",IF(G384="","⛔ التاريخ غلط — اكتبه كامل 05/10/2026 أو اختاره من القائمة",IF(OR(H384&lt;1,H384&gt;NW),"⛔ التاريخ برّا السنة",IF(AND(N(C384)&gt;0,N(J384)&gt;0,C384&gt;ADV_CAP*J384),"⚠️ أكثر من "&amp;TEXT(ADV_CAP,"0%")&amp;" من شغله ("&amp;TEXT(J384,"0.000")&amp;")",""))))</f>
        <v/>
      </c>
      <c r="G384" s="0" t="str">
        <f aca="false">IF(A384="","",IF(ISNUMBER(A384),IF(A384&gt;=36526,A384,""),IFERROR(DATEVALUE(A384),"")))</f>
        <v/>
      </c>
      <c r="H384" s="0" t="str">
        <f aca="false">IF(G384="","",INT((G384-SAT1)/7)+1)</f>
        <v/>
      </c>
      <c r="I384" s="0" t="str">
        <f aca="false">IF(H384="","",IF(OR(H384&lt;1,H384&gt;NW),"",INDEX(WMON,H384)))</f>
        <v/>
      </c>
      <c r="J384" s="0" t="str">
        <f aca="false">IF(OR(G384="",H384="",B384=""),"",IF(B384="عمر المصري",SUMIFS('ساعات عمر'!$H$7:$H$642,'ساعات عمر'!$A$7:$A$642,"&gt;="&amp;(SAT1+7*(H384-1)),'ساعات عمر'!$A$7:$A$642,"&lt;="&amp;G384),SUMIFS('ساعات عبدالعزيز'!$F$7:$F$642,'ساعات عبدالعزيز'!$A$7:$A$642,"&gt;="&amp;(SAT1+7*(H384-1)),'ساعات عبدالعزيز'!$A$7:$A$642,"&lt;="&amp;G384)))</f>
        <v/>
      </c>
    </row>
    <row r="385" customFormat="false" ht="15" hidden="false" customHeight="false" outlineLevel="0" collapsed="false">
      <c r="A385" s="57"/>
      <c r="B385" s="30"/>
      <c r="C385" s="58"/>
      <c r="D385" s="59"/>
      <c r="E385" s="60" t="str">
        <f aca="false">IF(A385="","",IF(G385="","⛔ التاريخ غلط — اكتبه كامل 05/10/2026 أو اختاره من القائمة",IF(OR(H385&lt;1,H385&gt;NW),"⛔ التاريخ برّا السنة",IF(AND(N(C385)&gt;0,N(J385)&gt;0,C385&gt;ADV_CAP*J385),"⚠️ أكثر من "&amp;TEXT(ADV_CAP,"0%")&amp;" من شغله ("&amp;TEXT(J385,"0.000")&amp;")",""))))</f>
        <v/>
      </c>
      <c r="G385" s="0" t="str">
        <f aca="false">IF(A385="","",IF(ISNUMBER(A385),IF(A385&gt;=36526,A385,""),IFERROR(DATEVALUE(A385),"")))</f>
        <v/>
      </c>
      <c r="H385" s="0" t="str">
        <f aca="false">IF(G385="","",INT((G385-SAT1)/7)+1)</f>
        <v/>
      </c>
      <c r="I385" s="0" t="str">
        <f aca="false">IF(H385="","",IF(OR(H385&lt;1,H385&gt;NW),"",INDEX(WMON,H385)))</f>
        <v/>
      </c>
      <c r="J385" s="0" t="str">
        <f aca="false">IF(OR(G385="",H385="",B385=""),"",IF(B385="عمر المصري",SUMIFS('ساعات عمر'!$H$7:$H$642,'ساعات عمر'!$A$7:$A$642,"&gt;="&amp;(SAT1+7*(H385-1)),'ساعات عمر'!$A$7:$A$642,"&lt;="&amp;G385),SUMIFS('ساعات عبدالعزيز'!$F$7:$F$642,'ساعات عبدالعزيز'!$A$7:$A$642,"&gt;="&amp;(SAT1+7*(H385-1)),'ساعات عبدالعزيز'!$A$7:$A$642,"&lt;="&amp;G385)))</f>
        <v/>
      </c>
    </row>
    <row r="386" customFormat="false" ht="15" hidden="false" customHeight="false" outlineLevel="0" collapsed="false">
      <c r="A386" s="57"/>
      <c r="B386" s="30"/>
      <c r="C386" s="58"/>
      <c r="D386" s="59"/>
      <c r="E386" s="60" t="str">
        <f aca="false">IF(A386="","",IF(G386="","⛔ التاريخ غلط — اكتبه كامل 05/10/2026 أو اختاره من القائمة",IF(OR(H386&lt;1,H386&gt;NW),"⛔ التاريخ برّا السنة",IF(AND(N(C386)&gt;0,N(J386)&gt;0,C386&gt;ADV_CAP*J386),"⚠️ أكثر من "&amp;TEXT(ADV_CAP,"0%")&amp;" من شغله ("&amp;TEXT(J386,"0.000")&amp;")",""))))</f>
        <v/>
      </c>
      <c r="G386" s="0" t="str">
        <f aca="false">IF(A386="","",IF(ISNUMBER(A386),IF(A386&gt;=36526,A386,""),IFERROR(DATEVALUE(A386),"")))</f>
        <v/>
      </c>
      <c r="H386" s="0" t="str">
        <f aca="false">IF(G386="","",INT((G386-SAT1)/7)+1)</f>
        <v/>
      </c>
      <c r="I386" s="0" t="str">
        <f aca="false">IF(H386="","",IF(OR(H386&lt;1,H386&gt;NW),"",INDEX(WMON,H386)))</f>
        <v/>
      </c>
      <c r="J386" s="0" t="str">
        <f aca="false">IF(OR(G386="",H386="",B386=""),"",IF(B386="عمر المصري",SUMIFS('ساعات عمر'!$H$7:$H$642,'ساعات عمر'!$A$7:$A$642,"&gt;="&amp;(SAT1+7*(H386-1)),'ساعات عمر'!$A$7:$A$642,"&lt;="&amp;G386),SUMIFS('ساعات عبدالعزيز'!$F$7:$F$642,'ساعات عبدالعزيز'!$A$7:$A$642,"&gt;="&amp;(SAT1+7*(H386-1)),'ساعات عبدالعزيز'!$A$7:$A$642,"&lt;="&amp;G386)))</f>
        <v/>
      </c>
    </row>
    <row r="387" customFormat="false" ht="15" hidden="false" customHeight="false" outlineLevel="0" collapsed="false">
      <c r="A387" s="57"/>
      <c r="B387" s="30"/>
      <c r="C387" s="58"/>
      <c r="D387" s="59"/>
      <c r="E387" s="60" t="str">
        <f aca="false">IF(A387="","",IF(G387="","⛔ التاريخ غلط — اكتبه كامل 05/10/2026 أو اختاره من القائمة",IF(OR(H387&lt;1,H387&gt;NW),"⛔ التاريخ برّا السنة",IF(AND(N(C387)&gt;0,N(J387)&gt;0,C387&gt;ADV_CAP*J387),"⚠️ أكثر من "&amp;TEXT(ADV_CAP,"0%")&amp;" من شغله ("&amp;TEXT(J387,"0.000")&amp;")",""))))</f>
        <v/>
      </c>
      <c r="G387" s="0" t="str">
        <f aca="false">IF(A387="","",IF(ISNUMBER(A387),IF(A387&gt;=36526,A387,""),IFERROR(DATEVALUE(A387),"")))</f>
        <v/>
      </c>
      <c r="H387" s="0" t="str">
        <f aca="false">IF(G387="","",INT((G387-SAT1)/7)+1)</f>
        <v/>
      </c>
      <c r="I387" s="0" t="str">
        <f aca="false">IF(H387="","",IF(OR(H387&lt;1,H387&gt;NW),"",INDEX(WMON,H387)))</f>
        <v/>
      </c>
      <c r="J387" s="0" t="str">
        <f aca="false">IF(OR(G387="",H387="",B387=""),"",IF(B387="عمر المصري",SUMIFS('ساعات عمر'!$H$7:$H$642,'ساعات عمر'!$A$7:$A$642,"&gt;="&amp;(SAT1+7*(H387-1)),'ساعات عمر'!$A$7:$A$642,"&lt;="&amp;G387),SUMIFS('ساعات عبدالعزيز'!$F$7:$F$642,'ساعات عبدالعزيز'!$A$7:$A$642,"&gt;="&amp;(SAT1+7*(H387-1)),'ساعات عبدالعزيز'!$A$7:$A$642,"&lt;="&amp;G387)))</f>
        <v/>
      </c>
    </row>
    <row r="388" customFormat="false" ht="15" hidden="false" customHeight="false" outlineLevel="0" collapsed="false">
      <c r="A388" s="57"/>
      <c r="B388" s="30"/>
      <c r="C388" s="58"/>
      <c r="D388" s="59"/>
      <c r="E388" s="60" t="str">
        <f aca="false">IF(A388="","",IF(G388="","⛔ التاريخ غلط — اكتبه كامل 05/10/2026 أو اختاره من القائمة",IF(OR(H388&lt;1,H388&gt;NW),"⛔ التاريخ برّا السنة",IF(AND(N(C388)&gt;0,N(J388)&gt;0,C388&gt;ADV_CAP*J388),"⚠️ أكثر من "&amp;TEXT(ADV_CAP,"0%")&amp;" من شغله ("&amp;TEXT(J388,"0.000")&amp;")",""))))</f>
        <v/>
      </c>
      <c r="G388" s="0" t="str">
        <f aca="false">IF(A388="","",IF(ISNUMBER(A388),IF(A388&gt;=36526,A388,""),IFERROR(DATEVALUE(A388),"")))</f>
        <v/>
      </c>
      <c r="H388" s="0" t="str">
        <f aca="false">IF(G388="","",INT((G388-SAT1)/7)+1)</f>
        <v/>
      </c>
      <c r="I388" s="0" t="str">
        <f aca="false">IF(H388="","",IF(OR(H388&lt;1,H388&gt;NW),"",INDEX(WMON,H388)))</f>
        <v/>
      </c>
      <c r="J388" s="0" t="str">
        <f aca="false">IF(OR(G388="",H388="",B388=""),"",IF(B388="عمر المصري",SUMIFS('ساعات عمر'!$H$7:$H$642,'ساعات عمر'!$A$7:$A$642,"&gt;="&amp;(SAT1+7*(H388-1)),'ساعات عمر'!$A$7:$A$642,"&lt;="&amp;G388),SUMIFS('ساعات عبدالعزيز'!$F$7:$F$642,'ساعات عبدالعزيز'!$A$7:$A$642,"&gt;="&amp;(SAT1+7*(H388-1)),'ساعات عبدالعزيز'!$A$7:$A$642,"&lt;="&amp;G388)))</f>
        <v/>
      </c>
    </row>
    <row r="389" customFormat="false" ht="15" hidden="false" customHeight="false" outlineLevel="0" collapsed="false">
      <c r="A389" s="57"/>
      <c r="B389" s="30"/>
      <c r="C389" s="58"/>
      <c r="D389" s="59"/>
      <c r="E389" s="60" t="str">
        <f aca="false">IF(A389="","",IF(G389="","⛔ التاريخ غلط — اكتبه كامل 05/10/2026 أو اختاره من القائمة",IF(OR(H389&lt;1,H389&gt;NW),"⛔ التاريخ برّا السنة",IF(AND(N(C389)&gt;0,N(J389)&gt;0,C389&gt;ADV_CAP*J389),"⚠️ أكثر من "&amp;TEXT(ADV_CAP,"0%")&amp;" من شغله ("&amp;TEXT(J389,"0.000")&amp;")",""))))</f>
        <v/>
      </c>
      <c r="G389" s="0" t="str">
        <f aca="false">IF(A389="","",IF(ISNUMBER(A389),IF(A389&gt;=36526,A389,""),IFERROR(DATEVALUE(A389),"")))</f>
        <v/>
      </c>
      <c r="H389" s="0" t="str">
        <f aca="false">IF(G389="","",INT((G389-SAT1)/7)+1)</f>
        <v/>
      </c>
      <c r="I389" s="0" t="str">
        <f aca="false">IF(H389="","",IF(OR(H389&lt;1,H389&gt;NW),"",INDEX(WMON,H389)))</f>
        <v/>
      </c>
      <c r="J389" s="0" t="str">
        <f aca="false">IF(OR(G389="",H389="",B389=""),"",IF(B389="عمر المصري",SUMIFS('ساعات عمر'!$H$7:$H$642,'ساعات عمر'!$A$7:$A$642,"&gt;="&amp;(SAT1+7*(H389-1)),'ساعات عمر'!$A$7:$A$642,"&lt;="&amp;G389),SUMIFS('ساعات عبدالعزيز'!$F$7:$F$642,'ساعات عبدالعزيز'!$A$7:$A$642,"&gt;="&amp;(SAT1+7*(H389-1)),'ساعات عبدالعزيز'!$A$7:$A$642,"&lt;="&amp;G389)))</f>
        <v/>
      </c>
    </row>
    <row r="390" customFormat="false" ht="15" hidden="false" customHeight="false" outlineLevel="0" collapsed="false">
      <c r="A390" s="57"/>
      <c r="B390" s="30"/>
      <c r="C390" s="58"/>
      <c r="D390" s="59"/>
      <c r="E390" s="60" t="str">
        <f aca="false">IF(A390="","",IF(G390="","⛔ التاريخ غلط — اكتبه كامل 05/10/2026 أو اختاره من القائمة",IF(OR(H390&lt;1,H390&gt;NW),"⛔ التاريخ برّا السنة",IF(AND(N(C390)&gt;0,N(J390)&gt;0,C390&gt;ADV_CAP*J390),"⚠️ أكثر من "&amp;TEXT(ADV_CAP,"0%")&amp;" من شغله ("&amp;TEXT(J390,"0.000")&amp;")",""))))</f>
        <v/>
      </c>
      <c r="G390" s="0" t="str">
        <f aca="false">IF(A390="","",IF(ISNUMBER(A390),IF(A390&gt;=36526,A390,""),IFERROR(DATEVALUE(A390),"")))</f>
        <v/>
      </c>
      <c r="H390" s="0" t="str">
        <f aca="false">IF(G390="","",INT((G390-SAT1)/7)+1)</f>
        <v/>
      </c>
      <c r="I390" s="0" t="str">
        <f aca="false">IF(H390="","",IF(OR(H390&lt;1,H390&gt;NW),"",INDEX(WMON,H390)))</f>
        <v/>
      </c>
      <c r="J390" s="0" t="str">
        <f aca="false">IF(OR(G390="",H390="",B390=""),"",IF(B390="عمر المصري",SUMIFS('ساعات عمر'!$H$7:$H$642,'ساعات عمر'!$A$7:$A$642,"&gt;="&amp;(SAT1+7*(H390-1)),'ساعات عمر'!$A$7:$A$642,"&lt;="&amp;G390),SUMIFS('ساعات عبدالعزيز'!$F$7:$F$642,'ساعات عبدالعزيز'!$A$7:$A$642,"&gt;="&amp;(SAT1+7*(H390-1)),'ساعات عبدالعزيز'!$A$7:$A$642,"&lt;="&amp;G390)))</f>
        <v/>
      </c>
    </row>
    <row r="391" customFormat="false" ht="15" hidden="false" customHeight="false" outlineLevel="0" collapsed="false">
      <c r="A391" s="57"/>
      <c r="B391" s="30"/>
      <c r="C391" s="58"/>
      <c r="D391" s="59"/>
      <c r="E391" s="60" t="str">
        <f aca="false">IF(A391="","",IF(G391="","⛔ التاريخ غلط — اكتبه كامل 05/10/2026 أو اختاره من القائمة",IF(OR(H391&lt;1,H391&gt;NW),"⛔ التاريخ برّا السنة",IF(AND(N(C391)&gt;0,N(J391)&gt;0,C391&gt;ADV_CAP*J391),"⚠️ أكثر من "&amp;TEXT(ADV_CAP,"0%")&amp;" من شغله ("&amp;TEXT(J391,"0.000")&amp;")",""))))</f>
        <v/>
      </c>
      <c r="G391" s="0" t="str">
        <f aca="false">IF(A391="","",IF(ISNUMBER(A391),IF(A391&gt;=36526,A391,""),IFERROR(DATEVALUE(A391),"")))</f>
        <v/>
      </c>
      <c r="H391" s="0" t="str">
        <f aca="false">IF(G391="","",INT((G391-SAT1)/7)+1)</f>
        <v/>
      </c>
      <c r="I391" s="0" t="str">
        <f aca="false">IF(H391="","",IF(OR(H391&lt;1,H391&gt;NW),"",INDEX(WMON,H391)))</f>
        <v/>
      </c>
      <c r="J391" s="0" t="str">
        <f aca="false">IF(OR(G391="",H391="",B391=""),"",IF(B391="عمر المصري",SUMIFS('ساعات عمر'!$H$7:$H$642,'ساعات عمر'!$A$7:$A$642,"&gt;="&amp;(SAT1+7*(H391-1)),'ساعات عمر'!$A$7:$A$642,"&lt;="&amp;G391),SUMIFS('ساعات عبدالعزيز'!$F$7:$F$642,'ساعات عبدالعزيز'!$A$7:$A$642,"&gt;="&amp;(SAT1+7*(H391-1)),'ساعات عبدالعزيز'!$A$7:$A$642,"&lt;="&amp;G391)))</f>
        <v/>
      </c>
    </row>
    <row r="392" customFormat="false" ht="15" hidden="false" customHeight="false" outlineLevel="0" collapsed="false">
      <c r="A392" s="57"/>
      <c r="B392" s="30"/>
      <c r="C392" s="58"/>
      <c r="D392" s="59"/>
      <c r="E392" s="60" t="str">
        <f aca="false">IF(A392="","",IF(G392="","⛔ التاريخ غلط — اكتبه كامل 05/10/2026 أو اختاره من القائمة",IF(OR(H392&lt;1,H392&gt;NW),"⛔ التاريخ برّا السنة",IF(AND(N(C392)&gt;0,N(J392)&gt;0,C392&gt;ADV_CAP*J392),"⚠️ أكثر من "&amp;TEXT(ADV_CAP,"0%")&amp;" من شغله ("&amp;TEXT(J392,"0.000")&amp;")",""))))</f>
        <v/>
      </c>
      <c r="G392" s="0" t="str">
        <f aca="false">IF(A392="","",IF(ISNUMBER(A392),IF(A392&gt;=36526,A392,""),IFERROR(DATEVALUE(A392),"")))</f>
        <v/>
      </c>
      <c r="H392" s="0" t="str">
        <f aca="false">IF(G392="","",INT((G392-SAT1)/7)+1)</f>
        <v/>
      </c>
      <c r="I392" s="0" t="str">
        <f aca="false">IF(H392="","",IF(OR(H392&lt;1,H392&gt;NW),"",INDEX(WMON,H392)))</f>
        <v/>
      </c>
      <c r="J392" s="0" t="str">
        <f aca="false">IF(OR(G392="",H392="",B392=""),"",IF(B392="عمر المصري",SUMIFS('ساعات عمر'!$H$7:$H$642,'ساعات عمر'!$A$7:$A$642,"&gt;="&amp;(SAT1+7*(H392-1)),'ساعات عمر'!$A$7:$A$642,"&lt;="&amp;G392),SUMIFS('ساعات عبدالعزيز'!$F$7:$F$642,'ساعات عبدالعزيز'!$A$7:$A$642,"&gt;="&amp;(SAT1+7*(H392-1)),'ساعات عبدالعزيز'!$A$7:$A$642,"&lt;="&amp;G392)))</f>
        <v/>
      </c>
    </row>
    <row r="393" customFormat="false" ht="15" hidden="false" customHeight="false" outlineLevel="0" collapsed="false">
      <c r="A393" s="57"/>
      <c r="B393" s="30"/>
      <c r="C393" s="58"/>
      <c r="D393" s="59"/>
      <c r="E393" s="60" t="str">
        <f aca="false">IF(A393="","",IF(G393="","⛔ التاريخ غلط — اكتبه كامل 05/10/2026 أو اختاره من القائمة",IF(OR(H393&lt;1,H393&gt;NW),"⛔ التاريخ برّا السنة",IF(AND(N(C393)&gt;0,N(J393)&gt;0,C393&gt;ADV_CAP*J393),"⚠️ أكثر من "&amp;TEXT(ADV_CAP,"0%")&amp;" من شغله ("&amp;TEXT(J393,"0.000")&amp;")",""))))</f>
        <v/>
      </c>
      <c r="G393" s="0" t="str">
        <f aca="false">IF(A393="","",IF(ISNUMBER(A393),IF(A393&gt;=36526,A393,""),IFERROR(DATEVALUE(A393),"")))</f>
        <v/>
      </c>
      <c r="H393" s="0" t="str">
        <f aca="false">IF(G393="","",INT((G393-SAT1)/7)+1)</f>
        <v/>
      </c>
      <c r="I393" s="0" t="str">
        <f aca="false">IF(H393="","",IF(OR(H393&lt;1,H393&gt;NW),"",INDEX(WMON,H393)))</f>
        <v/>
      </c>
      <c r="J393" s="0" t="str">
        <f aca="false">IF(OR(G393="",H393="",B393=""),"",IF(B393="عمر المصري",SUMIFS('ساعات عمر'!$H$7:$H$642,'ساعات عمر'!$A$7:$A$642,"&gt;="&amp;(SAT1+7*(H393-1)),'ساعات عمر'!$A$7:$A$642,"&lt;="&amp;G393),SUMIFS('ساعات عبدالعزيز'!$F$7:$F$642,'ساعات عبدالعزيز'!$A$7:$A$642,"&gt;="&amp;(SAT1+7*(H393-1)),'ساعات عبدالعزيز'!$A$7:$A$642,"&lt;="&amp;G393)))</f>
        <v/>
      </c>
    </row>
    <row r="394" customFormat="false" ht="15" hidden="false" customHeight="false" outlineLevel="0" collapsed="false">
      <c r="A394" s="57"/>
      <c r="B394" s="30"/>
      <c r="C394" s="58"/>
      <c r="D394" s="59"/>
      <c r="E394" s="60" t="str">
        <f aca="false">IF(A394="","",IF(G394="","⛔ التاريخ غلط — اكتبه كامل 05/10/2026 أو اختاره من القائمة",IF(OR(H394&lt;1,H394&gt;NW),"⛔ التاريخ برّا السنة",IF(AND(N(C394)&gt;0,N(J394)&gt;0,C394&gt;ADV_CAP*J394),"⚠️ أكثر من "&amp;TEXT(ADV_CAP,"0%")&amp;" من شغله ("&amp;TEXT(J394,"0.000")&amp;")",""))))</f>
        <v/>
      </c>
      <c r="G394" s="0" t="str">
        <f aca="false">IF(A394="","",IF(ISNUMBER(A394),IF(A394&gt;=36526,A394,""),IFERROR(DATEVALUE(A394),"")))</f>
        <v/>
      </c>
      <c r="H394" s="0" t="str">
        <f aca="false">IF(G394="","",INT((G394-SAT1)/7)+1)</f>
        <v/>
      </c>
      <c r="I394" s="0" t="str">
        <f aca="false">IF(H394="","",IF(OR(H394&lt;1,H394&gt;NW),"",INDEX(WMON,H394)))</f>
        <v/>
      </c>
      <c r="J394" s="0" t="str">
        <f aca="false">IF(OR(G394="",H394="",B394=""),"",IF(B394="عمر المصري",SUMIFS('ساعات عمر'!$H$7:$H$642,'ساعات عمر'!$A$7:$A$642,"&gt;="&amp;(SAT1+7*(H394-1)),'ساعات عمر'!$A$7:$A$642,"&lt;="&amp;G394),SUMIFS('ساعات عبدالعزيز'!$F$7:$F$642,'ساعات عبدالعزيز'!$A$7:$A$642,"&gt;="&amp;(SAT1+7*(H394-1)),'ساعات عبدالعزيز'!$A$7:$A$642,"&lt;="&amp;G394)))</f>
        <v/>
      </c>
    </row>
    <row r="395" customFormat="false" ht="15" hidden="false" customHeight="false" outlineLevel="0" collapsed="false">
      <c r="A395" s="57"/>
      <c r="B395" s="30"/>
      <c r="C395" s="58"/>
      <c r="D395" s="59"/>
      <c r="E395" s="60" t="str">
        <f aca="false">IF(A395="","",IF(G395="","⛔ التاريخ غلط — اكتبه كامل 05/10/2026 أو اختاره من القائمة",IF(OR(H395&lt;1,H395&gt;NW),"⛔ التاريخ برّا السنة",IF(AND(N(C395)&gt;0,N(J395)&gt;0,C395&gt;ADV_CAP*J395),"⚠️ أكثر من "&amp;TEXT(ADV_CAP,"0%")&amp;" من شغله ("&amp;TEXT(J395,"0.000")&amp;")",""))))</f>
        <v/>
      </c>
      <c r="G395" s="0" t="str">
        <f aca="false">IF(A395="","",IF(ISNUMBER(A395),IF(A395&gt;=36526,A395,""),IFERROR(DATEVALUE(A395),"")))</f>
        <v/>
      </c>
      <c r="H395" s="0" t="str">
        <f aca="false">IF(G395="","",INT((G395-SAT1)/7)+1)</f>
        <v/>
      </c>
      <c r="I395" s="0" t="str">
        <f aca="false">IF(H395="","",IF(OR(H395&lt;1,H395&gt;NW),"",INDEX(WMON,H395)))</f>
        <v/>
      </c>
      <c r="J395" s="0" t="str">
        <f aca="false">IF(OR(G395="",H395="",B395=""),"",IF(B395="عمر المصري",SUMIFS('ساعات عمر'!$H$7:$H$642,'ساعات عمر'!$A$7:$A$642,"&gt;="&amp;(SAT1+7*(H395-1)),'ساعات عمر'!$A$7:$A$642,"&lt;="&amp;G395),SUMIFS('ساعات عبدالعزيز'!$F$7:$F$642,'ساعات عبدالعزيز'!$A$7:$A$642,"&gt;="&amp;(SAT1+7*(H395-1)),'ساعات عبدالعزيز'!$A$7:$A$642,"&lt;="&amp;G395)))</f>
        <v/>
      </c>
    </row>
    <row r="396" customFormat="false" ht="15" hidden="false" customHeight="false" outlineLevel="0" collapsed="false">
      <c r="A396" s="57"/>
      <c r="B396" s="30"/>
      <c r="C396" s="58"/>
      <c r="D396" s="59"/>
      <c r="E396" s="60" t="str">
        <f aca="false">IF(A396="","",IF(G396="","⛔ التاريخ غلط — اكتبه كامل 05/10/2026 أو اختاره من القائمة",IF(OR(H396&lt;1,H396&gt;NW),"⛔ التاريخ برّا السنة",IF(AND(N(C396)&gt;0,N(J396)&gt;0,C396&gt;ADV_CAP*J396),"⚠️ أكثر من "&amp;TEXT(ADV_CAP,"0%")&amp;" من شغله ("&amp;TEXT(J396,"0.000")&amp;")",""))))</f>
        <v/>
      </c>
      <c r="G396" s="0" t="str">
        <f aca="false">IF(A396="","",IF(ISNUMBER(A396),IF(A396&gt;=36526,A396,""),IFERROR(DATEVALUE(A396),"")))</f>
        <v/>
      </c>
      <c r="H396" s="0" t="str">
        <f aca="false">IF(G396="","",INT((G396-SAT1)/7)+1)</f>
        <v/>
      </c>
      <c r="I396" s="0" t="str">
        <f aca="false">IF(H396="","",IF(OR(H396&lt;1,H396&gt;NW),"",INDEX(WMON,H396)))</f>
        <v/>
      </c>
      <c r="J396" s="0" t="str">
        <f aca="false">IF(OR(G396="",H396="",B396=""),"",IF(B396="عمر المصري",SUMIFS('ساعات عمر'!$H$7:$H$642,'ساعات عمر'!$A$7:$A$642,"&gt;="&amp;(SAT1+7*(H396-1)),'ساعات عمر'!$A$7:$A$642,"&lt;="&amp;G396),SUMIFS('ساعات عبدالعزيز'!$F$7:$F$642,'ساعات عبدالعزيز'!$A$7:$A$642,"&gt;="&amp;(SAT1+7*(H396-1)),'ساعات عبدالعزيز'!$A$7:$A$642,"&lt;="&amp;G396)))</f>
        <v/>
      </c>
    </row>
    <row r="397" customFormat="false" ht="15" hidden="false" customHeight="false" outlineLevel="0" collapsed="false">
      <c r="A397" s="57"/>
      <c r="B397" s="30"/>
      <c r="C397" s="58"/>
      <c r="D397" s="59"/>
      <c r="E397" s="60" t="str">
        <f aca="false">IF(A397="","",IF(G397="","⛔ التاريخ غلط — اكتبه كامل 05/10/2026 أو اختاره من القائمة",IF(OR(H397&lt;1,H397&gt;NW),"⛔ التاريخ برّا السنة",IF(AND(N(C397)&gt;0,N(J397)&gt;0,C397&gt;ADV_CAP*J397),"⚠️ أكثر من "&amp;TEXT(ADV_CAP,"0%")&amp;" من شغله ("&amp;TEXT(J397,"0.000")&amp;")",""))))</f>
        <v/>
      </c>
      <c r="G397" s="0" t="str">
        <f aca="false">IF(A397="","",IF(ISNUMBER(A397),IF(A397&gt;=36526,A397,""),IFERROR(DATEVALUE(A397),"")))</f>
        <v/>
      </c>
      <c r="H397" s="0" t="str">
        <f aca="false">IF(G397="","",INT((G397-SAT1)/7)+1)</f>
        <v/>
      </c>
      <c r="I397" s="0" t="str">
        <f aca="false">IF(H397="","",IF(OR(H397&lt;1,H397&gt;NW),"",INDEX(WMON,H397)))</f>
        <v/>
      </c>
      <c r="J397" s="0" t="str">
        <f aca="false">IF(OR(G397="",H397="",B397=""),"",IF(B397="عمر المصري",SUMIFS('ساعات عمر'!$H$7:$H$642,'ساعات عمر'!$A$7:$A$642,"&gt;="&amp;(SAT1+7*(H397-1)),'ساعات عمر'!$A$7:$A$642,"&lt;="&amp;G397),SUMIFS('ساعات عبدالعزيز'!$F$7:$F$642,'ساعات عبدالعزيز'!$A$7:$A$642,"&gt;="&amp;(SAT1+7*(H397-1)),'ساعات عبدالعزيز'!$A$7:$A$642,"&lt;="&amp;G397)))</f>
        <v/>
      </c>
    </row>
    <row r="398" customFormat="false" ht="15" hidden="false" customHeight="false" outlineLevel="0" collapsed="false">
      <c r="A398" s="57"/>
      <c r="B398" s="30"/>
      <c r="C398" s="58"/>
      <c r="D398" s="59"/>
      <c r="E398" s="60" t="str">
        <f aca="false">IF(A398="","",IF(G398="","⛔ التاريخ غلط — اكتبه كامل 05/10/2026 أو اختاره من القائمة",IF(OR(H398&lt;1,H398&gt;NW),"⛔ التاريخ برّا السنة",IF(AND(N(C398)&gt;0,N(J398)&gt;0,C398&gt;ADV_CAP*J398),"⚠️ أكثر من "&amp;TEXT(ADV_CAP,"0%")&amp;" من شغله ("&amp;TEXT(J398,"0.000")&amp;")",""))))</f>
        <v/>
      </c>
      <c r="G398" s="0" t="str">
        <f aca="false">IF(A398="","",IF(ISNUMBER(A398),IF(A398&gt;=36526,A398,""),IFERROR(DATEVALUE(A398),"")))</f>
        <v/>
      </c>
      <c r="H398" s="0" t="str">
        <f aca="false">IF(G398="","",INT((G398-SAT1)/7)+1)</f>
        <v/>
      </c>
      <c r="I398" s="0" t="str">
        <f aca="false">IF(H398="","",IF(OR(H398&lt;1,H398&gt;NW),"",INDEX(WMON,H398)))</f>
        <v/>
      </c>
      <c r="J398" s="0" t="str">
        <f aca="false">IF(OR(G398="",H398="",B398=""),"",IF(B398="عمر المصري",SUMIFS('ساعات عمر'!$H$7:$H$642,'ساعات عمر'!$A$7:$A$642,"&gt;="&amp;(SAT1+7*(H398-1)),'ساعات عمر'!$A$7:$A$642,"&lt;="&amp;G398),SUMIFS('ساعات عبدالعزيز'!$F$7:$F$642,'ساعات عبدالعزيز'!$A$7:$A$642,"&gt;="&amp;(SAT1+7*(H398-1)),'ساعات عبدالعزيز'!$A$7:$A$642,"&lt;="&amp;G398)))</f>
        <v/>
      </c>
    </row>
    <row r="399" customFormat="false" ht="15" hidden="false" customHeight="false" outlineLevel="0" collapsed="false">
      <c r="A399" s="57"/>
      <c r="B399" s="30"/>
      <c r="C399" s="58"/>
      <c r="D399" s="59"/>
      <c r="E399" s="60" t="str">
        <f aca="false">IF(A399="","",IF(G399="","⛔ التاريخ غلط — اكتبه كامل 05/10/2026 أو اختاره من القائمة",IF(OR(H399&lt;1,H399&gt;NW),"⛔ التاريخ برّا السنة",IF(AND(N(C399)&gt;0,N(J399)&gt;0,C399&gt;ADV_CAP*J399),"⚠️ أكثر من "&amp;TEXT(ADV_CAP,"0%")&amp;" من شغله ("&amp;TEXT(J399,"0.000")&amp;")",""))))</f>
        <v/>
      </c>
      <c r="G399" s="0" t="str">
        <f aca="false">IF(A399="","",IF(ISNUMBER(A399),IF(A399&gt;=36526,A399,""),IFERROR(DATEVALUE(A399),"")))</f>
        <v/>
      </c>
      <c r="H399" s="0" t="str">
        <f aca="false">IF(G399="","",INT((G399-SAT1)/7)+1)</f>
        <v/>
      </c>
      <c r="I399" s="0" t="str">
        <f aca="false">IF(H399="","",IF(OR(H399&lt;1,H399&gt;NW),"",INDEX(WMON,H399)))</f>
        <v/>
      </c>
      <c r="J399" s="0" t="str">
        <f aca="false">IF(OR(G399="",H399="",B399=""),"",IF(B399="عمر المصري",SUMIFS('ساعات عمر'!$H$7:$H$642,'ساعات عمر'!$A$7:$A$642,"&gt;="&amp;(SAT1+7*(H399-1)),'ساعات عمر'!$A$7:$A$642,"&lt;="&amp;G399),SUMIFS('ساعات عبدالعزيز'!$F$7:$F$642,'ساعات عبدالعزيز'!$A$7:$A$642,"&gt;="&amp;(SAT1+7*(H399-1)),'ساعات عبدالعزيز'!$A$7:$A$642,"&lt;="&amp;G399)))</f>
        <v/>
      </c>
    </row>
    <row r="400" customFormat="false" ht="15" hidden="false" customHeight="false" outlineLevel="0" collapsed="false">
      <c r="A400" s="57"/>
      <c r="B400" s="30"/>
      <c r="C400" s="58"/>
      <c r="D400" s="59"/>
      <c r="E400" s="60" t="str">
        <f aca="false">IF(A400="","",IF(G400="","⛔ التاريخ غلط — اكتبه كامل 05/10/2026 أو اختاره من القائمة",IF(OR(H400&lt;1,H400&gt;NW),"⛔ التاريخ برّا السنة",IF(AND(N(C400)&gt;0,N(J400)&gt;0,C400&gt;ADV_CAP*J400),"⚠️ أكثر من "&amp;TEXT(ADV_CAP,"0%")&amp;" من شغله ("&amp;TEXT(J400,"0.000")&amp;")",""))))</f>
        <v/>
      </c>
      <c r="G400" s="0" t="str">
        <f aca="false">IF(A400="","",IF(ISNUMBER(A400),IF(A400&gt;=36526,A400,""),IFERROR(DATEVALUE(A400),"")))</f>
        <v/>
      </c>
      <c r="H400" s="0" t="str">
        <f aca="false">IF(G400="","",INT((G400-SAT1)/7)+1)</f>
        <v/>
      </c>
      <c r="I400" s="0" t="str">
        <f aca="false">IF(H400="","",IF(OR(H400&lt;1,H400&gt;NW),"",INDEX(WMON,H400)))</f>
        <v/>
      </c>
      <c r="J400" s="0" t="str">
        <f aca="false">IF(OR(G400="",H400="",B400=""),"",IF(B400="عمر المصري",SUMIFS('ساعات عمر'!$H$7:$H$642,'ساعات عمر'!$A$7:$A$642,"&gt;="&amp;(SAT1+7*(H400-1)),'ساعات عمر'!$A$7:$A$642,"&lt;="&amp;G400),SUMIFS('ساعات عبدالعزيز'!$F$7:$F$642,'ساعات عبدالعزيز'!$A$7:$A$642,"&gt;="&amp;(SAT1+7*(H400-1)),'ساعات عبدالعزيز'!$A$7:$A$642,"&lt;="&amp;G400)))</f>
        <v/>
      </c>
    </row>
    <row r="401" customFormat="false" ht="15" hidden="false" customHeight="false" outlineLevel="0" collapsed="false">
      <c r="A401" s="57"/>
      <c r="B401" s="30"/>
      <c r="C401" s="58"/>
      <c r="D401" s="59"/>
      <c r="E401" s="60" t="str">
        <f aca="false">IF(A401="","",IF(G401="","⛔ التاريخ غلط — اكتبه كامل 05/10/2026 أو اختاره من القائمة",IF(OR(H401&lt;1,H401&gt;NW),"⛔ التاريخ برّا السنة",IF(AND(N(C401)&gt;0,N(J401)&gt;0,C401&gt;ADV_CAP*J401),"⚠️ أكثر من "&amp;TEXT(ADV_CAP,"0%")&amp;" من شغله ("&amp;TEXT(J401,"0.000")&amp;")",""))))</f>
        <v/>
      </c>
      <c r="G401" s="0" t="str">
        <f aca="false">IF(A401="","",IF(ISNUMBER(A401),IF(A401&gt;=36526,A401,""),IFERROR(DATEVALUE(A401),"")))</f>
        <v/>
      </c>
      <c r="H401" s="0" t="str">
        <f aca="false">IF(G401="","",INT((G401-SAT1)/7)+1)</f>
        <v/>
      </c>
      <c r="I401" s="0" t="str">
        <f aca="false">IF(H401="","",IF(OR(H401&lt;1,H401&gt;NW),"",INDEX(WMON,H401)))</f>
        <v/>
      </c>
      <c r="J401" s="0" t="str">
        <f aca="false">IF(OR(G401="",H401="",B401=""),"",IF(B401="عمر المصري",SUMIFS('ساعات عمر'!$H$7:$H$642,'ساعات عمر'!$A$7:$A$642,"&gt;="&amp;(SAT1+7*(H401-1)),'ساعات عمر'!$A$7:$A$642,"&lt;="&amp;G401),SUMIFS('ساعات عبدالعزيز'!$F$7:$F$642,'ساعات عبدالعزيز'!$A$7:$A$642,"&gt;="&amp;(SAT1+7*(H401-1)),'ساعات عبدالعزيز'!$A$7:$A$642,"&lt;="&amp;G401)))</f>
        <v/>
      </c>
    </row>
    <row r="402" customFormat="false" ht="15" hidden="false" customHeight="false" outlineLevel="0" collapsed="false">
      <c r="A402" s="57"/>
      <c r="B402" s="30"/>
      <c r="C402" s="58"/>
      <c r="D402" s="59"/>
      <c r="E402" s="60" t="str">
        <f aca="false">IF(A402="","",IF(G402="","⛔ التاريخ غلط — اكتبه كامل 05/10/2026 أو اختاره من القائمة",IF(OR(H402&lt;1,H402&gt;NW),"⛔ التاريخ برّا السنة",IF(AND(N(C402)&gt;0,N(J402)&gt;0,C402&gt;ADV_CAP*J402),"⚠️ أكثر من "&amp;TEXT(ADV_CAP,"0%")&amp;" من شغله ("&amp;TEXT(J402,"0.000")&amp;")",""))))</f>
        <v/>
      </c>
      <c r="G402" s="0" t="str">
        <f aca="false">IF(A402="","",IF(ISNUMBER(A402),IF(A402&gt;=36526,A402,""),IFERROR(DATEVALUE(A402),"")))</f>
        <v/>
      </c>
      <c r="H402" s="0" t="str">
        <f aca="false">IF(G402="","",INT((G402-SAT1)/7)+1)</f>
        <v/>
      </c>
      <c r="I402" s="0" t="str">
        <f aca="false">IF(H402="","",IF(OR(H402&lt;1,H402&gt;NW),"",INDEX(WMON,H402)))</f>
        <v/>
      </c>
      <c r="J402" s="0" t="str">
        <f aca="false">IF(OR(G402="",H402="",B402=""),"",IF(B402="عمر المصري",SUMIFS('ساعات عمر'!$H$7:$H$642,'ساعات عمر'!$A$7:$A$642,"&gt;="&amp;(SAT1+7*(H402-1)),'ساعات عمر'!$A$7:$A$642,"&lt;="&amp;G402),SUMIFS('ساعات عبدالعزيز'!$F$7:$F$642,'ساعات عبدالعزيز'!$A$7:$A$642,"&gt;="&amp;(SAT1+7*(H402-1)),'ساعات عبدالعزيز'!$A$7:$A$642,"&lt;="&amp;G402)))</f>
        <v/>
      </c>
    </row>
    <row r="403" customFormat="false" ht="15" hidden="false" customHeight="false" outlineLevel="0" collapsed="false">
      <c r="A403" s="57"/>
      <c r="B403" s="30"/>
      <c r="C403" s="58"/>
      <c r="D403" s="59"/>
      <c r="E403" s="60" t="str">
        <f aca="false">IF(A403="","",IF(G403="","⛔ التاريخ غلط — اكتبه كامل 05/10/2026 أو اختاره من القائمة",IF(OR(H403&lt;1,H403&gt;NW),"⛔ التاريخ برّا السنة",IF(AND(N(C403)&gt;0,N(J403)&gt;0,C403&gt;ADV_CAP*J403),"⚠️ أكثر من "&amp;TEXT(ADV_CAP,"0%")&amp;" من شغله ("&amp;TEXT(J403,"0.000")&amp;")",""))))</f>
        <v/>
      </c>
      <c r="G403" s="0" t="str">
        <f aca="false">IF(A403="","",IF(ISNUMBER(A403),IF(A403&gt;=36526,A403,""),IFERROR(DATEVALUE(A403),"")))</f>
        <v/>
      </c>
      <c r="H403" s="0" t="str">
        <f aca="false">IF(G403="","",INT((G403-SAT1)/7)+1)</f>
        <v/>
      </c>
      <c r="I403" s="0" t="str">
        <f aca="false">IF(H403="","",IF(OR(H403&lt;1,H403&gt;NW),"",INDEX(WMON,H403)))</f>
        <v/>
      </c>
      <c r="J403" s="0" t="str">
        <f aca="false">IF(OR(G403="",H403="",B403=""),"",IF(B403="عمر المصري",SUMIFS('ساعات عمر'!$H$7:$H$642,'ساعات عمر'!$A$7:$A$642,"&gt;="&amp;(SAT1+7*(H403-1)),'ساعات عمر'!$A$7:$A$642,"&lt;="&amp;G403),SUMIFS('ساعات عبدالعزيز'!$F$7:$F$642,'ساعات عبدالعزيز'!$A$7:$A$642,"&gt;="&amp;(SAT1+7*(H403-1)),'ساعات عبدالعزيز'!$A$7:$A$642,"&lt;="&amp;G403)))</f>
        <v/>
      </c>
    </row>
    <row r="404" customFormat="false" ht="15" hidden="false" customHeight="false" outlineLevel="0" collapsed="false">
      <c r="A404" s="57"/>
      <c r="B404" s="30"/>
      <c r="C404" s="58"/>
      <c r="D404" s="59"/>
      <c r="E404" s="60" t="str">
        <f aca="false">IF(A404="","",IF(G404="","⛔ التاريخ غلط — اكتبه كامل 05/10/2026 أو اختاره من القائمة",IF(OR(H404&lt;1,H404&gt;NW),"⛔ التاريخ برّا السنة",IF(AND(N(C404)&gt;0,N(J404)&gt;0,C404&gt;ADV_CAP*J404),"⚠️ أكثر من "&amp;TEXT(ADV_CAP,"0%")&amp;" من شغله ("&amp;TEXT(J404,"0.000")&amp;")",""))))</f>
        <v/>
      </c>
      <c r="G404" s="0" t="str">
        <f aca="false">IF(A404="","",IF(ISNUMBER(A404),IF(A404&gt;=36526,A404,""),IFERROR(DATEVALUE(A404),"")))</f>
        <v/>
      </c>
      <c r="H404" s="0" t="str">
        <f aca="false">IF(G404="","",INT((G404-SAT1)/7)+1)</f>
        <v/>
      </c>
      <c r="I404" s="0" t="str">
        <f aca="false">IF(H404="","",IF(OR(H404&lt;1,H404&gt;NW),"",INDEX(WMON,H404)))</f>
        <v/>
      </c>
      <c r="J404" s="0" t="str">
        <f aca="false">IF(OR(G404="",H404="",B404=""),"",IF(B404="عمر المصري",SUMIFS('ساعات عمر'!$H$7:$H$642,'ساعات عمر'!$A$7:$A$642,"&gt;="&amp;(SAT1+7*(H404-1)),'ساعات عمر'!$A$7:$A$642,"&lt;="&amp;G404),SUMIFS('ساعات عبدالعزيز'!$F$7:$F$642,'ساعات عبدالعزيز'!$A$7:$A$642,"&gt;="&amp;(SAT1+7*(H404-1)),'ساعات عبدالعزيز'!$A$7:$A$642,"&lt;="&amp;G404)))</f>
        <v/>
      </c>
    </row>
    <row r="405" customFormat="false" ht="15" hidden="false" customHeight="false" outlineLevel="0" collapsed="false">
      <c r="A405" s="57"/>
      <c r="B405" s="30"/>
      <c r="C405" s="58"/>
      <c r="D405" s="59"/>
      <c r="E405" s="60" t="str">
        <f aca="false">IF(A405="","",IF(G405="","⛔ التاريخ غلط — اكتبه كامل 05/10/2026 أو اختاره من القائمة",IF(OR(H405&lt;1,H405&gt;NW),"⛔ التاريخ برّا السنة",IF(AND(N(C405)&gt;0,N(J405)&gt;0,C405&gt;ADV_CAP*J405),"⚠️ أكثر من "&amp;TEXT(ADV_CAP,"0%")&amp;" من شغله ("&amp;TEXT(J405,"0.000")&amp;")",""))))</f>
        <v/>
      </c>
      <c r="G405" s="0" t="str">
        <f aca="false">IF(A405="","",IF(ISNUMBER(A405),IF(A405&gt;=36526,A405,""),IFERROR(DATEVALUE(A405),"")))</f>
        <v/>
      </c>
      <c r="H405" s="0" t="str">
        <f aca="false">IF(G405="","",INT((G405-SAT1)/7)+1)</f>
        <v/>
      </c>
      <c r="I405" s="0" t="str">
        <f aca="false">IF(H405="","",IF(OR(H405&lt;1,H405&gt;NW),"",INDEX(WMON,H405)))</f>
        <v/>
      </c>
      <c r="J405" s="0" t="str">
        <f aca="false">IF(OR(G405="",H405="",B405=""),"",IF(B405="عمر المصري",SUMIFS('ساعات عمر'!$H$7:$H$642,'ساعات عمر'!$A$7:$A$642,"&gt;="&amp;(SAT1+7*(H405-1)),'ساعات عمر'!$A$7:$A$642,"&lt;="&amp;G405),SUMIFS('ساعات عبدالعزيز'!$F$7:$F$642,'ساعات عبدالعزيز'!$A$7:$A$642,"&gt;="&amp;(SAT1+7*(H405-1)),'ساعات عبدالعزيز'!$A$7:$A$642,"&lt;="&amp;G405)))</f>
        <v/>
      </c>
    </row>
    <row r="406" customFormat="false" ht="15" hidden="false" customHeight="false" outlineLevel="0" collapsed="false">
      <c r="A406" s="57"/>
      <c r="B406" s="30"/>
      <c r="C406" s="58"/>
      <c r="D406" s="59"/>
      <c r="E406" s="60" t="str">
        <f aca="false">IF(A406="","",IF(G406="","⛔ التاريخ غلط — اكتبه كامل 05/10/2026 أو اختاره من القائمة",IF(OR(H406&lt;1,H406&gt;NW),"⛔ التاريخ برّا السنة",IF(AND(N(C406)&gt;0,N(J406)&gt;0,C406&gt;ADV_CAP*J406),"⚠️ أكثر من "&amp;TEXT(ADV_CAP,"0%")&amp;" من شغله ("&amp;TEXT(J406,"0.000")&amp;")",""))))</f>
        <v/>
      </c>
      <c r="G406" s="0" t="str">
        <f aca="false">IF(A406="","",IF(ISNUMBER(A406),IF(A406&gt;=36526,A406,""),IFERROR(DATEVALUE(A406),"")))</f>
        <v/>
      </c>
      <c r="H406" s="0" t="str">
        <f aca="false">IF(G406="","",INT((G406-SAT1)/7)+1)</f>
        <v/>
      </c>
      <c r="I406" s="0" t="str">
        <f aca="false">IF(H406="","",IF(OR(H406&lt;1,H406&gt;NW),"",INDEX(WMON,H406)))</f>
        <v/>
      </c>
      <c r="J406" s="0" t="str">
        <f aca="false">IF(OR(G406="",H406="",B406=""),"",IF(B406="عمر المصري",SUMIFS('ساعات عمر'!$H$7:$H$642,'ساعات عمر'!$A$7:$A$642,"&gt;="&amp;(SAT1+7*(H406-1)),'ساعات عمر'!$A$7:$A$642,"&lt;="&amp;G406),SUMIFS('ساعات عبدالعزيز'!$F$7:$F$642,'ساعات عبدالعزيز'!$A$7:$A$642,"&gt;="&amp;(SAT1+7*(H406-1)),'ساعات عبدالعزيز'!$A$7:$A$642,"&lt;="&amp;G406)))</f>
        <v/>
      </c>
    </row>
    <row r="407" customFormat="false" ht="15" hidden="false" customHeight="false" outlineLevel="0" collapsed="false">
      <c r="A407" s="57"/>
      <c r="B407" s="30"/>
      <c r="C407" s="58"/>
      <c r="D407" s="59"/>
      <c r="E407" s="60" t="str">
        <f aca="false">IF(A407="","",IF(G407="","⛔ التاريخ غلط — اكتبه كامل 05/10/2026 أو اختاره من القائمة",IF(OR(H407&lt;1,H407&gt;NW),"⛔ التاريخ برّا السنة",IF(AND(N(C407)&gt;0,N(J407)&gt;0,C407&gt;ADV_CAP*J407),"⚠️ أكثر من "&amp;TEXT(ADV_CAP,"0%")&amp;" من شغله ("&amp;TEXT(J407,"0.000")&amp;")",""))))</f>
        <v/>
      </c>
      <c r="G407" s="0" t="str">
        <f aca="false">IF(A407="","",IF(ISNUMBER(A407),IF(A407&gt;=36526,A407,""),IFERROR(DATEVALUE(A407),"")))</f>
        <v/>
      </c>
      <c r="H407" s="0" t="str">
        <f aca="false">IF(G407="","",INT((G407-SAT1)/7)+1)</f>
        <v/>
      </c>
      <c r="I407" s="0" t="str">
        <f aca="false">IF(H407="","",IF(OR(H407&lt;1,H407&gt;NW),"",INDEX(WMON,H407)))</f>
        <v/>
      </c>
      <c r="J407" s="0" t="str">
        <f aca="false">IF(OR(G407="",H407="",B407=""),"",IF(B407="عمر المصري",SUMIFS('ساعات عمر'!$H$7:$H$642,'ساعات عمر'!$A$7:$A$642,"&gt;="&amp;(SAT1+7*(H407-1)),'ساعات عمر'!$A$7:$A$642,"&lt;="&amp;G407),SUMIFS('ساعات عبدالعزيز'!$F$7:$F$642,'ساعات عبدالعزيز'!$A$7:$A$642,"&gt;="&amp;(SAT1+7*(H407-1)),'ساعات عبدالعزيز'!$A$7:$A$642,"&lt;="&amp;G407)))</f>
        <v/>
      </c>
    </row>
    <row r="408" customFormat="false" ht="15" hidden="false" customHeight="false" outlineLevel="0" collapsed="false">
      <c r="A408" s="57"/>
      <c r="B408" s="30"/>
      <c r="C408" s="58"/>
      <c r="D408" s="59"/>
      <c r="E408" s="60" t="str">
        <f aca="false">IF(A408="","",IF(G408="","⛔ التاريخ غلط — اكتبه كامل 05/10/2026 أو اختاره من القائمة",IF(OR(H408&lt;1,H408&gt;NW),"⛔ التاريخ برّا السنة",IF(AND(N(C408)&gt;0,N(J408)&gt;0,C408&gt;ADV_CAP*J408),"⚠️ أكثر من "&amp;TEXT(ADV_CAP,"0%")&amp;" من شغله ("&amp;TEXT(J408,"0.000")&amp;")",""))))</f>
        <v/>
      </c>
      <c r="G408" s="0" t="str">
        <f aca="false">IF(A408="","",IF(ISNUMBER(A408),IF(A408&gt;=36526,A408,""),IFERROR(DATEVALUE(A408),"")))</f>
        <v/>
      </c>
      <c r="H408" s="0" t="str">
        <f aca="false">IF(G408="","",INT((G408-SAT1)/7)+1)</f>
        <v/>
      </c>
      <c r="I408" s="0" t="str">
        <f aca="false">IF(H408="","",IF(OR(H408&lt;1,H408&gt;NW),"",INDEX(WMON,H408)))</f>
        <v/>
      </c>
      <c r="J408" s="0" t="str">
        <f aca="false">IF(OR(G408="",H408="",B408=""),"",IF(B408="عمر المصري",SUMIFS('ساعات عمر'!$H$7:$H$642,'ساعات عمر'!$A$7:$A$642,"&gt;="&amp;(SAT1+7*(H408-1)),'ساعات عمر'!$A$7:$A$642,"&lt;="&amp;G408),SUMIFS('ساعات عبدالعزيز'!$F$7:$F$642,'ساعات عبدالعزيز'!$A$7:$A$642,"&gt;="&amp;(SAT1+7*(H408-1)),'ساعات عبدالعزيز'!$A$7:$A$642,"&lt;="&amp;G408)))</f>
        <v/>
      </c>
    </row>
    <row r="409" customFormat="false" ht="15" hidden="false" customHeight="false" outlineLevel="0" collapsed="false">
      <c r="A409" s="57"/>
      <c r="B409" s="30"/>
      <c r="C409" s="58"/>
      <c r="D409" s="59"/>
      <c r="E409" s="60" t="str">
        <f aca="false">IF(A409="","",IF(G409="","⛔ التاريخ غلط — اكتبه كامل 05/10/2026 أو اختاره من القائمة",IF(OR(H409&lt;1,H409&gt;NW),"⛔ التاريخ برّا السنة",IF(AND(N(C409)&gt;0,N(J409)&gt;0,C409&gt;ADV_CAP*J409),"⚠️ أكثر من "&amp;TEXT(ADV_CAP,"0%")&amp;" من شغله ("&amp;TEXT(J409,"0.000")&amp;")",""))))</f>
        <v/>
      </c>
      <c r="G409" s="0" t="str">
        <f aca="false">IF(A409="","",IF(ISNUMBER(A409),IF(A409&gt;=36526,A409,""),IFERROR(DATEVALUE(A409),"")))</f>
        <v/>
      </c>
      <c r="H409" s="0" t="str">
        <f aca="false">IF(G409="","",INT((G409-SAT1)/7)+1)</f>
        <v/>
      </c>
      <c r="I409" s="0" t="str">
        <f aca="false">IF(H409="","",IF(OR(H409&lt;1,H409&gt;NW),"",INDEX(WMON,H409)))</f>
        <v/>
      </c>
      <c r="J409" s="0" t="str">
        <f aca="false">IF(OR(G409="",H409="",B409=""),"",IF(B409="عمر المصري",SUMIFS('ساعات عمر'!$H$7:$H$642,'ساعات عمر'!$A$7:$A$642,"&gt;="&amp;(SAT1+7*(H409-1)),'ساعات عمر'!$A$7:$A$642,"&lt;="&amp;G409),SUMIFS('ساعات عبدالعزيز'!$F$7:$F$642,'ساعات عبدالعزيز'!$A$7:$A$642,"&gt;="&amp;(SAT1+7*(H409-1)),'ساعات عبدالعزيز'!$A$7:$A$642,"&lt;="&amp;G409)))</f>
        <v/>
      </c>
    </row>
    <row r="411" customFormat="false" ht="15" hidden="false" customHeight="true" outlineLevel="0" collapsed="false">
      <c r="A411" s="61" t="str">
        <f aca="false">"ضل "&amp;COUNTBLANK(A10:A409)&amp;" سطر فاضي بالسجل"</f>
        <v>ضل 400 سطر فاضي بالسجل</v>
      </c>
      <c r="B411" s="21" t="s">
        <v>42</v>
      </c>
      <c r="C411" s="21"/>
      <c r="D411" s="21"/>
      <c r="E411" s="21"/>
    </row>
  </sheetData>
  <sheetProtection sheet="true" formatColumns="false" formatRows="false"/>
  <mergeCells count="4">
    <mergeCell ref="A1:F1"/>
    <mergeCell ref="A2:F2"/>
    <mergeCell ref="A7:E7"/>
    <mergeCell ref="B411:E411"/>
  </mergeCells>
  <conditionalFormatting sqref="A10:E409">
    <cfRule type="expression" priority="2" aboveAverage="0" equalAverage="0" bottom="0" percent="0" rank="0" text="" dxfId="6">
      <formula>LEFT($E10,1)="⛔"</formula>
    </cfRule>
    <cfRule type="expression" priority="3" aboveAverage="0" equalAverage="0" bottom="0" percent="0" rank="0" text="" dxfId="0">
      <formula>LEFT($E10,1)="⚠"</formula>
    </cfRule>
  </conditionalFormatting>
  <dataValidations count="2">
    <dataValidation allowBlank="true" errorStyle="stop" operator="between" showDropDown="false" showErrorMessage="false" showInputMessage="false" sqref="B10:B409" type="list">
      <formula1>"عمر المصري,عبدالعزيز"</formula1>
      <formula2>0</formula2>
    </dataValidation>
    <dataValidation allowBlank="true" errorStyle="stop" operator="between" prompt="اختار من آخر 14 يوم، أو اكتب التاريخ كامل مثل 05/10/2026" promptTitle="التاريخ" showDropDown="false" showErrorMessage="false" showInputMessage="true" sqref="A10:A409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true" outlineLevel="0" max="13" min="10" style="0" width="13"/>
  </cols>
  <sheetData>
    <row r="1" customFormat="false" ht="31.5" hidden="false" customHeight="true" outlineLevel="0" collapsed="false">
      <c r="A1" s="51" t="s">
        <v>43</v>
      </c>
      <c r="B1" s="51"/>
      <c r="C1" s="51"/>
      <c r="D1" s="51"/>
      <c r="E1" s="51"/>
      <c r="F1" s="51"/>
      <c r="G1" s="51"/>
      <c r="H1" s="51"/>
    </row>
    <row r="2" customFormat="false" ht="21.75" hidden="false" customHeight="true" outlineLevel="0" collapsed="false">
      <c r="A2" s="52" t="str">
        <f aca="false">"سنة "&amp;YR&amp;"   (السنة بتنختار من ورقة «السنة»)"</f>
        <v>سنة 2026   (السنة بتنختار من ورقة «السنة»)</v>
      </c>
      <c r="B2" s="52"/>
      <c r="C2" s="52"/>
      <c r="D2" s="52"/>
      <c r="E2" s="52"/>
      <c r="F2" s="52"/>
      <c r="G2" s="52"/>
      <c r="H2" s="52"/>
    </row>
    <row r="3" customFormat="false" ht="33.75" hidden="false" customHeight="true" outlineLevel="0" collapsed="false">
      <c r="A3" s="53" t="s">
        <v>7</v>
      </c>
      <c r="B3" s="53" t="s">
        <v>44</v>
      </c>
      <c r="C3" s="53" t="s">
        <v>45</v>
      </c>
      <c r="D3" s="53" t="s">
        <v>46</v>
      </c>
      <c r="E3" s="53" t="s">
        <v>14</v>
      </c>
      <c r="F3" s="53" t="s">
        <v>47</v>
      </c>
      <c r="G3" s="53" t="s">
        <v>48</v>
      </c>
    </row>
    <row r="4" customFormat="false" ht="24" hidden="false" customHeight="true" outlineLevel="0" collapsed="false">
      <c r="A4" s="62" t="s">
        <v>15</v>
      </c>
      <c r="B4" s="63" t="n">
        <f aca="false">السنة!$D$6+SUMIFS(LG_DEBT,LG_E,A4,LG_W,"&lt;="&amp;WK)</f>
        <v>0</v>
      </c>
      <c r="C4" s="63" t="n">
        <f aca="false">SUMIFS(LO_INST,LO_WK,"&lt;="&amp;WK)</f>
        <v>0</v>
      </c>
      <c r="D4" s="63" t="n">
        <f aca="false">SUMIFS(LG_REP,LG_E,A4,LG_W,"&lt;="&amp;WK)</f>
        <v>0</v>
      </c>
      <c r="E4" s="64" t="n">
        <f aca="false">MAX(0,B4-C4-D4)</f>
        <v>0</v>
      </c>
      <c r="F4" s="63" t="n">
        <f aca="false">IF(E4&gt;0,IF(SUMPRODUCT(MAX((LG_E="عمر المصري")*(LG_INST&lt;&gt;"")*(LG_D&lt;=INDEX(WFRI,WK))*LG_IDX))=0,السنة!$E$6,INDEX(LG_INST,SUMPRODUCT(MAX((LG_E="عمر المصري")*(LG_INST&lt;&gt;"")*(LG_D&lt;=INDEX(WFRI,WK))*LG_IDX)))),0)</f>
        <v>0</v>
      </c>
      <c r="G4" s="62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62" t="s">
        <v>16</v>
      </c>
      <c r="B5" s="63" t="n">
        <f aca="false">السنة!$D$7+SUMIFS(LG_DEBT,LG_E,A5,LG_W,"&lt;="&amp;WK)</f>
        <v>0</v>
      </c>
      <c r="C5" s="63" t="n">
        <f aca="false">SUMIFS(LZ_INST,LZ_WK,"&lt;="&amp;WK)</f>
        <v>0</v>
      </c>
      <c r="D5" s="63" t="n">
        <f aca="false">SUMIFS(LG_REP,LG_E,A5,LG_W,"&lt;="&amp;WK)</f>
        <v>0</v>
      </c>
      <c r="E5" s="64" t="n">
        <f aca="false">MAX(0,B5-C5-D5)</f>
        <v>0</v>
      </c>
      <c r="F5" s="63" t="n">
        <f aca="false">IF(E5&gt;0,IF(SUMPRODUCT(MAX((LG_E="عبدالعزيز")*(LG_INST&lt;&gt;"")*(LG_D&lt;=INDEX(WFRI,WK))*LG_IDX))=0,السنة!$E$7,INDEX(LG_INST,SUMPRODUCT(MAX((LG_E="عبدالعزيز")*(LG_INST&lt;&gt;"")*(LG_D&lt;=INDEX(WFRI,WK))*LG_IDX)))),0)</f>
        <v>0</v>
      </c>
      <c r="G5" s="62" t="str">
        <f aca="false">IF(E5&lt;0.0005,"✔ ما عليه شي",IF(F5&gt;0,ROUNDUP(E5/F5,0)&amp;" أسبوع تقريباً","⚠️ حدّد القسط"))</f>
        <v>✔ ما عليه شي</v>
      </c>
    </row>
    <row r="7" customFormat="false" ht="25.5" hidden="false" customHeight="true" outlineLevel="0" collapsed="false">
      <c r="A7" s="55" t="s">
        <v>49</v>
      </c>
      <c r="B7" s="55"/>
      <c r="C7" s="55"/>
      <c r="D7" s="55"/>
      <c r="E7" s="55"/>
      <c r="F7" s="55"/>
      <c r="G7" s="55"/>
    </row>
    <row r="8" customFormat="false" ht="25.5" hidden="false" customHeight="true" outlineLevel="0" collapsed="false">
      <c r="A8" s="55" t="s">
        <v>50</v>
      </c>
      <c r="B8" s="55"/>
      <c r="C8" s="55"/>
      <c r="D8" s="55"/>
      <c r="E8" s="55"/>
      <c r="F8" s="55"/>
      <c r="G8" s="55"/>
    </row>
    <row r="9" customFormat="false" ht="21.75" hidden="false" customHeight="true" outlineLevel="0" collapsed="false">
      <c r="A9" s="7" t="s">
        <v>3</v>
      </c>
      <c r="B9" s="8" t="s">
        <v>4</v>
      </c>
    </row>
    <row r="10" customFormat="false" ht="33.75" hidden="false" customHeight="true" outlineLevel="0" collapsed="false">
      <c r="A10" s="56" t="s">
        <v>22</v>
      </c>
      <c r="B10" s="56" t="s">
        <v>7</v>
      </c>
      <c r="C10" s="56" t="s">
        <v>51</v>
      </c>
      <c r="D10" s="56" t="s">
        <v>39</v>
      </c>
      <c r="E10" s="56" t="s">
        <v>52</v>
      </c>
      <c r="F10" s="56" t="s">
        <v>53</v>
      </c>
      <c r="G10" s="56" t="s">
        <v>54</v>
      </c>
    </row>
    <row r="11" customFormat="false" ht="15" hidden="false" customHeight="false" outlineLevel="0" collapsed="false">
      <c r="A11" s="57"/>
      <c r="B11" s="30"/>
      <c r="C11" s="30"/>
      <c r="D11" s="58"/>
      <c r="E11" s="58"/>
      <c r="F11" s="58"/>
      <c r="G11" s="59"/>
      <c r="J11" s="0" t="n">
        <v>1</v>
      </c>
      <c r="K11" s="0" t="str">
        <f aca="false">IF(A11="","",IF(ISNUMBER(A11),IF(A11&gt;=36526,A11,""),IFERROR(DATEVALUE(A11),"")))</f>
        <v/>
      </c>
      <c r="L11" s="0" t="str">
        <f aca="false">IF(K11="","",INT((K11-SAT1)/7)+1)</f>
        <v/>
      </c>
      <c r="M11" s="0" t="str">
        <f aca="false">IF(L11="","",IF(OR(L11&lt;1,L11&gt;NW),"",INDEX(WMON,L11)))</f>
        <v/>
      </c>
    </row>
    <row r="12" customFormat="false" ht="15" hidden="false" customHeight="false" outlineLevel="0" collapsed="false">
      <c r="A12" s="57"/>
      <c r="B12" s="30"/>
      <c r="C12" s="30"/>
      <c r="D12" s="58"/>
      <c r="E12" s="58"/>
      <c r="F12" s="58"/>
      <c r="G12" s="59"/>
      <c r="J12" s="0" t="n">
        <v>2</v>
      </c>
      <c r="K12" s="0" t="str">
        <f aca="false">IF(A12="","",IF(ISNUMBER(A12),IF(A12&gt;=36526,A12,""),IFERROR(DATEVALUE(A12),"")))</f>
        <v/>
      </c>
      <c r="L12" s="0" t="str">
        <f aca="false">IF(K12="","",INT((K12-SAT1)/7)+1)</f>
        <v/>
      </c>
      <c r="M12" s="0" t="str">
        <f aca="false">IF(L12="","",IF(OR(L12&lt;1,L12&gt;NW),"",INDEX(WMON,L12)))</f>
        <v/>
      </c>
    </row>
    <row r="13" customFormat="false" ht="15" hidden="false" customHeight="false" outlineLevel="0" collapsed="false">
      <c r="A13" s="57"/>
      <c r="B13" s="30"/>
      <c r="C13" s="30"/>
      <c r="D13" s="58"/>
      <c r="E13" s="58"/>
      <c r="F13" s="58"/>
      <c r="G13" s="59"/>
      <c r="J13" s="0" t="n">
        <v>3</v>
      </c>
      <c r="K13" s="0" t="str">
        <f aca="false">IF(A13="","",IF(ISNUMBER(A13),IF(A13&gt;=36526,A13,""),IFERROR(DATEVALUE(A13),"")))</f>
        <v/>
      </c>
      <c r="L13" s="0" t="str">
        <f aca="false">IF(K13="","",INT((K13-SAT1)/7)+1)</f>
        <v/>
      </c>
      <c r="M13" s="0" t="str">
        <f aca="false">IF(L13="","",IF(OR(L13&lt;1,L13&gt;NW),"",INDEX(WMON,L13)))</f>
        <v/>
      </c>
    </row>
    <row r="14" customFormat="false" ht="15" hidden="false" customHeight="false" outlineLevel="0" collapsed="false">
      <c r="A14" s="57"/>
      <c r="B14" s="30"/>
      <c r="C14" s="30"/>
      <c r="D14" s="58"/>
      <c r="E14" s="58"/>
      <c r="F14" s="58"/>
      <c r="G14" s="59"/>
      <c r="J14" s="0" t="n">
        <v>4</v>
      </c>
      <c r="K14" s="0" t="str">
        <f aca="false">IF(A14="","",IF(ISNUMBER(A14),IF(A14&gt;=36526,A14,""),IFERROR(DATEVALUE(A14),"")))</f>
        <v/>
      </c>
      <c r="L14" s="0" t="str">
        <f aca="false">IF(K14="","",INT((K14-SAT1)/7)+1)</f>
        <v/>
      </c>
      <c r="M14" s="0" t="str">
        <f aca="false">IF(L14="","",IF(OR(L14&lt;1,L14&gt;NW),"",INDEX(WMON,L14)))</f>
        <v/>
      </c>
    </row>
    <row r="15" customFormat="false" ht="15" hidden="false" customHeight="false" outlineLevel="0" collapsed="false">
      <c r="A15" s="57"/>
      <c r="B15" s="30"/>
      <c r="C15" s="30"/>
      <c r="D15" s="58"/>
      <c r="E15" s="58"/>
      <c r="F15" s="58"/>
      <c r="G15" s="59"/>
      <c r="J15" s="0" t="n">
        <v>5</v>
      </c>
      <c r="K15" s="0" t="str">
        <f aca="false">IF(A15="","",IF(ISNUMBER(A15),IF(A15&gt;=36526,A15,""),IFERROR(DATEVALUE(A15),"")))</f>
        <v/>
      </c>
      <c r="L15" s="0" t="str">
        <f aca="false">IF(K15="","",INT((K15-SAT1)/7)+1)</f>
        <v/>
      </c>
      <c r="M15" s="0" t="str">
        <f aca="false">IF(L15="","",IF(OR(L15&lt;1,L15&gt;NW),"",INDEX(WMON,L15)))</f>
        <v/>
      </c>
    </row>
    <row r="16" customFormat="false" ht="15" hidden="false" customHeight="false" outlineLevel="0" collapsed="false">
      <c r="A16" s="57"/>
      <c r="B16" s="30"/>
      <c r="C16" s="30"/>
      <c r="D16" s="58"/>
      <c r="E16" s="58"/>
      <c r="F16" s="58"/>
      <c r="G16" s="59"/>
      <c r="J16" s="0" t="n">
        <v>6</v>
      </c>
      <c r="K16" s="0" t="str">
        <f aca="false">IF(A16="","",IF(ISNUMBER(A16),IF(A16&gt;=36526,A16,""),IFERROR(DATEVALUE(A16),"")))</f>
        <v/>
      </c>
      <c r="L16" s="0" t="str">
        <f aca="false">IF(K16="","",INT((K16-SAT1)/7)+1)</f>
        <v/>
      </c>
      <c r="M16" s="0" t="str">
        <f aca="false">IF(L16="","",IF(OR(L16&lt;1,L16&gt;NW),"",INDEX(WMON,L16)))</f>
        <v/>
      </c>
    </row>
    <row r="17" customFormat="false" ht="15" hidden="false" customHeight="false" outlineLevel="0" collapsed="false">
      <c r="A17" s="57"/>
      <c r="B17" s="30"/>
      <c r="C17" s="30"/>
      <c r="D17" s="58"/>
      <c r="E17" s="58"/>
      <c r="F17" s="58"/>
      <c r="G17" s="59"/>
      <c r="J17" s="0" t="n">
        <v>7</v>
      </c>
      <c r="K17" s="0" t="str">
        <f aca="false">IF(A17="","",IF(ISNUMBER(A17),IF(A17&gt;=36526,A17,""),IFERROR(DATEVALUE(A17),"")))</f>
        <v/>
      </c>
      <c r="L17" s="0" t="str">
        <f aca="false">IF(K17="","",INT((K17-SAT1)/7)+1)</f>
        <v/>
      </c>
      <c r="M17" s="0" t="str">
        <f aca="false">IF(L17="","",IF(OR(L17&lt;1,L17&gt;NW),"",INDEX(WMON,L17)))</f>
        <v/>
      </c>
    </row>
    <row r="18" customFormat="false" ht="15" hidden="false" customHeight="false" outlineLevel="0" collapsed="false">
      <c r="A18" s="57"/>
      <c r="B18" s="30"/>
      <c r="C18" s="30"/>
      <c r="D18" s="58"/>
      <c r="E18" s="58"/>
      <c r="F18" s="58"/>
      <c r="G18" s="59"/>
      <c r="J18" s="0" t="n">
        <v>8</v>
      </c>
      <c r="K18" s="0" t="str">
        <f aca="false">IF(A18="","",IF(ISNUMBER(A18),IF(A18&gt;=36526,A18,""),IFERROR(DATEVALUE(A18),"")))</f>
        <v/>
      </c>
      <c r="L18" s="0" t="str">
        <f aca="false">IF(K18="","",INT((K18-SAT1)/7)+1)</f>
        <v/>
      </c>
      <c r="M18" s="0" t="str">
        <f aca="false">IF(L18="","",IF(OR(L18&lt;1,L18&gt;NW),"",INDEX(WMON,L18)))</f>
        <v/>
      </c>
    </row>
    <row r="19" customFormat="false" ht="15" hidden="false" customHeight="false" outlineLevel="0" collapsed="false">
      <c r="A19" s="57"/>
      <c r="B19" s="30"/>
      <c r="C19" s="30"/>
      <c r="D19" s="58"/>
      <c r="E19" s="58"/>
      <c r="F19" s="58"/>
      <c r="G19" s="59"/>
      <c r="J19" s="0" t="n">
        <v>9</v>
      </c>
      <c r="K19" s="0" t="str">
        <f aca="false">IF(A19="","",IF(ISNUMBER(A19),IF(A19&gt;=36526,A19,""),IFERROR(DATEVALUE(A19),"")))</f>
        <v/>
      </c>
      <c r="L19" s="0" t="str">
        <f aca="false">IF(K19="","",INT((K19-SAT1)/7)+1)</f>
        <v/>
      </c>
      <c r="M19" s="0" t="str">
        <f aca="false">IF(L19="","",IF(OR(L19&lt;1,L19&gt;NW),"",INDEX(WMON,L19)))</f>
        <v/>
      </c>
    </row>
    <row r="20" customFormat="false" ht="15" hidden="false" customHeight="false" outlineLevel="0" collapsed="false">
      <c r="A20" s="57"/>
      <c r="B20" s="30"/>
      <c r="C20" s="30"/>
      <c r="D20" s="58"/>
      <c r="E20" s="58"/>
      <c r="F20" s="58"/>
      <c r="G20" s="59"/>
      <c r="J20" s="0" t="n">
        <v>10</v>
      </c>
      <c r="K20" s="0" t="str">
        <f aca="false">IF(A20="","",IF(ISNUMBER(A20),IF(A20&gt;=36526,A20,""),IFERROR(DATEVALUE(A20),"")))</f>
        <v/>
      </c>
      <c r="L20" s="0" t="str">
        <f aca="false">IF(K20="","",INT((K20-SAT1)/7)+1)</f>
        <v/>
      </c>
      <c r="M20" s="0" t="str">
        <f aca="false">IF(L20="","",IF(OR(L20&lt;1,L20&gt;NW),"",INDEX(WMON,L20)))</f>
        <v/>
      </c>
    </row>
    <row r="21" customFormat="false" ht="15" hidden="false" customHeight="false" outlineLevel="0" collapsed="false">
      <c r="A21" s="57"/>
      <c r="B21" s="30"/>
      <c r="C21" s="30"/>
      <c r="D21" s="58"/>
      <c r="E21" s="58"/>
      <c r="F21" s="58"/>
      <c r="G21" s="59"/>
      <c r="J21" s="0" t="n">
        <v>11</v>
      </c>
      <c r="K21" s="0" t="str">
        <f aca="false">IF(A21="","",IF(ISNUMBER(A21),IF(A21&gt;=36526,A21,""),IFERROR(DATEVALUE(A21),"")))</f>
        <v/>
      </c>
      <c r="L21" s="0" t="str">
        <f aca="false">IF(K21="","",INT((K21-SAT1)/7)+1)</f>
        <v/>
      </c>
      <c r="M21" s="0" t="str">
        <f aca="false">IF(L21="","",IF(OR(L21&lt;1,L21&gt;NW),"",INDEX(WMON,L21)))</f>
        <v/>
      </c>
    </row>
    <row r="22" customFormat="false" ht="15" hidden="false" customHeight="false" outlineLevel="0" collapsed="false">
      <c r="A22" s="57"/>
      <c r="B22" s="30"/>
      <c r="C22" s="30"/>
      <c r="D22" s="58"/>
      <c r="E22" s="58"/>
      <c r="F22" s="58"/>
      <c r="G22" s="59"/>
      <c r="J22" s="0" t="n">
        <v>12</v>
      </c>
      <c r="K22" s="0" t="str">
        <f aca="false">IF(A22="","",IF(ISNUMBER(A22),IF(A22&gt;=36526,A22,""),IFERROR(DATEVALUE(A22),"")))</f>
        <v/>
      </c>
      <c r="L22" s="0" t="str">
        <f aca="false">IF(K22="","",INT((K22-SAT1)/7)+1)</f>
        <v/>
      </c>
      <c r="M22" s="0" t="str">
        <f aca="false">IF(L22="","",IF(OR(L22&lt;1,L22&gt;NW),"",INDEX(WMON,L22)))</f>
        <v/>
      </c>
    </row>
    <row r="23" customFormat="false" ht="15" hidden="false" customHeight="false" outlineLevel="0" collapsed="false">
      <c r="A23" s="57"/>
      <c r="B23" s="30"/>
      <c r="C23" s="30"/>
      <c r="D23" s="58"/>
      <c r="E23" s="58"/>
      <c r="F23" s="58"/>
      <c r="G23" s="59"/>
      <c r="J23" s="0" t="n">
        <v>13</v>
      </c>
      <c r="K23" s="0" t="str">
        <f aca="false">IF(A23="","",IF(ISNUMBER(A23),IF(A23&gt;=36526,A23,""),IFERROR(DATEVALUE(A23),"")))</f>
        <v/>
      </c>
      <c r="L23" s="0" t="str">
        <f aca="false">IF(K23="","",INT((K23-SAT1)/7)+1)</f>
        <v/>
      </c>
      <c r="M23" s="0" t="str">
        <f aca="false">IF(L23="","",IF(OR(L23&lt;1,L23&gt;NW),"",INDEX(WMON,L23)))</f>
        <v/>
      </c>
    </row>
    <row r="24" customFormat="false" ht="15" hidden="false" customHeight="false" outlineLevel="0" collapsed="false">
      <c r="A24" s="57"/>
      <c r="B24" s="30"/>
      <c r="C24" s="30"/>
      <c r="D24" s="58"/>
      <c r="E24" s="58"/>
      <c r="F24" s="58"/>
      <c r="G24" s="59"/>
      <c r="J24" s="0" t="n">
        <v>14</v>
      </c>
      <c r="K24" s="0" t="str">
        <f aca="false">IF(A24="","",IF(ISNUMBER(A24),IF(A24&gt;=36526,A24,""),IFERROR(DATEVALUE(A24),"")))</f>
        <v/>
      </c>
      <c r="L24" s="0" t="str">
        <f aca="false">IF(K24="","",INT((K24-SAT1)/7)+1)</f>
        <v/>
      </c>
      <c r="M24" s="0" t="str">
        <f aca="false">IF(L24="","",IF(OR(L24&lt;1,L24&gt;NW),"",INDEX(WMON,L24)))</f>
        <v/>
      </c>
    </row>
    <row r="25" customFormat="false" ht="15" hidden="false" customHeight="false" outlineLevel="0" collapsed="false">
      <c r="A25" s="57"/>
      <c r="B25" s="30"/>
      <c r="C25" s="30"/>
      <c r="D25" s="58"/>
      <c r="E25" s="58"/>
      <c r="F25" s="58"/>
      <c r="G25" s="59"/>
      <c r="J25" s="0" t="n">
        <v>15</v>
      </c>
      <c r="K25" s="0" t="str">
        <f aca="false">IF(A25="","",IF(ISNUMBER(A25),IF(A25&gt;=36526,A25,""),IFERROR(DATEVALUE(A25),"")))</f>
        <v/>
      </c>
      <c r="L25" s="0" t="str">
        <f aca="false">IF(K25="","",INT((K25-SAT1)/7)+1)</f>
        <v/>
      </c>
      <c r="M25" s="0" t="str">
        <f aca="false">IF(L25="","",IF(OR(L25&lt;1,L25&gt;NW),"",INDEX(WMON,L25)))</f>
        <v/>
      </c>
    </row>
    <row r="26" customFormat="false" ht="15" hidden="false" customHeight="false" outlineLevel="0" collapsed="false">
      <c r="A26" s="57"/>
      <c r="B26" s="30"/>
      <c r="C26" s="30"/>
      <c r="D26" s="58"/>
      <c r="E26" s="58"/>
      <c r="F26" s="58"/>
      <c r="G26" s="59"/>
      <c r="J26" s="0" t="n">
        <v>16</v>
      </c>
      <c r="K26" s="0" t="str">
        <f aca="false">IF(A26="","",IF(ISNUMBER(A26),IF(A26&gt;=36526,A26,""),IFERROR(DATEVALUE(A26),"")))</f>
        <v/>
      </c>
      <c r="L26" s="0" t="str">
        <f aca="false">IF(K26="","",INT((K26-SAT1)/7)+1)</f>
        <v/>
      </c>
      <c r="M26" s="0" t="str">
        <f aca="false">IF(L26="","",IF(OR(L26&lt;1,L26&gt;NW),"",INDEX(WMON,L26)))</f>
        <v/>
      </c>
    </row>
    <row r="27" customFormat="false" ht="15" hidden="false" customHeight="false" outlineLevel="0" collapsed="false">
      <c r="A27" s="57"/>
      <c r="B27" s="30"/>
      <c r="C27" s="30"/>
      <c r="D27" s="58"/>
      <c r="E27" s="58"/>
      <c r="F27" s="58"/>
      <c r="G27" s="59"/>
      <c r="J27" s="0" t="n">
        <v>17</v>
      </c>
      <c r="K27" s="0" t="str">
        <f aca="false">IF(A27="","",IF(ISNUMBER(A27),IF(A27&gt;=36526,A27,""),IFERROR(DATEVALUE(A27),"")))</f>
        <v/>
      </c>
      <c r="L27" s="0" t="str">
        <f aca="false">IF(K27="","",INT((K27-SAT1)/7)+1)</f>
        <v/>
      </c>
      <c r="M27" s="0" t="str">
        <f aca="false">IF(L27="","",IF(OR(L27&lt;1,L27&gt;NW),"",INDEX(WMON,L27)))</f>
        <v/>
      </c>
    </row>
    <row r="28" customFormat="false" ht="15" hidden="false" customHeight="false" outlineLevel="0" collapsed="false">
      <c r="A28" s="57"/>
      <c r="B28" s="30"/>
      <c r="C28" s="30"/>
      <c r="D28" s="58"/>
      <c r="E28" s="58"/>
      <c r="F28" s="58"/>
      <c r="G28" s="59"/>
      <c r="J28" s="0" t="n">
        <v>18</v>
      </c>
      <c r="K28" s="0" t="str">
        <f aca="false">IF(A28="","",IF(ISNUMBER(A28),IF(A28&gt;=36526,A28,""),IFERROR(DATEVALUE(A28),"")))</f>
        <v/>
      </c>
      <c r="L28" s="0" t="str">
        <f aca="false">IF(K28="","",INT((K28-SAT1)/7)+1)</f>
        <v/>
      </c>
      <c r="M28" s="0" t="str">
        <f aca="false">IF(L28="","",IF(OR(L28&lt;1,L28&gt;NW),"",INDEX(WMON,L28)))</f>
        <v/>
      </c>
    </row>
    <row r="29" customFormat="false" ht="15" hidden="false" customHeight="false" outlineLevel="0" collapsed="false">
      <c r="A29" s="57"/>
      <c r="B29" s="30"/>
      <c r="C29" s="30"/>
      <c r="D29" s="58"/>
      <c r="E29" s="58"/>
      <c r="F29" s="58"/>
      <c r="G29" s="59"/>
      <c r="J29" s="0" t="n">
        <v>19</v>
      </c>
      <c r="K29" s="0" t="str">
        <f aca="false">IF(A29="","",IF(ISNUMBER(A29),IF(A29&gt;=36526,A29,""),IFERROR(DATEVALUE(A29),"")))</f>
        <v/>
      </c>
      <c r="L29" s="0" t="str">
        <f aca="false">IF(K29="","",INT((K29-SAT1)/7)+1)</f>
        <v/>
      </c>
      <c r="M29" s="0" t="str">
        <f aca="false">IF(L29="","",IF(OR(L29&lt;1,L29&gt;NW),"",INDEX(WMON,L29)))</f>
        <v/>
      </c>
    </row>
    <row r="30" customFormat="false" ht="15" hidden="false" customHeight="false" outlineLevel="0" collapsed="false">
      <c r="A30" s="57"/>
      <c r="B30" s="30"/>
      <c r="C30" s="30"/>
      <c r="D30" s="58"/>
      <c r="E30" s="58"/>
      <c r="F30" s="58"/>
      <c r="G30" s="59"/>
      <c r="J30" s="0" t="n">
        <v>20</v>
      </c>
      <c r="K30" s="0" t="str">
        <f aca="false">IF(A30="","",IF(ISNUMBER(A30),IF(A30&gt;=36526,A30,""),IFERROR(DATEVALUE(A30),"")))</f>
        <v/>
      </c>
      <c r="L30" s="0" t="str">
        <f aca="false">IF(K30="","",INT((K30-SAT1)/7)+1)</f>
        <v/>
      </c>
      <c r="M30" s="0" t="str">
        <f aca="false">IF(L30="","",IF(OR(L30&lt;1,L30&gt;NW),"",INDEX(WMON,L30)))</f>
        <v/>
      </c>
    </row>
    <row r="31" customFormat="false" ht="15" hidden="false" customHeight="false" outlineLevel="0" collapsed="false">
      <c r="A31" s="57"/>
      <c r="B31" s="30"/>
      <c r="C31" s="30"/>
      <c r="D31" s="58"/>
      <c r="E31" s="58"/>
      <c r="F31" s="58"/>
      <c r="G31" s="59"/>
      <c r="J31" s="0" t="n">
        <v>21</v>
      </c>
      <c r="K31" s="0" t="str">
        <f aca="false">IF(A31="","",IF(ISNUMBER(A31),IF(A31&gt;=36526,A31,""),IFERROR(DATEVALUE(A31),"")))</f>
        <v/>
      </c>
      <c r="L31" s="0" t="str">
        <f aca="false">IF(K31="","",INT((K31-SAT1)/7)+1)</f>
        <v/>
      </c>
      <c r="M31" s="0" t="str">
        <f aca="false">IF(L31="","",IF(OR(L31&lt;1,L31&gt;NW),"",INDEX(WMON,L31)))</f>
        <v/>
      </c>
    </row>
    <row r="32" customFormat="false" ht="15" hidden="false" customHeight="false" outlineLevel="0" collapsed="false">
      <c r="A32" s="57"/>
      <c r="B32" s="30"/>
      <c r="C32" s="30"/>
      <c r="D32" s="58"/>
      <c r="E32" s="58"/>
      <c r="F32" s="58"/>
      <c r="G32" s="59"/>
      <c r="J32" s="0" t="n">
        <v>22</v>
      </c>
      <c r="K32" s="0" t="str">
        <f aca="false">IF(A32="","",IF(ISNUMBER(A32),IF(A32&gt;=36526,A32,""),IFERROR(DATEVALUE(A32),"")))</f>
        <v/>
      </c>
      <c r="L32" s="0" t="str">
        <f aca="false">IF(K32="","",INT((K32-SAT1)/7)+1)</f>
        <v/>
      </c>
      <c r="M32" s="0" t="str">
        <f aca="false">IF(L32="","",IF(OR(L32&lt;1,L32&gt;NW),"",INDEX(WMON,L32)))</f>
        <v/>
      </c>
    </row>
    <row r="33" customFormat="false" ht="15" hidden="false" customHeight="false" outlineLevel="0" collapsed="false">
      <c r="A33" s="57"/>
      <c r="B33" s="30"/>
      <c r="C33" s="30"/>
      <c r="D33" s="58"/>
      <c r="E33" s="58"/>
      <c r="F33" s="58"/>
      <c r="G33" s="59"/>
      <c r="J33" s="0" t="n">
        <v>23</v>
      </c>
      <c r="K33" s="0" t="str">
        <f aca="false">IF(A33="","",IF(ISNUMBER(A33),IF(A33&gt;=36526,A33,""),IFERROR(DATEVALUE(A33),"")))</f>
        <v/>
      </c>
      <c r="L33" s="0" t="str">
        <f aca="false">IF(K33="","",INT((K33-SAT1)/7)+1)</f>
        <v/>
      </c>
      <c r="M33" s="0" t="str">
        <f aca="false">IF(L33="","",IF(OR(L33&lt;1,L33&gt;NW),"",INDEX(WMON,L33)))</f>
        <v/>
      </c>
    </row>
    <row r="34" customFormat="false" ht="15" hidden="false" customHeight="false" outlineLevel="0" collapsed="false">
      <c r="A34" s="57"/>
      <c r="B34" s="30"/>
      <c r="C34" s="30"/>
      <c r="D34" s="58"/>
      <c r="E34" s="58"/>
      <c r="F34" s="58"/>
      <c r="G34" s="59"/>
      <c r="J34" s="0" t="n">
        <v>24</v>
      </c>
      <c r="K34" s="0" t="str">
        <f aca="false">IF(A34="","",IF(ISNUMBER(A34),IF(A34&gt;=36526,A34,""),IFERROR(DATEVALUE(A34),"")))</f>
        <v/>
      </c>
      <c r="L34" s="0" t="str">
        <f aca="false">IF(K34="","",INT((K34-SAT1)/7)+1)</f>
        <v/>
      </c>
      <c r="M34" s="0" t="str">
        <f aca="false">IF(L34="","",IF(OR(L34&lt;1,L34&gt;NW),"",INDEX(WMON,L34)))</f>
        <v/>
      </c>
    </row>
    <row r="35" customFormat="false" ht="15" hidden="false" customHeight="false" outlineLevel="0" collapsed="false">
      <c r="A35" s="57"/>
      <c r="B35" s="30"/>
      <c r="C35" s="30"/>
      <c r="D35" s="58"/>
      <c r="E35" s="58"/>
      <c r="F35" s="58"/>
      <c r="G35" s="59"/>
      <c r="J35" s="0" t="n">
        <v>25</v>
      </c>
      <c r="K35" s="0" t="str">
        <f aca="false">IF(A35="","",IF(ISNUMBER(A35),IF(A35&gt;=36526,A35,""),IFERROR(DATEVALUE(A35),"")))</f>
        <v/>
      </c>
      <c r="L35" s="0" t="str">
        <f aca="false">IF(K35="","",INT((K35-SAT1)/7)+1)</f>
        <v/>
      </c>
      <c r="M35" s="0" t="str">
        <f aca="false">IF(L35="","",IF(OR(L35&lt;1,L35&gt;NW),"",INDEX(WMON,L35)))</f>
        <v/>
      </c>
    </row>
    <row r="36" customFormat="false" ht="15" hidden="false" customHeight="false" outlineLevel="0" collapsed="false">
      <c r="A36" s="57"/>
      <c r="B36" s="30"/>
      <c r="C36" s="30"/>
      <c r="D36" s="58"/>
      <c r="E36" s="58"/>
      <c r="F36" s="58"/>
      <c r="G36" s="59"/>
      <c r="J36" s="0" t="n">
        <v>26</v>
      </c>
      <c r="K36" s="0" t="str">
        <f aca="false">IF(A36="","",IF(ISNUMBER(A36),IF(A36&gt;=36526,A36,""),IFERROR(DATEVALUE(A36),"")))</f>
        <v/>
      </c>
      <c r="L36" s="0" t="str">
        <f aca="false">IF(K36="","",INT((K36-SAT1)/7)+1)</f>
        <v/>
      </c>
      <c r="M36" s="0" t="str">
        <f aca="false">IF(L36="","",IF(OR(L36&lt;1,L36&gt;NW),"",INDEX(WMON,L36)))</f>
        <v/>
      </c>
    </row>
    <row r="37" customFormat="false" ht="15" hidden="false" customHeight="false" outlineLevel="0" collapsed="false">
      <c r="A37" s="57"/>
      <c r="B37" s="30"/>
      <c r="C37" s="30"/>
      <c r="D37" s="58"/>
      <c r="E37" s="58"/>
      <c r="F37" s="58"/>
      <c r="G37" s="59"/>
      <c r="J37" s="0" t="n">
        <v>27</v>
      </c>
      <c r="K37" s="0" t="str">
        <f aca="false">IF(A37="","",IF(ISNUMBER(A37),IF(A37&gt;=36526,A37,""),IFERROR(DATEVALUE(A37),"")))</f>
        <v/>
      </c>
      <c r="L37" s="0" t="str">
        <f aca="false">IF(K37="","",INT((K37-SAT1)/7)+1)</f>
        <v/>
      </c>
      <c r="M37" s="0" t="str">
        <f aca="false">IF(L37="","",IF(OR(L37&lt;1,L37&gt;NW),"",INDEX(WMON,L37)))</f>
        <v/>
      </c>
    </row>
    <row r="38" customFormat="false" ht="15" hidden="false" customHeight="false" outlineLevel="0" collapsed="false">
      <c r="A38" s="57"/>
      <c r="B38" s="30"/>
      <c r="C38" s="30"/>
      <c r="D38" s="58"/>
      <c r="E38" s="58"/>
      <c r="F38" s="58"/>
      <c r="G38" s="59"/>
      <c r="J38" s="0" t="n">
        <v>28</v>
      </c>
      <c r="K38" s="0" t="str">
        <f aca="false">IF(A38="","",IF(ISNUMBER(A38),IF(A38&gt;=36526,A38,""),IFERROR(DATEVALUE(A38),"")))</f>
        <v/>
      </c>
      <c r="L38" s="0" t="str">
        <f aca="false">IF(K38="","",INT((K38-SAT1)/7)+1)</f>
        <v/>
      </c>
      <c r="M38" s="0" t="str">
        <f aca="false">IF(L38="","",IF(OR(L38&lt;1,L38&gt;NW),"",INDEX(WMON,L38)))</f>
        <v/>
      </c>
    </row>
    <row r="39" customFormat="false" ht="15" hidden="false" customHeight="false" outlineLevel="0" collapsed="false">
      <c r="A39" s="57"/>
      <c r="B39" s="30"/>
      <c r="C39" s="30"/>
      <c r="D39" s="58"/>
      <c r="E39" s="58"/>
      <c r="F39" s="58"/>
      <c r="G39" s="59"/>
      <c r="J39" s="0" t="n">
        <v>29</v>
      </c>
      <c r="K39" s="0" t="str">
        <f aca="false">IF(A39="","",IF(ISNUMBER(A39),IF(A39&gt;=36526,A39,""),IFERROR(DATEVALUE(A39),"")))</f>
        <v/>
      </c>
      <c r="L39" s="0" t="str">
        <f aca="false">IF(K39="","",INT((K39-SAT1)/7)+1)</f>
        <v/>
      </c>
      <c r="M39" s="0" t="str">
        <f aca="false">IF(L39="","",IF(OR(L39&lt;1,L39&gt;NW),"",INDEX(WMON,L39)))</f>
        <v/>
      </c>
    </row>
    <row r="40" customFormat="false" ht="15" hidden="false" customHeight="false" outlineLevel="0" collapsed="false">
      <c r="A40" s="57"/>
      <c r="B40" s="30"/>
      <c r="C40" s="30"/>
      <c r="D40" s="58"/>
      <c r="E40" s="58"/>
      <c r="F40" s="58"/>
      <c r="G40" s="59"/>
      <c r="J40" s="0" t="n">
        <v>30</v>
      </c>
      <c r="K40" s="0" t="str">
        <f aca="false">IF(A40="","",IF(ISNUMBER(A40),IF(A40&gt;=36526,A40,""),IFERROR(DATEVALUE(A40),"")))</f>
        <v/>
      </c>
      <c r="L40" s="0" t="str">
        <f aca="false">IF(K40="","",INT((K40-SAT1)/7)+1)</f>
        <v/>
      </c>
      <c r="M40" s="0" t="str">
        <f aca="false">IF(L40="","",IF(OR(L40&lt;1,L40&gt;NW),"",INDEX(WMON,L40)))</f>
        <v/>
      </c>
    </row>
    <row r="41" customFormat="false" ht="15" hidden="false" customHeight="false" outlineLevel="0" collapsed="false">
      <c r="A41" s="57"/>
      <c r="B41" s="30"/>
      <c r="C41" s="30"/>
      <c r="D41" s="58"/>
      <c r="E41" s="58"/>
      <c r="F41" s="58"/>
      <c r="G41" s="59"/>
      <c r="J41" s="0" t="n">
        <v>31</v>
      </c>
      <c r="K41" s="0" t="str">
        <f aca="false">IF(A41="","",IF(ISNUMBER(A41),IF(A41&gt;=36526,A41,""),IFERROR(DATEVALUE(A41),"")))</f>
        <v/>
      </c>
      <c r="L41" s="0" t="str">
        <f aca="false">IF(K41="","",INT((K41-SAT1)/7)+1)</f>
        <v/>
      </c>
      <c r="M41" s="0" t="str">
        <f aca="false">IF(L41="","",IF(OR(L41&lt;1,L41&gt;NW),"",INDEX(WMON,L41)))</f>
        <v/>
      </c>
    </row>
    <row r="42" customFormat="false" ht="15" hidden="false" customHeight="false" outlineLevel="0" collapsed="false">
      <c r="A42" s="57"/>
      <c r="B42" s="30"/>
      <c r="C42" s="30"/>
      <c r="D42" s="58"/>
      <c r="E42" s="58"/>
      <c r="F42" s="58"/>
      <c r="G42" s="59"/>
      <c r="J42" s="0" t="n">
        <v>32</v>
      </c>
      <c r="K42" s="0" t="str">
        <f aca="false">IF(A42="","",IF(ISNUMBER(A42),IF(A42&gt;=36526,A42,""),IFERROR(DATEVALUE(A42),"")))</f>
        <v/>
      </c>
      <c r="L42" s="0" t="str">
        <f aca="false">IF(K42="","",INT((K42-SAT1)/7)+1)</f>
        <v/>
      </c>
      <c r="M42" s="0" t="str">
        <f aca="false">IF(L42="","",IF(OR(L42&lt;1,L42&gt;NW),"",INDEX(WMON,L42)))</f>
        <v/>
      </c>
    </row>
    <row r="43" customFormat="false" ht="15" hidden="false" customHeight="false" outlineLevel="0" collapsed="false">
      <c r="A43" s="57"/>
      <c r="B43" s="30"/>
      <c r="C43" s="30"/>
      <c r="D43" s="58"/>
      <c r="E43" s="58"/>
      <c r="F43" s="58"/>
      <c r="G43" s="59"/>
      <c r="J43" s="0" t="n">
        <v>33</v>
      </c>
      <c r="K43" s="0" t="str">
        <f aca="false">IF(A43="","",IF(ISNUMBER(A43),IF(A43&gt;=36526,A43,""),IFERROR(DATEVALUE(A43),"")))</f>
        <v/>
      </c>
      <c r="L43" s="0" t="str">
        <f aca="false">IF(K43="","",INT((K43-SAT1)/7)+1)</f>
        <v/>
      </c>
      <c r="M43" s="0" t="str">
        <f aca="false">IF(L43="","",IF(OR(L43&lt;1,L43&gt;NW),"",INDEX(WMON,L43)))</f>
        <v/>
      </c>
    </row>
    <row r="44" customFormat="false" ht="15" hidden="false" customHeight="false" outlineLevel="0" collapsed="false">
      <c r="A44" s="57"/>
      <c r="B44" s="30"/>
      <c r="C44" s="30"/>
      <c r="D44" s="58"/>
      <c r="E44" s="58"/>
      <c r="F44" s="58"/>
      <c r="G44" s="59"/>
      <c r="J44" s="0" t="n">
        <v>34</v>
      </c>
      <c r="K44" s="0" t="str">
        <f aca="false">IF(A44="","",IF(ISNUMBER(A44),IF(A44&gt;=36526,A44,""),IFERROR(DATEVALUE(A44),"")))</f>
        <v/>
      </c>
      <c r="L44" s="0" t="str">
        <f aca="false">IF(K44="","",INT((K44-SAT1)/7)+1)</f>
        <v/>
      </c>
      <c r="M44" s="0" t="str">
        <f aca="false">IF(L44="","",IF(OR(L44&lt;1,L44&gt;NW),"",INDEX(WMON,L44)))</f>
        <v/>
      </c>
    </row>
    <row r="45" customFormat="false" ht="15" hidden="false" customHeight="false" outlineLevel="0" collapsed="false">
      <c r="A45" s="57"/>
      <c r="B45" s="30"/>
      <c r="C45" s="30"/>
      <c r="D45" s="58"/>
      <c r="E45" s="58"/>
      <c r="F45" s="58"/>
      <c r="G45" s="59"/>
      <c r="J45" s="0" t="n">
        <v>35</v>
      </c>
      <c r="K45" s="0" t="str">
        <f aca="false">IF(A45="","",IF(ISNUMBER(A45),IF(A45&gt;=36526,A45,""),IFERROR(DATEVALUE(A45),"")))</f>
        <v/>
      </c>
      <c r="L45" s="0" t="str">
        <f aca="false">IF(K45="","",INT((K45-SAT1)/7)+1)</f>
        <v/>
      </c>
      <c r="M45" s="0" t="str">
        <f aca="false">IF(L45="","",IF(OR(L45&lt;1,L45&gt;NW),"",INDEX(WMON,L45)))</f>
        <v/>
      </c>
    </row>
    <row r="46" customFormat="false" ht="15" hidden="false" customHeight="false" outlineLevel="0" collapsed="false">
      <c r="A46" s="57"/>
      <c r="B46" s="30"/>
      <c r="C46" s="30"/>
      <c r="D46" s="58"/>
      <c r="E46" s="58"/>
      <c r="F46" s="58"/>
      <c r="G46" s="59"/>
      <c r="J46" s="0" t="n">
        <v>36</v>
      </c>
      <c r="K46" s="0" t="str">
        <f aca="false">IF(A46="","",IF(ISNUMBER(A46),IF(A46&gt;=36526,A46,""),IFERROR(DATEVALUE(A46),"")))</f>
        <v/>
      </c>
      <c r="L46" s="0" t="str">
        <f aca="false">IF(K46="","",INT((K46-SAT1)/7)+1)</f>
        <v/>
      </c>
      <c r="M46" s="0" t="str">
        <f aca="false">IF(L46="","",IF(OR(L46&lt;1,L46&gt;NW),"",INDEX(WMON,L46)))</f>
        <v/>
      </c>
    </row>
    <row r="47" customFormat="false" ht="15" hidden="false" customHeight="false" outlineLevel="0" collapsed="false">
      <c r="A47" s="57"/>
      <c r="B47" s="30"/>
      <c r="C47" s="30"/>
      <c r="D47" s="58"/>
      <c r="E47" s="58"/>
      <c r="F47" s="58"/>
      <c r="G47" s="59"/>
      <c r="J47" s="0" t="n">
        <v>37</v>
      </c>
      <c r="K47" s="0" t="str">
        <f aca="false">IF(A47="","",IF(ISNUMBER(A47),IF(A47&gt;=36526,A47,""),IFERROR(DATEVALUE(A47),"")))</f>
        <v/>
      </c>
      <c r="L47" s="0" t="str">
        <f aca="false">IF(K47="","",INT((K47-SAT1)/7)+1)</f>
        <v/>
      </c>
      <c r="M47" s="0" t="str">
        <f aca="false">IF(L47="","",IF(OR(L47&lt;1,L47&gt;NW),"",INDEX(WMON,L47)))</f>
        <v/>
      </c>
    </row>
    <row r="48" customFormat="false" ht="15" hidden="false" customHeight="false" outlineLevel="0" collapsed="false">
      <c r="A48" s="57"/>
      <c r="B48" s="30"/>
      <c r="C48" s="30"/>
      <c r="D48" s="58"/>
      <c r="E48" s="58"/>
      <c r="F48" s="58"/>
      <c r="G48" s="59"/>
      <c r="J48" s="0" t="n">
        <v>38</v>
      </c>
      <c r="K48" s="0" t="str">
        <f aca="false">IF(A48="","",IF(ISNUMBER(A48),IF(A48&gt;=36526,A48,""),IFERROR(DATEVALUE(A48),"")))</f>
        <v/>
      </c>
      <c r="L48" s="0" t="str">
        <f aca="false">IF(K48="","",INT((K48-SAT1)/7)+1)</f>
        <v/>
      </c>
      <c r="M48" s="0" t="str">
        <f aca="false">IF(L48="","",IF(OR(L48&lt;1,L48&gt;NW),"",INDEX(WMON,L48)))</f>
        <v/>
      </c>
    </row>
    <row r="49" customFormat="false" ht="15" hidden="false" customHeight="false" outlineLevel="0" collapsed="false">
      <c r="A49" s="57"/>
      <c r="B49" s="30"/>
      <c r="C49" s="30"/>
      <c r="D49" s="58"/>
      <c r="E49" s="58"/>
      <c r="F49" s="58"/>
      <c r="G49" s="59"/>
      <c r="J49" s="0" t="n">
        <v>39</v>
      </c>
      <c r="K49" s="0" t="str">
        <f aca="false">IF(A49="","",IF(ISNUMBER(A49),IF(A49&gt;=36526,A49,""),IFERROR(DATEVALUE(A49),"")))</f>
        <v/>
      </c>
      <c r="L49" s="0" t="str">
        <f aca="false">IF(K49="","",INT((K49-SAT1)/7)+1)</f>
        <v/>
      </c>
      <c r="M49" s="0" t="str">
        <f aca="false">IF(L49="","",IF(OR(L49&lt;1,L49&gt;NW),"",INDEX(WMON,L49)))</f>
        <v/>
      </c>
    </row>
    <row r="50" customFormat="false" ht="15" hidden="false" customHeight="false" outlineLevel="0" collapsed="false">
      <c r="A50" s="57"/>
      <c r="B50" s="30"/>
      <c r="C50" s="30"/>
      <c r="D50" s="58"/>
      <c r="E50" s="58"/>
      <c r="F50" s="58"/>
      <c r="G50" s="59"/>
      <c r="J50" s="0" t="n">
        <v>40</v>
      </c>
      <c r="K50" s="0" t="str">
        <f aca="false">IF(A50="","",IF(ISNUMBER(A50),IF(A50&gt;=36526,A50,""),IFERROR(DATEVALUE(A50),"")))</f>
        <v/>
      </c>
      <c r="L50" s="0" t="str">
        <f aca="false">IF(K50="","",INT((K50-SAT1)/7)+1)</f>
        <v/>
      </c>
      <c r="M50" s="0" t="str">
        <f aca="false">IF(L50="","",IF(OR(L50&lt;1,L50&gt;NW),"",INDEX(WMON,L50)))</f>
        <v/>
      </c>
    </row>
    <row r="51" customFormat="false" ht="15" hidden="false" customHeight="false" outlineLevel="0" collapsed="false">
      <c r="A51" s="57"/>
      <c r="B51" s="30"/>
      <c r="C51" s="30"/>
      <c r="D51" s="58"/>
      <c r="E51" s="58"/>
      <c r="F51" s="58"/>
      <c r="G51" s="59"/>
      <c r="J51" s="0" t="n">
        <v>41</v>
      </c>
      <c r="K51" s="0" t="str">
        <f aca="false">IF(A51="","",IF(ISNUMBER(A51),IF(A51&gt;=36526,A51,""),IFERROR(DATEVALUE(A51),"")))</f>
        <v/>
      </c>
      <c r="L51" s="0" t="str">
        <f aca="false">IF(K51="","",INT((K51-SAT1)/7)+1)</f>
        <v/>
      </c>
      <c r="M51" s="0" t="str">
        <f aca="false">IF(L51="","",IF(OR(L51&lt;1,L51&gt;NW),"",INDEX(WMON,L51)))</f>
        <v/>
      </c>
    </row>
    <row r="52" customFormat="false" ht="15" hidden="false" customHeight="false" outlineLevel="0" collapsed="false">
      <c r="A52" s="57"/>
      <c r="B52" s="30"/>
      <c r="C52" s="30"/>
      <c r="D52" s="58"/>
      <c r="E52" s="58"/>
      <c r="F52" s="58"/>
      <c r="G52" s="59"/>
      <c r="J52" s="0" t="n">
        <v>42</v>
      </c>
      <c r="K52" s="0" t="str">
        <f aca="false">IF(A52="","",IF(ISNUMBER(A52),IF(A52&gt;=36526,A52,""),IFERROR(DATEVALUE(A52),"")))</f>
        <v/>
      </c>
      <c r="L52" s="0" t="str">
        <f aca="false">IF(K52="","",INT((K52-SAT1)/7)+1)</f>
        <v/>
      </c>
      <c r="M52" s="0" t="str">
        <f aca="false">IF(L52="","",IF(OR(L52&lt;1,L52&gt;NW),"",INDEX(WMON,L52)))</f>
        <v/>
      </c>
    </row>
    <row r="53" customFormat="false" ht="15" hidden="false" customHeight="false" outlineLevel="0" collapsed="false">
      <c r="A53" s="57"/>
      <c r="B53" s="30"/>
      <c r="C53" s="30"/>
      <c r="D53" s="58"/>
      <c r="E53" s="58"/>
      <c r="F53" s="58"/>
      <c r="G53" s="59"/>
      <c r="J53" s="0" t="n">
        <v>43</v>
      </c>
      <c r="K53" s="0" t="str">
        <f aca="false">IF(A53="","",IF(ISNUMBER(A53),IF(A53&gt;=36526,A53,""),IFERROR(DATEVALUE(A53),"")))</f>
        <v/>
      </c>
      <c r="L53" s="0" t="str">
        <f aca="false">IF(K53="","",INT((K53-SAT1)/7)+1)</f>
        <v/>
      </c>
      <c r="M53" s="0" t="str">
        <f aca="false">IF(L53="","",IF(OR(L53&lt;1,L53&gt;NW),"",INDEX(WMON,L53)))</f>
        <v/>
      </c>
    </row>
    <row r="54" customFormat="false" ht="15" hidden="false" customHeight="false" outlineLevel="0" collapsed="false">
      <c r="A54" s="57"/>
      <c r="B54" s="30"/>
      <c r="C54" s="30"/>
      <c r="D54" s="58"/>
      <c r="E54" s="58"/>
      <c r="F54" s="58"/>
      <c r="G54" s="59"/>
      <c r="J54" s="0" t="n">
        <v>44</v>
      </c>
      <c r="K54" s="0" t="str">
        <f aca="false">IF(A54="","",IF(ISNUMBER(A54),IF(A54&gt;=36526,A54,""),IFERROR(DATEVALUE(A54),"")))</f>
        <v/>
      </c>
      <c r="L54" s="0" t="str">
        <f aca="false">IF(K54="","",INT((K54-SAT1)/7)+1)</f>
        <v/>
      </c>
      <c r="M54" s="0" t="str">
        <f aca="false">IF(L54="","",IF(OR(L54&lt;1,L54&gt;NW),"",INDEX(WMON,L54)))</f>
        <v/>
      </c>
    </row>
    <row r="55" customFormat="false" ht="15" hidden="false" customHeight="false" outlineLevel="0" collapsed="false">
      <c r="A55" s="57"/>
      <c r="B55" s="30"/>
      <c r="C55" s="30"/>
      <c r="D55" s="58"/>
      <c r="E55" s="58"/>
      <c r="F55" s="58"/>
      <c r="G55" s="59"/>
      <c r="J55" s="0" t="n">
        <v>45</v>
      </c>
      <c r="K55" s="0" t="str">
        <f aca="false">IF(A55="","",IF(ISNUMBER(A55),IF(A55&gt;=36526,A55,""),IFERROR(DATEVALUE(A55),"")))</f>
        <v/>
      </c>
      <c r="L55" s="0" t="str">
        <f aca="false">IF(K55="","",INT((K55-SAT1)/7)+1)</f>
        <v/>
      </c>
      <c r="M55" s="0" t="str">
        <f aca="false">IF(L55="","",IF(OR(L55&lt;1,L55&gt;NW),"",INDEX(WMON,L55)))</f>
        <v/>
      </c>
    </row>
    <row r="56" customFormat="false" ht="15" hidden="false" customHeight="false" outlineLevel="0" collapsed="false">
      <c r="A56" s="57"/>
      <c r="B56" s="30"/>
      <c r="C56" s="30"/>
      <c r="D56" s="58"/>
      <c r="E56" s="58"/>
      <c r="F56" s="58"/>
      <c r="G56" s="59"/>
      <c r="J56" s="0" t="n">
        <v>46</v>
      </c>
      <c r="K56" s="0" t="str">
        <f aca="false">IF(A56="","",IF(ISNUMBER(A56),IF(A56&gt;=36526,A56,""),IFERROR(DATEVALUE(A56),"")))</f>
        <v/>
      </c>
      <c r="L56" s="0" t="str">
        <f aca="false">IF(K56="","",INT((K56-SAT1)/7)+1)</f>
        <v/>
      </c>
      <c r="M56" s="0" t="str">
        <f aca="false">IF(L56="","",IF(OR(L56&lt;1,L56&gt;NW),"",INDEX(WMON,L56)))</f>
        <v/>
      </c>
    </row>
    <row r="57" customFormat="false" ht="15" hidden="false" customHeight="false" outlineLevel="0" collapsed="false">
      <c r="A57" s="57"/>
      <c r="B57" s="30"/>
      <c r="C57" s="30"/>
      <c r="D57" s="58"/>
      <c r="E57" s="58"/>
      <c r="F57" s="58"/>
      <c r="G57" s="59"/>
      <c r="J57" s="0" t="n">
        <v>47</v>
      </c>
      <c r="K57" s="0" t="str">
        <f aca="false">IF(A57="","",IF(ISNUMBER(A57),IF(A57&gt;=36526,A57,""),IFERROR(DATEVALUE(A57),"")))</f>
        <v/>
      </c>
      <c r="L57" s="0" t="str">
        <f aca="false">IF(K57="","",INT((K57-SAT1)/7)+1)</f>
        <v/>
      </c>
      <c r="M57" s="0" t="str">
        <f aca="false">IF(L57="","",IF(OR(L57&lt;1,L57&gt;NW),"",INDEX(WMON,L57)))</f>
        <v/>
      </c>
    </row>
    <row r="58" customFormat="false" ht="15" hidden="false" customHeight="false" outlineLevel="0" collapsed="false">
      <c r="A58" s="57"/>
      <c r="B58" s="30"/>
      <c r="C58" s="30"/>
      <c r="D58" s="58"/>
      <c r="E58" s="58"/>
      <c r="F58" s="58"/>
      <c r="G58" s="59"/>
      <c r="J58" s="0" t="n">
        <v>48</v>
      </c>
      <c r="K58" s="0" t="str">
        <f aca="false">IF(A58="","",IF(ISNUMBER(A58),IF(A58&gt;=36526,A58,""),IFERROR(DATEVALUE(A58),"")))</f>
        <v/>
      </c>
      <c r="L58" s="0" t="str">
        <f aca="false">IF(K58="","",INT((K58-SAT1)/7)+1)</f>
        <v/>
      </c>
      <c r="M58" s="0" t="str">
        <f aca="false">IF(L58="","",IF(OR(L58&lt;1,L58&gt;NW),"",INDEX(WMON,L58)))</f>
        <v/>
      </c>
    </row>
    <row r="59" customFormat="false" ht="15" hidden="false" customHeight="false" outlineLevel="0" collapsed="false">
      <c r="A59" s="57"/>
      <c r="B59" s="30"/>
      <c r="C59" s="30"/>
      <c r="D59" s="58"/>
      <c r="E59" s="58"/>
      <c r="F59" s="58"/>
      <c r="G59" s="59"/>
      <c r="J59" s="0" t="n">
        <v>49</v>
      </c>
      <c r="K59" s="0" t="str">
        <f aca="false">IF(A59="","",IF(ISNUMBER(A59),IF(A59&gt;=36526,A59,""),IFERROR(DATEVALUE(A59),"")))</f>
        <v/>
      </c>
      <c r="L59" s="0" t="str">
        <f aca="false">IF(K59="","",INT((K59-SAT1)/7)+1)</f>
        <v/>
      </c>
      <c r="M59" s="0" t="str">
        <f aca="false">IF(L59="","",IF(OR(L59&lt;1,L59&gt;NW),"",INDEX(WMON,L59)))</f>
        <v/>
      </c>
    </row>
    <row r="60" customFormat="false" ht="15" hidden="false" customHeight="false" outlineLevel="0" collapsed="false">
      <c r="A60" s="57"/>
      <c r="B60" s="30"/>
      <c r="C60" s="30"/>
      <c r="D60" s="58"/>
      <c r="E60" s="58"/>
      <c r="F60" s="58"/>
      <c r="G60" s="59"/>
      <c r="J60" s="0" t="n">
        <v>50</v>
      </c>
      <c r="K60" s="0" t="str">
        <f aca="false">IF(A60="","",IF(ISNUMBER(A60),IF(A60&gt;=36526,A60,""),IFERROR(DATEVALUE(A60),"")))</f>
        <v/>
      </c>
      <c r="L60" s="0" t="str">
        <f aca="false">IF(K60="","",INT((K60-SAT1)/7)+1)</f>
        <v/>
      </c>
      <c r="M60" s="0" t="str">
        <f aca="false">IF(L60="","",IF(OR(L60&lt;1,L60&gt;NW),"",INDEX(WMON,L60)))</f>
        <v/>
      </c>
    </row>
    <row r="61" customFormat="false" ht="15" hidden="false" customHeight="false" outlineLevel="0" collapsed="false">
      <c r="A61" s="57"/>
      <c r="B61" s="30"/>
      <c r="C61" s="30"/>
      <c r="D61" s="58"/>
      <c r="E61" s="58"/>
      <c r="F61" s="58"/>
      <c r="G61" s="59"/>
      <c r="J61" s="0" t="n">
        <v>51</v>
      </c>
      <c r="K61" s="0" t="str">
        <f aca="false">IF(A61="","",IF(ISNUMBER(A61),IF(A61&gt;=36526,A61,""),IFERROR(DATEVALUE(A61),"")))</f>
        <v/>
      </c>
      <c r="L61" s="0" t="str">
        <f aca="false">IF(K61="","",INT((K61-SAT1)/7)+1)</f>
        <v/>
      </c>
      <c r="M61" s="0" t="str">
        <f aca="false">IF(L61="","",IF(OR(L61&lt;1,L61&gt;NW),"",INDEX(WMON,L61)))</f>
        <v/>
      </c>
    </row>
    <row r="62" customFormat="false" ht="15" hidden="false" customHeight="false" outlineLevel="0" collapsed="false">
      <c r="A62" s="57"/>
      <c r="B62" s="30"/>
      <c r="C62" s="30"/>
      <c r="D62" s="58"/>
      <c r="E62" s="58"/>
      <c r="F62" s="58"/>
      <c r="G62" s="59"/>
      <c r="J62" s="0" t="n">
        <v>52</v>
      </c>
      <c r="K62" s="0" t="str">
        <f aca="false">IF(A62="","",IF(ISNUMBER(A62),IF(A62&gt;=36526,A62,""),IFERROR(DATEVALUE(A62),"")))</f>
        <v/>
      </c>
      <c r="L62" s="0" t="str">
        <f aca="false">IF(K62="","",INT((K62-SAT1)/7)+1)</f>
        <v/>
      </c>
      <c r="M62" s="0" t="str">
        <f aca="false">IF(L62="","",IF(OR(L62&lt;1,L62&gt;NW),"",INDEX(WMON,L62)))</f>
        <v/>
      </c>
    </row>
    <row r="63" customFormat="false" ht="15" hidden="false" customHeight="false" outlineLevel="0" collapsed="false">
      <c r="A63" s="57"/>
      <c r="B63" s="30"/>
      <c r="C63" s="30"/>
      <c r="D63" s="58"/>
      <c r="E63" s="58"/>
      <c r="F63" s="58"/>
      <c r="G63" s="59"/>
      <c r="J63" s="0" t="n">
        <v>53</v>
      </c>
      <c r="K63" s="0" t="str">
        <f aca="false">IF(A63="","",IF(ISNUMBER(A63),IF(A63&gt;=36526,A63,""),IFERROR(DATEVALUE(A63),"")))</f>
        <v/>
      </c>
      <c r="L63" s="0" t="str">
        <f aca="false">IF(K63="","",INT((K63-SAT1)/7)+1)</f>
        <v/>
      </c>
      <c r="M63" s="0" t="str">
        <f aca="false">IF(L63="","",IF(OR(L63&lt;1,L63&gt;NW),"",INDEX(WMON,L63)))</f>
        <v/>
      </c>
    </row>
    <row r="64" customFormat="false" ht="15" hidden="false" customHeight="false" outlineLevel="0" collapsed="false">
      <c r="A64" s="57"/>
      <c r="B64" s="30"/>
      <c r="C64" s="30"/>
      <c r="D64" s="58"/>
      <c r="E64" s="58"/>
      <c r="F64" s="58"/>
      <c r="G64" s="59"/>
      <c r="J64" s="0" t="n">
        <v>54</v>
      </c>
      <c r="K64" s="0" t="str">
        <f aca="false">IF(A64="","",IF(ISNUMBER(A64),IF(A64&gt;=36526,A64,""),IFERROR(DATEVALUE(A64),"")))</f>
        <v/>
      </c>
      <c r="L64" s="0" t="str">
        <f aca="false">IF(K64="","",INT((K64-SAT1)/7)+1)</f>
        <v/>
      </c>
      <c r="M64" s="0" t="str">
        <f aca="false">IF(L64="","",IF(OR(L64&lt;1,L64&gt;NW),"",INDEX(WMON,L64)))</f>
        <v/>
      </c>
    </row>
    <row r="65" customFormat="false" ht="15" hidden="false" customHeight="false" outlineLevel="0" collapsed="false">
      <c r="A65" s="57"/>
      <c r="B65" s="30"/>
      <c r="C65" s="30"/>
      <c r="D65" s="58"/>
      <c r="E65" s="58"/>
      <c r="F65" s="58"/>
      <c r="G65" s="59"/>
      <c r="J65" s="0" t="n">
        <v>55</v>
      </c>
      <c r="K65" s="0" t="str">
        <f aca="false">IF(A65="","",IF(ISNUMBER(A65),IF(A65&gt;=36526,A65,""),IFERROR(DATEVALUE(A65),"")))</f>
        <v/>
      </c>
      <c r="L65" s="0" t="str">
        <f aca="false">IF(K65="","",INT((K65-SAT1)/7)+1)</f>
        <v/>
      </c>
      <c r="M65" s="0" t="str">
        <f aca="false">IF(L65="","",IF(OR(L65&lt;1,L65&gt;NW),"",INDEX(WMON,L65)))</f>
        <v/>
      </c>
    </row>
    <row r="66" customFormat="false" ht="15" hidden="false" customHeight="false" outlineLevel="0" collapsed="false">
      <c r="A66" s="57"/>
      <c r="B66" s="30"/>
      <c r="C66" s="30"/>
      <c r="D66" s="58"/>
      <c r="E66" s="58"/>
      <c r="F66" s="58"/>
      <c r="G66" s="59"/>
      <c r="J66" s="0" t="n">
        <v>56</v>
      </c>
      <c r="K66" s="0" t="str">
        <f aca="false">IF(A66="","",IF(ISNUMBER(A66),IF(A66&gt;=36526,A66,""),IFERROR(DATEVALUE(A66),"")))</f>
        <v/>
      </c>
      <c r="L66" s="0" t="str">
        <f aca="false">IF(K66="","",INT((K66-SAT1)/7)+1)</f>
        <v/>
      </c>
      <c r="M66" s="0" t="str">
        <f aca="false">IF(L66="","",IF(OR(L66&lt;1,L66&gt;NW),"",INDEX(WMON,L66)))</f>
        <v/>
      </c>
    </row>
    <row r="67" customFormat="false" ht="15" hidden="false" customHeight="false" outlineLevel="0" collapsed="false">
      <c r="A67" s="57"/>
      <c r="B67" s="30"/>
      <c r="C67" s="30"/>
      <c r="D67" s="58"/>
      <c r="E67" s="58"/>
      <c r="F67" s="58"/>
      <c r="G67" s="59"/>
      <c r="J67" s="0" t="n">
        <v>57</v>
      </c>
      <c r="K67" s="0" t="str">
        <f aca="false">IF(A67="","",IF(ISNUMBER(A67),IF(A67&gt;=36526,A67,""),IFERROR(DATEVALUE(A67),"")))</f>
        <v/>
      </c>
      <c r="L67" s="0" t="str">
        <f aca="false">IF(K67="","",INT((K67-SAT1)/7)+1)</f>
        <v/>
      </c>
      <c r="M67" s="0" t="str">
        <f aca="false">IF(L67="","",IF(OR(L67&lt;1,L67&gt;NW),"",INDEX(WMON,L67)))</f>
        <v/>
      </c>
    </row>
    <row r="68" customFormat="false" ht="15" hidden="false" customHeight="false" outlineLevel="0" collapsed="false">
      <c r="A68" s="57"/>
      <c r="B68" s="30"/>
      <c r="C68" s="30"/>
      <c r="D68" s="58"/>
      <c r="E68" s="58"/>
      <c r="F68" s="58"/>
      <c r="G68" s="59"/>
      <c r="J68" s="0" t="n">
        <v>58</v>
      </c>
      <c r="K68" s="0" t="str">
        <f aca="false">IF(A68="","",IF(ISNUMBER(A68),IF(A68&gt;=36526,A68,""),IFERROR(DATEVALUE(A68),"")))</f>
        <v/>
      </c>
      <c r="L68" s="0" t="str">
        <f aca="false">IF(K68="","",INT((K68-SAT1)/7)+1)</f>
        <v/>
      </c>
      <c r="M68" s="0" t="str">
        <f aca="false">IF(L68="","",IF(OR(L68&lt;1,L68&gt;NW),"",INDEX(WMON,L68)))</f>
        <v/>
      </c>
    </row>
    <row r="69" customFormat="false" ht="15" hidden="false" customHeight="false" outlineLevel="0" collapsed="false">
      <c r="A69" s="57"/>
      <c r="B69" s="30"/>
      <c r="C69" s="30"/>
      <c r="D69" s="58"/>
      <c r="E69" s="58"/>
      <c r="F69" s="58"/>
      <c r="G69" s="59"/>
      <c r="J69" s="0" t="n">
        <v>59</v>
      </c>
      <c r="K69" s="0" t="str">
        <f aca="false">IF(A69="","",IF(ISNUMBER(A69),IF(A69&gt;=36526,A69,""),IFERROR(DATEVALUE(A69),"")))</f>
        <v/>
      </c>
      <c r="L69" s="0" t="str">
        <f aca="false">IF(K69="","",INT((K69-SAT1)/7)+1)</f>
        <v/>
      </c>
      <c r="M69" s="0" t="str">
        <f aca="false">IF(L69="","",IF(OR(L69&lt;1,L69&gt;NW),"",INDEX(WMON,L69)))</f>
        <v/>
      </c>
    </row>
    <row r="70" customFormat="false" ht="15" hidden="false" customHeight="false" outlineLevel="0" collapsed="false">
      <c r="A70" s="57"/>
      <c r="B70" s="30"/>
      <c r="C70" s="30"/>
      <c r="D70" s="58"/>
      <c r="E70" s="58"/>
      <c r="F70" s="58"/>
      <c r="G70" s="59"/>
      <c r="J70" s="0" t="n">
        <v>60</v>
      </c>
      <c r="K70" s="0" t="str">
        <f aca="false">IF(A70="","",IF(ISNUMBER(A70),IF(A70&gt;=36526,A70,""),IFERROR(DATEVALUE(A70),"")))</f>
        <v/>
      </c>
      <c r="L70" s="0" t="str">
        <f aca="false">IF(K70="","",INT((K70-SAT1)/7)+1)</f>
        <v/>
      </c>
      <c r="M70" s="0" t="str">
        <f aca="false">IF(L70="","",IF(OR(L70&lt;1,L70&gt;NW),"",INDEX(WMON,L70)))</f>
        <v/>
      </c>
    </row>
    <row r="71" customFormat="false" ht="15" hidden="false" customHeight="false" outlineLevel="0" collapsed="false">
      <c r="A71" s="57"/>
      <c r="B71" s="30"/>
      <c r="C71" s="30"/>
      <c r="D71" s="58"/>
      <c r="E71" s="58"/>
      <c r="F71" s="58"/>
      <c r="G71" s="59"/>
      <c r="J71" s="0" t="n">
        <v>61</v>
      </c>
      <c r="K71" s="0" t="str">
        <f aca="false">IF(A71="","",IF(ISNUMBER(A71),IF(A71&gt;=36526,A71,""),IFERROR(DATEVALUE(A71),"")))</f>
        <v/>
      </c>
      <c r="L71" s="0" t="str">
        <f aca="false">IF(K71="","",INT((K71-SAT1)/7)+1)</f>
        <v/>
      </c>
      <c r="M71" s="0" t="str">
        <f aca="false">IF(L71="","",IF(OR(L71&lt;1,L71&gt;NW),"",INDEX(WMON,L71)))</f>
        <v/>
      </c>
    </row>
    <row r="72" customFormat="false" ht="15" hidden="false" customHeight="false" outlineLevel="0" collapsed="false">
      <c r="A72" s="57"/>
      <c r="B72" s="30"/>
      <c r="C72" s="30"/>
      <c r="D72" s="58"/>
      <c r="E72" s="58"/>
      <c r="F72" s="58"/>
      <c r="G72" s="59"/>
      <c r="J72" s="0" t="n">
        <v>62</v>
      </c>
      <c r="K72" s="0" t="str">
        <f aca="false">IF(A72="","",IF(ISNUMBER(A72),IF(A72&gt;=36526,A72,""),IFERROR(DATEVALUE(A72),"")))</f>
        <v/>
      </c>
      <c r="L72" s="0" t="str">
        <f aca="false">IF(K72="","",INT((K72-SAT1)/7)+1)</f>
        <v/>
      </c>
      <c r="M72" s="0" t="str">
        <f aca="false">IF(L72="","",IF(OR(L72&lt;1,L72&gt;NW),"",INDEX(WMON,L72)))</f>
        <v/>
      </c>
    </row>
    <row r="73" customFormat="false" ht="15" hidden="false" customHeight="false" outlineLevel="0" collapsed="false">
      <c r="A73" s="57"/>
      <c r="B73" s="30"/>
      <c r="C73" s="30"/>
      <c r="D73" s="58"/>
      <c r="E73" s="58"/>
      <c r="F73" s="58"/>
      <c r="G73" s="59"/>
      <c r="J73" s="0" t="n">
        <v>63</v>
      </c>
      <c r="K73" s="0" t="str">
        <f aca="false">IF(A73="","",IF(ISNUMBER(A73),IF(A73&gt;=36526,A73,""),IFERROR(DATEVALUE(A73),"")))</f>
        <v/>
      </c>
      <c r="L73" s="0" t="str">
        <f aca="false">IF(K73="","",INT((K73-SAT1)/7)+1)</f>
        <v/>
      </c>
      <c r="M73" s="0" t="str">
        <f aca="false">IF(L73="","",IF(OR(L73&lt;1,L73&gt;NW),"",INDEX(WMON,L73)))</f>
        <v/>
      </c>
    </row>
    <row r="74" customFormat="false" ht="15" hidden="false" customHeight="false" outlineLevel="0" collapsed="false">
      <c r="A74" s="57"/>
      <c r="B74" s="30"/>
      <c r="C74" s="30"/>
      <c r="D74" s="58"/>
      <c r="E74" s="58"/>
      <c r="F74" s="58"/>
      <c r="G74" s="59"/>
      <c r="J74" s="0" t="n">
        <v>64</v>
      </c>
      <c r="K74" s="0" t="str">
        <f aca="false">IF(A74="","",IF(ISNUMBER(A74),IF(A74&gt;=36526,A74,""),IFERROR(DATEVALUE(A74),"")))</f>
        <v/>
      </c>
      <c r="L74" s="0" t="str">
        <f aca="false">IF(K74="","",INT((K74-SAT1)/7)+1)</f>
        <v/>
      </c>
      <c r="M74" s="0" t="str">
        <f aca="false">IF(L74="","",IF(OR(L74&lt;1,L74&gt;NW),"",INDEX(WMON,L74)))</f>
        <v/>
      </c>
    </row>
    <row r="75" customFormat="false" ht="15" hidden="false" customHeight="false" outlineLevel="0" collapsed="false">
      <c r="A75" s="57"/>
      <c r="B75" s="30"/>
      <c r="C75" s="30"/>
      <c r="D75" s="58"/>
      <c r="E75" s="58"/>
      <c r="F75" s="58"/>
      <c r="G75" s="59"/>
      <c r="J75" s="0" t="n">
        <v>65</v>
      </c>
      <c r="K75" s="0" t="str">
        <f aca="false">IF(A75="","",IF(ISNUMBER(A75),IF(A75&gt;=36526,A75,""),IFERROR(DATEVALUE(A75),"")))</f>
        <v/>
      </c>
      <c r="L75" s="0" t="str">
        <f aca="false">IF(K75="","",INT((K75-SAT1)/7)+1)</f>
        <v/>
      </c>
      <c r="M75" s="0" t="str">
        <f aca="false">IF(L75="","",IF(OR(L75&lt;1,L75&gt;NW),"",INDEX(WMON,L75)))</f>
        <v/>
      </c>
    </row>
    <row r="76" customFormat="false" ht="15" hidden="false" customHeight="false" outlineLevel="0" collapsed="false">
      <c r="A76" s="57"/>
      <c r="B76" s="30"/>
      <c r="C76" s="30"/>
      <c r="D76" s="58"/>
      <c r="E76" s="58"/>
      <c r="F76" s="58"/>
      <c r="G76" s="59"/>
      <c r="J76" s="0" t="n">
        <v>66</v>
      </c>
      <c r="K76" s="0" t="str">
        <f aca="false">IF(A76="","",IF(ISNUMBER(A76),IF(A76&gt;=36526,A76,""),IFERROR(DATEVALUE(A76),"")))</f>
        <v/>
      </c>
      <c r="L76" s="0" t="str">
        <f aca="false">IF(K76="","",INT((K76-SAT1)/7)+1)</f>
        <v/>
      </c>
      <c r="M76" s="0" t="str">
        <f aca="false">IF(L76="","",IF(OR(L76&lt;1,L76&gt;NW),"",INDEX(WMON,L76)))</f>
        <v/>
      </c>
    </row>
    <row r="77" customFormat="false" ht="15" hidden="false" customHeight="false" outlineLevel="0" collapsed="false">
      <c r="A77" s="57"/>
      <c r="B77" s="30"/>
      <c r="C77" s="30"/>
      <c r="D77" s="58"/>
      <c r="E77" s="58"/>
      <c r="F77" s="58"/>
      <c r="G77" s="59"/>
      <c r="J77" s="0" t="n">
        <v>67</v>
      </c>
      <c r="K77" s="0" t="str">
        <f aca="false">IF(A77="","",IF(ISNUMBER(A77),IF(A77&gt;=36526,A77,""),IFERROR(DATEVALUE(A77),"")))</f>
        <v/>
      </c>
      <c r="L77" s="0" t="str">
        <f aca="false">IF(K77="","",INT((K77-SAT1)/7)+1)</f>
        <v/>
      </c>
      <c r="M77" s="0" t="str">
        <f aca="false">IF(L77="","",IF(OR(L77&lt;1,L77&gt;NW),"",INDEX(WMON,L77)))</f>
        <v/>
      </c>
    </row>
    <row r="78" customFormat="false" ht="15" hidden="false" customHeight="false" outlineLevel="0" collapsed="false">
      <c r="A78" s="57"/>
      <c r="B78" s="30"/>
      <c r="C78" s="30"/>
      <c r="D78" s="58"/>
      <c r="E78" s="58"/>
      <c r="F78" s="58"/>
      <c r="G78" s="59"/>
      <c r="J78" s="0" t="n">
        <v>68</v>
      </c>
      <c r="K78" s="0" t="str">
        <f aca="false">IF(A78="","",IF(ISNUMBER(A78),IF(A78&gt;=36526,A78,""),IFERROR(DATEVALUE(A78),"")))</f>
        <v/>
      </c>
      <c r="L78" s="0" t="str">
        <f aca="false">IF(K78="","",INT((K78-SAT1)/7)+1)</f>
        <v/>
      </c>
      <c r="M78" s="0" t="str">
        <f aca="false">IF(L78="","",IF(OR(L78&lt;1,L78&gt;NW),"",INDEX(WMON,L78)))</f>
        <v/>
      </c>
    </row>
    <row r="79" customFormat="false" ht="15" hidden="false" customHeight="false" outlineLevel="0" collapsed="false">
      <c r="A79" s="57"/>
      <c r="B79" s="30"/>
      <c r="C79" s="30"/>
      <c r="D79" s="58"/>
      <c r="E79" s="58"/>
      <c r="F79" s="58"/>
      <c r="G79" s="59"/>
      <c r="J79" s="0" t="n">
        <v>69</v>
      </c>
      <c r="K79" s="0" t="str">
        <f aca="false">IF(A79="","",IF(ISNUMBER(A79),IF(A79&gt;=36526,A79,""),IFERROR(DATEVALUE(A79),"")))</f>
        <v/>
      </c>
      <c r="L79" s="0" t="str">
        <f aca="false">IF(K79="","",INT((K79-SAT1)/7)+1)</f>
        <v/>
      </c>
      <c r="M79" s="0" t="str">
        <f aca="false">IF(L79="","",IF(OR(L79&lt;1,L79&gt;NW),"",INDEX(WMON,L79)))</f>
        <v/>
      </c>
    </row>
    <row r="80" customFormat="false" ht="15" hidden="false" customHeight="false" outlineLevel="0" collapsed="false">
      <c r="A80" s="57"/>
      <c r="B80" s="30"/>
      <c r="C80" s="30"/>
      <c r="D80" s="58"/>
      <c r="E80" s="58"/>
      <c r="F80" s="58"/>
      <c r="G80" s="59"/>
      <c r="J80" s="0" t="n">
        <v>70</v>
      </c>
      <c r="K80" s="0" t="str">
        <f aca="false">IF(A80="","",IF(ISNUMBER(A80),IF(A80&gt;=36526,A80,""),IFERROR(DATEVALUE(A80),"")))</f>
        <v/>
      </c>
      <c r="L80" s="0" t="str">
        <f aca="false">IF(K80="","",INT((K80-SAT1)/7)+1)</f>
        <v/>
      </c>
      <c r="M80" s="0" t="str">
        <f aca="false">IF(L80="","",IF(OR(L80&lt;1,L80&gt;NW),"",INDEX(WMON,L80)))</f>
        <v/>
      </c>
    </row>
    <row r="81" customFormat="false" ht="15" hidden="false" customHeight="false" outlineLevel="0" collapsed="false">
      <c r="A81" s="57"/>
      <c r="B81" s="30"/>
      <c r="C81" s="30"/>
      <c r="D81" s="58"/>
      <c r="E81" s="58"/>
      <c r="F81" s="58"/>
      <c r="G81" s="59"/>
      <c r="J81" s="0" t="n">
        <v>71</v>
      </c>
      <c r="K81" s="0" t="str">
        <f aca="false">IF(A81="","",IF(ISNUMBER(A81),IF(A81&gt;=36526,A81,""),IFERROR(DATEVALUE(A81),"")))</f>
        <v/>
      </c>
      <c r="L81" s="0" t="str">
        <f aca="false">IF(K81="","",INT((K81-SAT1)/7)+1)</f>
        <v/>
      </c>
      <c r="M81" s="0" t="str">
        <f aca="false">IF(L81="","",IF(OR(L81&lt;1,L81&gt;NW),"",INDEX(WMON,L81)))</f>
        <v/>
      </c>
    </row>
    <row r="82" customFormat="false" ht="15" hidden="false" customHeight="false" outlineLevel="0" collapsed="false">
      <c r="A82" s="57"/>
      <c r="B82" s="30"/>
      <c r="C82" s="30"/>
      <c r="D82" s="58"/>
      <c r="E82" s="58"/>
      <c r="F82" s="58"/>
      <c r="G82" s="59"/>
      <c r="J82" s="0" t="n">
        <v>72</v>
      </c>
      <c r="K82" s="0" t="str">
        <f aca="false">IF(A82="","",IF(ISNUMBER(A82),IF(A82&gt;=36526,A82,""),IFERROR(DATEVALUE(A82),"")))</f>
        <v/>
      </c>
      <c r="L82" s="0" t="str">
        <f aca="false">IF(K82="","",INT((K82-SAT1)/7)+1)</f>
        <v/>
      </c>
      <c r="M82" s="0" t="str">
        <f aca="false">IF(L82="","",IF(OR(L82&lt;1,L82&gt;NW),"",INDEX(WMON,L82)))</f>
        <v/>
      </c>
    </row>
    <row r="83" customFormat="false" ht="15" hidden="false" customHeight="false" outlineLevel="0" collapsed="false">
      <c r="A83" s="57"/>
      <c r="B83" s="30"/>
      <c r="C83" s="30"/>
      <c r="D83" s="58"/>
      <c r="E83" s="58"/>
      <c r="F83" s="58"/>
      <c r="G83" s="59"/>
      <c r="J83" s="0" t="n">
        <v>73</v>
      </c>
      <c r="K83" s="0" t="str">
        <f aca="false">IF(A83="","",IF(ISNUMBER(A83),IF(A83&gt;=36526,A83,""),IFERROR(DATEVALUE(A83),"")))</f>
        <v/>
      </c>
      <c r="L83" s="0" t="str">
        <f aca="false">IF(K83="","",INT((K83-SAT1)/7)+1)</f>
        <v/>
      </c>
      <c r="M83" s="0" t="str">
        <f aca="false">IF(L83="","",IF(OR(L83&lt;1,L83&gt;NW),"",INDEX(WMON,L83)))</f>
        <v/>
      </c>
    </row>
    <row r="84" customFormat="false" ht="15" hidden="false" customHeight="false" outlineLevel="0" collapsed="false">
      <c r="A84" s="57"/>
      <c r="B84" s="30"/>
      <c r="C84" s="30"/>
      <c r="D84" s="58"/>
      <c r="E84" s="58"/>
      <c r="F84" s="58"/>
      <c r="G84" s="59"/>
      <c r="J84" s="0" t="n">
        <v>74</v>
      </c>
      <c r="K84" s="0" t="str">
        <f aca="false">IF(A84="","",IF(ISNUMBER(A84),IF(A84&gt;=36526,A84,""),IFERROR(DATEVALUE(A84),"")))</f>
        <v/>
      </c>
      <c r="L84" s="0" t="str">
        <f aca="false">IF(K84="","",INT((K84-SAT1)/7)+1)</f>
        <v/>
      </c>
      <c r="M84" s="0" t="str">
        <f aca="false">IF(L84="","",IF(OR(L84&lt;1,L84&gt;NW),"",INDEX(WMON,L84)))</f>
        <v/>
      </c>
    </row>
    <row r="85" customFormat="false" ht="15" hidden="false" customHeight="false" outlineLevel="0" collapsed="false">
      <c r="A85" s="57"/>
      <c r="B85" s="30"/>
      <c r="C85" s="30"/>
      <c r="D85" s="58"/>
      <c r="E85" s="58"/>
      <c r="F85" s="58"/>
      <c r="G85" s="59"/>
      <c r="J85" s="0" t="n">
        <v>75</v>
      </c>
      <c r="K85" s="0" t="str">
        <f aca="false">IF(A85="","",IF(ISNUMBER(A85),IF(A85&gt;=36526,A85,""),IFERROR(DATEVALUE(A85),"")))</f>
        <v/>
      </c>
      <c r="L85" s="0" t="str">
        <f aca="false">IF(K85="","",INT((K85-SAT1)/7)+1)</f>
        <v/>
      </c>
      <c r="M85" s="0" t="str">
        <f aca="false">IF(L85="","",IF(OR(L85&lt;1,L85&gt;NW),"",INDEX(WMON,L85)))</f>
        <v/>
      </c>
    </row>
    <row r="86" customFormat="false" ht="15" hidden="false" customHeight="false" outlineLevel="0" collapsed="false">
      <c r="A86" s="57"/>
      <c r="B86" s="30"/>
      <c r="C86" s="30"/>
      <c r="D86" s="58"/>
      <c r="E86" s="58"/>
      <c r="F86" s="58"/>
      <c r="G86" s="59"/>
      <c r="J86" s="0" t="n">
        <v>76</v>
      </c>
      <c r="K86" s="0" t="str">
        <f aca="false">IF(A86="","",IF(ISNUMBER(A86),IF(A86&gt;=36526,A86,""),IFERROR(DATEVALUE(A86),"")))</f>
        <v/>
      </c>
      <c r="L86" s="0" t="str">
        <f aca="false">IF(K86="","",INT((K86-SAT1)/7)+1)</f>
        <v/>
      </c>
      <c r="M86" s="0" t="str">
        <f aca="false">IF(L86="","",IF(OR(L86&lt;1,L86&gt;NW),"",INDEX(WMON,L86)))</f>
        <v/>
      </c>
    </row>
    <row r="87" customFormat="false" ht="15" hidden="false" customHeight="false" outlineLevel="0" collapsed="false">
      <c r="A87" s="57"/>
      <c r="B87" s="30"/>
      <c r="C87" s="30"/>
      <c r="D87" s="58"/>
      <c r="E87" s="58"/>
      <c r="F87" s="58"/>
      <c r="G87" s="59"/>
      <c r="J87" s="0" t="n">
        <v>77</v>
      </c>
      <c r="K87" s="0" t="str">
        <f aca="false">IF(A87="","",IF(ISNUMBER(A87),IF(A87&gt;=36526,A87,""),IFERROR(DATEVALUE(A87),"")))</f>
        <v/>
      </c>
      <c r="L87" s="0" t="str">
        <f aca="false">IF(K87="","",INT((K87-SAT1)/7)+1)</f>
        <v/>
      </c>
      <c r="M87" s="0" t="str">
        <f aca="false">IF(L87="","",IF(OR(L87&lt;1,L87&gt;NW),"",INDEX(WMON,L87)))</f>
        <v/>
      </c>
    </row>
    <row r="88" customFormat="false" ht="15" hidden="false" customHeight="false" outlineLevel="0" collapsed="false">
      <c r="A88" s="57"/>
      <c r="B88" s="30"/>
      <c r="C88" s="30"/>
      <c r="D88" s="58"/>
      <c r="E88" s="58"/>
      <c r="F88" s="58"/>
      <c r="G88" s="59"/>
      <c r="J88" s="0" t="n">
        <v>78</v>
      </c>
      <c r="K88" s="0" t="str">
        <f aca="false">IF(A88="","",IF(ISNUMBER(A88),IF(A88&gt;=36526,A88,""),IFERROR(DATEVALUE(A88),"")))</f>
        <v/>
      </c>
      <c r="L88" s="0" t="str">
        <f aca="false">IF(K88="","",INT((K88-SAT1)/7)+1)</f>
        <v/>
      </c>
      <c r="M88" s="0" t="str">
        <f aca="false">IF(L88="","",IF(OR(L88&lt;1,L88&gt;NW),"",INDEX(WMON,L88)))</f>
        <v/>
      </c>
    </row>
    <row r="89" customFormat="false" ht="15" hidden="false" customHeight="false" outlineLevel="0" collapsed="false">
      <c r="A89" s="57"/>
      <c r="B89" s="30"/>
      <c r="C89" s="30"/>
      <c r="D89" s="58"/>
      <c r="E89" s="58"/>
      <c r="F89" s="58"/>
      <c r="G89" s="59"/>
      <c r="J89" s="0" t="n">
        <v>79</v>
      </c>
      <c r="K89" s="0" t="str">
        <f aca="false">IF(A89="","",IF(ISNUMBER(A89),IF(A89&gt;=36526,A89,""),IFERROR(DATEVALUE(A89),"")))</f>
        <v/>
      </c>
      <c r="L89" s="0" t="str">
        <f aca="false">IF(K89="","",INT((K89-SAT1)/7)+1)</f>
        <v/>
      </c>
      <c r="M89" s="0" t="str">
        <f aca="false">IF(L89="","",IF(OR(L89&lt;1,L89&gt;NW),"",INDEX(WMON,L89)))</f>
        <v/>
      </c>
    </row>
    <row r="90" customFormat="false" ht="15" hidden="false" customHeight="false" outlineLevel="0" collapsed="false">
      <c r="A90" s="57"/>
      <c r="B90" s="30"/>
      <c r="C90" s="30"/>
      <c r="D90" s="58"/>
      <c r="E90" s="58"/>
      <c r="F90" s="58"/>
      <c r="G90" s="59"/>
      <c r="J90" s="0" t="n">
        <v>80</v>
      </c>
      <c r="K90" s="0" t="str">
        <f aca="false">IF(A90="","",IF(ISNUMBER(A90),IF(A90&gt;=36526,A90,""),IFERROR(DATEVALUE(A90),"")))</f>
        <v/>
      </c>
      <c r="L90" s="0" t="str">
        <f aca="false">IF(K90="","",INT((K90-SAT1)/7)+1)</f>
        <v/>
      </c>
      <c r="M90" s="0" t="str">
        <f aca="false">IF(L90="","",IF(OR(L90&lt;1,L90&gt;NW),"",INDEX(WMON,L90)))</f>
        <v/>
      </c>
    </row>
    <row r="91" customFormat="false" ht="15" hidden="false" customHeight="false" outlineLevel="0" collapsed="false">
      <c r="A91" s="57"/>
      <c r="B91" s="30"/>
      <c r="C91" s="30"/>
      <c r="D91" s="58"/>
      <c r="E91" s="58"/>
      <c r="F91" s="58"/>
      <c r="G91" s="59"/>
      <c r="J91" s="0" t="n">
        <v>81</v>
      </c>
      <c r="K91" s="0" t="str">
        <f aca="false">IF(A91="","",IF(ISNUMBER(A91),IF(A91&gt;=36526,A91,""),IFERROR(DATEVALUE(A91),"")))</f>
        <v/>
      </c>
      <c r="L91" s="0" t="str">
        <f aca="false">IF(K91="","",INT((K91-SAT1)/7)+1)</f>
        <v/>
      </c>
      <c r="M91" s="0" t="str">
        <f aca="false">IF(L91="","",IF(OR(L91&lt;1,L91&gt;NW),"",INDEX(WMON,L91)))</f>
        <v/>
      </c>
    </row>
    <row r="92" customFormat="false" ht="15" hidden="false" customHeight="false" outlineLevel="0" collapsed="false">
      <c r="A92" s="57"/>
      <c r="B92" s="30"/>
      <c r="C92" s="30"/>
      <c r="D92" s="58"/>
      <c r="E92" s="58"/>
      <c r="F92" s="58"/>
      <c r="G92" s="59"/>
      <c r="J92" s="0" t="n">
        <v>82</v>
      </c>
      <c r="K92" s="0" t="str">
        <f aca="false">IF(A92="","",IF(ISNUMBER(A92),IF(A92&gt;=36526,A92,""),IFERROR(DATEVALUE(A92),"")))</f>
        <v/>
      </c>
      <c r="L92" s="0" t="str">
        <f aca="false">IF(K92="","",INT((K92-SAT1)/7)+1)</f>
        <v/>
      </c>
      <c r="M92" s="0" t="str">
        <f aca="false">IF(L92="","",IF(OR(L92&lt;1,L92&gt;NW),"",INDEX(WMON,L92)))</f>
        <v/>
      </c>
    </row>
    <row r="93" customFormat="false" ht="15" hidden="false" customHeight="false" outlineLevel="0" collapsed="false">
      <c r="A93" s="57"/>
      <c r="B93" s="30"/>
      <c r="C93" s="30"/>
      <c r="D93" s="58"/>
      <c r="E93" s="58"/>
      <c r="F93" s="58"/>
      <c r="G93" s="59"/>
      <c r="J93" s="0" t="n">
        <v>83</v>
      </c>
      <c r="K93" s="0" t="str">
        <f aca="false">IF(A93="","",IF(ISNUMBER(A93),IF(A93&gt;=36526,A93,""),IFERROR(DATEVALUE(A93),"")))</f>
        <v/>
      </c>
      <c r="L93" s="0" t="str">
        <f aca="false">IF(K93="","",INT((K93-SAT1)/7)+1)</f>
        <v/>
      </c>
      <c r="M93" s="0" t="str">
        <f aca="false">IF(L93="","",IF(OR(L93&lt;1,L93&gt;NW),"",INDEX(WMON,L93)))</f>
        <v/>
      </c>
    </row>
    <row r="94" customFormat="false" ht="15" hidden="false" customHeight="false" outlineLevel="0" collapsed="false">
      <c r="A94" s="57"/>
      <c r="B94" s="30"/>
      <c r="C94" s="30"/>
      <c r="D94" s="58"/>
      <c r="E94" s="58"/>
      <c r="F94" s="58"/>
      <c r="G94" s="59"/>
      <c r="J94" s="0" t="n">
        <v>84</v>
      </c>
      <c r="K94" s="0" t="str">
        <f aca="false">IF(A94="","",IF(ISNUMBER(A94),IF(A94&gt;=36526,A94,""),IFERROR(DATEVALUE(A94),"")))</f>
        <v/>
      </c>
      <c r="L94" s="0" t="str">
        <f aca="false">IF(K94="","",INT((K94-SAT1)/7)+1)</f>
        <v/>
      </c>
      <c r="M94" s="0" t="str">
        <f aca="false">IF(L94="","",IF(OR(L94&lt;1,L94&gt;NW),"",INDEX(WMON,L94)))</f>
        <v/>
      </c>
    </row>
    <row r="95" customFormat="false" ht="15" hidden="false" customHeight="false" outlineLevel="0" collapsed="false">
      <c r="A95" s="57"/>
      <c r="B95" s="30"/>
      <c r="C95" s="30"/>
      <c r="D95" s="58"/>
      <c r="E95" s="58"/>
      <c r="F95" s="58"/>
      <c r="G95" s="59"/>
      <c r="J95" s="0" t="n">
        <v>85</v>
      </c>
      <c r="K95" s="0" t="str">
        <f aca="false">IF(A95="","",IF(ISNUMBER(A95),IF(A95&gt;=36526,A95,""),IFERROR(DATEVALUE(A95),"")))</f>
        <v/>
      </c>
      <c r="L95" s="0" t="str">
        <f aca="false">IF(K95="","",INT((K95-SAT1)/7)+1)</f>
        <v/>
      </c>
      <c r="M95" s="0" t="str">
        <f aca="false">IF(L95="","",IF(OR(L95&lt;1,L95&gt;NW),"",INDEX(WMON,L95)))</f>
        <v/>
      </c>
    </row>
    <row r="96" customFormat="false" ht="15" hidden="false" customHeight="false" outlineLevel="0" collapsed="false">
      <c r="A96" s="57"/>
      <c r="B96" s="30"/>
      <c r="C96" s="30"/>
      <c r="D96" s="58"/>
      <c r="E96" s="58"/>
      <c r="F96" s="58"/>
      <c r="G96" s="59"/>
      <c r="J96" s="0" t="n">
        <v>86</v>
      </c>
      <c r="K96" s="0" t="str">
        <f aca="false">IF(A96="","",IF(ISNUMBER(A96),IF(A96&gt;=36526,A96,""),IFERROR(DATEVALUE(A96),"")))</f>
        <v/>
      </c>
      <c r="L96" s="0" t="str">
        <f aca="false">IF(K96="","",INT((K96-SAT1)/7)+1)</f>
        <v/>
      </c>
      <c r="M96" s="0" t="str">
        <f aca="false">IF(L96="","",IF(OR(L96&lt;1,L96&gt;NW),"",INDEX(WMON,L96)))</f>
        <v/>
      </c>
    </row>
    <row r="97" customFormat="false" ht="15" hidden="false" customHeight="false" outlineLevel="0" collapsed="false">
      <c r="A97" s="57"/>
      <c r="B97" s="30"/>
      <c r="C97" s="30"/>
      <c r="D97" s="58"/>
      <c r="E97" s="58"/>
      <c r="F97" s="58"/>
      <c r="G97" s="59"/>
      <c r="J97" s="0" t="n">
        <v>87</v>
      </c>
      <c r="K97" s="0" t="str">
        <f aca="false">IF(A97="","",IF(ISNUMBER(A97),IF(A97&gt;=36526,A97,""),IFERROR(DATEVALUE(A97),"")))</f>
        <v/>
      </c>
      <c r="L97" s="0" t="str">
        <f aca="false">IF(K97="","",INT((K97-SAT1)/7)+1)</f>
        <v/>
      </c>
      <c r="M97" s="0" t="str">
        <f aca="false">IF(L97="","",IF(OR(L97&lt;1,L97&gt;NW),"",INDEX(WMON,L97)))</f>
        <v/>
      </c>
    </row>
    <row r="98" customFormat="false" ht="15" hidden="false" customHeight="false" outlineLevel="0" collapsed="false">
      <c r="A98" s="57"/>
      <c r="B98" s="30"/>
      <c r="C98" s="30"/>
      <c r="D98" s="58"/>
      <c r="E98" s="58"/>
      <c r="F98" s="58"/>
      <c r="G98" s="59"/>
      <c r="J98" s="0" t="n">
        <v>88</v>
      </c>
      <c r="K98" s="0" t="str">
        <f aca="false">IF(A98="","",IF(ISNUMBER(A98),IF(A98&gt;=36526,A98,""),IFERROR(DATEVALUE(A98),"")))</f>
        <v/>
      </c>
      <c r="L98" s="0" t="str">
        <f aca="false">IF(K98="","",INT((K98-SAT1)/7)+1)</f>
        <v/>
      </c>
      <c r="M98" s="0" t="str">
        <f aca="false">IF(L98="","",IF(OR(L98&lt;1,L98&gt;NW),"",INDEX(WMON,L98)))</f>
        <v/>
      </c>
    </row>
    <row r="99" customFormat="false" ht="15" hidden="false" customHeight="false" outlineLevel="0" collapsed="false">
      <c r="A99" s="57"/>
      <c r="B99" s="30"/>
      <c r="C99" s="30"/>
      <c r="D99" s="58"/>
      <c r="E99" s="58"/>
      <c r="F99" s="58"/>
      <c r="G99" s="59"/>
      <c r="J99" s="0" t="n">
        <v>89</v>
      </c>
      <c r="K99" s="0" t="str">
        <f aca="false">IF(A99="","",IF(ISNUMBER(A99),IF(A99&gt;=36526,A99,""),IFERROR(DATEVALUE(A99),"")))</f>
        <v/>
      </c>
      <c r="L99" s="0" t="str">
        <f aca="false">IF(K99="","",INT((K99-SAT1)/7)+1)</f>
        <v/>
      </c>
      <c r="M99" s="0" t="str">
        <f aca="false">IF(L99="","",IF(OR(L99&lt;1,L99&gt;NW),"",INDEX(WMON,L99)))</f>
        <v/>
      </c>
    </row>
    <row r="100" customFormat="false" ht="15" hidden="false" customHeight="false" outlineLevel="0" collapsed="false">
      <c r="A100" s="57"/>
      <c r="B100" s="30"/>
      <c r="C100" s="30"/>
      <c r="D100" s="58"/>
      <c r="E100" s="58"/>
      <c r="F100" s="58"/>
      <c r="G100" s="59"/>
      <c r="J100" s="0" t="n">
        <v>90</v>
      </c>
      <c r="K100" s="0" t="str">
        <f aca="false">IF(A100="","",IF(ISNUMBER(A100),IF(A100&gt;=36526,A100,""),IFERROR(DATEVALUE(A100),"")))</f>
        <v/>
      </c>
      <c r="L100" s="0" t="str">
        <f aca="false">IF(K100="","",INT((K100-SAT1)/7)+1)</f>
        <v/>
      </c>
      <c r="M100" s="0" t="str">
        <f aca="false">IF(L100="","",IF(OR(L100&lt;1,L100&gt;NW),"",INDEX(WMON,L100)))</f>
        <v/>
      </c>
    </row>
    <row r="101" customFormat="false" ht="15" hidden="false" customHeight="false" outlineLevel="0" collapsed="false">
      <c r="A101" s="57"/>
      <c r="B101" s="30"/>
      <c r="C101" s="30"/>
      <c r="D101" s="58"/>
      <c r="E101" s="58"/>
      <c r="F101" s="58"/>
      <c r="G101" s="59"/>
      <c r="J101" s="0" t="n">
        <v>91</v>
      </c>
      <c r="K101" s="0" t="str">
        <f aca="false">IF(A101="","",IF(ISNUMBER(A101),IF(A101&gt;=36526,A101,""),IFERROR(DATEVALUE(A101),"")))</f>
        <v/>
      </c>
      <c r="L101" s="0" t="str">
        <f aca="false">IF(K101="","",INT((K101-SAT1)/7)+1)</f>
        <v/>
      </c>
      <c r="M101" s="0" t="str">
        <f aca="false">IF(L101="","",IF(OR(L101&lt;1,L101&gt;NW),"",INDEX(WMON,L101)))</f>
        <v/>
      </c>
    </row>
    <row r="102" customFormat="false" ht="15" hidden="false" customHeight="false" outlineLevel="0" collapsed="false">
      <c r="A102" s="57"/>
      <c r="B102" s="30"/>
      <c r="C102" s="30"/>
      <c r="D102" s="58"/>
      <c r="E102" s="58"/>
      <c r="F102" s="58"/>
      <c r="G102" s="59"/>
      <c r="J102" s="0" t="n">
        <v>92</v>
      </c>
      <c r="K102" s="0" t="str">
        <f aca="false">IF(A102="","",IF(ISNUMBER(A102),IF(A102&gt;=36526,A102,""),IFERROR(DATEVALUE(A102),"")))</f>
        <v/>
      </c>
      <c r="L102" s="0" t="str">
        <f aca="false">IF(K102="","",INT((K102-SAT1)/7)+1)</f>
        <v/>
      </c>
      <c r="M102" s="0" t="str">
        <f aca="false">IF(L102="","",IF(OR(L102&lt;1,L102&gt;NW),"",INDEX(WMON,L102)))</f>
        <v/>
      </c>
    </row>
    <row r="103" customFormat="false" ht="15" hidden="false" customHeight="false" outlineLevel="0" collapsed="false">
      <c r="A103" s="57"/>
      <c r="B103" s="30"/>
      <c r="C103" s="30"/>
      <c r="D103" s="58"/>
      <c r="E103" s="58"/>
      <c r="F103" s="58"/>
      <c r="G103" s="59"/>
      <c r="J103" s="0" t="n">
        <v>93</v>
      </c>
      <c r="K103" s="0" t="str">
        <f aca="false">IF(A103="","",IF(ISNUMBER(A103),IF(A103&gt;=36526,A103,""),IFERROR(DATEVALUE(A103),"")))</f>
        <v/>
      </c>
      <c r="L103" s="0" t="str">
        <f aca="false">IF(K103="","",INT((K103-SAT1)/7)+1)</f>
        <v/>
      </c>
      <c r="M103" s="0" t="str">
        <f aca="false">IF(L103="","",IF(OR(L103&lt;1,L103&gt;NW),"",INDEX(WMON,L103)))</f>
        <v/>
      </c>
    </row>
    <row r="104" customFormat="false" ht="15" hidden="false" customHeight="false" outlineLevel="0" collapsed="false">
      <c r="A104" s="57"/>
      <c r="B104" s="30"/>
      <c r="C104" s="30"/>
      <c r="D104" s="58"/>
      <c r="E104" s="58"/>
      <c r="F104" s="58"/>
      <c r="G104" s="59"/>
      <c r="J104" s="0" t="n">
        <v>94</v>
      </c>
      <c r="K104" s="0" t="str">
        <f aca="false">IF(A104="","",IF(ISNUMBER(A104),IF(A104&gt;=36526,A104,""),IFERROR(DATEVALUE(A104),"")))</f>
        <v/>
      </c>
      <c r="L104" s="0" t="str">
        <f aca="false">IF(K104="","",INT((K104-SAT1)/7)+1)</f>
        <v/>
      </c>
      <c r="M104" s="0" t="str">
        <f aca="false">IF(L104="","",IF(OR(L104&lt;1,L104&gt;NW),"",INDEX(WMON,L104)))</f>
        <v/>
      </c>
    </row>
    <row r="105" customFormat="false" ht="15" hidden="false" customHeight="false" outlineLevel="0" collapsed="false">
      <c r="A105" s="57"/>
      <c r="B105" s="30"/>
      <c r="C105" s="30"/>
      <c r="D105" s="58"/>
      <c r="E105" s="58"/>
      <c r="F105" s="58"/>
      <c r="G105" s="59"/>
      <c r="J105" s="0" t="n">
        <v>95</v>
      </c>
      <c r="K105" s="0" t="str">
        <f aca="false">IF(A105="","",IF(ISNUMBER(A105),IF(A105&gt;=36526,A105,""),IFERROR(DATEVALUE(A105),"")))</f>
        <v/>
      </c>
      <c r="L105" s="0" t="str">
        <f aca="false">IF(K105="","",INT((K105-SAT1)/7)+1)</f>
        <v/>
      </c>
      <c r="M105" s="0" t="str">
        <f aca="false">IF(L105="","",IF(OR(L105&lt;1,L105&gt;NW),"",INDEX(WMON,L105)))</f>
        <v/>
      </c>
    </row>
    <row r="106" customFormat="false" ht="15" hidden="false" customHeight="false" outlineLevel="0" collapsed="false">
      <c r="A106" s="57"/>
      <c r="B106" s="30"/>
      <c r="C106" s="30"/>
      <c r="D106" s="58"/>
      <c r="E106" s="58"/>
      <c r="F106" s="58"/>
      <c r="G106" s="59"/>
      <c r="J106" s="0" t="n">
        <v>96</v>
      </c>
      <c r="K106" s="0" t="str">
        <f aca="false">IF(A106="","",IF(ISNUMBER(A106),IF(A106&gt;=36526,A106,""),IFERROR(DATEVALUE(A106),"")))</f>
        <v/>
      </c>
      <c r="L106" s="0" t="str">
        <f aca="false">IF(K106="","",INT((K106-SAT1)/7)+1)</f>
        <v/>
      </c>
      <c r="M106" s="0" t="str">
        <f aca="false">IF(L106="","",IF(OR(L106&lt;1,L106&gt;NW),"",INDEX(WMON,L106)))</f>
        <v/>
      </c>
    </row>
    <row r="107" customFormat="false" ht="15" hidden="false" customHeight="false" outlineLevel="0" collapsed="false">
      <c r="A107" s="57"/>
      <c r="B107" s="30"/>
      <c r="C107" s="30"/>
      <c r="D107" s="58"/>
      <c r="E107" s="58"/>
      <c r="F107" s="58"/>
      <c r="G107" s="59"/>
      <c r="J107" s="0" t="n">
        <v>97</v>
      </c>
      <c r="K107" s="0" t="str">
        <f aca="false">IF(A107="","",IF(ISNUMBER(A107),IF(A107&gt;=36526,A107,""),IFERROR(DATEVALUE(A107),"")))</f>
        <v/>
      </c>
      <c r="L107" s="0" t="str">
        <f aca="false">IF(K107="","",INT((K107-SAT1)/7)+1)</f>
        <v/>
      </c>
      <c r="M107" s="0" t="str">
        <f aca="false">IF(L107="","",IF(OR(L107&lt;1,L107&gt;NW),"",INDEX(WMON,L107)))</f>
        <v/>
      </c>
    </row>
    <row r="108" customFormat="false" ht="15" hidden="false" customHeight="false" outlineLevel="0" collapsed="false">
      <c r="A108" s="57"/>
      <c r="B108" s="30"/>
      <c r="C108" s="30"/>
      <c r="D108" s="58"/>
      <c r="E108" s="58"/>
      <c r="F108" s="58"/>
      <c r="G108" s="59"/>
      <c r="J108" s="0" t="n">
        <v>98</v>
      </c>
      <c r="K108" s="0" t="str">
        <f aca="false">IF(A108="","",IF(ISNUMBER(A108),IF(A108&gt;=36526,A108,""),IFERROR(DATEVALUE(A108),"")))</f>
        <v/>
      </c>
      <c r="L108" s="0" t="str">
        <f aca="false">IF(K108="","",INT((K108-SAT1)/7)+1)</f>
        <v/>
      </c>
      <c r="M108" s="0" t="str">
        <f aca="false">IF(L108="","",IF(OR(L108&lt;1,L108&gt;NW),"",INDEX(WMON,L108)))</f>
        <v/>
      </c>
    </row>
    <row r="109" customFormat="false" ht="15" hidden="false" customHeight="false" outlineLevel="0" collapsed="false">
      <c r="A109" s="57"/>
      <c r="B109" s="30"/>
      <c r="C109" s="30"/>
      <c r="D109" s="58"/>
      <c r="E109" s="58"/>
      <c r="F109" s="58"/>
      <c r="G109" s="59"/>
      <c r="J109" s="0" t="n">
        <v>99</v>
      </c>
      <c r="K109" s="0" t="str">
        <f aca="false">IF(A109="","",IF(ISNUMBER(A109),IF(A109&gt;=36526,A109,""),IFERROR(DATEVALUE(A109),"")))</f>
        <v/>
      </c>
      <c r="L109" s="0" t="str">
        <f aca="false">IF(K109="","",INT((K109-SAT1)/7)+1)</f>
        <v/>
      </c>
      <c r="M109" s="0" t="str">
        <f aca="false">IF(L109="","",IF(OR(L109&lt;1,L109&gt;NW),"",INDEX(WMON,L109)))</f>
        <v/>
      </c>
    </row>
    <row r="110" customFormat="false" ht="15" hidden="false" customHeight="false" outlineLevel="0" collapsed="false">
      <c r="A110" s="57"/>
      <c r="B110" s="30"/>
      <c r="C110" s="30"/>
      <c r="D110" s="58"/>
      <c r="E110" s="58"/>
      <c r="F110" s="58"/>
      <c r="G110" s="59"/>
      <c r="J110" s="0" t="n">
        <v>100</v>
      </c>
      <c r="K110" s="0" t="str">
        <f aca="false">IF(A110="","",IF(ISNUMBER(A110),IF(A110&gt;=36526,A110,""),IFERROR(DATEVALUE(A110),"")))</f>
        <v/>
      </c>
      <c r="L110" s="0" t="str">
        <f aca="false">IF(K110="","",INT((K110-SAT1)/7)+1)</f>
        <v/>
      </c>
      <c r="M110" s="0" t="str">
        <f aca="false">IF(L110="","",IF(OR(L110&lt;1,L110&gt;NW),"",INDEX(WMON,L110)))</f>
        <v/>
      </c>
    </row>
    <row r="111" customFormat="false" ht="15" hidden="false" customHeight="false" outlineLevel="0" collapsed="false">
      <c r="A111" s="57"/>
      <c r="B111" s="30"/>
      <c r="C111" s="30"/>
      <c r="D111" s="58"/>
      <c r="E111" s="58"/>
      <c r="F111" s="58"/>
      <c r="G111" s="59"/>
      <c r="J111" s="0" t="n">
        <v>101</v>
      </c>
      <c r="K111" s="0" t="str">
        <f aca="false">IF(A111="","",IF(ISNUMBER(A111),IF(A111&gt;=36526,A111,""),IFERROR(DATEVALUE(A111),"")))</f>
        <v/>
      </c>
      <c r="L111" s="0" t="str">
        <f aca="false">IF(K111="","",INT((K111-SAT1)/7)+1)</f>
        <v/>
      </c>
      <c r="M111" s="0" t="str">
        <f aca="false">IF(L111="","",IF(OR(L111&lt;1,L111&gt;NW),"",INDEX(WMON,L111)))</f>
        <v/>
      </c>
    </row>
    <row r="112" customFormat="false" ht="15" hidden="false" customHeight="false" outlineLevel="0" collapsed="false">
      <c r="A112" s="57"/>
      <c r="B112" s="30"/>
      <c r="C112" s="30"/>
      <c r="D112" s="58"/>
      <c r="E112" s="58"/>
      <c r="F112" s="58"/>
      <c r="G112" s="59"/>
      <c r="J112" s="0" t="n">
        <v>102</v>
      </c>
      <c r="K112" s="0" t="str">
        <f aca="false">IF(A112="","",IF(ISNUMBER(A112),IF(A112&gt;=36526,A112,""),IFERROR(DATEVALUE(A112),"")))</f>
        <v/>
      </c>
      <c r="L112" s="0" t="str">
        <f aca="false">IF(K112="","",INT((K112-SAT1)/7)+1)</f>
        <v/>
      </c>
      <c r="M112" s="0" t="str">
        <f aca="false">IF(L112="","",IF(OR(L112&lt;1,L112&gt;NW),"",INDEX(WMON,L112)))</f>
        <v/>
      </c>
    </row>
    <row r="113" customFormat="false" ht="15" hidden="false" customHeight="false" outlineLevel="0" collapsed="false">
      <c r="A113" s="57"/>
      <c r="B113" s="30"/>
      <c r="C113" s="30"/>
      <c r="D113" s="58"/>
      <c r="E113" s="58"/>
      <c r="F113" s="58"/>
      <c r="G113" s="59"/>
      <c r="J113" s="0" t="n">
        <v>103</v>
      </c>
      <c r="K113" s="0" t="str">
        <f aca="false">IF(A113="","",IF(ISNUMBER(A113),IF(A113&gt;=36526,A113,""),IFERROR(DATEVALUE(A113),"")))</f>
        <v/>
      </c>
      <c r="L113" s="0" t="str">
        <f aca="false">IF(K113="","",INT((K113-SAT1)/7)+1)</f>
        <v/>
      </c>
      <c r="M113" s="0" t="str">
        <f aca="false">IF(L113="","",IF(OR(L113&lt;1,L113&gt;NW),"",INDEX(WMON,L113)))</f>
        <v/>
      </c>
    </row>
    <row r="114" customFormat="false" ht="15" hidden="false" customHeight="false" outlineLevel="0" collapsed="false">
      <c r="A114" s="57"/>
      <c r="B114" s="30"/>
      <c r="C114" s="30"/>
      <c r="D114" s="58"/>
      <c r="E114" s="58"/>
      <c r="F114" s="58"/>
      <c r="G114" s="59"/>
      <c r="J114" s="0" t="n">
        <v>104</v>
      </c>
      <c r="K114" s="0" t="str">
        <f aca="false">IF(A114="","",IF(ISNUMBER(A114),IF(A114&gt;=36526,A114,""),IFERROR(DATEVALUE(A114),"")))</f>
        <v/>
      </c>
      <c r="L114" s="0" t="str">
        <f aca="false">IF(K114="","",INT((K114-SAT1)/7)+1)</f>
        <v/>
      </c>
      <c r="M114" s="0" t="str">
        <f aca="false">IF(L114="","",IF(OR(L114&lt;1,L114&gt;NW),"",INDEX(WMON,L114)))</f>
        <v/>
      </c>
    </row>
    <row r="115" customFormat="false" ht="15" hidden="false" customHeight="false" outlineLevel="0" collapsed="false">
      <c r="A115" s="57"/>
      <c r="B115" s="30"/>
      <c r="C115" s="30"/>
      <c r="D115" s="58"/>
      <c r="E115" s="58"/>
      <c r="F115" s="58"/>
      <c r="G115" s="59"/>
      <c r="J115" s="0" t="n">
        <v>105</v>
      </c>
      <c r="K115" s="0" t="str">
        <f aca="false">IF(A115="","",IF(ISNUMBER(A115),IF(A115&gt;=36526,A115,""),IFERROR(DATEVALUE(A115),"")))</f>
        <v/>
      </c>
      <c r="L115" s="0" t="str">
        <f aca="false">IF(K115="","",INT((K115-SAT1)/7)+1)</f>
        <v/>
      </c>
      <c r="M115" s="0" t="str">
        <f aca="false">IF(L115="","",IF(OR(L115&lt;1,L115&gt;NW),"",INDEX(WMON,L115)))</f>
        <v/>
      </c>
    </row>
    <row r="116" customFormat="false" ht="15" hidden="false" customHeight="false" outlineLevel="0" collapsed="false">
      <c r="A116" s="57"/>
      <c r="B116" s="30"/>
      <c r="C116" s="30"/>
      <c r="D116" s="58"/>
      <c r="E116" s="58"/>
      <c r="F116" s="58"/>
      <c r="G116" s="59"/>
      <c r="J116" s="0" t="n">
        <v>106</v>
      </c>
      <c r="K116" s="0" t="str">
        <f aca="false">IF(A116="","",IF(ISNUMBER(A116),IF(A116&gt;=36526,A116,""),IFERROR(DATEVALUE(A116),"")))</f>
        <v/>
      </c>
      <c r="L116" s="0" t="str">
        <f aca="false">IF(K116="","",INT((K116-SAT1)/7)+1)</f>
        <v/>
      </c>
      <c r="M116" s="0" t="str">
        <f aca="false">IF(L116="","",IF(OR(L116&lt;1,L116&gt;NW),"",INDEX(WMON,L116)))</f>
        <v/>
      </c>
    </row>
    <row r="117" customFormat="false" ht="15" hidden="false" customHeight="false" outlineLevel="0" collapsed="false">
      <c r="A117" s="57"/>
      <c r="B117" s="30"/>
      <c r="C117" s="30"/>
      <c r="D117" s="58"/>
      <c r="E117" s="58"/>
      <c r="F117" s="58"/>
      <c r="G117" s="59"/>
      <c r="J117" s="0" t="n">
        <v>107</v>
      </c>
      <c r="K117" s="0" t="str">
        <f aca="false">IF(A117="","",IF(ISNUMBER(A117),IF(A117&gt;=36526,A117,""),IFERROR(DATEVALUE(A117),"")))</f>
        <v/>
      </c>
      <c r="L117" s="0" t="str">
        <f aca="false">IF(K117="","",INT((K117-SAT1)/7)+1)</f>
        <v/>
      </c>
      <c r="M117" s="0" t="str">
        <f aca="false">IF(L117="","",IF(OR(L117&lt;1,L117&gt;NW),"",INDEX(WMON,L117)))</f>
        <v/>
      </c>
    </row>
    <row r="118" customFormat="false" ht="15" hidden="false" customHeight="false" outlineLevel="0" collapsed="false">
      <c r="A118" s="57"/>
      <c r="B118" s="30"/>
      <c r="C118" s="30"/>
      <c r="D118" s="58"/>
      <c r="E118" s="58"/>
      <c r="F118" s="58"/>
      <c r="G118" s="59"/>
      <c r="J118" s="0" t="n">
        <v>108</v>
      </c>
      <c r="K118" s="0" t="str">
        <f aca="false">IF(A118="","",IF(ISNUMBER(A118),IF(A118&gt;=36526,A118,""),IFERROR(DATEVALUE(A118),"")))</f>
        <v/>
      </c>
      <c r="L118" s="0" t="str">
        <f aca="false">IF(K118="","",INT((K118-SAT1)/7)+1)</f>
        <v/>
      </c>
      <c r="M118" s="0" t="str">
        <f aca="false">IF(L118="","",IF(OR(L118&lt;1,L118&gt;NW),"",INDEX(WMON,L118)))</f>
        <v/>
      </c>
    </row>
    <row r="119" customFormat="false" ht="15" hidden="false" customHeight="false" outlineLevel="0" collapsed="false">
      <c r="A119" s="57"/>
      <c r="B119" s="30"/>
      <c r="C119" s="30"/>
      <c r="D119" s="58"/>
      <c r="E119" s="58"/>
      <c r="F119" s="58"/>
      <c r="G119" s="59"/>
      <c r="J119" s="0" t="n">
        <v>109</v>
      </c>
      <c r="K119" s="0" t="str">
        <f aca="false">IF(A119="","",IF(ISNUMBER(A119),IF(A119&gt;=36526,A119,""),IFERROR(DATEVALUE(A119),"")))</f>
        <v/>
      </c>
      <c r="L119" s="0" t="str">
        <f aca="false">IF(K119="","",INT((K119-SAT1)/7)+1)</f>
        <v/>
      </c>
      <c r="M119" s="0" t="str">
        <f aca="false">IF(L119="","",IF(OR(L119&lt;1,L119&gt;NW),"",INDEX(WMON,L119)))</f>
        <v/>
      </c>
    </row>
    <row r="120" customFormat="false" ht="15" hidden="false" customHeight="false" outlineLevel="0" collapsed="false">
      <c r="A120" s="57"/>
      <c r="B120" s="30"/>
      <c r="C120" s="30"/>
      <c r="D120" s="58"/>
      <c r="E120" s="58"/>
      <c r="F120" s="58"/>
      <c r="G120" s="59"/>
      <c r="J120" s="0" t="n">
        <v>110</v>
      </c>
      <c r="K120" s="0" t="str">
        <f aca="false">IF(A120="","",IF(ISNUMBER(A120),IF(A120&gt;=36526,A120,""),IFERROR(DATEVALUE(A120),"")))</f>
        <v/>
      </c>
      <c r="L120" s="0" t="str">
        <f aca="false">IF(K120="","",INT((K120-SAT1)/7)+1)</f>
        <v/>
      </c>
      <c r="M120" s="0" t="str">
        <f aca="false">IF(L120="","",IF(OR(L120&lt;1,L120&gt;NW),"",INDEX(WMON,L120)))</f>
        <v/>
      </c>
    </row>
    <row r="121" customFormat="false" ht="15" hidden="false" customHeight="false" outlineLevel="0" collapsed="false">
      <c r="A121" s="57"/>
      <c r="B121" s="30"/>
      <c r="C121" s="30"/>
      <c r="D121" s="58"/>
      <c r="E121" s="58"/>
      <c r="F121" s="58"/>
      <c r="G121" s="59"/>
      <c r="J121" s="0" t="n">
        <v>111</v>
      </c>
      <c r="K121" s="0" t="str">
        <f aca="false">IF(A121="","",IF(ISNUMBER(A121),IF(A121&gt;=36526,A121,""),IFERROR(DATEVALUE(A121),"")))</f>
        <v/>
      </c>
      <c r="L121" s="0" t="str">
        <f aca="false">IF(K121="","",INT((K121-SAT1)/7)+1)</f>
        <v/>
      </c>
      <c r="M121" s="0" t="str">
        <f aca="false">IF(L121="","",IF(OR(L121&lt;1,L121&gt;NW),"",INDEX(WMON,L121)))</f>
        <v/>
      </c>
    </row>
    <row r="122" customFormat="false" ht="15" hidden="false" customHeight="false" outlineLevel="0" collapsed="false">
      <c r="A122" s="57"/>
      <c r="B122" s="30"/>
      <c r="C122" s="30"/>
      <c r="D122" s="58"/>
      <c r="E122" s="58"/>
      <c r="F122" s="58"/>
      <c r="G122" s="59"/>
      <c r="J122" s="0" t="n">
        <v>112</v>
      </c>
      <c r="K122" s="0" t="str">
        <f aca="false">IF(A122="","",IF(ISNUMBER(A122),IF(A122&gt;=36526,A122,""),IFERROR(DATEVALUE(A122),"")))</f>
        <v/>
      </c>
      <c r="L122" s="0" t="str">
        <f aca="false">IF(K122="","",INT((K122-SAT1)/7)+1)</f>
        <v/>
      </c>
      <c r="M122" s="0" t="str">
        <f aca="false">IF(L122="","",IF(OR(L122&lt;1,L122&gt;NW),"",INDEX(WMON,L122)))</f>
        <v/>
      </c>
    </row>
    <row r="123" customFormat="false" ht="15" hidden="false" customHeight="false" outlineLevel="0" collapsed="false">
      <c r="A123" s="57"/>
      <c r="B123" s="30"/>
      <c r="C123" s="30"/>
      <c r="D123" s="58"/>
      <c r="E123" s="58"/>
      <c r="F123" s="58"/>
      <c r="G123" s="59"/>
      <c r="J123" s="0" t="n">
        <v>113</v>
      </c>
      <c r="K123" s="0" t="str">
        <f aca="false">IF(A123="","",IF(ISNUMBER(A123),IF(A123&gt;=36526,A123,""),IFERROR(DATEVALUE(A123),"")))</f>
        <v/>
      </c>
      <c r="L123" s="0" t="str">
        <f aca="false">IF(K123="","",INT((K123-SAT1)/7)+1)</f>
        <v/>
      </c>
      <c r="M123" s="0" t="str">
        <f aca="false">IF(L123="","",IF(OR(L123&lt;1,L123&gt;NW),"",INDEX(WMON,L123)))</f>
        <v/>
      </c>
    </row>
    <row r="124" customFormat="false" ht="15" hidden="false" customHeight="false" outlineLevel="0" collapsed="false">
      <c r="A124" s="57"/>
      <c r="B124" s="30"/>
      <c r="C124" s="30"/>
      <c r="D124" s="58"/>
      <c r="E124" s="58"/>
      <c r="F124" s="58"/>
      <c r="G124" s="59"/>
      <c r="J124" s="0" t="n">
        <v>114</v>
      </c>
      <c r="K124" s="0" t="str">
        <f aca="false">IF(A124="","",IF(ISNUMBER(A124),IF(A124&gt;=36526,A124,""),IFERROR(DATEVALUE(A124),"")))</f>
        <v/>
      </c>
      <c r="L124" s="0" t="str">
        <f aca="false">IF(K124="","",INT((K124-SAT1)/7)+1)</f>
        <v/>
      </c>
      <c r="M124" s="0" t="str">
        <f aca="false">IF(L124="","",IF(OR(L124&lt;1,L124&gt;NW),"",INDEX(WMON,L124)))</f>
        <v/>
      </c>
    </row>
    <row r="125" customFormat="false" ht="15" hidden="false" customHeight="false" outlineLevel="0" collapsed="false">
      <c r="A125" s="57"/>
      <c r="B125" s="30"/>
      <c r="C125" s="30"/>
      <c r="D125" s="58"/>
      <c r="E125" s="58"/>
      <c r="F125" s="58"/>
      <c r="G125" s="59"/>
      <c r="J125" s="0" t="n">
        <v>115</v>
      </c>
      <c r="K125" s="0" t="str">
        <f aca="false">IF(A125="","",IF(ISNUMBER(A125),IF(A125&gt;=36526,A125,""),IFERROR(DATEVALUE(A125),"")))</f>
        <v/>
      </c>
      <c r="L125" s="0" t="str">
        <f aca="false">IF(K125="","",INT((K125-SAT1)/7)+1)</f>
        <v/>
      </c>
      <c r="M125" s="0" t="str">
        <f aca="false">IF(L125="","",IF(OR(L125&lt;1,L125&gt;NW),"",INDEX(WMON,L125)))</f>
        <v/>
      </c>
    </row>
    <row r="126" customFormat="false" ht="15" hidden="false" customHeight="false" outlineLevel="0" collapsed="false">
      <c r="A126" s="57"/>
      <c r="B126" s="30"/>
      <c r="C126" s="30"/>
      <c r="D126" s="58"/>
      <c r="E126" s="58"/>
      <c r="F126" s="58"/>
      <c r="G126" s="59"/>
      <c r="J126" s="0" t="n">
        <v>116</v>
      </c>
      <c r="K126" s="0" t="str">
        <f aca="false">IF(A126="","",IF(ISNUMBER(A126),IF(A126&gt;=36526,A126,""),IFERROR(DATEVALUE(A126),"")))</f>
        <v/>
      </c>
      <c r="L126" s="0" t="str">
        <f aca="false">IF(K126="","",INT((K126-SAT1)/7)+1)</f>
        <v/>
      </c>
      <c r="M126" s="0" t="str">
        <f aca="false">IF(L126="","",IF(OR(L126&lt;1,L126&gt;NW),"",INDEX(WMON,L126)))</f>
        <v/>
      </c>
    </row>
    <row r="127" customFormat="false" ht="15" hidden="false" customHeight="false" outlineLevel="0" collapsed="false">
      <c r="A127" s="57"/>
      <c r="B127" s="30"/>
      <c r="C127" s="30"/>
      <c r="D127" s="58"/>
      <c r="E127" s="58"/>
      <c r="F127" s="58"/>
      <c r="G127" s="59"/>
      <c r="J127" s="0" t="n">
        <v>117</v>
      </c>
      <c r="K127" s="0" t="str">
        <f aca="false">IF(A127="","",IF(ISNUMBER(A127),IF(A127&gt;=36526,A127,""),IFERROR(DATEVALUE(A127),"")))</f>
        <v/>
      </c>
      <c r="L127" s="0" t="str">
        <f aca="false">IF(K127="","",INT((K127-SAT1)/7)+1)</f>
        <v/>
      </c>
      <c r="M127" s="0" t="str">
        <f aca="false">IF(L127="","",IF(OR(L127&lt;1,L127&gt;NW),"",INDEX(WMON,L127)))</f>
        <v/>
      </c>
    </row>
    <row r="128" customFormat="false" ht="15" hidden="false" customHeight="false" outlineLevel="0" collapsed="false">
      <c r="A128" s="57"/>
      <c r="B128" s="30"/>
      <c r="C128" s="30"/>
      <c r="D128" s="58"/>
      <c r="E128" s="58"/>
      <c r="F128" s="58"/>
      <c r="G128" s="59"/>
      <c r="J128" s="0" t="n">
        <v>118</v>
      </c>
      <c r="K128" s="0" t="str">
        <f aca="false">IF(A128="","",IF(ISNUMBER(A128),IF(A128&gt;=36526,A128,""),IFERROR(DATEVALUE(A128),"")))</f>
        <v/>
      </c>
      <c r="L128" s="0" t="str">
        <f aca="false">IF(K128="","",INT((K128-SAT1)/7)+1)</f>
        <v/>
      </c>
      <c r="M128" s="0" t="str">
        <f aca="false">IF(L128="","",IF(OR(L128&lt;1,L128&gt;NW),"",INDEX(WMON,L128)))</f>
        <v/>
      </c>
    </row>
    <row r="129" customFormat="false" ht="15" hidden="false" customHeight="false" outlineLevel="0" collapsed="false">
      <c r="A129" s="57"/>
      <c r="B129" s="30"/>
      <c r="C129" s="30"/>
      <c r="D129" s="58"/>
      <c r="E129" s="58"/>
      <c r="F129" s="58"/>
      <c r="G129" s="59"/>
      <c r="J129" s="0" t="n">
        <v>119</v>
      </c>
      <c r="K129" s="0" t="str">
        <f aca="false">IF(A129="","",IF(ISNUMBER(A129),IF(A129&gt;=36526,A129,""),IFERROR(DATEVALUE(A129),"")))</f>
        <v/>
      </c>
      <c r="L129" s="0" t="str">
        <f aca="false">IF(K129="","",INT((K129-SAT1)/7)+1)</f>
        <v/>
      </c>
      <c r="M129" s="0" t="str">
        <f aca="false">IF(L129="","",IF(OR(L129&lt;1,L129&gt;NW),"",INDEX(WMON,L129)))</f>
        <v/>
      </c>
    </row>
    <row r="130" customFormat="false" ht="15" hidden="false" customHeight="false" outlineLevel="0" collapsed="false">
      <c r="A130" s="57"/>
      <c r="B130" s="30"/>
      <c r="C130" s="30"/>
      <c r="D130" s="58"/>
      <c r="E130" s="58"/>
      <c r="F130" s="58"/>
      <c r="G130" s="59"/>
      <c r="J130" s="0" t="n">
        <v>120</v>
      </c>
      <c r="K130" s="0" t="str">
        <f aca="false">IF(A130="","",IF(ISNUMBER(A130),IF(A130&gt;=36526,A130,""),IFERROR(DATEVALUE(A130),"")))</f>
        <v/>
      </c>
      <c r="L130" s="0" t="str">
        <f aca="false">IF(K130="","",INT((K130-SAT1)/7)+1)</f>
        <v/>
      </c>
      <c r="M130" s="0" t="str">
        <f aca="false">IF(L130="","",IF(OR(L130&lt;1,L130&gt;NW),"",INDEX(WMON,L130)))</f>
        <v/>
      </c>
    </row>
    <row r="131" customFormat="false" ht="15" hidden="false" customHeight="false" outlineLevel="0" collapsed="false">
      <c r="A131" s="57"/>
      <c r="B131" s="30"/>
      <c r="C131" s="30"/>
      <c r="D131" s="58"/>
      <c r="E131" s="58"/>
      <c r="F131" s="58"/>
      <c r="G131" s="59"/>
      <c r="J131" s="0" t="n">
        <v>121</v>
      </c>
      <c r="K131" s="0" t="str">
        <f aca="false">IF(A131="","",IF(ISNUMBER(A131),IF(A131&gt;=36526,A131,""),IFERROR(DATEVALUE(A131),"")))</f>
        <v/>
      </c>
      <c r="L131" s="0" t="str">
        <f aca="false">IF(K131="","",INT((K131-SAT1)/7)+1)</f>
        <v/>
      </c>
      <c r="M131" s="0" t="str">
        <f aca="false">IF(L131="","",IF(OR(L131&lt;1,L131&gt;NW),"",INDEX(WMON,L131)))</f>
        <v/>
      </c>
    </row>
    <row r="132" customFormat="false" ht="15" hidden="false" customHeight="false" outlineLevel="0" collapsed="false">
      <c r="A132" s="57"/>
      <c r="B132" s="30"/>
      <c r="C132" s="30"/>
      <c r="D132" s="58"/>
      <c r="E132" s="58"/>
      <c r="F132" s="58"/>
      <c r="G132" s="59"/>
      <c r="J132" s="0" t="n">
        <v>122</v>
      </c>
      <c r="K132" s="0" t="str">
        <f aca="false">IF(A132="","",IF(ISNUMBER(A132),IF(A132&gt;=36526,A132,""),IFERROR(DATEVALUE(A132),"")))</f>
        <v/>
      </c>
      <c r="L132" s="0" t="str">
        <f aca="false">IF(K132="","",INT((K132-SAT1)/7)+1)</f>
        <v/>
      </c>
      <c r="M132" s="0" t="str">
        <f aca="false">IF(L132="","",IF(OR(L132&lt;1,L132&gt;NW),"",INDEX(WMON,L132)))</f>
        <v/>
      </c>
    </row>
    <row r="133" customFormat="false" ht="15" hidden="false" customHeight="false" outlineLevel="0" collapsed="false">
      <c r="A133" s="57"/>
      <c r="B133" s="30"/>
      <c r="C133" s="30"/>
      <c r="D133" s="58"/>
      <c r="E133" s="58"/>
      <c r="F133" s="58"/>
      <c r="G133" s="59"/>
      <c r="J133" s="0" t="n">
        <v>123</v>
      </c>
      <c r="K133" s="0" t="str">
        <f aca="false">IF(A133="","",IF(ISNUMBER(A133),IF(A133&gt;=36526,A133,""),IFERROR(DATEVALUE(A133),"")))</f>
        <v/>
      </c>
      <c r="L133" s="0" t="str">
        <f aca="false">IF(K133="","",INT((K133-SAT1)/7)+1)</f>
        <v/>
      </c>
      <c r="M133" s="0" t="str">
        <f aca="false">IF(L133="","",IF(OR(L133&lt;1,L133&gt;NW),"",INDEX(WMON,L133)))</f>
        <v/>
      </c>
    </row>
    <row r="134" customFormat="false" ht="15" hidden="false" customHeight="false" outlineLevel="0" collapsed="false">
      <c r="A134" s="57"/>
      <c r="B134" s="30"/>
      <c r="C134" s="30"/>
      <c r="D134" s="58"/>
      <c r="E134" s="58"/>
      <c r="F134" s="58"/>
      <c r="G134" s="59"/>
      <c r="J134" s="0" t="n">
        <v>124</v>
      </c>
      <c r="K134" s="0" t="str">
        <f aca="false">IF(A134="","",IF(ISNUMBER(A134),IF(A134&gt;=36526,A134,""),IFERROR(DATEVALUE(A134),"")))</f>
        <v/>
      </c>
      <c r="L134" s="0" t="str">
        <f aca="false">IF(K134="","",INT((K134-SAT1)/7)+1)</f>
        <v/>
      </c>
      <c r="M134" s="0" t="str">
        <f aca="false">IF(L134="","",IF(OR(L134&lt;1,L134&gt;NW),"",INDEX(WMON,L134)))</f>
        <v/>
      </c>
    </row>
    <row r="135" customFormat="false" ht="15" hidden="false" customHeight="false" outlineLevel="0" collapsed="false">
      <c r="A135" s="57"/>
      <c r="B135" s="30"/>
      <c r="C135" s="30"/>
      <c r="D135" s="58"/>
      <c r="E135" s="58"/>
      <c r="F135" s="58"/>
      <c r="G135" s="59"/>
      <c r="J135" s="0" t="n">
        <v>125</v>
      </c>
      <c r="K135" s="0" t="str">
        <f aca="false">IF(A135="","",IF(ISNUMBER(A135),IF(A135&gt;=36526,A135,""),IFERROR(DATEVALUE(A135),"")))</f>
        <v/>
      </c>
      <c r="L135" s="0" t="str">
        <f aca="false">IF(K135="","",INT((K135-SAT1)/7)+1)</f>
        <v/>
      </c>
      <c r="M135" s="0" t="str">
        <f aca="false">IF(L135="","",IF(OR(L135&lt;1,L135&gt;NW),"",INDEX(WMON,L135)))</f>
        <v/>
      </c>
    </row>
    <row r="136" customFormat="false" ht="15" hidden="false" customHeight="false" outlineLevel="0" collapsed="false">
      <c r="A136" s="57"/>
      <c r="B136" s="30"/>
      <c r="C136" s="30"/>
      <c r="D136" s="58"/>
      <c r="E136" s="58"/>
      <c r="F136" s="58"/>
      <c r="G136" s="59"/>
      <c r="J136" s="0" t="n">
        <v>126</v>
      </c>
      <c r="K136" s="0" t="str">
        <f aca="false">IF(A136="","",IF(ISNUMBER(A136),IF(A136&gt;=36526,A136,""),IFERROR(DATEVALUE(A136),"")))</f>
        <v/>
      </c>
      <c r="L136" s="0" t="str">
        <f aca="false">IF(K136="","",INT((K136-SAT1)/7)+1)</f>
        <v/>
      </c>
      <c r="M136" s="0" t="str">
        <f aca="false">IF(L136="","",IF(OR(L136&lt;1,L136&gt;NW),"",INDEX(WMON,L136)))</f>
        <v/>
      </c>
    </row>
    <row r="137" customFormat="false" ht="15" hidden="false" customHeight="false" outlineLevel="0" collapsed="false">
      <c r="A137" s="57"/>
      <c r="B137" s="30"/>
      <c r="C137" s="30"/>
      <c r="D137" s="58"/>
      <c r="E137" s="58"/>
      <c r="F137" s="58"/>
      <c r="G137" s="59"/>
      <c r="J137" s="0" t="n">
        <v>127</v>
      </c>
      <c r="K137" s="0" t="str">
        <f aca="false">IF(A137="","",IF(ISNUMBER(A137),IF(A137&gt;=36526,A137,""),IFERROR(DATEVALUE(A137),"")))</f>
        <v/>
      </c>
      <c r="L137" s="0" t="str">
        <f aca="false">IF(K137="","",INT((K137-SAT1)/7)+1)</f>
        <v/>
      </c>
      <c r="M137" s="0" t="str">
        <f aca="false">IF(L137="","",IF(OR(L137&lt;1,L137&gt;NW),"",INDEX(WMON,L137)))</f>
        <v/>
      </c>
    </row>
    <row r="138" customFormat="false" ht="15" hidden="false" customHeight="false" outlineLevel="0" collapsed="false">
      <c r="A138" s="57"/>
      <c r="B138" s="30"/>
      <c r="C138" s="30"/>
      <c r="D138" s="58"/>
      <c r="E138" s="58"/>
      <c r="F138" s="58"/>
      <c r="G138" s="59"/>
      <c r="J138" s="0" t="n">
        <v>128</v>
      </c>
      <c r="K138" s="0" t="str">
        <f aca="false">IF(A138="","",IF(ISNUMBER(A138),IF(A138&gt;=36526,A138,""),IFERROR(DATEVALUE(A138),"")))</f>
        <v/>
      </c>
      <c r="L138" s="0" t="str">
        <f aca="false">IF(K138="","",INT((K138-SAT1)/7)+1)</f>
        <v/>
      </c>
      <c r="M138" s="0" t="str">
        <f aca="false">IF(L138="","",IF(OR(L138&lt;1,L138&gt;NW),"",INDEX(WMON,L138)))</f>
        <v/>
      </c>
    </row>
    <row r="139" customFormat="false" ht="15" hidden="false" customHeight="false" outlineLevel="0" collapsed="false">
      <c r="A139" s="57"/>
      <c r="B139" s="30"/>
      <c r="C139" s="30"/>
      <c r="D139" s="58"/>
      <c r="E139" s="58"/>
      <c r="F139" s="58"/>
      <c r="G139" s="59"/>
      <c r="J139" s="0" t="n">
        <v>129</v>
      </c>
      <c r="K139" s="0" t="str">
        <f aca="false">IF(A139="","",IF(ISNUMBER(A139),IF(A139&gt;=36526,A139,""),IFERROR(DATEVALUE(A139),"")))</f>
        <v/>
      </c>
      <c r="L139" s="0" t="str">
        <f aca="false">IF(K139="","",INT((K139-SAT1)/7)+1)</f>
        <v/>
      </c>
      <c r="M139" s="0" t="str">
        <f aca="false">IF(L139="","",IF(OR(L139&lt;1,L139&gt;NW),"",INDEX(WMON,L139)))</f>
        <v/>
      </c>
    </row>
    <row r="140" customFormat="false" ht="15" hidden="false" customHeight="false" outlineLevel="0" collapsed="false">
      <c r="A140" s="57"/>
      <c r="B140" s="30"/>
      <c r="C140" s="30"/>
      <c r="D140" s="58"/>
      <c r="E140" s="58"/>
      <c r="F140" s="58"/>
      <c r="G140" s="59"/>
      <c r="J140" s="0" t="n">
        <v>130</v>
      </c>
      <c r="K140" s="0" t="str">
        <f aca="false">IF(A140="","",IF(ISNUMBER(A140),IF(A140&gt;=36526,A140,""),IFERROR(DATEVALUE(A140),"")))</f>
        <v/>
      </c>
      <c r="L140" s="0" t="str">
        <f aca="false">IF(K140="","",INT((K140-SAT1)/7)+1)</f>
        <v/>
      </c>
      <c r="M140" s="0" t="str">
        <f aca="false">IF(L140="","",IF(OR(L140&lt;1,L140&gt;NW),"",INDEX(WMON,L140)))</f>
        <v/>
      </c>
    </row>
    <row r="141" customFormat="false" ht="15" hidden="false" customHeight="false" outlineLevel="0" collapsed="false">
      <c r="A141" s="57"/>
      <c r="B141" s="30"/>
      <c r="C141" s="30"/>
      <c r="D141" s="58"/>
      <c r="E141" s="58"/>
      <c r="F141" s="58"/>
      <c r="G141" s="59"/>
      <c r="J141" s="0" t="n">
        <v>131</v>
      </c>
      <c r="K141" s="0" t="str">
        <f aca="false">IF(A141="","",IF(ISNUMBER(A141),IF(A141&gt;=36526,A141,""),IFERROR(DATEVALUE(A141),"")))</f>
        <v/>
      </c>
      <c r="L141" s="0" t="str">
        <f aca="false">IF(K141="","",INT((K141-SAT1)/7)+1)</f>
        <v/>
      </c>
      <c r="M141" s="0" t="str">
        <f aca="false">IF(L141="","",IF(OR(L141&lt;1,L141&gt;NW),"",INDEX(WMON,L141)))</f>
        <v/>
      </c>
    </row>
    <row r="142" customFormat="false" ht="15" hidden="false" customHeight="false" outlineLevel="0" collapsed="false">
      <c r="A142" s="57"/>
      <c r="B142" s="30"/>
      <c r="C142" s="30"/>
      <c r="D142" s="58"/>
      <c r="E142" s="58"/>
      <c r="F142" s="58"/>
      <c r="G142" s="59"/>
      <c r="J142" s="0" t="n">
        <v>132</v>
      </c>
      <c r="K142" s="0" t="str">
        <f aca="false">IF(A142="","",IF(ISNUMBER(A142),IF(A142&gt;=36526,A142,""),IFERROR(DATEVALUE(A142),"")))</f>
        <v/>
      </c>
      <c r="L142" s="0" t="str">
        <f aca="false">IF(K142="","",INT((K142-SAT1)/7)+1)</f>
        <v/>
      </c>
      <c r="M142" s="0" t="str">
        <f aca="false">IF(L142="","",IF(OR(L142&lt;1,L142&gt;NW),"",INDEX(WMON,L142)))</f>
        <v/>
      </c>
    </row>
    <row r="143" customFormat="false" ht="15" hidden="false" customHeight="false" outlineLevel="0" collapsed="false">
      <c r="A143" s="57"/>
      <c r="B143" s="30"/>
      <c r="C143" s="30"/>
      <c r="D143" s="58"/>
      <c r="E143" s="58"/>
      <c r="F143" s="58"/>
      <c r="G143" s="59"/>
      <c r="J143" s="0" t="n">
        <v>133</v>
      </c>
      <c r="K143" s="0" t="str">
        <f aca="false">IF(A143="","",IF(ISNUMBER(A143),IF(A143&gt;=36526,A143,""),IFERROR(DATEVALUE(A143),"")))</f>
        <v/>
      </c>
      <c r="L143" s="0" t="str">
        <f aca="false">IF(K143="","",INT((K143-SAT1)/7)+1)</f>
        <v/>
      </c>
      <c r="M143" s="0" t="str">
        <f aca="false">IF(L143="","",IF(OR(L143&lt;1,L143&gt;NW),"",INDEX(WMON,L143)))</f>
        <v/>
      </c>
    </row>
    <row r="144" customFormat="false" ht="15" hidden="false" customHeight="false" outlineLevel="0" collapsed="false">
      <c r="A144" s="57"/>
      <c r="B144" s="30"/>
      <c r="C144" s="30"/>
      <c r="D144" s="58"/>
      <c r="E144" s="58"/>
      <c r="F144" s="58"/>
      <c r="G144" s="59"/>
      <c r="J144" s="0" t="n">
        <v>134</v>
      </c>
      <c r="K144" s="0" t="str">
        <f aca="false">IF(A144="","",IF(ISNUMBER(A144),IF(A144&gt;=36526,A144,""),IFERROR(DATEVALUE(A144),"")))</f>
        <v/>
      </c>
      <c r="L144" s="0" t="str">
        <f aca="false">IF(K144="","",INT((K144-SAT1)/7)+1)</f>
        <v/>
      </c>
      <c r="M144" s="0" t="str">
        <f aca="false">IF(L144="","",IF(OR(L144&lt;1,L144&gt;NW),"",INDEX(WMON,L144)))</f>
        <v/>
      </c>
    </row>
    <row r="145" customFormat="false" ht="15" hidden="false" customHeight="false" outlineLevel="0" collapsed="false">
      <c r="A145" s="57"/>
      <c r="B145" s="30"/>
      <c r="C145" s="30"/>
      <c r="D145" s="58"/>
      <c r="E145" s="58"/>
      <c r="F145" s="58"/>
      <c r="G145" s="59"/>
      <c r="J145" s="0" t="n">
        <v>135</v>
      </c>
      <c r="K145" s="0" t="str">
        <f aca="false">IF(A145="","",IF(ISNUMBER(A145),IF(A145&gt;=36526,A145,""),IFERROR(DATEVALUE(A145),"")))</f>
        <v/>
      </c>
      <c r="L145" s="0" t="str">
        <f aca="false">IF(K145="","",INT((K145-SAT1)/7)+1)</f>
        <v/>
      </c>
      <c r="M145" s="0" t="str">
        <f aca="false">IF(L145="","",IF(OR(L145&lt;1,L145&gt;NW),"",INDEX(WMON,L145)))</f>
        <v/>
      </c>
    </row>
    <row r="146" customFormat="false" ht="15" hidden="false" customHeight="false" outlineLevel="0" collapsed="false">
      <c r="A146" s="57"/>
      <c r="B146" s="30"/>
      <c r="C146" s="30"/>
      <c r="D146" s="58"/>
      <c r="E146" s="58"/>
      <c r="F146" s="58"/>
      <c r="G146" s="59"/>
      <c r="J146" s="0" t="n">
        <v>136</v>
      </c>
      <c r="K146" s="0" t="str">
        <f aca="false">IF(A146="","",IF(ISNUMBER(A146),IF(A146&gt;=36526,A146,""),IFERROR(DATEVALUE(A146),"")))</f>
        <v/>
      </c>
      <c r="L146" s="0" t="str">
        <f aca="false">IF(K146="","",INT((K146-SAT1)/7)+1)</f>
        <v/>
      </c>
      <c r="M146" s="0" t="str">
        <f aca="false">IF(L146="","",IF(OR(L146&lt;1,L146&gt;NW),"",INDEX(WMON,L146)))</f>
        <v/>
      </c>
    </row>
    <row r="147" customFormat="false" ht="15" hidden="false" customHeight="false" outlineLevel="0" collapsed="false">
      <c r="A147" s="57"/>
      <c r="B147" s="30"/>
      <c r="C147" s="30"/>
      <c r="D147" s="58"/>
      <c r="E147" s="58"/>
      <c r="F147" s="58"/>
      <c r="G147" s="59"/>
      <c r="J147" s="0" t="n">
        <v>137</v>
      </c>
      <c r="K147" s="0" t="str">
        <f aca="false">IF(A147="","",IF(ISNUMBER(A147),IF(A147&gt;=36526,A147,""),IFERROR(DATEVALUE(A147),"")))</f>
        <v/>
      </c>
      <c r="L147" s="0" t="str">
        <f aca="false">IF(K147="","",INT((K147-SAT1)/7)+1)</f>
        <v/>
      </c>
      <c r="M147" s="0" t="str">
        <f aca="false">IF(L147="","",IF(OR(L147&lt;1,L147&gt;NW),"",INDEX(WMON,L147)))</f>
        <v/>
      </c>
    </row>
    <row r="148" customFormat="false" ht="15" hidden="false" customHeight="false" outlineLevel="0" collapsed="false">
      <c r="A148" s="57"/>
      <c r="B148" s="30"/>
      <c r="C148" s="30"/>
      <c r="D148" s="58"/>
      <c r="E148" s="58"/>
      <c r="F148" s="58"/>
      <c r="G148" s="59"/>
      <c r="J148" s="0" t="n">
        <v>138</v>
      </c>
      <c r="K148" s="0" t="str">
        <f aca="false">IF(A148="","",IF(ISNUMBER(A148),IF(A148&gt;=36526,A148,""),IFERROR(DATEVALUE(A148),"")))</f>
        <v/>
      </c>
      <c r="L148" s="0" t="str">
        <f aca="false">IF(K148="","",INT((K148-SAT1)/7)+1)</f>
        <v/>
      </c>
      <c r="M148" s="0" t="str">
        <f aca="false">IF(L148="","",IF(OR(L148&lt;1,L148&gt;NW),"",INDEX(WMON,L148)))</f>
        <v/>
      </c>
    </row>
    <row r="149" customFormat="false" ht="15" hidden="false" customHeight="false" outlineLevel="0" collapsed="false">
      <c r="A149" s="57"/>
      <c r="B149" s="30"/>
      <c r="C149" s="30"/>
      <c r="D149" s="58"/>
      <c r="E149" s="58"/>
      <c r="F149" s="58"/>
      <c r="G149" s="59"/>
      <c r="J149" s="0" t="n">
        <v>139</v>
      </c>
      <c r="K149" s="0" t="str">
        <f aca="false">IF(A149="","",IF(ISNUMBER(A149),IF(A149&gt;=36526,A149,""),IFERROR(DATEVALUE(A149),"")))</f>
        <v/>
      </c>
      <c r="L149" s="0" t="str">
        <f aca="false">IF(K149="","",INT((K149-SAT1)/7)+1)</f>
        <v/>
      </c>
      <c r="M149" s="0" t="str">
        <f aca="false">IF(L149="","",IF(OR(L149&lt;1,L149&gt;NW),"",INDEX(WMON,L149)))</f>
        <v/>
      </c>
    </row>
    <row r="150" customFormat="false" ht="15" hidden="false" customHeight="false" outlineLevel="0" collapsed="false">
      <c r="A150" s="57"/>
      <c r="B150" s="30"/>
      <c r="C150" s="30"/>
      <c r="D150" s="58"/>
      <c r="E150" s="58"/>
      <c r="F150" s="58"/>
      <c r="G150" s="59"/>
      <c r="J150" s="0" t="n">
        <v>140</v>
      </c>
      <c r="K150" s="0" t="str">
        <f aca="false">IF(A150="","",IF(ISNUMBER(A150),IF(A150&gt;=36526,A150,""),IFERROR(DATEVALUE(A150),"")))</f>
        <v/>
      </c>
      <c r="L150" s="0" t="str">
        <f aca="false">IF(K150="","",INT((K150-SAT1)/7)+1)</f>
        <v/>
      </c>
      <c r="M150" s="0" t="str">
        <f aca="false">IF(L150="","",IF(OR(L150&lt;1,L150&gt;NW),"",INDEX(WMON,L150)))</f>
        <v/>
      </c>
    </row>
    <row r="151" customFormat="false" ht="15" hidden="false" customHeight="false" outlineLevel="0" collapsed="false">
      <c r="A151" s="57"/>
      <c r="B151" s="30"/>
      <c r="C151" s="30"/>
      <c r="D151" s="58"/>
      <c r="E151" s="58"/>
      <c r="F151" s="58"/>
      <c r="G151" s="59"/>
      <c r="J151" s="0" t="n">
        <v>141</v>
      </c>
      <c r="K151" s="0" t="str">
        <f aca="false">IF(A151="","",IF(ISNUMBER(A151),IF(A151&gt;=36526,A151,""),IFERROR(DATEVALUE(A151),"")))</f>
        <v/>
      </c>
      <c r="L151" s="0" t="str">
        <f aca="false">IF(K151="","",INT((K151-SAT1)/7)+1)</f>
        <v/>
      </c>
      <c r="M151" s="0" t="str">
        <f aca="false">IF(L151="","",IF(OR(L151&lt;1,L151&gt;NW),"",INDEX(WMON,L151)))</f>
        <v/>
      </c>
    </row>
    <row r="152" customFormat="false" ht="15" hidden="false" customHeight="false" outlineLevel="0" collapsed="false">
      <c r="A152" s="57"/>
      <c r="B152" s="30"/>
      <c r="C152" s="30"/>
      <c r="D152" s="58"/>
      <c r="E152" s="58"/>
      <c r="F152" s="58"/>
      <c r="G152" s="59"/>
      <c r="J152" s="0" t="n">
        <v>142</v>
      </c>
      <c r="K152" s="0" t="str">
        <f aca="false">IF(A152="","",IF(ISNUMBER(A152),IF(A152&gt;=36526,A152,""),IFERROR(DATEVALUE(A152),"")))</f>
        <v/>
      </c>
      <c r="L152" s="0" t="str">
        <f aca="false">IF(K152="","",INT((K152-SAT1)/7)+1)</f>
        <v/>
      </c>
      <c r="M152" s="0" t="str">
        <f aca="false">IF(L152="","",IF(OR(L152&lt;1,L152&gt;NW),"",INDEX(WMON,L152)))</f>
        <v/>
      </c>
    </row>
    <row r="153" customFormat="false" ht="15" hidden="false" customHeight="false" outlineLevel="0" collapsed="false">
      <c r="A153" s="57"/>
      <c r="B153" s="30"/>
      <c r="C153" s="30"/>
      <c r="D153" s="58"/>
      <c r="E153" s="58"/>
      <c r="F153" s="58"/>
      <c r="G153" s="59"/>
      <c r="J153" s="0" t="n">
        <v>143</v>
      </c>
      <c r="K153" s="0" t="str">
        <f aca="false">IF(A153="","",IF(ISNUMBER(A153),IF(A153&gt;=36526,A153,""),IFERROR(DATEVALUE(A153),"")))</f>
        <v/>
      </c>
      <c r="L153" s="0" t="str">
        <f aca="false">IF(K153="","",INT((K153-SAT1)/7)+1)</f>
        <v/>
      </c>
      <c r="M153" s="0" t="str">
        <f aca="false">IF(L153="","",IF(OR(L153&lt;1,L153&gt;NW),"",INDEX(WMON,L153)))</f>
        <v/>
      </c>
    </row>
    <row r="154" customFormat="false" ht="15" hidden="false" customHeight="false" outlineLevel="0" collapsed="false">
      <c r="A154" s="57"/>
      <c r="B154" s="30"/>
      <c r="C154" s="30"/>
      <c r="D154" s="58"/>
      <c r="E154" s="58"/>
      <c r="F154" s="58"/>
      <c r="G154" s="59"/>
      <c r="J154" s="0" t="n">
        <v>144</v>
      </c>
      <c r="K154" s="0" t="str">
        <f aca="false">IF(A154="","",IF(ISNUMBER(A154),IF(A154&gt;=36526,A154,""),IFERROR(DATEVALUE(A154),"")))</f>
        <v/>
      </c>
      <c r="L154" s="0" t="str">
        <f aca="false">IF(K154="","",INT((K154-SAT1)/7)+1)</f>
        <v/>
      </c>
      <c r="M154" s="0" t="str">
        <f aca="false">IF(L154="","",IF(OR(L154&lt;1,L154&gt;NW),"",INDEX(WMON,L154)))</f>
        <v/>
      </c>
    </row>
    <row r="155" customFormat="false" ht="15" hidden="false" customHeight="false" outlineLevel="0" collapsed="false">
      <c r="A155" s="57"/>
      <c r="B155" s="30"/>
      <c r="C155" s="30"/>
      <c r="D155" s="58"/>
      <c r="E155" s="58"/>
      <c r="F155" s="58"/>
      <c r="G155" s="59"/>
      <c r="J155" s="0" t="n">
        <v>145</v>
      </c>
      <c r="K155" s="0" t="str">
        <f aca="false">IF(A155="","",IF(ISNUMBER(A155),IF(A155&gt;=36526,A155,""),IFERROR(DATEVALUE(A155),"")))</f>
        <v/>
      </c>
      <c r="L155" s="0" t="str">
        <f aca="false">IF(K155="","",INT((K155-SAT1)/7)+1)</f>
        <v/>
      </c>
      <c r="M155" s="0" t="str">
        <f aca="false">IF(L155="","",IF(OR(L155&lt;1,L155&gt;NW),"",INDEX(WMON,L155)))</f>
        <v/>
      </c>
    </row>
    <row r="156" customFormat="false" ht="15" hidden="false" customHeight="false" outlineLevel="0" collapsed="false">
      <c r="A156" s="57"/>
      <c r="B156" s="30"/>
      <c r="C156" s="30"/>
      <c r="D156" s="58"/>
      <c r="E156" s="58"/>
      <c r="F156" s="58"/>
      <c r="G156" s="59"/>
      <c r="J156" s="0" t="n">
        <v>146</v>
      </c>
      <c r="K156" s="0" t="str">
        <f aca="false">IF(A156="","",IF(ISNUMBER(A156),IF(A156&gt;=36526,A156,""),IFERROR(DATEVALUE(A156),"")))</f>
        <v/>
      </c>
      <c r="L156" s="0" t="str">
        <f aca="false">IF(K156="","",INT((K156-SAT1)/7)+1)</f>
        <v/>
      </c>
      <c r="M156" s="0" t="str">
        <f aca="false">IF(L156="","",IF(OR(L156&lt;1,L156&gt;NW),"",INDEX(WMON,L156)))</f>
        <v/>
      </c>
    </row>
    <row r="157" customFormat="false" ht="15" hidden="false" customHeight="false" outlineLevel="0" collapsed="false">
      <c r="A157" s="57"/>
      <c r="B157" s="30"/>
      <c r="C157" s="30"/>
      <c r="D157" s="58"/>
      <c r="E157" s="58"/>
      <c r="F157" s="58"/>
      <c r="G157" s="59"/>
      <c r="J157" s="0" t="n">
        <v>147</v>
      </c>
      <c r="K157" s="0" t="str">
        <f aca="false">IF(A157="","",IF(ISNUMBER(A157),IF(A157&gt;=36526,A157,""),IFERROR(DATEVALUE(A157),"")))</f>
        <v/>
      </c>
      <c r="L157" s="0" t="str">
        <f aca="false">IF(K157="","",INT((K157-SAT1)/7)+1)</f>
        <v/>
      </c>
      <c r="M157" s="0" t="str">
        <f aca="false">IF(L157="","",IF(OR(L157&lt;1,L157&gt;NW),"",INDEX(WMON,L157)))</f>
        <v/>
      </c>
    </row>
    <row r="158" customFormat="false" ht="15" hidden="false" customHeight="false" outlineLevel="0" collapsed="false">
      <c r="A158" s="57"/>
      <c r="B158" s="30"/>
      <c r="C158" s="30"/>
      <c r="D158" s="58"/>
      <c r="E158" s="58"/>
      <c r="F158" s="58"/>
      <c r="G158" s="59"/>
      <c r="J158" s="0" t="n">
        <v>148</v>
      </c>
      <c r="K158" s="0" t="str">
        <f aca="false">IF(A158="","",IF(ISNUMBER(A158),IF(A158&gt;=36526,A158,""),IFERROR(DATEVALUE(A158),"")))</f>
        <v/>
      </c>
      <c r="L158" s="0" t="str">
        <f aca="false">IF(K158="","",INT((K158-SAT1)/7)+1)</f>
        <v/>
      </c>
      <c r="M158" s="0" t="str">
        <f aca="false">IF(L158="","",IF(OR(L158&lt;1,L158&gt;NW),"",INDEX(WMON,L158)))</f>
        <v/>
      </c>
    </row>
    <row r="159" customFormat="false" ht="15" hidden="false" customHeight="false" outlineLevel="0" collapsed="false">
      <c r="A159" s="57"/>
      <c r="B159" s="30"/>
      <c r="C159" s="30"/>
      <c r="D159" s="58"/>
      <c r="E159" s="58"/>
      <c r="F159" s="58"/>
      <c r="G159" s="59"/>
      <c r="J159" s="0" t="n">
        <v>149</v>
      </c>
      <c r="K159" s="0" t="str">
        <f aca="false">IF(A159="","",IF(ISNUMBER(A159),IF(A159&gt;=36526,A159,""),IFERROR(DATEVALUE(A159),"")))</f>
        <v/>
      </c>
      <c r="L159" s="0" t="str">
        <f aca="false">IF(K159="","",INT((K159-SAT1)/7)+1)</f>
        <v/>
      </c>
      <c r="M159" s="0" t="str">
        <f aca="false">IF(L159="","",IF(OR(L159&lt;1,L159&gt;NW),"",INDEX(WMON,L159)))</f>
        <v/>
      </c>
    </row>
    <row r="160" customFormat="false" ht="15" hidden="false" customHeight="false" outlineLevel="0" collapsed="false">
      <c r="A160" s="57"/>
      <c r="B160" s="30"/>
      <c r="C160" s="30"/>
      <c r="D160" s="58"/>
      <c r="E160" s="58"/>
      <c r="F160" s="58"/>
      <c r="G160" s="59"/>
      <c r="J160" s="0" t="n">
        <v>150</v>
      </c>
      <c r="K160" s="0" t="str">
        <f aca="false">IF(A160="","",IF(ISNUMBER(A160),IF(A160&gt;=36526,A160,""),IFERROR(DATEVALUE(A160),"")))</f>
        <v/>
      </c>
      <c r="L160" s="0" t="str">
        <f aca="false">IF(K160="","",INT((K160-SAT1)/7)+1)</f>
        <v/>
      </c>
      <c r="M160" s="0" t="str">
        <f aca="false">IF(L160="","",IF(OR(L160&lt;1,L160&gt;NW),"",INDEX(WMON,L160)))</f>
        <v/>
      </c>
    </row>
    <row r="161" customFormat="false" ht="15" hidden="false" customHeight="false" outlineLevel="0" collapsed="false">
      <c r="A161" s="57"/>
      <c r="B161" s="30"/>
      <c r="C161" s="30"/>
      <c r="D161" s="58"/>
      <c r="E161" s="58"/>
      <c r="F161" s="58"/>
      <c r="G161" s="59"/>
      <c r="J161" s="0" t="n">
        <v>151</v>
      </c>
      <c r="K161" s="0" t="str">
        <f aca="false">IF(A161="","",IF(ISNUMBER(A161),IF(A161&gt;=36526,A161,""),IFERROR(DATEVALUE(A161),"")))</f>
        <v/>
      </c>
      <c r="L161" s="0" t="str">
        <f aca="false">IF(K161="","",INT((K161-SAT1)/7)+1)</f>
        <v/>
      </c>
      <c r="M161" s="0" t="str">
        <f aca="false">IF(L161="","",IF(OR(L161&lt;1,L161&gt;NW),"",INDEX(WMON,L161)))</f>
        <v/>
      </c>
    </row>
    <row r="162" customFormat="false" ht="15" hidden="false" customHeight="false" outlineLevel="0" collapsed="false">
      <c r="A162" s="57"/>
      <c r="B162" s="30"/>
      <c r="C162" s="30"/>
      <c r="D162" s="58"/>
      <c r="E162" s="58"/>
      <c r="F162" s="58"/>
      <c r="G162" s="59"/>
      <c r="J162" s="0" t="n">
        <v>152</v>
      </c>
      <c r="K162" s="0" t="str">
        <f aca="false">IF(A162="","",IF(ISNUMBER(A162),IF(A162&gt;=36526,A162,""),IFERROR(DATEVALUE(A162),"")))</f>
        <v/>
      </c>
      <c r="L162" s="0" t="str">
        <f aca="false">IF(K162="","",INT((K162-SAT1)/7)+1)</f>
        <v/>
      </c>
      <c r="M162" s="0" t="str">
        <f aca="false">IF(L162="","",IF(OR(L162&lt;1,L162&gt;NW),"",INDEX(WMON,L162)))</f>
        <v/>
      </c>
    </row>
    <row r="163" customFormat="false" ht="15" hidden="false" customHeight="false" outlineLevel="0" collapsed="false">
      <c r="A163" s="57"/>
      <c r="B163" s="30"/>
      <c r="C163" s="30"/>
      <c r="D163" s="58"/>
      <c r="E163" s="58"/>
      <c r="F163" s="58"/>
      <c r="G163" s="59"/>
      <c r="J163" s="0" t="n">
        <v>153</v>
      </c>
      <c r="K163" s="0" t="str">
        <f aca="false">IF(A163="","",IF(ISNUMBER(A163),IF(A163&gt;=36526,A163,""),IFERROR(DATEVALUE(A163),"")))</f>
        <v/>
      </c>
      <c r="L163" s="0" t="str">
        <f aca="false">IF(K163="","",INT((K163-SAT1)/7)+1)</f>
        <v/>
      </c>
      <c r="M163" s="0" t="str">
        <f aca="false">IF(L163="","",IF(OR(L163&lt;1,L163&gt;NW),"",INDEX(WMON,L163)))</f>
        <v/>
      </c>
    </row>
    <row r="164" customFormat="false" ht="15" hidden="false" customHeight="false" outlineLevel="0" collapsed="false">
      <c r="A164" s="57"/>
      <c r="B164" s="30"/>
      <c r="C164" s="30"/>
      <c r="D164" s="58"/>
      <c r="E164" s="58"/>
      <c r="F164" s="58"/>
      <c r="G164" s="59"/>
      <c r="J164" s="0" t="n">
        <v>154</v>
      </c>
      <c r="K164" s="0" t="str">
        <f aca="false">IF(A164="","",IF(ISNUMBER(A164),IF(A164&gt;=36526,A164,""),IFERROR(DATEVALUE(A164),"")))</f>
        <v/>
      </c>
      <c r="L164" s="0" t="str">
        <f aca="false">IF(K164="","",INT((K164-SAT1)/7)+1)</f>
        <v/>
      </c>
      <c r="M164" s="0" t="str">
        <f aca="false">IF(L164="","",IF(OR(L164&lt;1,L164&gt;NW),"",INDEX(WMON,L164)))</f>
        <v/>
      </c>
    </row>
    <row r="165" customFormat="false" ht="15" hidden="false" customHeight="false" outlineLevel="0" collapsed="false">
      <c r="A165" s="57"/>
      <c r="B165" s="30"/>
      <c r="C165" s="30"/>
      <c r="D165" s="58"/>
      <c r="E165" s="58"/>
      <c r="F165" s="58"/>
      <c r="G165" s="59"/>
      <c r="J165" s="0" t="n">
        <v>155</v>
      </c>
      <c r="K165" s="0" t="str">
        <f aca="false">IF(A165="","",IF(ISNUMBER(A165),IF(A165&gt;=36526,A165,""),IFERROR(DATEVALUE(A165),"")))</f>
        <v/>
      </c>
      <c r="L165" s="0" t="str">
        <f aca="false">IF(K165="","",INT((K165-SAT1)/7)+1)</f>
        <v/>
      </c>
      <c r="M165" s="0" t="str">
        <f aca="false">IF(L165="","",IF(OR(L165&lt;1,L165&gt;NW),"",INDEX(WMON,L165)))</f>
        <v/>
      </c>
    </row>
    <row r="166" customFormat="false" ht="15" hidden="false" customHeight="false" outlineLevel="0" collapsed="false">
      <c r="A166" s="57"/>
      <c r="B166" s="30"/>
      <c r="C166" s="30"/>
      <c r="D166" s="58"/>
      <c r="E166" s="58"/>
      <c r="F166" s="58"/>
      <c r="G166" s="59"/>
      <c r="J166" s="0" t="n">
        <v>156</v>
      </c>
      <c r="K166" s="0" t="str">
        <f aca="false">IF(A166="","",IF(ISNUMBER(A166),IF(A166&gt;=36526,A166,""),IFERROR(DATEVALUE(A166),"")))</f>
        <v/>
      </c>
      <c r="L166" s="0" t="str">
        <f aca="false">IF(K166="","",INT((K166-SAT1)/7)+1)</f>
        <v/>
      </c>
      <c r="M166" s="0" t="str">
        <f aca="false">IF(L166="","",IF(OR(L166&lt;1,L166&gt;NW),"",INDEX(WMON,L166)))</f>
        <v/>
      </c>
    </row>
    <row r="167" customFormat="false" ht="15" hidden="false" customHeight="false" outlineLevel="0" collapsed="false">
      <c r="A167" s="57"/>
      <c r="B167" s="30"/>
      <c r="C167" s="30"/>
      <c r="D167" s="58"/>
      <c r="E167" s="58"/>
      <c r="F167" s="58"/>
      <c r="G167" s="59"/>
      <c r="J167" s="0" t="n">
        <v>157</v>
      </c>
      <c r="K167" s="0" t="str">
        <f aca="false">IF(A167="","",IF(ISNUMBER(A167),IF(A167&gt;=36526,A167,""),IFERROR(DATEVALUE(A167),"")))</f>
        <v/>
      </c>
      <c r="L167" s="0" t="str">
        <f aca="false">IF(K167="","",INT((K167-SAT1)/7)+1)</f>
        <v/>
      </c>
      <c r="M167" s="0" t="str">
        <f aca="false">IF(L167="","",IF(OR(L167&lt;1,L167&gt;NW),"",INDEX(WMON,L167)))</f>
        <v/>
      </c>
    </row>
    <row r="168" customFormat="false" ht="15" hidden="false" customHeight="false" outlineLevel="0" collapsed="false">
      <c r="A168" s="57"/>
      <c r="B168" s="30"/>
      <c r="C168" s="30"/>
      <c r="D168" s="58"/>
      <c r="E168" s="58"/>
      <c r="F168" s="58"/>
      <c r="G168" s="59"/>
      <c r="J168" s="0" t="n">
        <v>158</v>
      </c>
      <c r="K168" s="0" t="str">
        <f aca="false">IF(A168="","",IF(ISNUMBER(A168),IF(A168&gt;=36526,A168,""),IFERROR(DATEVALUE(A168),"")))</f>
        <v/>
      </c>
      <c r="L168" s="0" t="str">
        <f aca="false">IF(K168="","",INT((K168-SAT1)/7)+1)</f>
        <v/>
      </c>
      <c r="M168" s="0" t="str">
        <f aca="false">IF(L168="","",IF(OR(L168&lt;1,L168&gt;NW),"",INDEX(WMON,L168)))</f>
        <v/>
      </c>
    </row>
    <row r="169" customFormat="false" ht="15" hidden="false" customHeight="false" outlineLevel="0" collapsed="false">
      <c r="A169" s="57"/>
      <c r="B169" s="30"/>
      <c r="C169" s="30"/>
      <c r="D169" s="58"/>
      <c r="E169" s="58"/>
      <c r="F169" s="58"/>
      <c r="G169" s="59"/>
      <c r="J169" s="0" t="n">
        <v>159</v>
      </c>
      <c r="K169" s="0" t="str">
        <f aca="false">IF(A169="","",IF(ISNUMBER(A169),IF(A169&gt;=36526,A169,""),IFERROR(DATEVALUE(A169),"")))</f>
        <v/>
      </c>
      <c r="L169" s="0" t="str">
        <f aca="false">IF(K169="","",INT((K169-SAT1)/7)+1)</f>
        <v/>
      </c>
      <c r="M169" s="0" t="str">
        <f aca="false">IF(L169="","",IF(OR(L169&lt;1,L169&gt;NW),"",INDEX(WMON,L169)))</f>
        <v/>
      </c>
    </row>
    <row r="170" customFormat="false" ht="15" hidden="false" customHeight="false" outlineLevel="0" collapsed="false">
      <c r="A170" s="57"/>
      <c r="B170" s="30"/>
      <c r="C170" s="30"/>
      <c r="D170" s="58"/>
      <c r="E170" s="58"/>
      <c r="F170" s="58"/>
      <c r="G170" s="59"/>
      <c r="J170" s="0" t="n">
        <v>160</v>
      </c>
      <c r="K170" s="0" t="str">
        <f aca="false">IF(A170="","",IF(ISNUMBER(A170),IF(A170&gt;=36526,A170,""),IFERROR(DATEVALUE(A170),"")))</f>
        <v/>
      </c>
      <c r="L170" s="0" t="str">
        <f aca="false">IF(K170="","",INT((K170-SAT1)/7)+1)</f>
        <v/>
      </c>
      <c r="M170" s="0" t="str">
        <f aca="false">IF(L170="","",IF(OR(L170&lt;1,L170&gt;NW),"",INDEX(WMON,L170)))</f>
        <v/>
      </c>
    </row>
    <row r="171" customFormat="false" ht="15" hidden="false" customHeight="false" outlineLevel="0" collapsed="false">
      <c r="A171" s="57"/>
      <c r="B171" s="30"/>
      <c r="C171" s="30"/>
      <c r="D171" s="58"/>
      <c r="E171" s="58"/>
      <c r="F171" s="58"/>
      <c r="G171" s="59"/>
      <c r="J171" s="0" t="n">
        <v>161</v>
      </c>
      <c r="K171" s="0" t="str">
        <f aca="false">IF(A171="","",IF(ISNUMBER(A171),IF(A171&gt;=36526,A171,""),IFERROR(DATEVALUE(A171),"")))</f>
        <v/>
      </c>
      <c r="L171" s="0" t="str">
        <f aca="false">IF(K171="","",INT((K171-SAT1)/7)+1)</f>
        <v/>
      </c>
      <c r="M171" s="0" t="str">
        <f aca="false">IF(L171="","",IF(OR(L171&lt;1,L171&gt;NW),"",INDEX(WMON,L171)))</f>
        <v/>
      </c>
    </row>
    <row r="172" customFormat="false" ht="15" hidden="false" customHeight="false" outlineLevel="0" collapsed="false">
      <c r="A172" s="57"/>
      <c r="B172" s="30"/>
      <c r="C172" s="30"/>
      <c r="D172" s="58"/>
      <c r="E172" s="58"/>
      <c r="F172" s="58"/>
      <c r="G172" s="59"/>
      <c r="J172" s="0" t="n">
        <v>162</v>
      </c>
      <c r="K172" s="0" t="str">
        <f aca="false">IF(A172="","",IF(ISNUMBER(A172),IF(A172&gt;=36526,A172,""),IFERROR(DATEVALUE(A172),"")))</f>
        <v/>
      </c>
      <c r="L172" s="0" t="str">
        <f aca="false">IF(K172="","",INT((K172-SAT1)/7)+1)</f>
        <v/>
      </c>
      <c r="M172" s="0" t="str">
        <f aca="false">IF(L172="","",IF(OR(L172&lt;1,L172&gt;NW),"",INDEX(WMON,L172)))</f>
        <v/>
      </c>
    </row>
    <row r="173" customFormat="false" ht="15" hidden="false" customHeight="false" outlineLevel="0" collapsed="false">
      <c r="A173" s="57"/>
      <c r="B173" s="30"/>
      <c r="C173" s="30"/>
      <c r="D173" s="58"/>
      <c r="E173" s="58"/>
      <c r="F173" s="58"/>
      <c r="G173" s="59"/>
      <c r="J173" s="0" t="n">
        <v>163</v>
      </c>
      <c r="K173" s="0" t="str">
        <f aca="false">IF(A173="","",IF(ISNUMBER(A173),IF(A173&gt;=36526,A173,""),IFERROR(DATEVALUE(A173),"")))</f>
        <v/>
      </c>
      <c r="L173" s="0" t="str">
        <f aca="false">IF(K173="","",INT((K173-SAT1)/7)+1)</f>
        <v/>
      </c>
      <c r="M173" s="0" t="str">
        <f aca="false">IF(L173="","",IF(OR(L173&lt;1,L173&gt;NW),"",INDEX(WMON,L173)))</f>
        <v/>
      </c>
    </row>
    <row r="174" customFormat="false" ht="15" hidden="false" customHeight="false" outlineLevel="0" collapsed="false">
      <c r="A174" s="57"/>
      <c r="B174" s="30"/>
      <c r="C174" s="30"/>
      <c r="D174" s="58"/>
      <c r="E174" s="58"/>
      <c r="F174" s="58"/>
      <c r="G174" s="59"/>
      <c r="J174" s="0" t="n">
        <v>164</v>
      </c>
      <c r="K174" s="0" t="str">
        <f aca="false">IF(A174="","",IF(ISNUMBER(A174),IF(A174&gt;=36526,A174,""),IFERROR(DATEVALUE(A174),"")))</f>
        <v/>
      </c>
      <c r="L174" s="0" t="str">
        <f aca="false">IF(K174="","",INT((K174-SAT1)/7)+1)</f>
        <v/>
      </c>
      <c r="M174" s="0" t="str">
        <f aca="false">IF(L174="","",IF(OR(L174&lt;1,L174&gt;NW),"",INDEX(WMON,L174)))</f>
        <v/>
      </c>
    </row>
    <row r="175" customFormat="false" ht="15" hidden="false" customHeight="false" outlineLevel="0" collapsed="false">
      <c r="A175" s="57"/>
      <c r="B175" s="30"/>
      <c r="C175" s="30"/>
      <c r="D175" s="58"/>
      <c r="E175" s="58"/>
      <c r="F175" s="58"/>
      <c r="G175" s="59"/>
      <c r="J175" s="0" t="n">
        <v>165</v>
      </c>
      <c r="K175" s="0" t="str">
        <f aca="false">IF(A175="","",IF(ISNUMBER(A175),IF(A175&gt;=36526,A175,""),IFERROR(DATEVALUE(A175),"")))</f>
        <v/>
      </c>
      <c r="L175" s="0" t="str">
        <f aca="false">IF(K175="","",INT((K175-SAT1)/7)+1)</f>
        <v/>
      </c>
      <c r="M175" s="0" t="str">
        <f aca="false">IF(L175="","",IF(OR(L175&lt;1,L175&gt;NW),"",INDEX(WMON,L175)))</f>
        <v/>
      </c>
    </row>
    <row r="176" customFormat="false" ht="15" hidden="false" customHeight="false" outlineLevel="0" collapsed="false">
      <c r="A176" s="57"/>
      <c r="B176" s="30"/>
      <c r="C176" s="30"/>
      <c r="D176" s="58"/>
      <c r="E176" s="58"/>
      <c r="F176" s="58"/>
      <c r="G176" s="59"/>
      <c r="J176" s="0" t="n">
        <v>166</v>
      </c>
      <c r="K176" s="0" t="str">
        <f aca="false">IF(A176="","",IF(ISNUMBER(A176),IF(A176&gt;=36526,A176,""),IFERROR(DATEVALUE(A176),"")))</f>
        <v/>
      </c>
      <c r="L176" s="0" t="str">
        <f aca="false">IF(K176="","",INT((K176-SAT1)/7)+1)</f>
        <v/>
      </c>
      <c r="M176" s="0" t="str">
        <f aca="false">IF(L176="","",IF(OR(L176&lt;1,L176&gt;NW),"",INDEX(WMON,L176)))</f>
        <v/>
      </c>
    </row>
    <row r="177" customFormat="false" ht="15" hidden="false" customHeight="false" outlineLevel="0" collapsed="false">
      <c r="A177" s="57"/>
      <c r="B177" s="30"/>
      <c r="C177" s="30"/>
      <c r="D177" s="58"/>
      <c r="E177" s="58"/>
      <c r="F177" s="58"/>
      <c r="G177" s="59"/>
      <c r="J177" s="0" t="n">
        <v>167</v>
      </c>
      <c r="K177" s="0" t="str">
        <f aca="false">IF(A177="","",IF(ISNUMBER(A177),IF(A177&gt;=36526,A177,""),IFERROR(DATEVALUE(A177),"")))</f>
        <v/>
      </c>
      <c r="L177" s="0" t="str">
        <f aca="false">IF(K177="","",INT((K177-SAT1)/7)+1)</f>
        <v/>
      </c>
      <c r="M177" s="0" t="str">
        <f aca="false">IF(L177="","",IF(OR(L177&lt;1,L177&gt;NW),"",INDEX(WMON,L177)))</f>
        <v/>
      </c>
    </row>
    <row r="178" customFormat="false" ht="15" hidden="false" customHeight="false" outlineLevel="0" collapsed="false">
      <c r="A178" s="57"/>
      <c r="B178" s="30"/>
      <c r="C178" s="30"/>
      <c r="D178" s="58"/>
      <c r="E178" s="58"/>
      <c r="F178" s="58"/>
      <c r="G178" s="59"/>
      <c r="J178" s="0" t="n">
        <v>168</v>
      </c>
      <c r="K178" s="0" t="str">
        <f aca="false">IF(A178="","",IF(ISNUMBER(A178),IF(A178&gt;=36526,A178,""),IFERROR(DATEVALUE(A178),"")))</f>
        <v/>
      </c>
      <c r="L178" s="0" t="str">
        <f aca="false">IF(K178="","",INT((K178-SAT1)/7)+1)</f>
        <v/>
      </c>
      <c r="M178" s="0" t="str">
        <f aca="false">IF(L178="","",IF(OR(L178&lt;1,L178&gt;NW),"",INDEX(WMON,L178)))</f>
        <v/>
      </c>
    </row>
    <row r="179" customFormat="false" ht="15" hidden="false" customHeight="false" outlineLevel="0" collapsed="false">
      <c r="A179" s="57"/>
      <c r="B179" s="30"/>
      <c r="C179" s="30"/>
      <c r="D179" s="58"/>
      <c r="E179" s="58"/>
      <c r="F179" s="58"/>
      <c r="G179" s="59"/>
      <c r="J179" s="0" t="n">
        <v>169</v>
      </c>
      <c r="K179" s="0" t="str">
        <f aca="false">IF(A179="","",IF(ISNUMBER(A179),IF(A179&gt;=36526,A179,""),IFERROR(DATEVALUE(A179),"")))</f>
        <v/>
      </c>
      <c r="L179" s="0" t="str">
        <f aca="false">IF(K179="","",INT((K179-SAT1)/7)+1)</f>
        <v/>
      </c>
      <c r="M179" s="0" t="str">
        <f aca="false">IF(L179="","",IF(OR(L179&lt;1,L179&gt;NW),"",INDEX(WMON,L179)))</f>
        <v/>
      </c>
    </row>
    <row r="180" customFormat="false" ht="15" hidden="false" customHeight="false" outlineLevel="0" collapsed="false">
      <c r="A180" s="57"/>
      <c r="B180" s="30"/>
      <c r="C180" s="30"/>
      <c r="D180" s="58"/>
      <c r="E180" s="58"/>
      <c r="F180" s="58"/>
      <c r="G180" s="59"/>
      <c r="J180" s="0" t="n">
        <v>170</v>
      </c>
      <c r="K180" s="0" t="str">
        <f aca="false">IF(A180="","",IF(ISNUMBER(A180),IF(A180&gt;=36526,A180,""),IFERROR(DATEVALUE(A180),"")))</f>
        <v/>
      </c>
      <c r="L180" s="0" t="str">
        <f aca="false">IF(K180="","",INT((K180-SAT1)/7)+1)</f>
        <v/>
      </c>
      <c r="M180" s="0" t="str">
        <f aca="false">IF(L180="","",IF(OR(L180&lt;1,L180&gt;NW),"",INDEX(WMON,L180)))</f>
        <v/>
      </c>
    </row>
    <row r="181" customFormat="false" ht="15" hidden="false" customHeight="false" outlineLevel="0" collapsed="false">
      <c r="A181" s="57"/>
      <c r="B181" s="30"/>
      <c r="C181" s="30"/>
      <c r="D181" s="58"/>
      <c r="E181" s="58"/>
      <c r="F181" s="58"/>
      <c r="G181" s="59"/>
      <c r="J181" s="0" t="n">
        <v>171</v>
      </c>
      <c r="K181" s="0" t="str">
        <f aca="false">IF(A181="","",IF(ISNUMBER(A181),IF(A181&gt;=36526,A181,""),IFERROR(DATEVALUE(A181),"")))</f>
        <v/>
      </c>
      <c r="L181" s="0" t="str">
        <f aca="false">IF(K181="","",INT((K181-SAT1)/7)+1)</f>
        <v/>
      </c>
      <c r="M181" s="0" t="str">
        <f aca="false">IF(L181="","",IF(OR(L181&lt;1,L181&gt;NW),"",INDEX(WMON,L181)))</f>
        <v/>
      </c>
    </row>
    <row r="182" customFormat="false" ht="15" hidden="false" customHeight="false" outlineLevel="0" collapsed="false">
      <c r="A182" s="57"/>
      <c r="B182" s="30"/>
      <c r="C182" s="30"/>
      <c r="D182" s="58"/>
      <c r="E182" s="58"/>
      <c r="F182" s="58"/>
      <c r="G182" s="59"/>
      <c r="J182" s="0" t="n">
        <v>172</v>
      </c>
      <c r="K182" s="0" t="str">
        <f aca="false">IF(A182="","",IF(ISNUMBER(A182),IF(A182&gt;=36526,A182,""),IFERROR(DATEVALUE(A182),"")))</f>
        <v/>
      </c>
      <c r="L182" s="0" t="str">
        <f aca="false">IF(K182="","",INT((K182-SAT1)/7)+1)</f>
        <v/>
      </c>
      <c r="M182" s="0" t="str">
        <f aca="false">IF(L182="","",IF(OR(L182&lt;1,L182&gt;NW),"",INDEX(WMON,L182)))</f>
        <v/>
      </c>
    </row>
    <row r="183" customFormat="false" ht="15" hidden="false" customHeight="false" outlineLevel="0" collapsed="false">
      <c r="A183" s="57"/>
      <c r="B183" s="30"/>
      <c r="C183" s="30"/>
      <c r="D183" s="58"/>
      <c r="E183" s="58"/>
      <c r="F183" s="58"/>
      <c r="G183" s="59"/>
      <c r="J183" s="0" t="n">
        <v>173</v>
      </c>
      <c r="K183" s="0" t="str">
        <f aca="false">IF(A183="","",IF(ISNUMBER(A183),IF(A183&gt;=36526,A183,""),IFERROR(DATEVALUE(A183),"")))</f>
        <v/>
      </c>
      <c r="L183" s="0" t="str">
        <f aca="false">IF(K183="","",INT((K183-SAT1)/7)+1)</f>
        <v/>
      </c>
      <c r="M183" s="0" t="str">
        <f aca="false">IF(L183="","",IF(OR(L183&lt;1,L183&gt;NW),"",INDEX(WMON,L183)))</f>
        <v/>
      </c>
    </row>
    <row r="184" customFormat="false" ht="15" hidden="false" customHeight="false" outlineLevel="0" collapsed="false">
      <c r="A184" s="57"/>
      <c r="B184" s="30"/>
      <c r="C184" s="30"/>
      <c r="D184" s="58"/>
      <c r="E184" s="58"/>
      <c r="F184" s="58"/>
      <c r="G184" s="59"/>
      <c r="J184" s="0" t="n">
        <v>174</v>
      </c>
      <c r="K184" s="0" t="str">
        <f aca="false">IF(A184="","",IF(ISNUMBER(A184),IF(A184&gt;=36526,A184,""),IFERROR(DATEVALUE(A184),"")))</f>
        <v/>
      </c>
      <c r="L184" s="0" t="str">
        <f aca="false">IF(K184="","",INT((K184-SAT1)/7)+1)</f>
        <v/>
      </c>
      <c r="M184" s="0" t="str">
        <f aca="false">IF(L184="","",IF(OR(L184&lt;1,L184&gt;NW),"",INDEX(WMON,L184)))</f>
        <v/>
      </c>
    </row>
    <row r="185" customFormat="false" ht="15" hidden="false" customHeight="false" outlineLevel="0" collapsed="false">
      <c r="A185" s="57"/>
      <c r="B185" s="30"/>
      <c r="C185" s="30"/>
      <c r="D185" s="58"/>
      <c r="E185" s="58"/>
      <c r="F185" s="58"/>
      <c r="G185" s="59"/>
      <c r="J185" s="0" t="n">
        <v>175</v>
      </c>
      <c r="K185" s="0" t="str">
        <f aca="false">IF(A185="","",IF(ISNUMBER(A185),IF(A185&gt;=36526,A185,""),IFERROR(DATEVALUE(A185),"")))</f>
        <v/>
      </c>
      <c r="L185" s="0" t="str">
        <f aca="false">IF(K185="","",INT((K185-SAT1)/7)+1)</f>
        <v/>
      </c>
      <c r="M185" s="0" t="str">
        <f aca="false">IF(L185="","",IF(OR(L185&lt;1,L185&gt;NW),"",INDEX(WMON,L185)))</f>
        <v/>
      </c>
    </row>
    <row r="186" customFormat="false" ht="15" hidden="false" customHeight="false" outlineLevel="0" collapsed="false">
      <c r="A186" s="57"/>
      <c r="B186" s="30"/>
      <c r="C186" s="30"/>
      <c r="D186" s="58"/>
      <c r="E186" s="58"/>
      <c r="F186" s="58"/>
      <c r="G186" s="59"/>
      <c r="J186" s="0" t="n">
        <v>176</v>
      </c>
      <c r="K186" s="0" t="str">
        <f aca="false">IF(A186="","",IF(ISNUMBER(A186),IF(A186&gt;=36526,A186,""),IFERROR(DATEVALUE(A186),"")))</f>
        <v/>
      </c>
      <c r="L186" s="0" t="str">
        <f aca="false">IF(K186="","",INT((K186-SAT1)/7)+1)</f>
        <v/>
      </c>
      <c r="M186" s="0" t="str">
        <f aca="false">IF(L186="","",IF(OR(L186&lt;1,L186&gt;NW),"",INDEX(WMON,L186)))</f>
        <v/>
      </c>
    </row>
    <row r="187" customFormat="false" ht="15" hidden="false" customHeight="false" outlineLevel="0" collapsed="false">
      <c r="A187" s="57"/>
      <c r="B187" s="30"/>
      <c r="C187" s="30"/>
      <c r="D187" s="58"/>
      <c r="E187" s="58"/>
      <c r="F187" s="58"/>
      <c r="G187" s="59"/>
      <c r="J187" s="0" t="n">
        <v>177</v>
      </c>
      <c r="K187" s="0" t="str">
        <f aca="false">IF(A187="","",IF(ISNUMBER(A187),IF(A187&gt;=36526,A187,""),IFERROR(DATEVALUE(A187),"")))</f>
        <v/>
      </c>
      <c r="L187" s="0" t="str">
        <f aca="false">IF(K187="","",INT((K187-SAT1)/7)+1)</f>
        <v/>
      </c>
      <c r="M187" s="0" t="str">
        <f aca="false">IF(L187="","",IF(OR(L187&lt;1,L187&gt;NW),"",INDEX(WMON,L187)))</f>
        <v/>
      </c>
    </row>
    <row r="188" customFormat="false" ht="15" hidden="false" customHeight="false" outlineLevel="0" collapsed="false">
      <c r="A188" s="57"/>
      <c r="B188" s="30"/>
      <c r="C188" s="30"/>
      <c r="D188" s="58"/>
      <c r="E188" s="58"/>
      <c r="F188" s="58"/>
      <c r="G188" s="59"/>
      <c r="J188" s="0" t="n">
        <v>178</v>
      </c>
      <c r="K188" s="0" t="str">
        <f aca="false">IF(A188="","",IF(ISNUMBER(A188),IF(A188&gt;=36526,A188,""),IFERROR(DATEVALUE(A188),"")))</f>
        <v/>
      </c>
      <c r="L188" s="0" t="str">
        <f aca="false">IF(K188="","",INT((K188-SAT1)/7)+1)</f>
        <v/>
      </c>
      <c r="M188" s="0" t="str">
        <f aca="false">IF(L188="","",IF(OR(L188&lt;1,L188&gt;NW),"",INDEX(WMON,L188)))</f>
        <v/>
      </c>
    </row>
    <row r="189" customFormat="false" ht="15" hidden="false" customHeight="false" outlineLevel="0" collapsed="false">
      <c r="A189" s="57"/>
      <c r="B189" s="30"/>
      <c r="C189" s="30"/>
      <c r="D189" s="58"/>
      <c r="E189" s="58"/>
      <c r="F189" s="58"/>
      <c r="G189" s="59"/>
      <c r="J189" s="0" t="n">
        <v>179</v>
      </c>
      <c r="K189" s="0" t="str">
        <f aca="false">IF(A189="","",IF(ISNUMBER(A189),IF(A189&gt;=36526,A189,""),IFERROR(DATEVALUE(A189),"")))</f>
        <v/>
      </c>
      <c r="L189" s="0" t="str">
        <f aca="false">IF(K189="","",INT((K189-SAT1)/7)+1)</f>
        <v/>
      </c>
      <c r="M189" s="0" t="str">
        <f aca="false">IF(L189="","",IF(OR(L189&lt;1,L189&gt;NW),"",INDEX(WMON,L189)))</f>
        <v/>
      </c>
    </row>
    <row r="190" customFormat="false" ht="15" hidden="false" customHeight="false" outlineLevel="0" collapsed="false">
      <c r="A190" s="57"/>
      <c r="B190" s="30"/>
      <c r="C190" s="30"/>
      <c r="D190" s="58"/>
      <c r="E190" s="58"/>
      <c r="F190" s="58"/>
      <c r="G190" s="59"/>
      <c r="J190" s="0" t="n">
        <v>180</v>
      </c>
      <c r="K190" s="0" t="str">
        <f aca="false">IF(A190="","",IF(ISNUMBER(A190),IF(A190&gt;=36526,A190,""),IFERROR(DATEVALUE(A190),"")))</f>
        <v/>
      </c>
      <c r="L190" s="0" t="str">
        <f aca="false">IF(K190="","",INT((K190-SAT1)/7)+1)</f>
        <v/>
      </c>
      <c r="M190" s="0" t="str">
        <f aca="false">IF(L190="","",IF(OR(L190&lt;1,L190&gt;NW),"",INDEX(WMON,L190)))</f>
        <v/>
      </c>
    </row>
    <row r="191" customFormat="false" ht="15" hidden="false" customHeight="false" outlineLevel="0" collapsed="false">
      <c r="A191" s="57"/>
      <c r="B191" s="30"/>
      <c r="C191" s="30"/>
      <c r="D191" s="58"/>
      <c r="E191" s="58"/>
      <c r="F191" s="58"/>
      <c r="G191" s="59"/>
      <c r="J191" s="0" t="n">
        <v>181</v>
      </c>
      <c r="K191" s="0" t="str">
        <f aca="false">IF(A191="","",IF(ISNUMBER(A191),IF(A191&gt;=36526,A191,""),IFERROR(DATEVALUE(A191),"")))</f>
        <v/>
      </c>
      <c r="L191" s="0" t="str">
        <f aca="false">IF(K191="","",INT((K191-SAT1)/7)+1)</f>
        <v/>
      </c>
      <c r="M191" s="0" t="str">
        <f aca="false">IF(L191="","",IF(OR(L191&lt;1,L191&gt;NW),"",INDEX(WMON,L191)))</f>
        <v/>
      </c>
    </row>
    <row r="192" customFormat="false" ht="15" hidden="false" customHeight="false" outlineLevel="0" collapsed="false">
      <c r="A192" s="57"/>
      <c r="B192" s="30"/>
      <c r="C192" s="30"/>
      <c r="D192" s="58"/>
      <c r="E192" s="58"/>
      <c r="F192" s="58"/>
      <c r="G192" s="59"/>
      <c r="J192" s="0" t="n">
        <v>182</v>
      </c>
      <c r="K192" s="0" t="str">
        <f aca="false">IF(A192="","",IF(ISNUMBER(A192),IF(A192&gt;=36526,A192,""),IFERROR(DATEVALUE(A192),"")))</f>
        <v/>
      </c>
      <c r="L192" s="0" t="str">
        <f aca="false">IF(K192="","",INT((K192-SAT1)/7)+1)</f>
        <v/>
      </c>
      <c r="M192" s="0" t="str">
        <f aca="false">IF(L192="","",IF(OR(L192&lt;1,L192&gt;NW),"",INDEX(WMON,L192)))</f>
        <v/>
      </c>
    </row>
    <row r="193" customFormat="false" ht="15" hidden="false" customHeight="false" outlineLevel="0" collapsed="false">
      <c r="A193" s="57"/>
      <c r="B193" s="30"/>
      <c r="C193" s="30"/>
      <c r="D193" s="58"/>
      <c r="E193" s="58"/>
      <c r="F193" s="58"/>
      <c r="G193" s="59"/>
      <c r="J193" s="0" t="n">
        <v>183</v>
      </c>
      <c r="K193" s="0" t="str">
        <f aca="false">IF(A193="","",IF(ISNUMBER(A193),IF(A193&gt;=36526,A193,""),IFERROR(DATEVALUE(A193),"")))</f>
        <v/>
      </c>
      <c r="L193" s="0" t="str">
        <f aca="false">IF(K193="","",INT((K193-SAT1)/7)+1)</f>
        <v/>
      </c>
      <c r="M193" s="0" t="str">
        <f aca="false">IF(L193="","",IF(OR(L193&lt;1,L193&gt;NW),"",INDEX(WMON,L193)))</f>
        <v/>
      </c>
    </row>
    <row r="194" customFormat="false" ht="15" hidden="false" customHeight="false" outlineLevel="0" collapsed="false">
      <c r="A194" s="57"/>
      <c r="B194" s="30"/>
      <c r="C194" s="30"/>
      <c r="D194" s="58"/>
      <c r="E194" s="58"/>
      <c r="F194" s="58"/>
      <c r="G194" s="59"/>
      <c r="J194" s="0" t="n">
        <v>184</v>
      </c>
      <c r="K194" s="0" t="str">
        <f aca="false">IF(A194="","",IF(ISNUMBER(A194),IF(A194&gt;=36526,A194,""),IFERROR(DATEVALUE(A194),"")))</f>
        <v/>
      </c>
      <c r="L194" s="0" t="str">
        <f aca="false">IF(K194="","",INT((K194-SAT1)/7)+1)</f>
        <v/>
      </c>
      <c r="M194" s="0" t="str">
        <f aca="false">IF(L194="","",IF(OR(L194&lt;1,L194&gt;NW),"",INDEX(WMON,L194)))</f>
        <v/>
      </c>
    </row>
    <row r="195" customFormat="false" ht="15" hidden="false" customHeight="false" outlineLevel="0" collapsed="false">
      <c r="A195" s="57"/>
      <c r="B195" s="30"/>
      <c r="C195" s="30"/>
      <c r="D195" s="58"/>
      <c r="E195" s="58"/>
      <c r="F195" s="58"/>
      <c r="G195" s="59"/>
      <c r="J195" s="0" t="n">
        <v>185</v>
      </c>
      <c r="K195" s="0" t="str">
        <f aca="false">IF(A195="","",IF(ISNUMBER(A195),IF(A195&gt;=36526,A195,""),IFERROR(DATEVALUE(A195),"")))</f>
        <v/>
      </c>
      <c r="L195" s="0" t="str">
        <f aca="false">IF(K195="","",INT((K195-SAT1)/7)+1)</f>
        <v/>
      </c>
      <c r="M195" s="0" t="str">
        <f aca="false">IF(L195="","",IF(OR(L195&lt;1,L195&gt;NW),"",INDEX(WMON,L195)))</f>
        <v/>
      </c>
    </row>
    <row r="196" customFormat="false" ht="15" hidden="false" customHeight="false" outlineLevel="0" collapsed="false">
      <c r="A196" s="57"/>
      <c r="B196" s="30"/>
      <c r="C196" s="30"/>
      <c r="D196" s="58"/>
      <c r="E196" s="58"/>
      <c r="F196" s="58"/>
      <c r="G196" s="59"/>
      <c r="J196" s="0" t="n">
        <v>186</v>
      </c>
      <c r="K196" s="0" t="str">
        <f aca="false">IF(A196="","",IF(ISNUMBER(A196),IF(A196&gt;=36526,A196,""),IFERROR(DATEVALUE(A196),"")))</f>
        <v/>
      </c>
      <c r="L196" s="0" t="str">
        <f aca="false">IF(K196="","",INT((K196-SAT1)/7)+1)</f>
        <v/>
      </c>
      <c r="M196" s="0" t="str">
        <f aca="false">IF(L196="","",IF(OR(L196&lt;1,L196&gt;NW),"",INDEX(WMON,L196)))</f>
        <v/>
      </c>
    </row>
    <row r="197" customFormat="false" ht="15" hidden="false" customHeight="false" outlineLevel="0" collapsed="false">
      <c r="A197" s="57"/>
      <c r="B197" s="30"/>
      <c r="C197" s="30"/>
      <c r="D197" s="58"/>
      <c r="E197" s="58"/>
      <c r="F197" s="58"/>
      <c r="G197" s="59"/>
      <c r="J197" s="0" t="n">
        <v>187</v>
      </c>
      <c r="K197" s="0" t="str">
        <f aca="false">IF(A197="","",IF(ISNUMBER(A197),IF(A197&gt;=36526,A197,""),IFERROR(DATEVALUE(A197),"")))</f>
        <v/>
      </c>
      <c r="L197" s="0" t="str">
        <f aca="false">IF(K197="","",INT((K197-SAT1)/7)+1)</f>
        <v/>
      </c>
      <c r="M197" s="0" t="str">
        <f aca="false">IF(L197="","",IF(OR(L197&lt;1,L197&gt;NW),"",INDEX(WMON,L197)))</f>
        <v/>
      </c>
    </row>
    <row r="198" customFormat="false" ht="15" hidden="false" customHeight="false" outlineLevel="0" collapsed="false">
      <c r="A198" s="57"/>
      <c r="B198" s="30"/>
      <c r="C198" s="30"/>
      <c r="D198" s="58"/>
      <c r="E198" s="58"/>
      <c r="F198" s="58"/>
      <c r="G198" s="59"/>
      <c r="J198" s="0" t="n">
        <v>188</v>
      </c>
      <c r="K198" s="0" t="str">
        <f aca="false">IF(A198="","",IF(ISNUMBER(A198),IF(A198&gt;=36526,A198,""),IFERROR(DATEVALUE(A198),"")))</f>
        <v/>
      </c>
      <c r="L198" s="0" t="str">
        <f aca="false">IF(K198="","",INT((K198-SAT1)/7)+1)</f>
        <v/>
      </c>
      <c r="M198" s="0" t="str">
        <f aca="false">IF(L198="","",IF(OR(L198&lt;1,L198&gt;NW),"",INDEX(WMON,L198)))</f>
        <v/>
      </c>
    </row>
    <row r="199" customFormat="false" ht="15" hidden="false" customHeight="false" outlineLevel="0" collapsed="false">
      <c r="A199" s="57"/>
      <c r="B199" s="30"/>
      <c r="C199" s="30"/>
      <c r="D199" s="58"/>
      <c r="E199" s="58"/>
      <c r="F199" s="58"/>
      <c r="G199" s="59"/>
      <c r="J199" s="0" t="n">
        <v>189</v>
      </c>
      <c r="K199" s="0" t="str">
        <f aca="false">IF(A199="","",IF(ISNUMBER(A199),IF(A199&gt;=36526,A199,""),IFERROR(DATEVALUE(A199),"")))</f>
        <v/>
      </c>
      <c r="L199" s="0" t="str">
        <f aca="false">IF(K199="","",INT((K199-SAT1)/7)+1)</f>
        <v/>
      </c>
      <c r="M199" s="0" t="str">
        <f aca="false">IF(L199="","",IF(OR(L199&lt;1,L199&gt;NW),"",INDEX(WMON,L199)))</f>
        <v/>
      </c>
    </row>
    <row r="200" customFormat="false" ht="15" hidden="false" customHeight="false" outlineLevel="0" collapsed="false">
      <c r="A200" s="57"/>
      <c r="B200" s="30"/>
      <c r="C200" s="30"/>
      <c r="D200" s="58"/>
      <c r="E200" s="58"/>
      <c r="F200" s="58"/>
      <c r="G200" s="59"/>
      <c r="J200" s="0" t="n">
        <v>190</v>
      </c>
      <c r="K200" s="0" t="str">
        <f aca="false">IF(A200="","",IF(ISNUMBER(A200),IF(A200&gt;=36526,A200,""),IFERROR(DATEVALUE(A200),"")))</f>
        <v/>
      </c>
      <c r="L200" s="0" t="str">
        <f aca="false">IF(K200="","",INT((K200-SAT1)/7)+1)</f>
        <v/>
      </c>
      <c r="M200" s="0" t="str">
        <f aca="false">IF(L200="","",IF(OR(L200&lt;1,L200&gt;NW),"",INDEX(WMON,L200)))</f>
        <v/>
      </c>
    </row>
    <row r="201" customFormat="false" ht="15" hidden="false" customHeight="false" outlineLevel="0" collapsed="false">
      <c r="A201" s="57"/>
      <c r="B201" s="30"/>
      <c r="C201" s="30"/>
      <c r="D201" s="58"/>
      <c r="E201" s="58"/>
      <c r="F201" s="58"/>
      <c r="G201" s="59"/>
      <c r="J201" s="0" t="n">
        <v>191</v>
      </c>
      <c r="K201" s="0" t="str">
        <f aca="false">IF(A201="","",IF(ISNUMBER(A201),IF(A201&gt;=36526,A201,""),IFERROR(DATEVALUE(A201),"")))</f>
        <v/>
      </c>
      <c r="L201" s="0" t="str">
        <f aca="false">IF(K201="","",INT((K201-SAT1)/7)+1)</f>
        <v/>
      </c>
      <c r="M201" s="0" t="str">
        <f aca="false">IF(L201="","",IF(OR(L201&lt;1,L201&gt;NW),"",INDEX(WMON,L201)))</f>
        <v/>
      </c>
    </row>
    <row r="202" customFormat="false" ht="15" hidden="false" customHeight="false" outlineLevel="0" collapsed="false">
      <c r="A202" s="57"/>
      <c r="B202" s="30"/>
      <c r="C202" s="30"/>
      <c r="D202" s="58"/>
      <c r="E202" s="58"/>
      <c r="F202" s="58"/>
      <c r="G202" s="59"/>
      <c r="J202" s="0" t="n">
        <v>192</v>
      </c>
      <c r="K202" s="0" t="str">
        <f aca="false">IF(A202="","",IF(ISNUMBER(A202),IF(A202&gt;=36526,A202,""),IFERROR(DATEVALUE(A202),"")))</f>
        <v/>
      </c>
      <c r="L202" s="0" t="str">
        <f aca="false">IF(K202="","",INT((K202-SAT1)/7)+1)</f>
        <v/>
      </c>
      <c r="M202" s="0" t="str">
        <f aca="false">IF(L202="","",IF(OR(L202&lt;1,L202&gt;NW),"",INDEX(WMON,L202)))</f>
        <v/>
      </c>
    </row>
    <row r="203" customFormat="false" ht="15" hidden="false" customHeight="false" outlineLevel="0" collapsed="false">
      <c r="A203" s="57"/>
      <c r="B203" s="30"/>
      <c r="C203" s="30"/>
      <c r="D203" s="58"/>
      <c r="E203" s="58"/>
      <c r="F203" s="58"/>
      <c r="G203" s="59"/>
      <c r="J203" s="0" t="n">
        <v>193</v>
      </c>
      <c r="K203" s="0" t="str">
        <f aca="false">IF(A203="","",IF(ISNUMBER(A203),IF(A203&gt;=36526,A203,""),IFERROR(DATEVALUE(A203),"")))</f>
        <v/>
      </c>
      <c r="L203" s="0" t="str">
        <f aca="false">IF(K203="","",INT((K203-SAT1)/7)+1)</f>
        <v/>
      </c>
      <c r="M203" s="0" t="str">
        <f aca="false">IF(L203="","",IF(OR(L203&lt;1,L203&gt;NW),"",INDEX(WMON,L203)))</f>
        <v/>
      </c>
    </row>
    <row r="204" customFormat="false" ht="15" hidden="false" customHeight="false" outlineLevel="0" collapsed="false">
      <c r="A204" s="57"/>
      <c r="B204" s="30"/>
      <c r="C204" s="30"/>
      <c r="D204" s="58"/>
      <c r="E204" s="58"/>
      <c r="F204" s="58"/>
      <c r="G204" s="59"/>
      <c r="J204" s="0" t="n">
        <v>194</v>
      </c>
      <c r="K204" s="0" t="str">
        <f aca="false">IF(A204="","",IF(ISNUMBER(A204),IF(A204&gt;=36526,A204,""),IFERROR(DATEVALUE(A204),"")))</f>
        <v/>
      </c>
      <c r="L204" s="0" t="str">
        <f aca="false">IF(K204="","",INT((K204-SAT1)/7)+1)</f>
        <v/>
      </c>
      <c r="M204" s="0" t="str">
        <f aca="false">IF(L204="","",IF(OR(L204&lt;1,L204&gt;NW),"",INDEX(WMON,L204)))</f>
        <v/>
      </c>
    </row>
    <row r="205" customFormat="false" ht="15" hidden="false" customHeight="false" outlineLevel="0" collapsed="false">
      <c r="A205" s="57"/>
      <c r="B205" s="30"/>
      <c r="C205" s="30"/>
      <c r="D205" s="58"/>
      <c r="E205" s="58"/>
      <c r="F205" s="58"/>
      <c r="G205" s="59"/>
      <c r="J205" s="0" t="n">
        <v>195</v>
      </c>
      <c r="K205" s="0" t="str">
        <f aca="false">IF(A205="","",IF(ISNUMBER(A205),IF(A205&gt;=36526,A205,""),IFERROR(DATEVALUE(A205),"")))</f>
        <v/>
      </c>
      <c r="L205" s="0" t="str">
        <f aca="false">IF(K205="","",INT((K205-SAT1)/7)+1)</f>
        <v/>
      </c>
      <c r="M205" s="0" t="str">
        <f aca="false">IF(L205="","",IF(OR(L205&lt;1,L205&gt;NW),"",INDEX(WMON,L205)))</f>
        <v/>
      </c>
    </row>
    <row r="206" customFormat="false" ht="15" hidden="false" customHeight="false" outlineLevel="0" collapsed="false">
      <c r="A206" s="57"/>
      <c r="B206" s="30"/>
      <c r="C206" s="30"/>
      <c r="D206" s="58"/>
      <c r="E206" s="58"/>
      <c r="F206" s="58"/>
      <c r="G206" s="59"/>
      <c r="J206" s="0" t="n">
        <v>196</v>
      </c>
      <c r="K206" s="0" t="str">
        <f aca="false">IF(A206="","",IF(ISNUMBER(A206),IF(A206&gt;=36526,A206,""),IFERROR(DATEVALUE(A206),"")))</f>
        <v/>
      </c>
      <c r="L206" s="0" t="str">
        <f aca="false">IF(K206="","",INT((K206-SAT1)/7)+1)</f>
        <v/>
      </c>
      <c r="M206" s="0" t="str">
        <f aca="false">IF(L206="","",IF(OR(L206&lt;1,L206&gt;NW),"",INDEX(WMON,L206)))</f>
        <v/>
      </c>
    </row>
    <row r="207" customFormat="false" ht="15" hidden="false" customHeight="false" outlineLevel="0" collapsed="false">
      <c r="A207" s="57"/>
      <c r="B207" s="30"/>
      <c r="C207" s="30"/>
      <c r="D207" s="58"/>
      <c r="E207" s="58"/>
      <c r="F207" s="58"/>
      <c r="G207" s="59"/>
      <c r="J207" s="0" t="n">
        <v>197</v>
      </c>
      <c r="K207" s="0" t="str">
        <f aca="false">IF(A207="","",IF(ISNUMBER(A207),IF(A207&gt;=36526,A207,""),IFERROR(DATEVALUE(A207),"")))</f>
        <v/>
      </c>
      <c r="L207" s="0" t="str">
        <f aca="false">IF(K207="","",INT((K207-SAT1)/7)+1)</f>
        <v/>
      </c>
      <c r="M207" s="0" t="str">
        <f aca="false">IF(L207="","",IF(OR(L207&lt;1,L207&gt;NW),"",INDEX(WMON,L207)))</f>
        <v/>
      </c>
    </row>
    <row r="208" customFormat="false" ht="15" hidden="false" customHeight="false" outlineLevel="0" collapsed="false">
      <c r="A208" s="57"/>
      <c r="B208" s="30"/>
      <c r="C208" s="30"/>
      <c r="D208" s="58"/>
      <c r="E208" s="58"/>
      <c r="F208" s="58"/>
      <c r="G208" s="59"/>
      <c r="J208" s="0" t="n">
        <v>198</v>
      </c>
      <c r="K208" s="0" t="str">
        <f aca="false">IF(A208="","",IF(ISNUMBER(A208),IF(A208&gt;=36526,A208,""),IFERROR(DATEVALUE(A208),"")))</f>
        <v/>
      </c>
      <c r="L208" s="0" t="str">
        <f aca="false">IF(K208="","",INT((K208-SAT1)/7)+1)</f>
        <v/>
      </c>
      <c r="M208" s="0" t="str">
        <f aca="false">IF(L208="","",IF(OR(L208&lt;1,L208&gt;NW),"",INDEX(WMON,L208)))</f>
        <v/>
      </c>
    </row>
    <row r="209" customFormat="false" ht="15" hidden="false" customHeight="false" outlineLevel="0" collapsed="false">
      <c r="A209" s="57"/>
      <c r="B209" s="30"/>
      <c r="C209" s="30"/>
      <c r="D209" s="58"/>
      <c r="E209" s="58"/>
      <c r="F209" s="58"/>
      <c r="G209" s="59"/>
      <c r="J209" s="0" t="n">
        <v>199</v>
      </c>
      <c r="K209" s="0" t="str">
        <f aca="false">IF(A209="","",IF(ISNUMBER(A209),IF(A209&gt;=36526,A209,""),IFERROR(DATEVALUE(A209),"")))</f>
        <v/>
      </c>
      <c r="L209" s="0" t="str">
        <f aca="false">IF(K209="","",INT((K209-SAT1)/7)+1)</f>
        <v/>
      </c>
      <c r="M209" s="0" t="str">
        <f aca="false">IF(L209="","",IF(OR(L209&lt;1,L209&gt;NW),"",INDEX(WMON,L209)))</f>
        <v/>
      </c>
    </row>
    <row r="210" customFormat="false" ht="15" hidden="false" customHeight="false" outlineLevel="0" collapsed="false">
      <c r="A210" s="57"/>
      <c r="B210" s="30"/>
      <c r="C210" s="30"/>
      <c r="D210" s="58"/>
      <c r="E210" s="58"/>
      <c r="F210" s="58"/>
      <c r="G210" s="59"/>
      <c r="J210" s="0" t="n">
        <v>200</v>
      </c>
      <c r="K210" s="0" t="str">
        <f aca="false">IF(A210="","",IF(ISNUMBER(A210),IF(A210&gt;=36526,A210,""),IFERROR(DATEVALUE(A210),"")))</f>
        <v/>
      </c>
      <c r="L210" s="0" t="str">
        <f aca="false">IF(K210="","",INT((K210-SAT1)/7)+1)</f>
        <v/>
      </c>
      <c r="M210" s="0" t="str">
        <f aca="false">IF(L210="","",IF(OR(L210&lt;1,L210&gt;NW),"",INDEX(WMON,L210)))</f>
        <v/>
      </c>
    </row>
    <row r="212" customFormat="false" ht="23.85" hidden="false" customHeight="true" outlineLevel="0" collapsed="false">
      <c r="A212" s="61" t="str">
        <f aca="false">"ضل "&amp;COUNTBLANK(A11:A210)&amp;" سطر فاضي"</f>
        <v>ضل 200 سطر فاضي</v>
      </c>
      <c r="B212" s="21" t="s">
        <v>55</v>
      </c>
      <c r="C212" s="21"/>
      <c r="D212" s="21"/>
      <c r="E212" s="21"/>
      <c r="F212" s="21"/>
      <c r="G212" s="21"/>
    </row>
  </sheetData>
  <sheetProtection sheet="true" formatColumns="false" formatRows="false"/>
  <mergeCells count="5">
    <mergeCell ref="A1:H1"/>
    <mergeCell ref="A2:H2"/>
    <mergeCell ref="A7:G7"/>
    <mergeCell ref="A8:G8"/>
    <mergeCell ref="B212:G212"/>
  </mergeCells>
  <conditionalFormatting sqref="C11:C210">
    <cfRule type="expression" priority="2" aboveAverage="0" equalAverage="0" bottom="0" percent="0" rank="0" text="" dxfId="0">
      <formula>AND($D11&lt;&gt;"",$C11="")</formula>
    </cfRule>
  </conditionalFormatting>
  <conditionalFormatting sqref="G11:G210">
    <cfRule type="expression" priority="3" aboveAverage="0" equalAverage="0" bottom="0" percent="0" rank="0" text="" dxfId="0">
      <formula>AND($C11="بضاعة",$G11="")</formula>
    </cfRule>
  </conditionalFormatting>
  <conditionalFormatting sqref="A11:G210">
    <cfRule type="expression" priority="4" aboveAverage="0" equalAverage="0" bottom="0" percent="0" rank="0" text="" dxfId="6">
      <formula>AND($A11&lt;&gt;"",$K11="")</formula>
    </cfRule>
  </conditionalFormatting>
  <dataValidations count="3">
    <dataValidation allowBlank="true" errorStyle="stop" operator="between" showDropDown="false" showErrorMessage="false" showInputMessage="false" sqref="B11:B210" type="list">
      <formula1>"عمر المصري,عبدالعزيز"</formula1>
      <formula2>0</formula2>
    </dataValidation>
    <dataValidation allowBlank="true" errorStyle="stop" operator="between" prompt="اختار من آخر 14 يوم، أو اكتب التاريخ كامل مثل 05/10/2026" promptTitle="التاريخ" showDropDown="false" showErrorMessage="false" showInputMessage="true" sqref="A11:A210" type="list">
      <formula1>القوائم!$N$1:$N$14</formula1>
      <formula2>0</formula2>
    </dataValidation>
    <dataValidation allowBlank="true" errorStyle="stop" operator="between" prompt="بضاعة · قرض كاش · دين قديم" showDropDown="false" showErrorMessage="false" showInputMessage="true" sqref="C11:C210" type="list">
      <formula1>"بضاعة,قرض كاش,دين قديم"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true" outlineLevel="0" max="10" min="7" style="0" width="13"/>
  </cols>
  <sheetData>
    <row r="1" customFormat="false" ht="31.5" hidden="false" customHeight="true" outlineLevel="0" collapsed="false">
      <c r="A1" s="65" t="s">
        <v>56</v>
      </c>
      <c r="B1" s="65"/>
      <c r="C1" s="65"/>
      <c r="D1" s="65"/>
      <c r="E1" s="65"/>
      <c r="F1" s="65"/>
    </row>
    <row r="2" customFormat="false" ht="21.75" hidden="false" customHeight="true" outlineLevel="0" collapsed="false">
      <c r="A2" s="66" t="str">
        <f aca="false">"سنة "&amp;YR&amp;"   (السنة بتنختار من ورقة «السنة»)"</f>
        <v>سنة 2026   (السنة بتنختار من ورقة «السنة»)</v>
      </c>
      <c r="B2" s="66"/>
      <c r="C2" s="66"/>
      <c r="D2" s="66"/>
      <c r="E2" s="66"/>
      <c r="F2" s="66"/>
    </row>
    <row r="3" customFormat="false" ht="15" hidden="false" customHeight="true" outlineLevel="0" collapsed="false">
      <c r="A3" s="21" t="s">
        <v>57</v>
      </c>
      <c r="B3" s="21"/>
      <c r="C3" s="21"/>
      <c r="D3" s="21"/>
      <c r="E3" s="21"/>
    </row>
    <row r="4" customFormat="false" ht="21.75" hidden="false" customHeight="true" outlineLevel="0" collapsed="false">
      <c r="A4" s="7" t="s">
        <v>3</v>
      </c>
      <c r="B4" s="8" t="s">
        <v>4</v>
      </c>
    </row>
    <row r="5" customFormat="false" ht="30" hidden="false" customHeight="true" outlineLevel="0" collapsed="false">
      <c r="A5" s="67" t="s">
        <v>22</v>
      </c>
      <c r="B5" s="67" t="s">
        <v>58</v>
      </c>
      <c r="C5" s="67" t="s">
        <v>59</v>
      </c>
      <c r="D5" s="67" t="s">
        <v>60</v>
      </c>
      <c r="E5" s="67" t="s">
        <v>30</v>
      </c>
    </row>
    <row r="6" customFormat="false" ht="15" hidden="false" customHeight="false" outlineLevel="0" collapsed="false">
      <c r="A6" s="57"/>
      <c r="B6" s="30"/>
      <c r="C6" s="59"/>
      <c r="D6" s="58"/>
      <c r="E6" s="59"/>
      <c r="G6" s="0" t="str">
        <f aca="false">IF(AND(B6&lt;&gt;"",COUNTIF(B$6:B6,B6)=1),MAX(G$5:G5)+1,"")</f>
        <v/>
      </c>
      <c r="H6" s="0" t="str">
        <f aca="false">IF(A6="","",IF(ISNUMBER(A6),IF(A6&gt;=36526,A6,""),IFERROR(DATEVALUE(A6),"")))</f>
        <v/>
      </c>
      <c r="I6" s="0" t="str">
        <f aca="false">IF(H6="","",INT((H6-SAT1)/7)+1)</f>
        <v/>
      </c>
      <c r="J6" s="0" t="str">
        <f aca="false">IF(I6="","",IF(OR(I6&lt;1,I6&gt;NW),"",INDEX(WMON,I6)))</f>
        <v/>
      </c>
    </row>
    <row r="7" customFormat="false" ht="15" hidden="false" customHeight="false" outlineLevel="0" collapsed="false">
      <c r="A7" s="57"/>
      <c r="B7" s="30"/>
      <c r="C7" s="59"/>
      <c r="D7" s="58"/>
      <c r="E7" s="59"/>
      <c r="G7" s="0" t="str">
        <f aca="false">IF(AND(B7&lt;&gt;"",COUNTIF(B$6:B7,B7)=1),MAX(G$5:G6)+1,"")</f>
        <v/>
      </c>
      <c r="H7" s="0" t="str">
        <f aca="false">IF(A7="","",IF(ISNUMBER(A7),IF(A7&gt;=36526,A7,""),IFERROR(DATEVALUE(A7),"")))</f>
        <v/>
      </c>
      <c r="I7" s="0" t="str">
        <f aca="false">IF(H7="","",INT((H7-SAT1)/7)+1)</f>
        <v/>
      </c>
      <c r="J7" s="0" t="str">
        <f aca="false">IF(I7="","",IF(OR(I7&lt;1,I7&gt;NW),"",INDEX(WMON,I7)))</f>
        <v/>
      </c>
    </row>
    <row r="8" customFormat="false" ht="15" hidden="false" customHeight="false" outlineLevel="0" collapsed="false">
      <c r="A8" s="57"/>
      <c r="B8" s="30"/>
      <c r="C8" s="59"/>
      <c r="D8" s="58"/>
      <c r="E8" s="59"/>
      <c r="G8" s="0" t="str">
        <f aca="false">IF(AND(B8&lt;&gt;"",COUNTIF(B$6:B8,B8)=1),MAX(G$5:G7)+1,"")</f>
        <v/>
      </c>
      <c r="H8" s="0" t="str">
        <f aca="false">IF(A8="","",IF(ISNUMBER(A8),IF(A8&gt;=36526,A8,""),IFERROR(DATEVALUE(A8),"")))</f>
        <v/>
      </c>
      <c r="I8" s="0" t="str">
        <f aca="false">IF(H8="","",INT((H8-SAT1)/7)+1)</f>
        <v/>
      </c>
      <c r="J8" s="0" t="str">
        <f aca="false">IF(I8="","",IF(OR(I8&lt;1,I8&gt;NW),"",INDEX(WMON,I8)))</f>
        <v/>
      </c>
    </row>
    <row r="9" customFormat="false" ht="15" hidden="false" customHeight="false" outlineLevel="0" collapsed="false">
      <c r="A9" s="57"/>
      <c r="B9" s="30"/>
      <c r="C9" s="59"/>
      <c r="D9" s="58"/>
      <c r="E9" s="59"/>
      <c r="G9" s="0" t="str">
        <f aca="false">IF(AND(B9&lt;&gt;"",COUNTIF(B$6:B9,B9)=1),MAX(G$5:G8)+1,"")</f>
        <v/>
      </c>
      <c r="H9" s="0" t="str">
        <f aca="false">IF(A9="","",IF(ISNUMBER(A9),IF(A9&gt;=36526,A9,""),IFERROR(DATEVALUE(A9),"")))</f>
        <v/>
      </c>
      <c r="I9" s="0" t="str">
        <f aca="false">IF(H9="","",INT((H9-SAT1)/7)+1)</f>
        <v/>
      </c>
      <c r="J9" s="0" t="str">
        <f aca="false">IF(I9="","",IF(OR(I9&lt;1,I9&gt;NW),"",INDEX(WMON,I9)))</f>
        <v/>
      </c>
    </row>
    <row r="10" customFormat="false" ht="15" hidden="false" customHeight="false" outlineLevel="0" collapsed="false">
      <c r="A10" s="57"/>
      <c r="B10" s="30"/>
      <c r="C10" s="59"/>
      <c r="D10" s="58"/>
      <c r="E10" s="59"/>
      <c r="G10" s="0" t="str">
        <f aca="false">IF(AND(B10&lt;&gt;"",COUNTIF(B$6:B10,B10)=1),MAX(G$5:G9)+1,"")</f>
        <v/>
      </c>
      <c r="H10" s="0" t="str">
        <f aca="false">IF(A10="","",IF(ISNUMBER(A10),IF(A10&gt;=36526,A10,""),IFERROR(DATEVALUE(A10),"")))</f>
        <v/>
      </c>
      <c r="I10" s="0" t="str">
        <f aca="false">IF(H10="","",INT((H10-SAT1)/7)+1)</f>
        <v/>
      </c>
      <c r="J10" s="0" t="str">
        <f aca="false">IF(I10="","",IF(OR(I10&lt;1,I10&gt;NW),"",INDEX(WMON,I10)))</f>
        <v/>
      </c>
    </row>
    <row r="11" customFormat="false" ht="15" hidden="false" customHeight="false" outlineLevel="0" collapsed="false">
      <c r="A11" s="57"/>
      <c r="B11" s="30"/>
      <c r="C11" s="59"/>
      <c r="D11" s="58"/>
      <c r="E11" s="59"/>
      <c r="G11" s="0" t="str">
        <f aca="false">IF(AND(B11&lt;&gt;"",COUNTIF(B$6:B11,B11)=1),MAX(G$5:G10)+1,"")</f>
        <v/>
      </c>
      <c r="H11" s="0" t="str">
        <f aca="false">IF(A11="","",IF(ISNUMBER(A11),IF(A11&gt;=36526,A11,""),IFERROR(DATEVALUE(A11),"")))</f>
        <v/>
      </c>
      <c r="I11" s="0" t="str">
        <f aca="false">IF(H11="","",INT((H11-SAT1)/7)+1)</f>
        <v/>
      </c>
      <c r="J11" s="0" t="str">
        <f aca="false">IF(I11="","",IF(OR(I11&lt;1,I11&gt;NW),"",INDEX(WMON,I11)))</f>
        <v/>
      </c>
    </row>
    <row r="12" customFormat="false" ht="15" hidden="false" customHeight="false" outlineLevel="0" collapsed="false">
      <c r="A12" s="57"/>
      <c r="B12" s="30"/>
      <c r="C12" s="59"/>
      <c r="D12" s="58"/>
      <c r="E12" s="59"/>
      <c r="G12" s="0" t="str">
        <f aca="false">IF(AND(B12&lt;&gt;"",COUNTIF(B$6:B12,B12)=1),MAX(G$5:G11)+1,"")</f>
        <v/>
      </c>
      <c r="H12" s="0" t="str">
        <f aca="false">IF(A12="","",IF(ISNUMBER(A12),IF(A12&gt;=36526,A12,""),IFERROR(DATEVALUE(A12),"")))</f>
        <v/>
      </c>
      <c r="I12" s="0" t="str">
        <f aca="false">IF(H12="","",INT((H12-SAT1)/7)+1)</f>
        <v/>
      </c>
      <c r="J12" s="0" t="str">
        <f aca="false">IF(I12="","",IF(OR(I12&lt;1,I12&gt;NW),"",INDEX(WMON,I12)))</f>
        <v/>
      </c>
    </row>
    <row r="13" customFormat="false" ht="15" hidden="false" customHeight="false" outlineLevel="0" collapsed="false">
      <c r="A13" s="57"/>
      <c r="B13" s="30"/>
      <c r="C13" s="59"/>
      <c r="D13" s="58"/>
      <c r="E13" s="59"/>
      <c r="G13" s="0" t="str">
        <f aca="false">IF(AND(B13&lt;&gt;"",COUNTIF(B$6:B13,B13)=1),MAX(G$5:G12)+1,"")</f>
        <v/>
      </c>
      <c r="H13" s="0" t="str">
        <f aca="false">IF(A13="","",IF(ISNUMBER(A13),IF(A13&gt;=36526,A13,""),IFERROR(DATEVALUE(A13),"")))</f>
        <v/>
      </c>
      <c r="I13" s="0" t="str">
        <f aca="false">IF(H13="","",INT((H13-SAT1)/7)+1)</f>
        <v/>
      </c>
      <c r="J13" s="0" t="str">
        <f aca="false">IF(I13="","",IF(OR(I13&lt;1,I13&gt;NW),"",INDEX(WMON,I13)))</f>
        <v/>
      </c>
    </row>
    <row r="14" customFormat="false" ht="15" hidden="false" customHeight="false" outlineLevel="0" collapsed="false">
      <c r="A14" s="57"/>
      <c r="B14" s="30"/>
      <c r="C14" s="59"/>
      <c r="D14" s="58"/>
      <c r="E14" s="59"/>
      <c r="G14" s="0" t="str">
        <f aca="false">IF(AND(B14&lt;&gt;"",COUNTIF(B$6:B14,B14)=1),MAX(G$5:G13)+1,"")</f>
        <v/>
      </c>
      <c r="H14" s="0" t="str">
        <f aca="false">IF(A14="","",IF(ISNUMBER(A14),IF(A14&gt;=36526,A14,""),IFERROR(DATEVALUE(A14),"")))</f>
        <v/>
      </c>
      <c r="I14" s="0" t="str">
        <f aca="false">IF(H14="","",INT((H14-SAT1)/7)+1)</f>
        <v/>
      </c>
      <c r="J14" s="0" t="str">
        <f aca="false">IF(I14="","",IF(OR(I14&lt;1,I14&gt;NW),"",INDEX(WMON,I14)))</f>
        <v/>
      </c>
    </row>
    <row r="15" customFormat="false" ht="15" hidden="false" customHeight="false" outlineLevel="0" collapsed="false">
      <c r="A15" s="57"/>
      <c r="B15" s="30"/>
      <c r="C15" s="59"/>
      <c r="D15" s="58"/>
      <c r="E15" s="59"/>
      <c r="G15" s="0" t="str">
        <f aca="false">IF(AND(B15&lt;&gt;"",COUNTIF(B$6:B15,B15)=1),MAX(G$5:G14)+1,"")</f>
        <v/>
      </c>
      <c r="H15" s="0" t="str">
        <f aca="false">IF(A15="","",IF(ISNUMBER(A15),IF(A15&gt;=36526,A15,""),IFERROR(DATEVALUE(A15),"")))</f>
        <v/>
      </c>
      <c r="I15" s="0" t="str">
        <f aca="false">IF(H15="","",INT((H15-SAT1)/7)+1)</f>
        <v/>
      </c>
      <c r="J15" s="0" t="str">
        <f aca="false">IF(I15="","",IF(OR(I15&lt;1,I15&gt;NW),"",INDEX(WMON,I15)))</f>
        <v/>
      </c>
    </row>
    <row r="16" customFormat="false" ht="15" hidden="false" customHeight="false" outlineLevel="0" collapsed="false">
      <c r="A16" s="57"/>
      <c r="B16" s="30"/>
      <c r="C16" s="59"/>
      <c r="D16" s="58"/>
      <c r="E16" s="59"/>
      <c r="G16" s="0" t="str">
        <f aca="false">IF(AND(B16&lt;&gt;"",COUNTIF(B$6:B16,B16)=1),MAX(G$5:G15)+1,"")</f>
        <v/>
      </c>
      <c r="H16" s="0" t="str">
        <f aca="false">IF(A16="","",IF(ISNUMBER(A16),IF(A16&gt;=36526,A16,""),IFERROR(DATEVALUE(A16),"")))</f>
        <v/>
      </c>
      <c r="I16" s="0" t="str">
        <f aca="false">IF(H16="","",INT((H16-SAT1)/7)+1)</f>
        <v/>
      </c>
      <c r="J16" s="0" t="str">
        <f aca="false">IF(I16="","",IF(OR(I16&lt;1,I16&gt;NW),"",INDEX(WMON,I16)))</f>
        <v/>
      </c>
    </row>
    <row r="17" customFormat="false" ht="15" hidden="false" customHeight="false" outlineLevel="0" collapsed="false">
      <c r="A17" s="57"/>
      <c r="B17" s="30"/>
      <c r="C17" s="59"/>
      <c r="D17" s="58"/>
      <c r="E17" s="59"/>
      <c r="G17" s="0" t="str">
        <f aca="false">IF(AND(B17&lt;&gt;"",COUNTIF(B$6:B17,B17)=1),MAX(G$5:G16)+1,"")</f>
        <v/>
      </c>
      <c r="H17" s="0" t="str">
        <f aca="false">IF(A17="","",IF(ISNUMBER(A17),IF(A17&gt;=36526,A17,""),IFERROR(DATEVALUE(A17),"")))</f>
        <v/>
      </c>
      <c r="I17" s="0" t="str">
        <f aca="false">IF(H17="","",INT((H17-SAT1)/7)+1)</f>
        <v/>
      </c>
      <c r="J17" s="0" t="str">
        <f aca="false">IF(I17="","",IF(OR(I17&lt;1,I17&gt;NW),"",INDEX(WMON,I17)))</f>
        <v/>
      </c>
    </row>
    <row r="18" customFormat="false" ht="15" hidden="false" customHeight="false" outlineLevel="0" collapsed="false">
      <c r="A18" s="57"/>
      <c r="B18" s="30"/>
      <c r="C18" s="59"/>
      <c r="D18" s="58"/>
      <c r="E18" s="59"/>
      <c r="G18" s="0" t="str">
        <f aca="false">IF(AND(B18&lt;&gt;"",COUNTIF(B$6:B18,B18)=1),MAX(G$5:G17)+1,"")</f>
        <v/>
      </c>
      <c r="H18" s="0" t="str">
        <f aca="false">IF(A18="","",IF(ISNUMBER(A18),IF(A18&gt;=36526,A18,""),IFERROR(DATEVALUE(A18),"")))</f>
        <v/>
      </c>
      <c r="I18" s="0" t="str">
        <f aca="false">IF(H18="","",INT((H18-SAT1)/7)+1)</f>
        <v/>
      </c>
      <c r="J18" s="0" t="str">
        <f aca="false">IF(I18="","",IF(OR(I18&lt;1,I18&gt;NW),"",INDEX(WMON,I18)))</f>
        <v/>
      </c>
    </row>
    <row r="19" customFormat="false" ht="15" hidden="false" customHeight="false" outlineLevel="0" collapsed="false">
      <c r="A19" s="57"/>
      <c r="B19" s="30"/>
      <c r="C19" s="59"/>
      <c r="D19" s="58"/>
      <c r="E19" s="59"/>
      <c r="G19" s="0" t="str">
        <f aca="false">IF(AND(B19&lt;&gt;"",COUNTIF(B$6:B19,B19)=1),MAX(G$5:G18)+1,"")</f>
        <v/>
      </c>
      <c r="H19" s="0" t="str">
        <f aca="false">IF(A19="","",IF(ISNUMBER(A19),IF(A19&gt;=36526,A19,""),IFERROR(DATEVALUE(A19),"")))</f>
        <v/>
      </c>
      <c r="I19" s="0" t="str">
        <f aca="false">IF(H19="","",INT((H19-SAT1)/7)+1)</f>
        <v/>
      </c>
      <c r="J19" s="0" t="str">
        <f aca="false">IF(I19="","",IF(OR(I19&lt;1,I19&gt;NW),"",INDEX(WMON,I19)))</f>
        <v/>
      </c>
    </row>
    <row r="20" customFormat="false" ht="15" hidden="false" customHeight="false" outlineLevel="0" collapsed="false">
      <c r="A20" s="57"/>
      <c r="B20" s="30"/>
      <c r="C20" s="59"/>
      <c r="D20" s="58"/>
      <c r="E20" s="59"/>
      <c r="G20" s="0" t="str">
        <f aca="false">IF(AND(B20&lt;&gt;"",COUNTIF(B$6:B20,B20)=1),MAX(G$5:G19)+1,"")</f>
        <v/>
      </c>
      <c r="H20" s="0" t="str">
        <f aca="false">IF(A20="","",IF(ISNUMBER(A20),IF(A20&gt;=36526,A20,""),IFERROR(DATEVALUE(A20),"")))</f>
        <v/>
      </c>
      <c r="I20" s="0" t="str">
        <f aca="false">IF(H20="","",INT((H20-SAT1)/7)+1)</f>
        <v/>
      </c>
      <c r="J20" s="0" t="str">
        <f aca="false">IF(I20="","",IF(OR(I20&lt;1,I20&gt;NW),"",INDEX(WMON,I20)))</f>
        <v/>
      </c>
    </row>
    <row r="21" customFormat="false" ht="15" hidden="false" customHeight="false" outlineLevel="0" collapsed="false">
      <c r="A21" s="57"/>
      <c r="B21" s="30"/>
      <c r="C21" s="59"/>
      <c r="D21" s="58"/>
      <c r="E21" s="59"/>
      <c r="G21" s="0" t="str">
        <f aca="false">IF(AND(B21&lt;&gt;"",COUNTIF(B$6:B21,B21)=1),MAX(G$5:G20)+1,"")</f>
        <v/>
      </c>
      <c r="H21" s="0" t="str">
        <f aca="false">IF(A21="","",IF(ISNUMBER(A21),IF(A21&gt;=36526,A21,""),IFERROR(DATEVALUE(A21),"")))</f>
        <v/>
      </c>
      <c r="I21" s="0" t="str">
        <f aca="false">IF(H21="","",INT((H21-SAT1)/7)+1)</f>
        <v/>
      </c>
      <c r="J21" s="0" t="str">
        <f aca="false">IF(I21="","",IF(OR(I21&lt;1,I21&gt;NW),"",INDEX(WMON,I21)))</f>
        <v/>
      </c>
    </row>
    <row r="22" customFormat="false" ht="15" hidden="false" customHeight="false" outlineLevel="0" collapsed="false">
      <c r="A22" s="57"/>
      <c r="B22" s="30"/>
      <c r="C22" s="59"/>
      <c r="D22" s="58"/>
      <c r="E22" s="59"/>
      <c r="G22" s="0" t="str">
        <f aca="false">IF(AND(B22&lt;&gt;"",COUNTIF(B$6:B22,B22)=1),MAX(G$5:G21)+1,"")</f>
        <v/>
      </c>
      <c r="H22" s="0" t="str">
        <f aca="false">IF(A22="","",IF(ISNUMBER(A22),IF(A22&gt;=36526,A22,""),IFERROR(DATEVALUE(A22),"")))</f>
        <v/>
      </c>
      <c r="I22" s="0" t="str">
        <f aca="false">IF(H22="","",INT((H22-SAT1)/7)+1)</f>
        <v/>
      </c>
      <c r="J22" s="0" t="str">
        <f aca="false">IF(I22="","",IF(OR(I22&lt;1,I22&gt;NW),"",INDEX(WMON,I22)))</f>
        <v/>
      </c>
    </row>
    <row r="23" customFormat="false" ht="15" hidden="false" customHeight="false" outlineLevel="0" collapsed="false">
      <c r="A23" s="57"/>
      <c r="B23" s="30"/>
      <c r="C23" s="59"/>
      <c r="D23" s="58"/>
      <c r="E23" s="59"/>
      <c r="G23" s="0" t="str">
        <f aca="false">IF(AND(B23&lt;&gt;"",COUNTIF(B$6:B23,B23)=1),MAX(G$5:G22)+1,"")</f>
        <v/>
      </c>
      <c r="H23" s="0" t="str">
        <f aca="false">IF(A23="","",IF(ISNUMBER(A23),IF(A23&gt;=36526,A23,""),IFERROR(DATEVALUE(A23),"")))</f>
        <v/>
      </c>
      <c r="I23" s="0" t="str">
        <f aca="false">IF(H23="","",INT((H23-SAT1)/7)+1)</f>
        <v/>
      </c>
      <c r="J23" s="0" t="str">
        <f aca="false">IF(I23="","",IF(OR(I23&lt;1,I23&gt;NW),"",INDEX(WMON,I23)))</f>
        <v/>
      </c>
    </row>
    <row r="24" customFormat="false" ht="15" hidden="false" customHeight="false" outlineLevel="0" collapsed="false">
      <c r="A24" s="57"/>
      <c r="B24" s="30"/>
      <c r="C24" s="59"/>
      <c r="D24" s="58"/>
      <c r="E24" s="59"/>
      <c r="G24" s="0" t="str">
        <f aca="false">IF(AND(B24&lt;&gt;"",COUNTIF(B$6:B24,B24)=1),MAX(G$5:G23)+1,"")</f>
        <v/>
      </c>
      <c r="H24" s="0" t="str">
        <f aca="false">IF(A24="","",IF(ISNUMBER(A24),IF(A24&gt;=36526,A24,""),IFERROR(DATEVALUE(A24),"")))</f>
        <v/>
      </c>
      <c r="I24" s="0" t="str">
        <f aca="false">IF(H24="","",INT((H24-SAT1)/7)+1)</f>
        <v/>
      </c>
      <c r="J24" s="0" t="str">
        <f aca="false">IF(I24="","",IF(OR(I24&lt;1,I24&gt;NW),"",INDEX(WMON,I24)))</f>
        <v/>
      </c>
    </row>
    <row r="25" customFormat="false" ht="15" hidden="false" customHeight="false" outlineLevel="0" collapsed="false">
      <c r="A25" s="57"/>
      <c r="B25" s="30"/>
      <c r="C25" s="59"/>
      <c r="D25" s="58"/>
      <c r="E25" s="59"/>
      <c r="G25" s="0" t="str">
        <f aca="false">IF(AND(B25&lt;&gt;"",COUNTIF(B$6:B25,B25)=1),MAX(G$5:G24)+1,"")</f>
        <v/>
      </c>
      <c r="H25" s="0" t="str">
        <f aca="false">IF(A25="","",IF(ISNUMBER(A25),IF(A25&gt;=36526,A25,""),IFERROR(DATEVALUE(A25),"")))</f>
        <v/>
      </c>
      <c r="I25" s="0" t="str">
        <f aca="false">IF(H25="","",INT((H25-SAT1)/7)+1)</f>
        <v/>
      </c>
      <c r="J25" s="0" t="str">
        <f aca="false">IF(I25="","",IF(OR(I25&lt;1,I25&gt;NW),"",INDEX(WMON,I25)))</f>
        <v/>
      </c>
    </row>
    <row r="26" customFormat="false" ht="15" hidden="false" customHeight="false" outlineLevel="0" collapsed="false">
      <c r="A26" s="57"/>
      <c r="B26" s="30"/>
      <c r="C26" s="59"/>
      <c r="D26" s="58"/>
      <c r="E26" s="59"/>
      <c r="G26" s="0" t="str">
        <f aca="false">IF(AND(B26&lt;&gt;"",COUNTIF(B$6:B26,B26)=1),MAX(G$5:G25)+1,"")</f>
        <v/>
      </c>
      <c r="H26" s="0" t="str">
        <f aca="false">IF(A26="","",IF(ISNUMBER(A26),IF(A26&gt;=36526,A26,""),IFERROR(DATEVALUE(A26),"")))</f>
        <v/>
      </c>
      <c r="I26" s="0" t="str">
        <f aca="false">IF(H26="","",INT((H26-SAT1)/7)+1)</f>
        <v/>
      </c>
      <c r="J26" s="0" t="str">
        <f aca="false">IF(I26="","",IF(OR(I26&lt;1,I26&gt;NW),"",INDEX(WMON,I26)))</f>
        <v/>
      </c>
    </row>
    <row r="27" customFormat="false" ht="15" hidden="false" customHeight="false" outlineLevel="0" collapsed="false">
      <c r="A27" s="57"/>
      <c r="B27" s="30"/>
      <c r="C27" s="59"/>
      <c r="D27" s="58"/>
      <c r="E27" s="59"/>
      <c r="G27" s="0" t="str">
        <f aca="false">IF(AND(B27&lt;&gt;"",COUNTIF(B$6:B27,B27)=1),MAX(G$5:G26)+1,"")</f>
        <v/>
      </c>
      <c r="H27" s="0" t="str">
        <f aca="false">IF(A27="","",IF(ISNUMBER(A27),IF(A27&gt;=36526,A27,""),IFERROR(DATEVALUE(A27),"")))</f>
        <v/>
      </c>
      <c r="I27" s="0" t="str">
        <f aca="false">IF(H27="","",INT((H27-SAT1)/7)+1)</f>
        <v/>
      </c>
      <c r="J27" s="0" t="str">
        <f aca="false">IF(I27="","",IF(OR(I27&lt;1,I27&gt;NW),"",INDEX(WMON,I27)))</f>
        <v/>
      </c>
    </row>
    <row r="28" customFormat="false" ht="15" hidden="false" customHeight="false" outlineLevel="0" collapsed="false">
      <c r="A28" s="57"/>
      <c r="B28" s="30"/>
      <c r="C28" s="59"/>
      <c r="D28" s="58"/>
      <c r="E28" s="59"/>
      <c r="G28" s="0" t="str">
        <f aca="false">IF(AND(B28&lt;&gt;"",COUNTIF(B$6:B28,B28)=1),MAX(G$5:G27)+1,"")</f>
        <v/>
      </c>
      <c r="H28" s="0" t="str">
        <f aca="false">IF(A28="","",IF(ISNUMBER(A28),IF(A28&gt;=36526,A28,""),IFERROR(DATEVALUE(A28),"")))</f>
        <v/>
      </c>
      <c r="I28" s="0" t="str">
        <f aca="false">IF(H28="","",INT((H28-SAT1)/7)+1)</f>
        <v/>
      </c>
      <c r="J28" s="0" t="str">
        <f aca="false">IF(I28="","",IF(OR(I28&lt;1,I28&gt;NW),"",INDEX(WMON,I28)))</f>
        <v/>
      </c>
    </row>
    <row r="29" customFormat="false" ht="15" hidden="false" customHeight="false" outlineLevel="0" collapsed="false">
      <c r="A29" s="57"/>
      <c r="B29" s="30"/>
      <c r="C29" s="59"/>
      <c r="D29" s="58"/>
      <c r="E29" s="59"/>
      <c r="G29" s="0" t="str">
        <f aca="false">IF(AND(B29&lt;&gt;"",COUNTIF(B$6:B29,B29)=1),MAX(G$5:G28)+1,"")</f>
        <v/>
      </c>
      <c r="H29" s="0" t="str">
        <f aca="false">IF(A29="","",IF(ISNUMBER(A29),IF(A29&gt;=36526,A29,""),IFERROR(DATEVALUE(A29),"")))</f>
        <v/>
      </c>
      <c r="I29" s="0" t="str">
        <f aca="false">IF(H29="","",INT((H29-SAT1)/7)+1)</f>
        <v/>
      </c>
      <c r="J29" s="0" t="str">
        <f aca="false">IF(I29="","",IF(OR(I29&lt;1,I29&gt;NW),"",INDEX(WMON,I29)))</f>
        <v/>
      </c>
    </row>
    <row r="30" customFormat="false" ht="15" hidden="false" customHeight="false" outlineLevel="0" collapsed="false">
      <c r="A30" s="57"/>
      <c r="B30" s="30"/>
      <c r="C30" s="59"/>
      <c r="D30" s="58"/>
      <c r="E30" s="59"/>
      <c r="G30" s="0" t="str">
        <f aca="false">IF(AND(B30&lt;&gt;"",COUNTIF(B$6:B30,B30)=1),MAX(G$5:G29)+1,"")</f>
        <v/>
      </c>
      <c r="H30" s="0" t="str">
        <f aca="false">IF(A30="","",IF(ISNUMBER(A30),IF(A30&gt;=36526,A30,""),IFERROR(DATEVALUE(A30),"")))</f>
        <v/>
      </c>
      <c r="I30" s="0" t="str">
        <f aca="false">IF(H30="","",INT((H30-SAT1)/7)+1)</f>
        <v/>
      </c>
      <c r="J30" s="0" t="str">
        <f aca="false">IF(I30="","",IF(OR(I30&lt;1,I30&gt;NW),"",INDEX(WMON,I30)))</f>
        <v/>
      </c>
    </row>
    <row r="31" customFormat="false" ht="15" hidden="false" customHeight="false" outlineLevel="0" collapsed="false">
      <c r="A31" s="57"/>
      <c r="B31" s="30"/>
      <c r="C31" s="59"/>
      <c r="D31" s="58"/>
      <c r="E31" s="59"/>
      <c r="G31" s="0" t="str">
        <f aca="false">IF(AND(B31&lt;&gt;"",COUNTIF(B$6:B31,B31)=1),MAX(G$5:G30)+1,"")</f>
        <v/>
      </c>
      <c r="H31" s="0" t="str">
        <f aca="false">IF(A31="","",IF(ISNUMBER(A31),IF(A31&gt;=36526,A31,""),IFERROR(DATEVALUE(A31),"")))</f>
        <v/>
      </c>
      <c r="I31" s="0" t="str">
        <f aca="false">IF(H31="","",INT((H31-SAT1)/7)+1)</f>
        <v/>
      </c>
      <c r="J31" s="0" t="str">
        <f aca="false">IF(I31="","",IF(OR(I31&lt;1,I31&gt;NW),"",INDEX(WMON,I31)))</f>
        <v/>
      </c>
    </row>
    <row r="32" customFormat="false" ht="15" hidden="false" customHeight="false" outlineLevel="0" collapsed="false">
      <c r="A32" s="57"/>
      <c r="B32" s="30"/>
      <c r="C32" s="59"/>
      <c r="D32" s="58"/>
      <c r="E32" s="59"/>
      <c r="G32" s="0" t="str">
        <f aca="false">IF(AND(B32&lt;&gt;"",COUNTIF(B$6:B32,B32)=1),MAX(G$5:G31)+1,"")</f>
        <v/>
      </c>
      <c r="H32" s="0" t="str">
        <f aca="false">IF(A32="","",IF(ISNUMBER(A32),IF(A32&gt;=36526,A32,""),IFERROR(DATEVALUE(A32),"")))</f>
        <v/>
      </c>
      <c r="I32" s="0" t="str">
        <f aca="false">IF(H32="","",INT((H32-SAT1)/7)+1)</f>
        <v/>
      </c>
      <c r="J32" s="0" t="str">
        <f aca="false">IF(I32="","",IF(OR(I32&lt;1,I32&gt;NW),"",INDEX(WMON,I32)))</f>
        <v/>
      </c>
    </row>
    <row r="33" customFormat="false" ht="15" hidden="false" customHeight="false" outlineLevel="0" collapsed="false">
      <c r="A33" s="57"/>
      <c r="B33" s="30"/>
      <c r="C33" s="59"/>
      <c r="D33" s="58"/>
      <c r="E33" s="59"/>
      <c r="G33" s="0" t="str">
        <f aca="false">IF(AND(B33&lt;&gt;"",COUNTIF(B$6:B33,B33)=1),MAX(G$5:G32)+1,"")</f>
        <v/>
      </c>
      <c r="H33" s="0" t="str">
        <f aca="false">IF(A33="","",IF(ISNUMBER(A33),IF(A33&gt;=36526,A33,""),IFERROR(DATEVALUE(A33),"")))</f>
        <v/>
      </c>
      <c r="I33" s="0" t="str">
        <f aca="false">IF(H33="","",INT((H33-SAT1)/7)+1)</f>
        <v/>
      </c>
      <c r="J33" s="0" t="str">
        <f aca="false">IF(I33="","",IF(OR(I33&lt;1,I33&gt;NW),"",INDEX(WMON,I33)))</f>
        <v/>
      </c>
    </row>
    <row r="34" customFormat="false" ht="15" hidden="false" customHeight="false" outlineLevel="0" collapsed="false">
      <c r="A34" s="57"/>
      <c r="B34" s="30"/>
      <c r="C34" s="59"/>
      <c r="D34" s="58"/>
      <c r="E34" s="59"/>
      <c r="G34" s="0" t="str">
        <f aca="false">IF(AND(B34&lt;&gt;"",COUNTIF(B$6:B34,B34)=1),MAX(G$5:G33)+1,"")</f>
        <v/>
      </c>
      <c r="H34" s="0" t="str">
        <f aca="false">IF(A34="","",IF(ISNUMBER(A34),IF(A34&gt;=36526,A34,""),IFERROR(DATEVALUE(A34),"")))</f>
        <v/>
      </c>
      <c r="I34" s="0" t="str">
        <f aca="false">IF(H34="","",INT((H34-SAT1)/7)+1)</f>
        <v/>
      </c>
      <c r="J34" s="0" t="str">
        <f aca="false">IF(I34="","",IF(OR(I34&lt;1,I34&gt;NW),"",INDEX(WMON,I34)))</f>
        <v/>
      </c>
    </row>
    <row r="35" customFormat="false" ht="15" hidden="false" customHeight="false" outlineLevel="0" collapsed="false">
      <c r="A35" s="57"/>
      <c r="B35" s="30"/>
      <c r="C35" s="59"/>
      <c r="D35" s="58"/>
      <c r="E35" s="59"/>
      <c r="G35" s="0" t="str">
        <f aca="false">IF(AND(B35&lt;&gt;"",COUNTIF(B$6:B35,B35)=1),MAX(G$5:G34)+1,"")</f>
        <v/>
      </c>
      <c r="H35" s="0" t="str">
        <f aca="false">IF(A35="","",IF(ISNUMBER(A35),IF(A35&gt;=36526,A35,""),IFERROR(DATEVALUE(A35),"")))</f>
        <v/>
      </c>
      <c r="I35" s="0" t="str">
        <f aca="false">IF(H35="","",INT((H35-SAT1)/7)+1)</f>
        <v/>
      </c>
      <c r="J35" s="0" t="str">
        <f aca="false">IF(I35="","",IF(OR(I35&lt;1,I35&gt;NW),"",INDEX(WMON,I35)))</f>
        <v/>
      </c>
    </row>
    <row r="36" customFormat="false" ht="15" hidden="false" customHeight="false" outlineLevel="0" collapsed="false">
      <c r="A36" s="57"/>
      <c r="B36" s="30"/>
      <c r="C36" s="59"/>
      <c r="D36" s="58"/>
      <c r="E36" s="59"/>
      <c r="G36" s="0" t="str">
        <f aca="false">IF(AND(B36&lt;&gt;"",COUNTIF(B$6:B36,B36)=1),MAX(G$5:G35)+1,"")</f>
        <v/>
      </c>
      <c r="H36" s="0" t="str">
        <f aca="false">IF(A36="","",IF(ISNUMBER(A36),IF(A36&gt;=36526,A36,""),IFERROR(DATEVALUE(A36),"")))</f>
        <v/>
      </c>
      <c r="I36" s="0" t="str">
        <f aca="false">IF(H36="","",INT((H36-SAT1)/7)+1)</f>
        <v/>
      </c>
      <c r="J36" s="0" t="str">
        <f aca="false">IF(I36="","",IF(OR(I36&lt;1,I36&gt;NW),"",INDEX(WMON,I36)))</f>
        <v/>
      </c>
    </row>
    <row r="37" customFormat="false" ht="15" hidden="false" customHeight="false" outlineLevel="0" collapsed="false">
      <c r="A37" s="57"/>
      <c r="B37" s="30"/>
      <c r="C37" s="59"/>
      <c r="D37" s="58"/>
      <c r="E37" s="59"/>
      <c r="G37" s="0" t="str">
        <f aca="false">IF(AND(B37&lt;&gt;"",COUNTIF(B$6:B37,B37)=1),MAX(G$5:G36)+1,"")</f>
        <v/>
      </c>
      <c r="H37" s="0" t="str">
        <f aca="false">IF(A37="","",IF(ISNUMBER(A37),IF(A37&gt;=36526,A37,""),IFERROR(DATEVALUE(A37),"")))</f>
        <v/>
      </c>
      <c r="I37" s="0" t="str">
        <f aca="false">IF(H37="","",INT((H37-SAT1)/7)+1)</f>
        <v/>
      </c>
      <c r="J37" s="0" t="str">
        <f aca="false">IF(I37="","",IF(OR(I37&lt;1,I37&gt;NW),"",INDEX(WMON,I37)))</f>
        <v/>
      </c>
    </row>
    <row r="38" customFormat="false" ht="15" hidden="false" customHeight="false" outlineLevel="0" collapsed="false">
      <c r="A38" s="57"/>
      <c r="B38" s="30"/>
      <c r="C38" s="59"/>
      <c r="D38" s="58"/>
      <c r="E38" s="59"/>
      <c r="G38" s="0" t="str">
        <f aca="false">IF(AND(B38&lt;&gt;"",COUNTIF(B$6:B38,B38)=1),MAX(G$5:G37)+1,"")</f>
        <v/>
      </c>
      <c r="H38" s="0" t="str">
        <f aca="false">IF(A38="","",IF(ISNUMBER(A38),IF(A38&gt;=36526,A38,""),IFERROR(DATEVALUE(A38),"")))</f>
        <v/>
      </c>
      <c r="I38" s="0" t="str">
        <f aca="false">IF(H38="","",INT((H38-SAT1)/7)+1)</f>
        <v/>
      </c>
      <c r="J38" s="0" t="str">
        <f aca="false">IF(I38="","",IF(OR(I38&lt;1,I38&gt;NW),"",INDEX(WMON,I38)))</f>
        <v/>
      </c>
    </row>
    <row r="39" customFormat="false" ht="15" hidden="false" customHeight="false" outlineLevel="0" collapsed="false">
      <c r="A39" s="57"/>
      <c r="B39" s="30"/>
      <c r="C39" s="59"/>
      <c r="D39" s="58"/>
      <c r="E39" s="59"/>
      <c r="G39" s="0" t="str">
        <f aca="false">IF(AND(B39&lt;&gt;"",COUNTIF(B$6:B39,B39)=1),MAX(G$5:G38)+1,"")</f>
        <v/>
      </c>
      <c r="H39" s="0" t="str">
        <f aca="false">IF(A39="","",IF(ISNUMBER(A39),IF(A39&gt;=36526,A39,""),IFERROR(DATEVALUE(A39),"")))</f>
        <v/>
      </c>
      <c r="I39" s="0" t="str">
        <f aca="false">IF(H39="","",INT((H39-SAT1)/7)+1)</f>
        <v/>
      </c>
      <c r="J39" s="0" t="str">
        <f aca="false">IF(I39="","",IF(OR(I39&lt;1,I39&gt;NW),"",INDEX(WMON,I39)))</f>
        <v/>
      </c>
    </row>
    <row r="40" customFormat="false" ht="15" hidden="false" customHeight="false" outlineLevel="0" collapsed="false">
      <c r="A40" s="57"/>
      <c r="B40" s="30"/>
      <c r="C40" s="59"/>
      <c r="D40" s="58"/>
      <c r="E40" s="59"/>
      <c r="G40" s="0" t="str">
        <f aca="false">IF(AND(B40&lt;&gt;"",COUNTIF(B$6:B40,B40)=1),MAX(G$5:G39)+1,"")</f>
        <v/>
      </c>
      <c r="H40" s="0" t="str">
        <f aca="false">IF(A40="","",IF(ISNUMBER(A40),IF(A40&gt;=36526,A40,""),IFERROR(DATEVALUE(A40),"")))</f>
        <v/>
      </c>
      <c r="I40" s="0" t="str">
        <f aca="false">IF(H40="","",INT((H40-SAT1)/7)+1)</f>
        <v/>
      </c>
      <c r="J40" s="0" t="str">
        <f aca="false">IF(I40="","",IF(OR(I40&lt;1,I40&gt;NW),"",INDEX(WMON,I40)))</f>
        <v/>
      </c>
    </row>
    <row r="41" customFormat="false" ht="15" hidden="false" customHeight="false" outlineLevel="0" collapsed="false">
      <c r="A41" s="57"/>
      <c r="B41" s="30"/>
      <c r="C41" s="59"/>
      <c r="D41" s="58"/>
      <c r="E41" s="59"/>
      <c r="G41" s="0" t="str">
        <f aca="false">IF(AND(B41&lt;&gt;"",COUNTIF(B$6:B41,B41)=1),MAX(G$5:G40)+1,"")</f>
        <v/>
      </c>
      <c r="H41" s="0" t="str">
        <f aca="false">IF(A41="","",IF(ISNUMBER(A41),IF(A41&gt;=36526,A41,""),IFERROR(DATEVALUE(A41),"")))</f>
        <v/>
      </c>
      <c r="I41" s="0" t="str">
        <f aca="false">IF(H41="","",INT((H41-SAT1)/7)+1)</f>
        <v/>
      </c>
      <c r="J41" s="0" t="str">
        <f aca="false">IF(I41="","",IF(OR(I41&lt;1,I41&gt;NW),"",INDEX(WMON,I41)))</f>
        <v/>
      </c>
    </row>
    <row r="42" customFormat="false" ht="15" hidden="false" customHeight="false" outlineLevel="0" collapsed="false">
      <c r="A42" s="57"/>
      <c r="B42" s="30"/>
      <c r="C42" s="59"/>
      <c r="D42" s="58"/>
      <c r="E42" s="59"/>
      <c r="G42" s="0" t="str">
        <f aca="false">IF(AND(B42&lt;&gt;"",COUNTIF(B$6:B42,B42)=1),MAX(G$5:G41)+1,"")</f>
        <v/>
      </c>
      <c r="H42" s="0" t="str">
        <f aca="false">IF(A42="","",IF(ISNUMBER(A42),IF(A42&gt;=36526,A42,""),IFERROR(DATEVALUE(A42),"")))</f>
        <v/>
      </c>
      <c r="I42" s="0" t="str">
        <f aca="false">IF(H42="","",INT((H42-SAT1)/7)+1)</f>
        <v/>
      </c>
      <c r="J42" s="0" t="str">
        <f aca="false">IF(I42="","",IF(OR(I42&lt;1,I42&gt;NW),"",INDEX(WMON,I42)))</f>
        <v/>
      </c>
    </row>
    <row r="43" customFormat="false" ht="15" hidden="false" customHeight="false" outlineLevel="0" collapsed="false">
      <c r="A43" s="57"/>
      <c r="B43" s="30"/>
      <c r="C43" s="59"/>
      <c r="D43" s="58"/>
      <c r="E43" s="59"/>
      <c r="G43" s="0" t="str">
        <f aca="false">IF(AND(B43&lt;&gt;"",COUNTIF(B$6:B43,B43)=1),MAX(G$5:G42)+1,"")</f>
        <v/>
      </c>
      <c r="H43" s="0" t="str">
        <f aca="false">IF(A43="","",IF(ISNUMBER(A43),IF(A43&gt;=36526,A43,""),IFERROR(DATEVALUE(A43),"")))</f>
        <v/>
      </c>
      <c r="I43" s="0" t="str">
        <f aca="false">IF(H43="","",INT((H43-SAT1)/7)+1)</f>
        <v/>
      </c>
      <c r="J43" s="0" t="str">
        <f aca="false">IF(I43="","",IF(OR(I43&lt;1,I43&gt;NW),"",INDEX(WMON,I43)))</f>
        <v/>
      </c>
    </row>
    <row r="44" customFormat="false" ht="15" hidden="false" customHeight="false" outlineLevel="0" collapsed="false">
      <c r="A44" s="57"/>
      <c r="B44" s="30"/>
      <c r="C44" s="59"/>
      <c r="D44" s="58"/>
      <c r="E44" s="59"/>
      <c r="G44" s="0" t="str">
        <f aca="false">IF(AND(B44&lt;&gt;"",COUNTIF(B$6:B44,B44)=1),MAX(G$5:G43)+1,"")</f>
        <v/>
      </c>
      <c r="H44" s="0" t="str">
        <f aca="false">IF(A44="","",IF(ISNUMBER(A44),IF(A44&gt;=36526,A44,""),IFERROR(DATEVALUE(A44),"")))</f>
        <v/>
      </c>
      <c r="I44" s="0" t="str">
        <f aca="false">IF(H44="","",INT((H44-SAT1)/7)+1)</f>
        <v/>
      </c>
      <c r="J44" s="0" t="str">
        <f aca="false">IF(I44="","",IF(OR(I44&lt;1,I44&gt;NW),"",INDEX(WMON,I44)))</f>
        <v/>
      </c>
    </row>
    <row r="45" customFormat="false" ht="15" hidden="false" customHeight="false" outlineLevel="0" collapsed="false">
      <c r="A45" s="57"/>
      <c r="B45" s="30"/>
      <c r="C45" s="59"/>
      <c r="D45" s="58"/>
      <c r="E45" s="59"/>
      <c r="G45" s="0" t="str">
        <f aca="false">IF(AND(B45&lt;&gt;"",COUNTIF(B$6:B45,B45)=1),MAX(G$5:G44)+1,"")</f>
        <v/>
      </c>
      <c r="H45" s="0" t="str">
        <f aca="false">IF(A45="","",IF(ISNUMBER(A45),IF(A45&gt;=36526,A45,""),IFERROR(DATEVALUE(A45),"")))</f>
        <v/>
      </c>
      <c r="I45" s="0" t="str">
        <f aca="false">IF(H45="","",INT((H45-SAT1)/7)+1)</f>
        <v/>
      </c>
      <c r="J45" s="0" t="str">
        <f aca="false">IF(I45="","",IF(OR(I45&lt;1,I45&gt;NW),"",INDEX(WMON,I45)))</f>
        <v/>
      </c>
    </row>
    <row r="46" customFormat="false" ht="15" hidden="false" customHeight="false" outlineLevel="0" collapsed="false">
      <c r="A46" s="57"/>
      <c r="B46" s="30"/>
      <c r="C46" s="59"/>
      <c r="D46" s="58"/>
      <c r="E46" s="59"/>
      <c r="G46" s="0" t="str">
        <f aca="false">IF(AND(B46&lt;&gt;"",COUNTIF(B$6:B46,B46)=1),MAX(G$5:G45)+1,"")</f>
        <v/>
      </c>
      <c r="H46" s="0" t="str">
        <f aca="false">IF(A46="","",IF(ISNUMBER(A46),IF(A46&gt;=36526,A46,""),IFERROR(DATEVALUE(A46),"")))</f>
        <v/>
      </c>
      <c r="I46" s="0" t="str">
        <f aca="false">IF(H46="","",INT((H46-SAT1)/7)+1)</f>
        <v/>
      </c>
      <c r="J46" s="0" t="str">
        <f aca="false">IF(I46="","",IF(OR(I46&lt;1,I46&gt;NW),"",INDEX(WMON,I46)))</f>
        <v/>
      </c>
    </row>
    <row r="47" customFormat="false" ht="15" hidden="false" customHeight="false" outlineLevel="0" collapsed="false">
      <c r="A47" s="57"/>
      <c r="B47" s="30"/>
      <c r="C47" s="59"/>
      <c r="D47" s="58"/>
      <c r="E47" s="59"/>
      <c r="G47" s="0" t="str">
        <f aca="false">IF(AND(B47&lt;&gt;"",COUNTIF(B$6:B47,B47)=1),MAX(G$5:G46)+1,"")</f>
        <v/>
      </c>
      <c r="H47" s="0" t="str">
        <f aca="false">IF(A47="","",IF(ISNUMBER(A47),IF(A47&gt;=36526,A47,""),IFERROR(DATEVALUE(A47),"")))</f>
        <v/>
      </c>
      <c r="I47" s="0" t="str">
        <f aca="false">IF(H47="","",INT((H47-SAT1)/7)+1)</f>
        <v/>
      </c>
      <c r="J47" s="0" t="str">
        <f aca="false">IF(I47="","",IF(OR(I47&lt;1,I47&gt;NW),"",INDEX(WMON,I47)))</f>
        <v/>
      </c>
    </row>
    <row r="48" customFormat="false" ht="15" hidden="false" customHeight="false" outlineLevel="0" collapsed="false">
      <c r="A48" s="57"/>
      <c r="B48" s="30"/>
      <c r="C48" s="59"/>
      <c r="D48" s="58"/>
      <c r="E48" s="59"/>
      <c r="G48" s="0" t="str">
        <f aca="false">IF(AND(B48&lt;&gt;"",COUNTIF(B$6:B48,B48)=1),MAX(G$5:G47)+1,"")</f>
        <v/>
      </c>
      <c r="H48" s="0" t="str">
        <f aca="false">IF(A48="","",IF(ISNUMBER(A48),IF(A48&gt;=36526,A48,""),IFERROR(DATEVALUE(A48),"")))</f>
        <v/>
      </c>
      <c r="I48" s="0" t="str">
        <f aca="false">IF(H48="","",INT((H48-SAT1)/7)+1)</f>
        <v/>
      </c>
      <c r="J48" s="0" t="str">
        <f aca="false">IF(I48="","",IF(OR(I48&lt;1,I48&gt;NW),"",INDEX(WMON,I48)))</f>
        <v/>
      </c>
    </row>
    <row r="49" customFormat="false" ht="15" hidden="false" customHeight="false" outlineLevel="0" collapsed="false">
      <c r="A49" s="57"/>
      <c r="B49" s="30"/>
      <c r="C49" s="59"/>
      <c r="D49" s="58"/>
      <c r="E49" s="59"/>
      <c r="G49" s="0" t="str">
        <f aca="false">IF(AND(B49&lt;&gt;"",COUNTIF(B$6:B49,B49)=1),MAX(G$5:G48)+1,"")</f>
        <v/>
      </c>
      <c r="H49" s="0" t="str">
        <f aca="false">IF(A49="","",IF(ISNUMBER(A49),IF(A49&gt;=36526,A49,""),IFERROR(DATEVALUE(A49),"")))</f>
        <v/>
      </c>
      <c r="I49" s="0" t="str">
        <f aca="false">IF(H49="","",INT((H49-SAT1)/7)+1)</f>
        <v/>
      </c>
      <c r="J49" s="0" t="str">
        <f aca="false">IF(I49="","",IF(OR(I49&lt;1,I49&gt;NW),"",INDEX(WMON,I49)))</f>
        <v/>
      </c>
    </row>
    <row r="50" customFormat="false" ht="15" hidden="false" customHeight="false" outlineLevel="0" collapsed="false">
      <c r="A50" s="57"/>
      <c r="B50" s="30"/>
      <c r="C50" s="59"/>
      <c r="D50" s="58"/>
      <c r="E50" s="59"/>
      <c r="G50" s="0" t="str">
        <f aca="false">IF(AND(B50&lt;&gt;"",COUNTIF(B$6:B50,B50)=1),MAX(G$5:G49)+1,"")</f>
        <v/>
      </c>
      <c r="H50" s="0" t="str">
        <f aca="false">IF(A50="","",IF(ISNUMBER(A50),IF(A50&gt;=36526,A50,""),IFERROR(DATEVALUE(A50),"")))</f>
        <v/>
      </c>
      <c r="I50" s="0" t="str">
        <f aca="false">IF(H50="","",INT((H50-SAT1)/7)+1)</f>
        <v/>
      </c>
      <c r="J50" s="0" t="str">
        <f aca="false">IF(I50="","",IF(OR(I50&lt;1,I50&gt;NW),"",INDEX(WMON,I50)))</f>
        <v/>
      </c>
    </row>
    <row r="51" customFormat="false" ht="15" hidden="false" customHeight="false" outlineLevel="0" collapsed="false">
      <c r="A51" s="57"/>
      <c r="B51" s="30"/>
      <c r="C51" s="59"/>
      <c r="D51" s="58"/>
      <c r="E51" s="59"/>
      <c r="G51" s="0" t="str">
        <f aca="false">IF(AND(B51&lt;&gt;"",COUNTIF(B$6:B51,B51)=1),MAX(G$5:G50)+1,"")</f>
        <v/>
      </c>
      <c r="H51" s="0" t="str">
        <f aca="false">IF(A51="","",IF(ISNUMBER(A51),IF(A51&gt;=36526,A51,""),IFERROR(DATEVALUE(A51),"")))</f>
        <v/>
      </c>
      <c r="I51" s="0" t="str">
        <f aca="false">IF(H51="","",INT((H51-SAT1)/7)+1)</f>
        <v/>
      </c>
      <c r="J51" s="0" t="str">
        <f aca="false">IF(I51="","",IF(OR(I51&lt;1,I51&gt;NW),"",INDEX(WMON,I51)))</f>
        <v/>
      </c>
    </row>
    <row r="52" customFormat="false" ht="15" hidden="false" customHeight="false" outlineLevel="0" collapsed="false">
      <c r="A52" s="57"/>
      <c r="B52" s="30"/>
      <c r="C52" s="59"/>
      <c r="D52" s="58"/>
      <c r="E52" s="59"/>
      <c r="G52" s="0" t="str">
        <f aca="false">IF(AND(B52&lt;&gt;"",COUNTIF(B$6:B52,B52)=1),MAX(G$5:G51)+1,"")</f>
        <v/>
      </c>
      <c r="H52" s="0" t="str">
        <f aca="false">IF(A52="","",IF(ISNUMBER(A52),IF(A52&gt;=36526,A52,""),IFERROR(DATEVALUE(A52),"")))</f>
        <v/>
      </c>
      <c r="I52" s="0" t="str">
        <f aca="false">IF(H52="","",INT((H52-SAT1)/7)+1)</f>
        <v/>
      </c>
      <c r="J52" s="0" t="str">
        <f aca="false">IF(I52="","",IF(OR(I52&lt;1,I52&gt;NW),"",INDEX(WMON,I52)))</f>
        <v/>
      </c>
    </row>
    <row r="53" customFormat="false" ht="15" hidden="false" customHeight="false" outlineLevel="0" collapsed="false">
      <c r="A53" s="57"/>
      <c r="B53" s="30"/>
      <c r="C53" s="59"/>
      <c r="D53" s="58"/>
      <c r="E53" s="59"/>
      <c r="G53" s="0" t="str">
        <f aca="false">IF(AND(B53&lt;&gt;"",COUNTIF(B$6:B53,B53)=1),MAX(G$5:G52)+1,"")</f>
        <v/>
      </c>
      <c r="H53" s="0" t="str">
        <f aca="false">IF(A53="","",IF(ISNUMBER(A53),IF(A53&gt;=36526,A53,""),IFERROR(DATEVALUE(A53),"")))</f>
        <v/>
      </c>
      <c r="I53" s="0" t="str">
        <f aca="false">IF(H53="","",INT((H53-SAT1)/7)+1)</f>
        <v/>
      </c>
      <c r="J53" s="0" t="str">
        <f aca="false">IF(I53="","",IF(OR(I53&lt;1,I53&gt;NW),"",INDEX(WMON,I53)))</f>
        <v/>
      </c>
    </row>
    <row r="54" customFormat="false" ht="15" hidden="false" customHeight="false" outlineLevel="0" collapsed="false">
      <c r="A54" s="57"/>
      <c r="B54" s="30"/>
      <c r="C54" s="59"/>
      <c r="D54" s="58"/>
      <c r="E54" s="59"/>
      <c r="G54" s="0" t="str">
        <f aca="false">IF(AND(B54&lt;&gt;"",COUNTIF(B$6:B54,B54)=1),MAX(G$5:G53)+1,"")</f>
        <v/>
      </c>
      <c r="H54" s="0" t="str">
        <f aca="false">IF(A54="","",IF(ISNUMBER(A54),IF(A54&gt;=36526,A54,""),IFERROR(DATEVALUE(A54),"")))</f>
        <v/>
      </c>
      <c r="I54" s="0" t="str">
        <f aca="false">IF(H54="","",INT((H54-SAT1)/7)+1)</f>
        <v/>
      </c>
      <c r="J54" s="0" t="str">
        <f aca="false">IF(I54="","",IF(OR(I54&lt;1,I54&gt;NW),"",INDEX(WMON,I54)))</f>
        <v/>
      </c>
    </row>
    <row r="55" customFormat="false" ht="15" hidden="false" customHeight="false" outlineLevel="0" collapsed="false">
      <c r="A55" s="57"/>
      <c r="B55" s="30"/>
      <c r="C55" s="59"/>
      <c r="D55" s="58"/>
      <c r="E55" s="59"/>
      <c r="G55" s="0" t="str">
        <f aca="false">IF(AND(B55&lt;&gt;"",COUNTIF(B$6:B55,B55)=1),MAX(G$5:G54)+1,"")</f>
        <v/>
      </c>
      <c r="H55" s="0" t="str">
        <f aca="false">IF(A55="","",IF(ISNUMBER(A55),IF(A55&gt;=36526,A55,""),IFERROR(DATEVALUE(A55),"")))</f>
        <v/>
      </c>
      <c r="I55" s="0" t="str">
        <f aca="false">IF(H55="","",INT((H55-SAT1)/7)+1)</f>
        <v/>
      </c>
      <c r="J55" s="0" t="str">
        <f aca="false">IF(I55="","",IF(OR(I55&lt;1,I55&gt;NW),"",INDEX(WMON,I55)))</f>
        <v/>
      </c>
    </row>
    <row r="56" customFormat="false" ht="15" hidden="false" customHeight="false" outlineLevel="0" collapsed="false">
      <c r="A56" s="57"/>
      <c r="B56" s="30"/>
      <c r="C56" s="59"/>
      <c r="D56" s="58"/>
      <c r="E56" s="59"/>
      <c r="G56" s="0" t="str">
        <f aca="false">IF(AND(B56&lt;&gt;"",COUNTIF(B$6:B56,B56)=1),MAX(G$5:G55)+1,"")</f>
        <v/>
      </c>
      <c r="H56" s="0" t="str">
        <f aca="false">IF(A56="","",IF(ISNUMBER(A56),IF(A56&gt;=36526,A56,""),IFERROR(DATEVALUE(A56),"")))</f>
        <v/>
      </c>
      <c r="I56" s="0" t="str">
        <f aca="false">IF(H56="","",INT((H56-SAT1)/7)+1)</f>
        <v/>
      </c>
      <c r="J56" s="0" t="str">
        <f aca="false">IF(I56="","",IF(OR(I56&lt;1,I56&gt;NW),"",INDEX(WMON,I56)))</f>
        <v/>
      </c>
    </row>
    <row r="57" customFormat="false" ht="15" hidden="false" customHeight="false" outlineLevel="0" collapsed="false">
      <c r="A57" s="57"/>
      <c r="B57" s="30"/>
      <c r="C57" s="59"/>
      <c r="D57" s="58"/>
      <c r="E57" s="59"/>
      <c r="G57" s="0" t="str">
        <f aca="false">IF(AND(B57&lt;&gt;"",COUNTIF(B$6:B57,B57)=1),MAX(G$5:G56)+1,"")</f>
        <v/>
      </c>
      <c r="H57" s="0" t="str">
        <f aca="false">IF(A57="","",IF(ISNUMBER(A57),IF(A57&gt;=36526,A57,""),IFERROR(DATEVALUE(A57),"")))</f>
        <v/>
      </c>
      <c r="I57" s="0" t="str">
        <f aca="false">IF(H57="","",INT((H57-SAT1)/7)+1)</f>
        <v/>
      </c>
      <c r="J57" s="0" t="str">
        <f aca="false">IF(I57="","",IF(OR(I57&lt;1,I57&gt;NW),"",INDEX(WMON,I57)))</f>
        <v/>
      </c>
    </row>
    <row r="58" customFormat="false" ht="15" hidden="false" customHeight="false" outlineLevel="0" collapsed="false">
      <c r="A58" s="57"/>
      <c r="B58" s="30"/>
      <c r="C58" s="59"/>
      <c r="D58" s="58"/>
      <c r="E58" s="59"/>
      <c r="G58" s="0" t="str">
        <f aca="false">IF(AND(B58&lt;&gt;"",COUNTIF(B$6:B58,B58)=1),MAX(G$5:G57)+1,"")</f>
        <v/>
      </c>
      <c r="H58" s="0" t="str">
        <f aca="false">IF(A58="","",IF(ISNUMBER(A58),IF(A58&gt;=36526,A58,""),IFERROR(DATEVALUE(A58),"")))</f>
        <v/>
      </c>
      <c r="I58" s="0" t="str">
        <f aca="false">IF(H58="","",INT((H58-SAT1)/7)+1)</f>
        <v/>
      </c>
      <c r="J58" s="0" t="str">
        <f aca="false">IF(I58="","",IF(OR(I58&lt;1,I58&gt;NW),"",INDEX(WMON,I58)))</f>
        <v/>
      </c>
    </row>
    <row r="59" customFormat="false" ht="15" hidden="false" customHeight="false" outlineLevel="0" collapsed="false">
      <c r="A59" s="57"/>
      <c r="B59" s="30"/>
      <c r="C59" s="59"/>
      <c r="D59" s="58"/>
      <c r="E59" s="59"/>
      <c r="G59" s="0" t="str">
        <f aca="false">IF(AND(B59&lt;&gt;"",COUNTIF(B$6:B59,B59)=1),MAX(G$5:G58)+1,"")</f>
        <v/>
      </c>
      <c r="H59" s="0" t="str">
        <f aca="false">IF(A59="","",IF(ISNUMBER(A59),IF(A59&gt;=36526,A59,""),IFERROR(DATEVALUE(A59),"")))</f>
        <v/>
      </c>
      <c r="I59" s="0" t="str">
        <f aca="false">IF(H59="","",INT((H59-SAT1)/7)+1)</f>
        <v/>
      </c>
      <c r="J59" s="0" t="str">
        <f aca="false">IF(I59="","",IF(OR(I59&lt;1,I59&gt;NW),"",INDEX(WMON,I59)))</f>
        <v/>
      </c>
    </row>
    <row r="60" customFormat="false" ht="15" hidden="false" customHeight="false" outlineLevel="0" collapsed="false">
      <c r="A60" s="57"/>
      <c r="B60" s="30"/>
      <c r="C60" s="59"/>
      <c r="D60" s="58"/>
      <c r="E60" s="59"/>
      <c r="G60" s="0" t="str">
        <f aca="false">IF(AND(B60&lt;&gt;"",COUNTIF(B$6:B60,B60)=1),MAX(G$5:G59)+1,"")</f>
        <v/>
      </c>
      <c r="H60" s="0" t="str">
        <f aca="false">IF(A60="","",IF(ISNUMBER(A60),IF(A60&gt;=36526,A60,""),IFERROR(DATEVALUE(A60),"")))</f>
        <v/>
      </c>
      <c r="I60" s="0" t="str">
        <f aca="false">IF(H60="","",INT((H60-SAT1)/7)+1)</f>
        <v/>
      </c>
      <c r="J60" s="0" t="str">
        <f aca="false">IF(I60="","",IF(OR(I60&lt;1,I60&gt;NW),"",INDEX(WMON,I60)))</f>
        <v/>
      </c>
    </row>
    <row r="61" customFormat="false" ht="15" hidden="false" customHeight="false" outlineLevel="0" collapsed="false">
      <c r="A61" s="57"/>
      <c r="B61" s="30"/>
      <c r="C61" s="59"/>
      <c r="D61" s="58"/>
      <c r="E61" s="59"/>
      <c r="G61" s="0" t="str">
        <f aca="false">IF(AND(B61&lt;&gt;"",COUNTIF(B$6:B61,B61)=1),MAX(G$5:G60)+1,"")</f>
        <v/>
      </c>
      <c r="H61" s="0" t="str">
        <f aca="false">IF(A61="","",IF(ISNUMBER(A61),IF(A61&gt;=36526,A61,""),IFERROR(DATEVALUE(A61),"")))</f>
        <v/>
      </c>
      <c r="I61" s="0" t="str">
        <f aca="false">IF(H61="","",INT((H61-SAT1)/7)+1)</f>
        <v/>
      </c>
      <c r="J61" s="0" t="str">
        <f aca="false">IF(I61="","",IF(OR(I61&lt;1,I61&gt;NW),"",INDEX(WMON,I61)))</f>
        <v/>
      </c>
    </row>
    <row r="62" customFormat="false" ht="15" hidden="false" customHeight="false" outlineLevel="0" collapsed="false">
      <c r="A62" s="57"/>
      <c r="B62" s="30"/>
      <c r="C62" s="59"/>
      <c r="D62" s="58"/>
      <c r="E62" s="59"/>
      <c r="G62" s="0" t="str">
        <f aca="false">IF(AND(B62&lt;&gt;"",COUNTIF(B$6:B62,B62)=1),MAX(G$5:G61)+1,"")</f>
        <v/>
      </c>
      <c r="H62" s="0" t="str">
        <f aca="false">IF(A62="","",IF(ISNUMBER(A62),IF(A62&gt;=36526,A62,""),IFERROR(DATEVALUE(A62),"")))</f>
        <v/>
      </c>
      <c r="I62" s="0" t="str">
        <f aca="false">IF(H62="","",INT((H62-SAT1)/7)+1)</f>
        <v/>
      </c>
      <c r="J62" s="0" t="str">
        <f aca="false">IF(I62="","",IF(OR(I62&lt;1,I62&gt;NW),"",INDEX(WMON,I62)))</f>
        <v/>
      </c>
    </row>
    <row r="63" customFormat="false" ht="15" hidden="false" customHeight="false" outlineLevel="0" collapsed="false">
      <c r="A63" s="57"/>
      <c r="B63" s="30"/>
      <c r="C63" s="59"/>
      <c r="D63" s="58"/>
      <c r="E63" s="59"/>
      <c r="G63" s="0" t="str">
        <f aca="false">IF(AND(B63&lt;&gt;"",COUNTIF(B$6:B63,B63)=1),MAX(G$5:G62)+1,"")</f>
        <v/>
      </c>
      <c r="H63" s="0" t="str">
        <f aca="false">IF(A63="","",IF(ISNUMBER(A63),IF(A63&gt;=36526,A63,""),IFERROR(DATEVALUE(A63),"")))</f>
        <v/>
      </c>
      <c r="I63" s="0" t="str">
        <f aca="false">IF(H63="","",INT((H63-SAT1)/7)+1)</f>
        <v/>
      </c>
      <c r="J63" s="0" t="str">
        <f aca="false">IF(I63="","",IF(OR(I63&lt;1,I63&gt;NW),"",INDEX(WMON,I63)))</f>
        <v/>
      </c>
    </row>
    <row r="64" customFormat="false" ht="15" hidden="false" customHeight="false" outlineLevel="0" collapsed="false">
      <c r="A64" s="57"/>
      <c r="B64" s="30"/>
      <c r="C64" s="59"/>
      <c r="D64" s="58"/>
      <c r="E64" s="59"/>
      <c r="G64" s="0" t="str">
        <f aca="false">IF(AND(B64&lt;&gt;"",COUNTIF(B$6:B64,B64)=1),MAX(G$5:G63)+1,"")</f>
        <v/>
      </c>
      <c r="H64" s="0" t="str">
        <f aca="false">IF(A64="","",IF(ISNUMBER(A64),IF(A64&gt;=36526,A64,""),IFERROR(DATEVALUE(A64),"")))</f>
        <v/>
      </c>
      <c r="I64" s="0" t="str">
        <f aca="false">IF(H64="","",INT((H64-SAT1)/7)+1)</f>
        <v/>
      </c>
      <c r="J64" s="0" t="str">
        <f aca="false">IF(I64="","",IF(OR(I64&lt;1,I64&gt;NW),"",INDEX(WMON,I64)))</f>
        <v/>
      </c>
    </row>
    <row r="65" customFormat="false" ht="15" hidden="false" customHeight="false" outlineLevel="0" collapsed="false">
      <c r="A65" s="57"/>
      <c r="B65" s="30"/>
      <c r="C65" s="59"/>
      <c r="D65" s="58"/>
      <c r="E65" s="59"/>
      <c r="G65" s="0" t="str">
        <f aca="false">IF(AND(B65&lt;&gt;"",COUNTIF(B$6:B65,B65)=1),MAX(G$5:G64)+1,"")</f>
        <v/>
      </c>
      <c r="H65" s="0" t="str">
        <f aca="false">IF(A65="","",IF(ISNUMBER(A65),IF(A65&gt;=36526,A65,""),IFERROR(DATEVALUE(A65),"")))</f>
        <v/>
      </c>
      <c r="I65" s="0" t="str">
        <f aca="false">IF(H65="","",INT((H65-SAT1)/7)+1)</f>
        <v/>
      </c>
      <c r="J65" s="0" t="str">
        <f aca="false">IF(I65="","",IF(OR(I65&lt;1,I65&gt;NW),"",INDEX(WMON,I65)))</f>
        <v/>
      </c>
    </row>
    <row r="66" customFormat="false" ht="15" hidden="false" customHeight="false" outlineLevel="0" collapsed="false">
      <c r="A66" s="57"/>
      <c r="B66" s="30"/>
      <c r="C66" s="59"/>
      <c r="D66" s="58"/>
      <c r="E66" s="59"/>
      <c r="G66" s="0" t="str">
        <f aca="false">IF(AND(B66&lt;&gt;"",COUNTIF(B$6:B66,B66)=1),MAX(G$5:G65)+1,"")</f>
        <v/>
      </c>
      <c r="H66" s="0" t="str">
        <f aca="false">IF(A66="","",IF(ISNUMBER(A66),IF(A66&gt;=36526,A66,""),IFERROR(DATEVALUE(A66),"")))</f>
        <v/>
      </c>
      <c r="I66" s="0" t="str">
        <f aca="false">IF(H66="","",INT((H66-SAT1)/7)+1)</f>
        <v/>
      </c>
      <c r="J66" s="0" t="str">
        <f aca="false">IF(I66="","",IF(OR(I66&lt;1,I66&gt;NW),"",INDEX(WMON,I66)))</f>
        <v/>
      </c>
    </row>
    <row r="67" customFormat="false" ht="15" hidden="false" customHeight="false" outlineLevel="0" collapsed="false">
      <c r="A67" s="57"/>
      <c r="B67" s="30"/>
      <c r="C67" s="59"/>
      <c r="D67" s="58"/>
      <c r="E67" s="59"/>
      <c r="G67" s="0" t="str">
        <f aca="false">IF(AND(B67&lt;&gt;"",COUNTIF(B$6:B67,B67)=1),MAX(G$5:G66)+1,"")</f>
        <v/>
      </c>
      <c r="H67" s="0" t="str">
        <f aca="false">IF(A67="","",IF(ISNUMBER(A67),IF(A67&gt;=36526,A67,""),IFERROR(DATEVALUE(A67),"")))</f>
        <v/>
      </c>
      <c r="I67" s="0" t="str">
        <f aca="false">IF(H67="","",INT((H67-SAT1)/7)+1)</f>
        <v/>
      </c>
      <c r="J67" s="0" t="str">
        <f aca="false">IF(I67="","",IF(OR(I67&lt;1,I67&gt;NW),"",INDEX(WMON,I67)))</f>
        <v/>
      </c>
    </row>
    <row r="68" customFormat="false" ht="15" hidden="false" customHeight="false" outlineLevel="0" collapsed="false">
      <c r="A68" s="57"/>
      <c r="B68" s="30"/>
      <c r="C68" s="59"/>
      <c r="D68" s="58"/>
      <c r="E68" s="59"/>
      <c r="G68" s="0" t="str">
        <f aca="false">IF(AND(B68&lt;&gt;"",COUNTIF(B$6:B68,B68)=1),MAX(G$5:G67)+1,"")</f>
        <v/>
      </c>
      <c r="H68" s="0" t="str">
        <f aca="false">IF(A68="","",IF(ISNUMBER(A68),IF(A68&gt;=36526,A68,""),IFERROR(DATEVALUE(A68),"")))</f>
        <v/>
      </c>
      <c r="I68" s="0" t="str">
        <f aca="false">IF(H68="","",INT((H68-SAT1)/7)+1)</f>
        <v/>
      </c>
      <c r="J68" s="0" t="str">
        <f aca="false">IF(I68="","",IF(OR(I68&lt;1,I68&gt;NW),"",INDEX(WMON,I68)))</f>
        <v/>
      </c>
    </row>
    <row r="69" customFormat="false" ht="15" hidden="false" customHeight="false" outlineLevel="0" collapsed="false">
      <c r="A69" s="57"/>
      <c r="B69" s="30"/>
      <c r="C69" s="59"/>
      <c r="D69" s="58"/>
      <c r="E69" s="59"/>
      <c r="G69" s="0" t="str">
        <f aca="false">IF(AND(B69&lt;&gt;"",COUNTIF(B$6:B69,B69)=1),MAX(G$5:G68)+1,"")</f>
        <v/>
      </c>
      <c r="H69" s="0" t="str">
        <f aca="false">IF(A69="","",IF(ISNUMBER(A69),IF(A69&gt;=36526,A69,""),IFERROR(DATEVALUE(A69),"")))</f>
        <v/>
      </c>
      <c r="I69" s="0" t="str">
        <f aca="false">IF(H69="","",INT((H69-SAT1)/7)+1)</f>
        <v/>
      </c>
      <c r="J69" s="0" t="str">
        <f aca="false">IF(I69="","",IF(OR(I69&lt;1,I69&gt;NW),"",INDEX(WMON,I69)))</f>
        <v/>
      </c>
    </row>
    <row r="70" customFormat="false" ht="15" hidden="false" customHeight="false" outlineLevel="0" collapsed="false">
      <c r="A70" s="57"/>
      <c r="B70" s="30"/>
      <c r="C70" s="59"/>
      <c r="D70" s="58"/>
      <c r="E70" s="59"/>
      <c r="G70" s="0" t="str">
        <f aca="false">IF(AND(B70&lt;&gt;"",COUNTIF(B$6:B70,B70)=1),MAX(G$5:G69)+1,"")</f>
        <v/>
      </c>
      <c r="H70" s="0" t="str">
        <f aca="false">IF(A70="","",IF(ISNUMBER(A70),IF(A70&gt;=36526,A70,""),IFERROR(DATEVALUE(A70),"")))</f>
        <v/>
      </c>
      <c r="I70" s="0" t="str">
        <f aca="false">IF(H70="","",INT((H70-SAT1)/7)+1)</f>
        <v/>
      </c>
      <c r="J70" s="0" t="str">
        <f aca="false">IF(I70="","",IF(OR(I70&lt;1,I70&gt;NW),"",INDEX(WMON,I70)))</f>
        <v/>
      </c>
    </row>
    <row r="71" customFormat="false" ht="15" hidden="false" customHeight="false" outlineLevel="0" collapsed="false">
      <c r="A71" s="57"/>
      <c r="B71" s="30"/>
      <c r="C71" s="59"/>
      <c r="D71" s="58"/>
      <c r="E71" s="59"/>
      <c r="G71" s="0" t="str">
        <f aca="false">IF(AND(B71&lt;&gt;"",COUNTIF(B$6:B71,B71)=1),MAX(G$5:G70)+1,"")</f>
        <v/>
      </c>
      <c r="H71" s="0" t="str">
        <f aca="false">IF(A71="","",IF(ISNUMBER(A71),IF(A71&gt;=36526,A71,""),IFERROR(DATEVALUE(A71),"")))</f>
        <v/>
      </c>
      <c r="I71" s="0" t="str">
        <f aca="false">IF(H71="","",INT((H71-SAT1)/7)+1)</f>
        <v/>
      </c>
      <c r="J71" s="0" t="str">
        <f aca="false">IF(I71="","",IF(OR(I71&lt;1,I71&gt;NW),"",INDEX(WMON,I71)))</f>
        <v/>
      </c>
    </row>
    <row r="72" customFormat="false" ht="15" hidden="false" customHeight="false" outlineLevel="0" collapsed="false">
      <c r="A72" s="57"/>
      <c r="B72" s="30"/>
      <c r="C72" s="59"/>
      <c r="D72" s="58"/>
      <c r="E72" s="59"/>
      <c r="G72" s="0" t="str">
        <f aca="false">IF(AND(B72&lt;&gt;"",COUNTIF(B$6:B72,B72)=1),MAX(G$5:G71)+1,"")</f>
        <v/>
      </c>
      <c r="H72" s="0" t="str">
        <f aca="false">IF(A72="","",IF(ISNUMBER(A72),IF(A72&gt;=36526,A72,""),IFERROR(DATEVALUE(A72),"")))</f>
        <v/>
      </c>
      <c r="I72" s="0" t="str">
        <f aca="false">IF(H72="","",INT((H72-SAT1)/7)+1)</f>
        <v/>
      </c>
      <c r="J72" s="0" t="str">
        <f aca="false">IF(I72="","",IF(OR(I72&lt;1,I72&gt;NW),"",INDEX(WMON,I72)))</f>
        <v/>
      </c>
    </row>
    <row r="73" customFormat="false" ht="15" hidden="false" customHeight="false" outlineLevel="0" collapsed="false">
      <c r="A73" s="57"/>
      <c r="B73" s="30"/>
      <c r="C73" s="59"/>
      <c r="D73" s="58"/>
      <c r="E73" s="59"/>
      <c r="G73" s="0" t="str">
        <f aca="false">IF(AND(B73&lt;&gt;"",COUNTIF(B$6:B73,B73)=1),MAX(G$5:G72)+1,"")</f>
        <v/>
      </c>
      <c r="H73" s="0" t="str">
        <f aca="false">IF(A73="","",IF(ISNUMBER(A73),IF(A73&gt;=36526,A73,""),IFERROR(DATEVALUE(A73),"")))</f>
        <v/>
      </c>
      <c r="I73" s="0" t="str">
        <f aca="false">IF(H73="","",INT((H73-SAT1)/7)+1)</f>
        <v/>
      </c>
      <c r="J73" s="0" t="str">
        <f aca="false">IF(I73="","",IF(OR(I73&lt;1,I73&gt;NW),"",INDEX(WMON,I73)))</f>
        <v/>
      </c>
    </row>
    <row r="74" customFormat="false" ht="15" hidden="false" customHeight="false" outlineLevel="0" collapsed="false">
      <c r="A74" s="57"/>
      <c r="B74" s="30"/>
      <c r="C74" s="59"/>
      <c r="D74" s="58"/>
      <c r="E74" s="59"/>
      <c r="G74" s="0" t="str">
        <f aca="false">IF(AND(B74&lt;&gt;"",COUNTIF(B$6:B74,B74)=1),MAX(G$5:G73)+1,"")</f>
        <v/>
      </c>
      <c r="H74" s="0" t="str">
        <f aca="false">IF(A74="","",IF(ISNUMBER(A74),IF(A74&gt;=36526,A74,""),IFERROR(DATEVALUE(A74),"")))</f>
        <v/>
      </c>
      <c r="I74" s="0" t="str">
        <f aca="false">IF(H74="","",INT((H74-SAT1)/7)+1)</f>
        <v/>
      </c>
      <c r="J74" s="0" t="str">
        <f aca="false">IF(I74="","",IF(OR(I74&lt;1,I74&gt;NW),"",INDEX(WMON,I74)))</f>
        <v/>
      </c>
    </row>
    <row r="75" customFormat="false" ht="15" hidden="false" customHeight="false" outlineLevel="0" collapsed="false">
      <c r="A75" s="57"/>
      <c r="B75" s="30"/>
      <c r="C75" s="59"/>
      <c r="D75" s="58"/>
      <c r="E75" s="59"/>
      <c r="G75" s="0" t="str">
        <f aca="false">IF(AND(B75&lt;&gt;"",COUNTIF(B$6:B75,B75)=1),MAX(G$5:G74)+1,"")</f>
        <v/>
      </c>
      <c r="H75" s="0" t="str">
        <f aca="false">IF(A75="","",IF(ISNUMBER(A75),IF(A75&gt;=36526,A75,""),IFERROR(DATEVALUE(A75),"")))</f>
        <v/>
      </c>
      <c r="I75" s="0" t="str">
        <f aca="false">IF(H75="","",INT((H75-SAT1)/7)+1)</f>
        <v/>
      </c>
      <c r="J75" s="0" t="str">
        <f aca="false">IF(I75="","",IF(OR(I75&lt;1,I75&gt;NW),"",INDEX(WMON,I75)))</f>
        <v/>
      </c>
    </row>
    <row r="76" customFormat="false" ht="15" hidden="false" customHeight="false" outlineLevel="0" collapsed="false">
      <c r="A76" s="57"/>
      <c r="B76" s="30"/>
      <c r="C76" s="59"/>
      <c r="D76" s="58"/>
      <c r="E76" s="59"/>
      <c r="G76" s="0" t="str">
        <f aca="false">IF(AND(B76&lt;&gt;"",COUNTIF(B$6:B76,B76)=1),MAX(G$5:G75)+1,"")</f>
        <v/>
      </c>
      <c r="H76" s="0" t="str">
        <f aca="false">IF(A76="","",IF(ISNUMBER(A76),IF(A76&gt;=36526,A76,""),IFERROR(DATEVALUE(A76),"")))</f>
        <v/>
      </c>
      <c r="I76" s="0" t="str">
        <f aca="false">IF(H76="","",INT((H76-SAT1)/7)+1)</f>
        <v/>
      </c>
      <c r="J76" s="0" t="str">
        <f aca="false">IF(I76="","",IF(OR(I76&lt;1,I76&gt;NW),"",INDEX(WMON,I76)))</f>
        <v/>
      </c>
    </row>
    <row r="77" customFormat="false" ht="15" hidden="false" customHeight="false" outlineLevel="0" collapsed="false">
      <c r="A77" s="57"/>
      <c r="B77" s="30"/>
      <c r="C77" s="59"/>
      <c r="D77" s="58"/>
      <c r="E77" s="59"/>
      <c r="G77" s="0" t="str">
        <f aca="false">IF(AND(B77&lt;&gt;"",COUNTIF(B$6:B77,B77)=1),MAX(G$5:G76)+1,"")</f>
        <v/>
      </c>
      <c r="H77" s="0" t="str">
        <f aca="false">IF(A77="","",IF(ISNUMBER(A77),IF(A77&gt;=36526,A77,""),IFERROR(DATEVALUE(A77),"")))</f>
        <v/>
      </c>
      <c r="I77" s="0" t="str">
        <f aca="false">IF(H77="","",INT((H77-SAT1)/7)+1)</f>
        <v/>
      </c>
      <c r="J77" s="0" t="str">
        <f aca="false">IF(I77="","",IF(OR(I77&lt;1,I77&gt;NW),"",INDEX(WMON,I77)))</f>
        <v/>
      </c>
    </row>
    <row r="78" customFormat="false" ht="15" hidden="false" customHeight="false" outlineLevel="0" collapsed="false">
      <c r="A78" s="57"/>
      <c r="B78" s="30"/>
      <c r="C78" s="59"/>
      <c r="D78" s="58"/>
      <c r="E78" s="59"/>
      <c r="G78" s="0" t="str">
        <f aca="false">IF(AND(B78&lt;&gt;"",COUNTIF(B$6:B78,B78)=1),MAX(G$5:G77)+1,"")</f>
        <v/>
      </c>
      <c r="H78" s="0" t="str">
        <f aca="false">IF(A78="","",IF(ISNUMBER(A78),IF(A78&gt;=36526,A78,""),IFERROR(DATEVALUE(A78),"")))</f>
        <v/>
      </c>
      <c r="I78" s="0" t="str">
        <f aca="false">IF(H78="","",INT((H78-SAT1)/7)+1)</f>
        <v/>
      </c>
      <c r="J78" s="0" t="str">
        <f aca="false">IF(I78="","",IF(OR(I78&lt;1,I78&gt;NW),"",INDEX(WMON,I78)))</f>
        <v/>
      </c>
    </row>
    <row r="79" customFormat="false" ht="15" hidden="false" customHeight="false" outlineLevel="0" collapsed="false">
      <c r="A79" s="57"/>
      <c r="B79" s="30"/>
      <c r="C79" s="59"/>
      <c r="D79" s="58"/>
      <c r="E79" s="59"/>
      <c r="G79" s="0" t="str">
        <f aca="false">IF(AND(B79&lt;&gt;"",COUNTIF(B$6:B79,B79)=1),MAX(G$5:G78)+1,"")</f>
        <v/>
      </c>
      <c r="H79" s="0" t="str">
        <f aca="false">IF(A79="","",IF(ISNUMBER(A79),IF(A79&gt;=36526,A79,""),IFERROR(DATEVALUE(A79),"")))</f>
        <v/>
      </c>
      <c r="I79" s="0" t="str">
        <f aca="false">IF(H79="","",INT((H79-SAT1)/7)+1)</f>
        <v/>
      </c>
      <c r="J79" s="0" t="str">
        <f aca="false">IF(I79="","",IF(OR(I79&lt;1,I79&gt;NW),"",INDEX(WMON,I79)))</f>
        <v/>
      </c>
    </row>
    <row r="80" customFormat="false" ht="15" hidden="false" customHeight="false" outlineLevel="0" collapsed="false">
      <c r="A80" s="57"/>
      <c r="B80" s="30"/>
      <c r="C80" s="59"/>
      <c r="D80" s="58"/>
      <c r="E80" s="59"/>
      <c r="G80" s="0" t="str">
        <f aca="false">IF(AND(B80&lt;&gt;"",COUNTIF(B$6:B80,B80)=1),MAX(G$5:G79)+1,"")</f>
        <v/>
      </c>
      <c r="H80" s="0" t="str">
        <f aca="false">IF(A80="","",IF(ISNUMBER(A80),IF(A80&gt;=36526,A80,""),IFERROR(DATEVALUE(A80),"")))</f>
        <v/>
      </c>
      <c r="I80" s="0" t="str">
        <f aca="false">IF(H80="","",INT((H80-SAT1)/7)+1)</f>
        <v/>
      </c>
      <c r="J80" s="0" t="str">
        <f aca="false">IF(I80="","",IF(OR(I80&lt;1,I80&gt;NW),"",INDEX(WMON,I80)))</f>
        <v/>
      </c>
    </row>
    <row r="81" customFormat="false" ht="15" hidden="false" customHeight="false" outlineLevel="0" collapsed="false">
      <c r="A81" s="57"/>
      <c r="B81" s="30"/>
      <c r="C81" s="59"/>
      <c r="D81" s="58"/>
      <c r="E81" s="59"/>
      <c r="G81" s="0" t="str">
        <f aca="false">IF(AND(B81&lt;&gt;"",COUNTIF(B$6:B81,B81)=1),MAX(G$5:G80)+1,"")</f>
        <v/>
      </c>
      <c r="H81" s="0" t="str">
        <f aca="false">IF(A81="","",IF(ISNUMBER(A81),IF(A81&gt;=36526,A81,""),IFERROR(DATEVALUE(A81),"")))</f>
        <v/>
      </c>
      <c r="I81" s="0" t="str">
        <f aca="false">IF(H81="","",INT((H81-SAT1)/7)+1)</f>
        <v/>
      </c>
      <c r="J81" s="0" t="str">
        <f aca="false">IF(I81="","",IF(OR(I81&lt;1,I81&gt;NW),"",INDEX(WMON,I81)))</f>
        <v/>
      </c>
    </row>
    <row r="82" customFormat="false" ht="15" hidden="false" customHeight="false" outlineLevel="0" collapsed="false">
      <c r="A82" s="57"/>
      <c r="B82" s="30"/>
      <c r="C82" s="59"/>
      <c r="D82" s="58"/>
      <c r="E82" s="59"/>
      <c r="G82" s="0" t="str">
        <f aca="false">IF(AND(B82&lt;&gt;"",COUNTIF(B$6:B82,B82)=1),MAX(G$5:G81)+1,"")</f>
        <v/>
      </c>
      <c r="H82" s="0" t="str">
        <f aca="false">IF(A82="","",IF(ISNUMBER(A82),IF(A82&gt;=36526,A82,""),IFERROR(DATEVALUE(A82),"")))</f>
        <v/>
      </c>
      <c r="I82" s="0" t="str">
        <f aca="false">IF(H82="","",INT((H82-SAT1)/7)+1)</f>
        <v/>
      </c>
      <c r="J82" s="0" t="str">
        <f aca="false">IF(I82="","",IF(OR(I82&lt;1,I82&gt;NW),"",INDEX(WMON,I82)))</f>
        <v/>
      </c>
    </row>
    <row r="83" customFormat="false" ht="15" hidden="false" customHeight="false" outlineLevel="0" collapsed="false">
      <c r="A83" s="57"/>
      <c r="B83" s="30"/>
      <c r="C83" s="59"/>
      <c r="D83" s="58"/>
      <c r="E83" s="59"/>
      <c r="G83" s="0" t="str">
        <f aca="false">IF(AND(B83&lt;&gt;"",COUNTIF(B$6:B83,B83)=1),MAX(G$5:G82)+1,"")</f>
        <v/>
      </c>
      <c r="H83" s="0" t="str">
        <f aca="false">IF(A83="","",IF(ISNUMBER(A83),IF(A83&gt;=36526,A83,""),IFERROR(DATEVALUE(A83),"")))</f>
        <v/>
      </c>
      <c r="I83" s="0" t="str">
        <f aca="false">IF(H83="","",INT((H83-SAT1)/7)+1)</f>
        <v/>
      </c>
      <c r="J83" s="0" t="str">
        <f aca="false">IF(I83="","",IF(OR(I83&lt;1,I83&gt;NW),"",INDEX(WMON,I83)))</f>
        <v/>
      </c>
    </row>
    <row r="84" customFormat="false" ht="15" hidden="false" customHeight="false" outlineLevel="0" collapsed="false">
      <c r="A84" s="57"/>
      <c r="B84" s="30"/>
      <c r="C84" s="59"/>
      <c r="D84" s="58"/>
      <c r="E84" s="59"/>
      <c r="G84" s="0" t="str">
        <f aca="false">IF(AND(B84&lt;&gt;"",COUNTIF(B$6:B84,B84)=1),MAX(G$5:G83)+1,"")</f>
        <v/>
      </c>
      <c r="H84" s="0" t="str">
        <f aca="false">IF(A84="","",IF(ISNUMBER(A84),IF(A84&gt;=36526,A84,""),IFERROR(DATEVALUE(A84),"")))</f>
        <v/>
      </c>
      <c r="I84" s="0" t="str">
        <f aca="false">IF(H84="","",INT((H84-SAT1)/7)+1)</f>
        <v/>
      </c>
      <c r="J84" s="0" t="str">
        <f aca="false">IF(I84="","",IF(OR(I84&lt;1,I84&gt;NW),"",INDEX(WMON,I84)))</f>
        <v/>
      </c>
    </row>
    <row r="85" customFormat="false" ht="15" hidden="false" customHeight="false" outlineLevel="0" collapsed="false">
      <c r="A85" s="57"/>
      <c r="B85" s="30"/>
      <c r="C85" s="59"/>
      <c r="D85" s="58"/>
      <c r="E85" s="59"/>
      <c r="G85" s="0" t="str">
        <f aca="false">IF(AND(B85&lt;&gt;"",COUNTIF(B$6:B85,B85)=1),MAX(G$5:G84)+1,"")</f>
        <v/>
      </c>
      <c r="H85" s="0" t="str">
        <f aca="false">IF(A85="","",IF(ISNUMBER(A85),IF(A85&gt;=36526,A85,""),IFERROR(DATEVALUE(A85),"")))</f>
        <v/>
      </c>
      <c r="I85" s="0" t="str">
        <f aca="false">IF(H85="","",INT((H85-SAT1)/7)+1)</f>
        <v/>
      </c>
      <c r="J85" s="0" t="str">
        <f aca="false">IF(I85="","",IF(OR(I85&lt;1,I85&gt;NW),"",INDEX(WMON,I85)))</f>
        <v/>
      </c>
    </row>
    <row r="86" customFormat="false" ht="15" hidden="false" customHeight="false" outlineLevel="0" collapsed="false">
      <c r="A86" s="57"/>
      <c r="B86" s="30"/>
      <c r="C86" s="59"/>
      <c r="D86" s="58"/>
      <c r="E86" s="59"/>
      <c r="G86" s="0" t="str">
        <f aca="false">IF(AND(B86&lt;&gt;"",COUNTIF(B$6:B86,B86)=1),MAX(G$5:G85)+1,"")</f>
        <v/>
      </c>
      <c r="H86" s="0" t="str">
        <f aca="false">IF(A86="","",IF(ISNUMBER(A86),IF(A86&gt;=36526,A86,""),IFERROR(DATEVALUE(A86),"")))</f>
        <v/>
      </c>
      <c r="I86" s="0" t="str">
        <f aca="false">IF(H86="","",INT((H86-SAT1)/7)+1)</f>
        <v/>
      </c>
      <c r="J86" s="0" t="str">
        <f aca="false">IF(I86="","",IF(OR(I86&lt;1,I86&gt;NW),"",INDEX(WMON,I86)))</f>
        <v/>
      </c>
    </row>
    <row r="87" customFormat="false" ht="15" hidden="false" customHeight="false" outlineLevel="0" collapsed="false">
      <c r="A87" s="57"/>
      <c r="B87" s="30"/>
      <c r="C87" s="59"/>
      <c r="D87" s="58"/>
      <c r="E87" s="59"/>
      <c r="G87" s="0" t="str">
        <f aca="false">IF(AND(B87&lt;&gt;"",COUNTIF(B$6:B87,B87)=1),MAX(G$5:G86)+1,"")</f>
        <v/>
      </c>
      <c r="H87" s="0" t="str">
        <f aca="false">IF(A87="","",IF(ISNUMBER(A87),IF(A87&gt;=36526,A87,""),IFERROR(DATEVALUE(A87),"")))</f>
        <v/>
      </c>
      <c r="I87" s="0" t="str">
        <f aca="false">IF(H87="","",INT((H87-SAT1)/7)+1)</f>
        <v/>
      </c>
      <c r="J87" s="0" t="str">
        <f aca="false">IF(I87="","",IF(OR(I87&lt;1,I87&gt;NW),"",INDEX(WMON,I87)))</f>
        <v/>
      </c>
    </row>
    <row r="88" customFormat="false" ht="15" hidden="false" customHeight="false" outlineLevel="0" collapsed="false">
      <c r="A88" s="57"/>
      <c r="B88" s="30"/>
      <c r="C88" s="59"/>
      <c r="D88" s="58"/>
      <c r="E88" s="59"/>
      <c r="G88" s="0" t="str">
        <f aca="false">IF(AND(B88&lt;&gt;"",COUNTIF(B$6:B88,B88)=1),MAX(G$5:G87)+1,"")</f>
        <v/>
      </c>
      <c r="H88" s="0" t="str">
        <f aca="false">IF(A88="","",IF(ISNUMBER(A88),IF(A88&gt;=36526,A88,""),IFERROR(DATEVALUE(A88),"")))</f>
        <v/>
      </c>
      <c r="I88" s="0" t="str">
        <f aca="false">IF(H88="","",INT((H88-SAT1)/7)+1)</f>
        <v/>
      </c>
      <c r="J88" s="0" t="str">
        <f aca="false">IF(I88="","",IF(OR(I88&lt;1,I88&gt;NW),"",INDEX(WMON,I88)))</f>
        <v/>
      </c>
    </row>
    <row r="89" customFormat="false" ht="15" hidden="false" customHeight="false" outlineLevel="0" collapsed="false">
      <c r="A89" s="57"/>
      <c r="B89" s="30"/>
      <c r="C89" s="59"/>
      <c r="D89" s="58"/>
      <c r="E89" s="59"/>
      <c r="G89" s="0" t="str">
        <f aca="false">IF(AND(B89&lt;&gt;"",COUNTIF(B$6:B89,B89)=1),MAX(G$5:G88)+1,"")</f>
        <v/>
      </c>
      <c r="H89" s="0" t="str">
        <f aca="false">IF(A89="","",IF(ISNUMBER(A89),IF(A89&gt;=36526,A89,""),IFERROR(DATEVALUE(A89),"")))</f>
        <v/>
      </c>
      <c r="I89" s="0" t="str">
        <f aca="false">IF(H89="","",INT((H89-SAT1)/7)+1)</f>
        <v/>
      </c>
      <c r="J89" s="0" t="str">
        <f aca="false">IF(I89="","",IF(OR(I89&lt;1,I89&gt;NW),"",INDEX(WMON,I89)))</f>
        <v/>
      </c>
    </row>
    <row r="90" customFormat="false" ht="15" hidden="false" customHeight="false" outlineLevel="0" collapsed="false">
      <c r="A90" s="57"/>
      <c r="B90" s="30"/>
      <c r="C90" s="59"/>
      <c r="D90" s="58"/>
      <c r="E90" s="59"/>
      <c r="G90" s="0" t="str">
        <f aca="false">IF(AND(B90&lt;&gt;"",COUNTIF(B$6:B90,B90)=1),MAX(G$5:G89)+1,"")</f>
        <v/>
      </c>
      <c r="H90" s="0" t="str">
        <f aca="false">IF(A90="","",IF(ISNUMBER(A90),IF(A90&gt;=36526,A90,""),IFERROR(DATEVALUE(A90),"")))</f>
        <v/>
      </c>
      <c r="I90" s="0" t="str">
        <f aca="false">IF(H90="","",INT((H90-SAT1)/7)+1)</f>
        <v/>
      </c>
      <c r="J90" s="0" t="str">
        <f aca="false">IF(I90="","",IF(OR(I90&lt;1,I90&gt;NW),"",INDEX(WMON,I90)))</f>
        <v/>
      </c>
    </row>
    <row r="91" customFormat="false" ht="15" hidden="false" customHeight="false" outlineLevel="0" collapsed="false">
      <c r="A91" s="57"/>
      <c r="B91" s="30"/>
      <c r="C91" s="59"/>
      <c r="D91" s="58"/>
      <c r="E91" s="59"/>
      <c r="G91" s="0" t="str">
        <f aca="false">IF(AND(B91&lt;&gt;"",COUNTIF(B$6:B91,B91)=1),MAX(G$5:G90)+1,"")</f>
        <v/>
      </c>
      <c r="H91" s="0" t="str">
        <f aca="false">IF(A91="","",IF(ISNUMBER(A91),IF(A91&gt;=36526,A91,""),IFERROR(DATEVALUE(A91),"")))</f>
        <v/>
      </c>
      <c r="I91" s="0" t="str">
        <f aca="false">IF(H91="","",INT((H91-SAT1)/7)+1)</f>
        <v/>
      </c>
      <c r="J91" s="0" t="str">
        <f aca="false">IF(I91="","",IF(OR(I91&lt;1,I91&gt;NW),"",INDEX(WMON,I91)))</f>
        <v/>
      </c>
    </row>
    <row r="92" customFormat="false" ht="15" hidden="false" customHeight="false" outlineLevel="0" collapsed="false">
      <c r="A92" s="57"/>
      <c r="B92" s="30"/>
      <c r="C92" s="59"/>
      <c r="D92" s="58"/>
      <c r="E92" s="59"/>
      <c r="G92" s="0" t="str">
        <f aca="false">IF(AND(B92&lt;&gt;"",COUNTIF(B$6:B92,B92)=1),MAX(G$5:G91)+1,"")</f>
        <v/>
      </c>
      <c r="H92" s="0" t="str">
        <f aca="false">IF(A92="","",IF(ISNUMBER(A92),IF(A92&gt;=36526,A92,""),IFERROR(DATEVALUE(A92),"")))</f>
        <v/>
      </c>
      <c r="I92" s="0" t="str">
        <f aca="false">IF(H92="","",INT((H92-SAT1)/7)+1)</f>
        <v/>
      </c>
      <c r="J92" s="0" t="str">
        <f aca="false">IF(I92="","",IF(OR(I92&lt;1,I92&gt;NW),"",INDEX(WMON,I92)))</f>
        <v/>
      </c>
    </row>
    <row r="93" customFormat="false" ht="15" hidden="false" customHeight="false" outlineLevel="0" collapsed="false">
      <c r="A93" s="57"/>
      <c r="B93" s="30"/>
      <c r="C93" s="59"/>
      <c r="D93" s="58"/>
      <c r="E93" s="59"/>
      <c r="G93" s="0" t="str">
        <f aca="false">IF(AND(B93&lt;&gt;"",COUNTIF(B$6:B93,B93)=1),MAX(G$5:G92)+1,"")</f>
        <v/>
      </c>
      <c r="H93" s="0" t="str">
        <f aca="false">IF(A93="","",IF(ISNUMBER(A93),IF(A93&gt;=36526,A93,""),IFERROR(DATEVALUE(A93),"")))</f>
        <v/>
      </c>
      <c r="I93" s="0" t="str">
        <f aca="false">IF(H93="","",INT((H93-SAT1)/7)+1)</f>
        <v/>
      </c>
      <c r="J93" s="0" t="str">
        <f aca="false">IF(I93="","",IF(OR(I93&lt;1,I93&gt;NW),"",INDEX(WMON,I93)))</f>
        <v/>
      </c>
    </row>
    <row r="94" customFormat="false" ht="15" hidden="false" customHeight="false" outlineLevel="0" collapsed="false">
      <c r="A94" s="57"/>
      <c r="B94" s="30"/>
      <c r="C94" s="59"/>
      <c r="D94" s="58"/>
      <c r="E94" s="59"/>
      <c r="G94" s="0" t="str">
        <f aca="false">IF(AND(B94&lt;&gt;"",COUNTIF(B$6:B94,B94)=1),MAX(G$5:G93)+1,"")</f>
        <v/>
      </c>
      <c r="H94" s="0" t="str">
        <f aca="false">IF(A94="","",IF(ISNUMBER(A94),IF(A94&gt;=36526,A94,""),IFERROR(DATEVALUE(A94),"")))</f>
        <v/>
      </c>
      <c r="I94" s="0" t="str">
        <f aca="false">IF(H94="","",INT((H94-SAT1)/7)+1)</f>
        <v/>
      </c>
      <c r="J94" s="0" t="str">
        <f aca="false">IF(I94="","",IF(OR(I94&lt;1,I94&gt;NW),"",INDEX(WMON,I94)))</f>
        <v/>
      </c>
    </row>
    <row r="95" customFormat="false" ht="15" hidden="false" customHeight="false" outlineLevel="0" collapsed="false">
      <c r="A95" s="57"/>
      <c r="B95" s="30"/>
      <c r="C95" s="59"/>
      <c r="D95" s="58"/>
      <c r="E95" s="59"/>
      <c r="G95" s="0" t="str">
        <f aca="false">IF(AND(B95&lt;&gt;"",COUNTIF(B$6:B95,B95)=1),MAX(G$5:G94)+1,"")</f>
        <v/>
      </c>
      <c r="H95" s="0" t="str">
        <f aca="false">IF(A95="","",IF(ISNUMBER(A95),IF(A95&gt;=36526,A95,""),IFERROR(DATEVALUE(A95),"")))</f>
        <v/>
      </c>
      <c r="I95" s="0" t="str">
        <f aca="false">IF(H95="","",INT((H95-SAT1)/7)+1)</f>
        <v/>
      </c>
      <c r="J95" s="0" t="str">
        <f aca="false">IF(I95="","",IF(OR(I95&lt;1,I95&gt;NW),"",INDEX(WMON,I95)))</f>
        <v/>
      </c>
    </row>
    <row r="96" customFormat="false" ht="15" hidden="false" customHeight="false" outlineLevel="0" collapsed="false">
      <c r="A96" s="57"/>
      <c r="B96" s="30"/>
      <c r="C96" s="59"/>
      <c r="D96" s="58"/>
      <c r="E96" s="59"/>
      <c r="G96" s="0" t="str">
        <f aca="false">IF(AND(B96&lt;&gt;"",COUNTIF(B$6:B96,B96)=1),MAX(G$5:G95)+1,"")</f>
        <v/>
      </c>
      <c r="H96" s="0" t="str">
        <f aca="false">IF(A96="","",IF(ISNUMBER(A96),IF(A96&gt;=36526,A96,""),IFERROR(DATEVALUE(A96),"")))</f>
        <v/>
      </c>
      <c r="I96" s="0" t="str">
        <f aca="false">IF(H96="","",INT((H96-SAT1)/7)+1)</f>
        <v/>
      </c>
      <c r="J96" s="0" t="str">
        <f aca="false">IF(I96="","",IF(OR(I96&lt;1,I96&gt;NW),"",INDEX(WMON,I96)))</f>
        <v/>
      </c>
    </row>
    <row r="97" customFormat="false" ht="15" hidden="false" customHeight="false" outlineLevel="0" collapsed="false">
      <c r="A97" s="57"/>
      <c r="B97" s="30"/>
      <c r="C97" s="59"/>
      <c r="D97" s="58"/>
      <c r="E97" s="59"/>
      <c r="G97" s="0" t="str">
        <f aca="false">IF(AND(B97&lt;&gt;"",COUNTIF(B$6:B97,B97)=1),MAX(G$5:G96)+1,"")</f>
        <v/>
      </c>
      <c r="H97" s="0" t="str">
        <f aca="false">IF(A97="","",IF(ISNUMBER(A97),IF(A97&gt;=36526,A97,""),IFERROR(DATEVALUE(A97),"")))</f>
        <v/>
      </c>
      <c r="I97" s="0" t="str">
        <f aca="false">IF(H97="","",INT((H97-SAT1)/7)+1)</f>
        <v/>
      </c>
      <c r="J97" s="0" t="str">
        <f aca="false">IF(I97="","",IF(OR(I97&lt;1,I97&gt;NW),"",INDEX(WMON,I97)))</f>
        <v/>
      </c>
    </row>
    <row r="98" customFormat="false" ht="15" hidden="false" customHeight="false" outlineLevel="0" collapsed="false">
      <c r="A98" s="57"/>
      <c r="B98" s="30"/>
      <c r="C98" s="59"/>
      <c r="D98" s="58"/>
      <c r="E98" s="59"/>
      <c r="G98" s="0" t="str">
        <f aca="false">IF(AND(B98&lt;&gt;"",COUNTIF(B$6:B98,B98)=1),MAX(G$5:G97)+1,"")</f>
        <v/>
      </c>
      <c r="H98" s="0" t="str">
        <f aca="false">IF(A98="","",IF(ISNUMBER(A98),IF(A98&gt;=36526,A98,""),IFERROR(DATEVALUE(A98),"")))</f>
        <v/>
      </c>
      <c r="I98" s="0" t="str">
        <f aca="false">IF(H98="","",INT((H98-SAT1)/7)+1)</f>
        <v/>
      </c>
      <c r="J98" s="0" t="str">
        <f aca="false">IF(I98="","",IF(OR(I98&lt;1,I98&gt;NW),"",INDEX(WMON,I98)))</f>
        <v/>
      </c>
    </row>
    <row r="99" customFormat="false" ht="15" hidden="false" customHeight="false" outlineLevel="0" collapsed="false">
      <c r="A99" s="57"/>
      <c r="B99" s="30"/>
      <c r="C99" s="59"/>
      <c r="D99" s="58"/>
      <c r="E99" s="59"/>
      <c r="G99" s="0" t="str">
        <f aca="false">IF(AND(B99&lt;&gt;"",COUNTIF(B$6:B99,B99)=1),MAX(G$5:G98)+1,"")</f>
        <v/>
      </c>
      <c r="H99" s="0" t="str">
        <f aca="false">IF(A99="","",IF(ISNUMBER(A99),IF(A99&gt;=36526,A99,""),IFERROR(DATEVALUE(A99),"")))</f>
        <v/>
      </c>
      <c r="I99" s="0" t="str">
        <f aca="false">IF(H99="","",INT((H99-SAT1)/7)+1)</f>
        <v/>
      </c>
      <c r="J99" s="0" t="str">
        <f aca="false">IF(I99="","",IF(OR(I99&lt;1,I99&gt;NW),"",INDEX(WMON,I99)))</f>
        <v/>
      </c>
    </row>
    <row r="100" customFormat="false" ht="15" hidden="false" customHeight="false" outlineLevel="0" collapsed="false">
      <c r="A100" s="57"/>
      <c r="B100" s="30"/>
      <c r="C100" s="59"/>
      <c r="D100" s="58"/>
      <c r="E100" s="59"/>
      <c r="G100" s="0" t="str">
        <f aca="false">IF(AND(B100&lt;&gt;"",COUNTIF(B$6:B100,B100)=1),MAX(G$5:G99)+1,"")</f>
        <v/>
      </c>
      <c r="H100" s="0" t="str">
        <f aca="false">IF(A100="","",IF(ISNUMBER(A100),IF(A100&gt;=36526,A100,""),IFERROR(DATEVALUE(A100),"")))</f>
        <v/>
      </c>
      <c r="I100" s="0" t="str">
        <f aca="false">IF(H100="","",INT((H100-SAT1)/7)+1)</f>
        <v/>
      </c>
      <c r="J100" s="0" t="str">
        <f aca="false">IF(I100="","",IF(OR(I100&lt;1,I100&gt;NW),"",INDEX(WMON,I100)))</f>
        <v/>
      </c>
    </row>
    <row r="101" customFormat="false" ht="15" hidden="false" customHeight="false" outlineLevel="0" collapsed="false">
      <c r="A101" s="57"/>
      <c r="B101" s="30"/>
      <c r="C101" s="59"/>
      <c r="D101" s="58"/>
      <c r="E101" s="59"/>
      <c r="G101" s="0" t="str">
        <f aca="false">IF(AND(B101&lt;&gt;"",COUNTIF(B$6:B101,B101)=1),MAX(G$5:G100)+1,"")</f>
        <v/>
      </c>
      <c r="H101" s="0" t="str">
        <f aca="false">IF(A101="","",IF(ISNUMBER(A101),IF(A101&gt;=36526,A101,""),IFERROR(DATEVALUE(A101),"")))</f>
        <v/>
      </c>
      <c r="I101" s="0" t="str">
        <f aca="false">IF(H101="","",INT((H101-SAT1)/7)+1)</f>
        <v/>
      </c>
      <c r="J101" s="0" t="str">
        <f aca="false">IF(I101="","",IF(OR(I101&lt;1,I101&gt;NW),"",INDEX(WMON,I101)))</f>
        <v/>
      </c>
    </row>
    <row r="102" customFormat="false" ht="15" hidden="false" customHeight="false" outlineLevel="0" collapsed="false">
      <c r="A102" s="57"/>
      <c r="B102" s="30"/>
      <c r="C102" s="59"/>
      <c r="D102" s="58"/>
      <c r="E102" s="59"/>
      <c r="G102" s="0" t="str">
        <f aca="false">IF(AND(B102&lt;&gt;"",COUNTIF(B$6:B102,B102)=1),MAX(G$5:G101)+1,"")</f>
        <v/>
      </c>
      <c r="H102" s="0" t="str">
        <f aca="false">IF(A102="","",IF(ISNUMBER(A102),IF(A102&gt;=36526,A102,""),IFERROR(DATEVALUE(A102),"")))</f>
        <v/>
      </c>
      <c r="I102" s="0" t="str">
        <f aca="false">IF(H102="","",INT((H102-SAT1)/7)+1)</f>
        <v/>
      </c>
      <c r="J102" s="0" t="str">
        <f aca="false">IF(I102="","",IF(OR(I102&lt;1,I102&gt;NW),"",INDEX(WMON,I102)))</f>
        <v/>
      </c>
    </row>
    <row r="103" customFormat="false" ht="15" hidden="false" customHeight="false" outlineLevel="0" collapsed="false">
      <c r="A103" s="57"/>
      <c r="B103" s="30"/>
      <c r="C103" s="59"/>
      <c r="D103" s="58"/>
      <c r="E103" s="59"/>
      <c r="G103" s="0" t="str">
        <f aca="false">IF(AND(B103&lt;&gt;"",COUNTIF(B$6:B103,B103)=1),MAX(G$5:G102)+1,"")</f>
        <v/>
      </c>
      <c r="H103" s="0" t="str">
        <f aca="false">IF(A103="","",IF(ISNUMBER(A103),IF(A103&gt;=36526,A103,""),IFERROR(DATEVALUE(A103),"")))</f>
        <v/>
      </c>
      <c r="I103" s="0" t="str">
        <f aca="false">IF(H103="","",INT((H103-SAT1)/7)+1)</f>
        <v/>
      </c>
      <c r="J103" s="0" t="str">
        <f aca="false">IF(I103="","",IF(OR(I103&lt;1,I103&gt;NW),"",INDEX(WMON,I103)))</f>
        <v/>
      </c>
    </row>
    <row r="104" customFormat="false" ht="15" hidden="false" customHeight="false" outlineLevel="0" collapsed="false">
      <c r="A104" s="57"/>
      <c r="B104" s="30"/>
      <c r="C104" s="59"/>
      <c r="D104" s="58"/>
      <c r="E104" s="59"/>
      <c r="G104" s="0" t="str">
        <f aca="false">IF(AND(B104&lt;&gt;"",COUNTIF(B$6:B104,B104)=1),MAX(G$5:G103)+1,"")</f>
        <v/>
      </c>
      <c r="H104" s="0" t="str">
        <f aca="false">IF(A104="","",IF(ISNUMBER(A104),IF(A104&gt;=36526,A104,""),IFERROR(DATEVALUE(A104),"")))</f>
        <v/>
      </c>
      <c r="I104" s="0" t="str">
        <f aca="false">IF(H104="","",INT((H104-SAT1)/7)+1)</f>
        <v/>
      </c>
      <c r="J104" s="0" t="str">
        <f aca="false">IF(I104="","",IF(OR(I104&lt;1,I104&gt;NW),"",INDEX(WMON,I104)))</f>
        <v/>
      </c>
    </row>
    <row r="105" customFormat="false" ht="15" hidden="false" customHeight="false" outlineLevel="0" collapsed="false">
      <c r="A105" s="57"/>
      <c r="B105" s="30"/>
      <c r="C105" s="59"/>
      <c r="D105" s="58"/>
      <c r="E105" s="59"/>
      <c r="G105" s="0" t="str">
        <f aca="false">IF(AND(B105&lt;&gt;"",COUNTIF(B$6:B105,B105)=1),MAX(G$5:G104)+1,"")</f>
        <v/>
      </c>
      <c r="H105" s="0" t="str">
        <f aca="false">IF(A105="","",IF(ISNUMBER(A105),IF(A105&gt;=36526,A105,""),IFERROR(DATEVALUE(A105),"")))</f>
        <v/>
      </c>
      <c r="I105" s="0" t="str">
        <f aca="false">IF(H105="","",INT((H105-SAT1)/7)+1)</f>
        <v/>
      </c>
      <c r="J105" s="0" t="str">
        <f aca="false">IF(I105="","",IF(OR(I105&lt;1,I105&gt;NW),"",INDEX(WMON,I105)))</f>
        <v/>
      </c>
    </row>
    <row r="106" customFormat="false" ht="15" hidden="false" customHeight="false" outlineLevel="0" collapsed="false">
      <c r="A106" s="57"/>
      <c r="B106" s="30"/>
      <c r="C106" s="59"/>
      <c r="D106" s="58"/>
      <c r="E106" s="59"/>
      <c r="G106" s="0" t="str">
        <f aca="false">IF(AND(B106&lt;&gt;"",COUNTIF(B$6:B106,B106)=1),MAX(G$5:G105)+1,"")</f>
        <v/>
      </c>
      <c r="H106" s="0" t="str">
        <f aca="false">IF(A106="","",IF(ISNUMBER(A106),IF(A106&gt;=36526,A106,""),IFERROR(DATEVALUE(A106),"")))</f>
        <v/>
      </c>
      <c r="I106" s="0" t="str">
        <f aca="false">IF(H106="","",INT((H106-SAT1)/7)+1)</f>
        <v/>
      </c>
      <c r="J106" s="0" t="str">
        <f aca="false">IF(I106="","",IF(OR(I106&lt;1,I106&gt;NW),"",INDEX(WMON,I106)))</f>
        <v/>
      </c>
    </row>
    <row r="107" customFormat="false" ht="15" hidden="false" customHeight="false" outlineLevel="0" collapsed="false">
      <c r="A107" s="57"/>
      <c r="B107" s="30"/>
      <c r="C107" s="59"/>
      <c r="D107" s="58"/>
      <c r="E107" s="59"/>
      <c r="G107" s="0" t="str">
        <f aca="false">IF(AND(B107&lt;&gt;"",COUNTIF(B$6:B107,B107)=1),MAX(G$5:G106)+1,"")</f>
        <v/>
      </c>
      <c r="H107" s="0" t="str">
        <f aca="false">IF(A107="","",IF(ISNUMBER(A107),IF(A107&gt;=36526,A107,""),IFERROR(DATEVALUE(A107),"")))</f>
        <v/>
      </c>
      <c r="I107" s="0" t="str">
        <f aca="false">IF(H107="","",INT((H107-SAT1)/7)+1)</f>
        <v/>
      </c>
      <c r="J107" s="0" t="str">
        <f aca="false">IF(I107="","",IF(OR(I107&lt;1,I107&gt;NW),"",INDEX(WMON,I107)))</f>
        <v/>
      </c>
    </row>
    <row r="108" customFormat="false" ht="15" hidden="false" customHeight="false" outlineLevel="0" collapsed="false">
      <c r="A108" s="57"/>
      <c r="B108" s="30"/>
      <c r="C108" s="59"/>
      <c r="D108" s="58"/>
      <c r="E108" s="59"/>
      <c r="G108" s="0" t="str">
        <f aca="false">IF(AND(B108&lt;&gt;"",COUNTIF(B$6:B108,B108)=1),MAX(G$5:G107)+1,"")</f>
        <v/>
      </c>
      <c r="H108" s="0" t="str">
        <f aca="false">IF(A108="","",IF(ISNUMBER(A108),IF(A108&gt;=36526,A108,""),IFERROR(DATEVALUE(A108),"")))</f>
        <v/>
      </c>
      <c r="I108" s="0" t="str">
        <f aca="false">IF(H108="","",INT((H108-SAT1)/7)+1)</f>
        <v/>
      </c>
      <c r="J108" s="0" t="str">
        <f aca="false">IF(I108="","",IF(OR(I108&lt;1,I108&gt;NW),"",INDEX(WMON,I108)))</f>
        <v/>
      </c>
    </row>
    <row r="109" customFormat="false" ht="15" hidden="false" customHeight="false" outlineLevel="0" collapsed="false">
      <c r="A109" s="57"/>
      <c r="B109" s="30"/>
      <c r="C109" s="59"/>
      <c r="D109" s="58"/>
      <c r="E109" s="59"/>
      <c r="G109" s="0" t="str">
        <f aca="false">IF(AND(B109&lt;&gt;"",COUNTIF(B$6:B109,B109)=1),MAX(G$5:G108)+1,"")</f>
        <v/>
      </c>
      <c r="H109" s="0" t="str">
        <f aca="false">IF(A109="","",IF(ISNUMBER(A109),IF(A109&gt;=36526,A109,""),IFERROR(DATEVALUE(A109),"")))</f>
        <v/>
      </c>
      <c r="I109" s="0" t="str">
        <f aca="false">IF(H109="","",INT((H109-SAT1)/7)+1)</f>
        <v/>
      </c>
      <c r="J109" s="0" t="str">
        <f aca="false">IF(I109="","",IF(OR(I109&lt;1,I109&gt;NW),"",INDEX(WMON,I109)))</f>
        <v/>
      </c>
    </row>
    <row r="110" customFormat="false" ht="15" hidden="false" customHeight="false" outlineLevel="0" collapsed="false">
      <c r="A110" s="57"/>
      <c r="B110" s="30"/>
      <c r="C110" s="59"/>
      <c r="D110" s="58"/>
      <c r="E110" s="59"/>
      <c r="G110" s="0" t="str">
        <f aca="false">IF(AND(B110&lt;&gt;"",COUNTIF(B$6:B110,B110)=1),MAX(G$5:G109)+1,"")</f>
        <v/>
      </c>
      <c r="H110" s="0" t="str">
        <f aca="false">IF(A110="","",IF(ISNUMBER(A110),IF(A110&gt;=36526,A110,""),IFERROR(DATEVALUE(A110),"")))</f>
        <v/>
      </c>
      <c r="I110" s="0" t="str">
        <f aca="false">IF(H110="","",INT((H110-SAT1)/7)+1)</f>
        <v/>
      </c>
      <c r="J110" s="0" t="str">
        <f aca="false">IF(I110="","",IF(OR(I110&lt;1,I110&gt;NW),"",INDEX(WMON,I110)))</f>
        <v/>
      </c>
    </row>
    <row r="111" customFormat="false" ht="15" hidden="false" customHeight="false" outlineLevel="0" collapsed="false">
      <c r="A111" s="57"/>
      <c r="B111" s="30"/>
      <c r="C111" s="59"/>
      <c r="D111" s="58"/>
      <c r="E111" s="59"/>
      <c r="G111" s="0" t="str">
        <f aca="false">IF(AND(B111&lt;&gt;"",COUNTIF(B$6:B111,B111)=1),MAX(G$5:G110)+1,"")</f>
        <v/>
      </c>
      <c r="H111" s="0" t="str">
        <f aca="false">IF(A111="","",IF(ISNUMBER(A111),IF(A111&gt;=36526,A111,""),IFERROR(DATEVALUE(A111),"")))</f>
        <v/>
      </c>
      <c r="I111" s="0" t="str">
        <f aca="false">IF(H111="","",INT((H111-SAT1)/7)+1)</f>
        <v/>
      </c>
      <c r="J111" s="0" t="str">
        <f aca="false">IF(I111="","",IF(OR(I111&lt;1,I111&gt;NW),"",INDEX(WMON,I111)))</f>
        <v/>
      </c>
    </row>
    <row r="112" customFormat="false" ht="15" hidden="false" customHeight="false" outlineLevel="0" collapsed="false">
      <c r="A112" s="57"/>
      <c r="B112" s="30"/>
      <c r="C112" s="59"/>
      <c r="D112" s="58"/>
      <c r="E112" s="59"/>
      <c r="G112" s="0" t="str">
        <f aca="false">IF(AND(B112&lt;&gt;"",COUNTIF(B$6:B112,B112)=1),MAX(G$5:G111)+1,"")</f>
        <v/>
      </c>
      <c r="H112" s="0" t="str">
        <f aca="false">IF(A112="","",IF(ISNUMBER(A112),IF(A112&gt;=36526,A112,""),IFERROR(DATEVALUE(A112),"")))</f>
        <v/>
      </c>
      <c r="I112" s="0" t="str">
        <f aca="false">IF(H112="","",INT((H112-SAT1)/7)+1)</f>
        <v/>
      </c>
      <c r="J112" s="0" t="str">
        <f aca="false">IF(I112="","",IF(OR(I112&lt;1,I112&gt;NW),"",INDEX(WMON,I112)))</f>
        <v/>
      </c>
    </row>
    <row r="113" customFormat="false" ht="15" hidden="false" customHeight="false" outlineLevel="0" collapsed="false">
      <c r="A113" s="57"/>
      <c r="B113" s="30"/>
      <c r="C113" s="59"/>
      <c r="D113" s="58"/>
      <c r="E113" s="59"/>
      <c r="G113" s="0" t="str">
        <f aca="false">IF(AND(B113&lt;&gt;"",COUNTIF(B$6:B113,B113)=1),MAX(G$5:G112)+1,"")</f>
        <v/>
      </c>
      <c r="H113" s="0" t="str">
        <f aca="false">IF(A113="","",IF(ISNUMBER(A113),IF(A113&gt;=36526,A113,""),IFERROR(DATEVALUE(A113),"")))</f>
        <v/>
      </c>
      <c r="I113" s="0" t="str">
        <f aca="false">IF(H113="","",INT((H113-SAT1)/7)+1)</f>
        <v/>
      </c>
      <c r="J113" s="0" t="str">
        <f aca="false">IF(I113="","",IF(OR(I113&lt;1,I113&gt;NW),"",INDEX(WMON,I113)))</f>
        <v/>
      </c>
    </row>
    <row r="114" customFormat="false" ht="15" hidden="false" customHeight="false" outlineLevel="0" collapsed="false">
      <c r="A114" s="57"/>
      <c r="B114" s="30"/>
      <c r="C114" s="59"/>
      <c r="D114" s="58"/>
      <c r="E114" s="59"/>
      <c r="G114" s="0" t="str">
        <f aca="false">IF(AND(B114&lt;&gt;"",COUNTIF(B$6:B114,B114)=1),MAX(G$5:G113)+1,"")</f>
        <v/>
      </c>
      <c r="H114" s="0" t="str">
        <f aca="false">IF(A114="","",IF(ISNUMBER(A114),IF(A114&gt;=36526,A114,""),IFERROR(DATEVALUE(A114),"")))</f>
        <v/>
      </c>
      <c r="I114" s="0" t="str">
        <f aca="false">IF(H114="","",INT((H114-SAT1)/7)+1)</f>
        <v/>
      </c>
      <c r="J114" s="0" t="str">
        <f aca="false">IF(I114="","",IF(OR(I114&lt;1,I114&gt;NW),"",INDEX(WMON,I114)))</f>
        <v/>
      </c>
    </row>
    <row r="115" customFormat="false" ht="15" hidden="false" customHeight="false" outlineLevel="0" collapsed="false">
      <c r="A115" s="57"/>
      <c r="B115" s="30"/>
      <c r="C115" s="59"/>
      <c r="D115" s="58"/>
      <c r="E115" s="59"/>
      <c r="G115" s="0" t="str">
        <f aca="false">IF(AND(B115&lt;&gt;"",COUNTIF(B$6:B115,B115)=1),MAX(G$5:G114)+1,"")</f>
        <v/>
      </c>
      <c r="H115" s="0" t="str">
        <f aca="false">IF(A115="","",IF(ISNUMBER(A115),IF(A115&gt;=36526,A115,""),IFERROR(DATEVALUE(A115),"")))</f>
        <v/>
      </c>
      <c r="I115" s="0" t="str">
        <f aca="false">IF(H115="","",INT((H115-SAT1)/7)+1)</f>
        <v/>
      </c>
      <c r="J115" s="0" t="str">
        <f aca="false">IF(I115="","",IF(OR(I115&lt;1,I115&gt;NW),"",INDEX(WMON,I115)))</f>
        <v/>
      </c>
    </row>
    <row r="116" customFormat="false" ht="15" hidden="false" customHeight="false" outlineLevel="0" collapsed="false">
      <c r="A116" s="57"/>
      <c r="B116" s="30"/>
      <c r="C116" s="59"/>
      <c r="D116" s="58"/>
      <c r="E116" s="59"/>
      <c r="G116" s="0" t="str">
        <f aca="false">IF(AND(B116&lt;&gt;"",COUNTIF(B$6:B116,B116)=1),MAX(G$5:G115)+1,"")</f>
        <v/>
      </c>
      <c r="H116" s="0" t="str">
        <f aca="false">IF(A116="","",IF(ISNUMBER(A116),IF(A116&gt;=36526,A116,""),IFERROR(DATEVALUE(A116),"")))</f>
        <v/>
      </c>
      <c r="I116" s="0" t="str">
        <f aca="false">IF(H116="","",INT((H116-SAT1)/7)+1)</f>
        <v/>
      </c>
      <c r="J116" s="0" t="str">
        <f aca="false">IF(I116="","",IF(OR(I116&lt;1,I116&gt;NW),"",INDEX(WMON,I116)))</f>
        <v/>
      </c>
    </row>
    <row r="117" customFormat="false" ht="15" hidden="false" customHeight="false" outlineLevel="0" collapsed="false">
      <c r="A117" s="57"/>
      <c r="B117" s="30"/>
      <c r="C117" s="59"/>
      <c r="D117" s="58"/>
      <c r="E117" s="59"/>
      <c r="G117" s="0" t="str">
        <f aca="false">IF(AND(B117&lt;&gt;"",COUNTIF(B$6:B117,B117)=1),MAX(G$5:G116)+1,"")</f>
        <v/>
      </c>
      <c r="H117" s="0" t="str">
        <f aca="false">IF(A117="","",IF(ISNUMBER(A117),IF(A117&gt;=36526,A117,""),IFERROR(DATEVALUE(A117),"")))</f>
        <v/>
      </c>
      <c r="I117" s="0" t="str">
        <f aca="false">IF(H117="","",INT((H117-SAT1)/7)+1)</f>
        <v/>
      </c>
      <c r="J117" s="0" t="str">
        <f aca="false">IF(I117="","",IF(OR(I117&lt;1,I117&gt;NW),"",INDEX(WMON,I117)))</f>
        <v/>
      </c>
    </row>
    <row r="118" customFormat="false" ht="15" hidden="false" customHeight="false" outlineLevel="0" collapsed="false">
      <c r="A118" s="57"/>
      <c r="B118" s="30"/>
      <c r="C118" s="59"/>
      <c r="D118" s="58"/>
      <c r="E118" s="59"/>
      <c r="G118" s="0" t="str">
        <f aca="false">IF(AND(B118&lt;&gt;"",COUNTIF(B$6:B118,B118)=1),MAX(G$5:G117)+1,"")</f>
        <v/>
      </c>
      <c r="H118" s="0" t="str">
        <f aca="false">IF(A118="","",IF(ISNUMBER(A118),IF(A118&gt;=36526,A118,""),IFERROR(DATEVALUE(A118),"")))</f>
        <v/>
      </c>
      <c r="I118" s="0" t="str">
        <f aca="false">IF(H118="","",INT((H118-SAT1)/7)+1)</f>
        <v/>
      </c>
      <c r="J118" s="0" t="str">
        <f aca="false">IF(I118="","",IF(OR(I118&lt;1,I118&gt;NW),"",INDEX(WMON,I118)))</f>
        <v/>
      </c>
    </row>
    <row r="119" customFormat="false" ht="15" hidden="false" customHeight="false" outlineLevel="0" collapsed="false">
      <c r="A119" s="57"/>
      <c r="B119" s="30"/>
      <c r="C119" s="59"/>
      <c r="D119" s="58"/>
      <c r="E119" s="59"/>
      <c r="G119" s="0" t="str">
        <f aca="false">IF(AND(B119&lt;&gt;"",COUNTIF(B$6:B119,B119)=1),MAX(G$5:G118)+1,"")</f>
        <v/>
      </c>
      <c r="H119" s="0" t="str">
        <f aca="false">IF(A119="","",IF(ISNUMBER(A119),IF(A119&gt;=36526,A119,""),IFERROR(DATEVALUE(A119),"")))</f>
        <v/>
      </c>
      <c r="I119" s="0" t="str">
        <f aca="false">IF(H119="","",INT((H119-SAT1)/7)+1)</f>
        <v/>
      </c>
      <c r="J119" s="0" t="str">
        <f aca="false">IF(I119="","",IF(OR(I119&lt;1,I119&gt;NW),"",INDEX(WMON,I119)))</f>
        <v/>
      </c>
    </row>
    <row r="120" customFormat="false" ht="15" hidden="false" customHeight="false" outlineLevel="0" collapsed="false">
      <c r="A120" s="57"/>
      <c r="B120" s="30"/>
      <c r="C120" s="59"/>
      <c r="D120" s="58"/>
      <c r="E120" s="59"/>
      <c r="G120" s="0" t="str">
        <f aca="false">IF(AND(B120&lt;&gt;"",COUNTIF(B$6:B120,B120)=1),MAX(G$5:G119)+1,"")</f>
        <v/>
      </c>
      <c r="H120" s="0" t="str">
        <f aca="false">IF(A120="","",IF(ISNUMBER(A120),IF(A120&gt;=36526,A120,""),IFERROR(DATEVALUE(A120),"")))</f>
        <v/>
      </c>
      <c r="I120" s="0" t="str">
        <f aca="false">IF(H120="","",INT((H120-SAT1)/7)+1)</f>
        <v/>
      </c>
      <c r="J120" s="0" t="str">
        <f aca="false">IF(I120="","",IF(OR(I120&lt;1,I120&gt;NW),"",INDEX(WMON,I120)))</f>
        <v/>
      </c>
    </row>
    <row r="121" customFormat="false" ht="15" hidden="false" customHeight="false" outlineLevel="0" collapsed="false">
      <c r="A121" s="57"/>
      <c r="B121" s="30"/>
      <c r="C121" s="59"/>
      <c r="D121" s="58"/>
      <c r="E121" s="59"/>
      <c r="G121" s="0" t="str">
        <f aca="false">IF(AND(B121&lt;&gt;"",COUNTIF(B$6:B121,B121)=1),MAX(G$5:G120)+1,"")</f>
        <v/>
      </c>
      <c r="H121" s="0" t="str">
        <f aca="false">IF(A121="","",IF(ISNUMBER(A121),IF(A121&gt;=36526,A121,""),IFERROR(DATEVALUE(A121),"")))</f>
        <v/>
      </c>
      <c r="I121" s="0" t="str">
        <f aca="false">IF(H121="","",INT((H121-SAT1)/7)+1)</f>
        <v/>
      </c>
      <c r="J121" s="0" t="str">
        <f aca="false">IF(I121="","",IF(OR(I121&lt;1,I121&gt;NW),"",INDEX(WMON,I121)))</f>
        <v/>
      </c>
    </row>
    <row r="122" customFormat="false" ht="15" hidden="false" customHeight="false" outlineLevel="0" collapsed="false">
      <c r="A122" s="57"/>
      <c r="B122" s="30"/>
      <c r="C122" s="59"/>
      <c r="D122" s="58"/>
      <c r="E122" s="59"/>
      <c r="G122" s="0" t="str">
        <f aca="false">IF(AND(B122&lt;&gt;"",COUNTIF(B$6:B122,B122)=1),MAX(G$5:G121)+1,"")</f>
        <v/>
      </c>
      <c r="H122" s="0" t="str">
        <f aca="false">IF(A122="","",IF(ISNUMBER(A122),IF(A122&gt;=36526,A122,""),IFERROR(DATEVALUE(A122),"")))</f>
        <v/>
      </c>
      <c r="I122" s="0" t="str">
        <f aca="false">IF(H122="","",INT((H122-SAT1)/7)+1)</f>
        <v/>
      </c>
      <c r="J122" s="0" t="str">
        <f aca="false">IF(I122="","",IF(OR(I122&lt;1,I122&gt;NW),"",INDEX(WMON,I122)))</f>
        <v/>
      </c>
    </row>
    <row r="123" customFormat="false" ht="15" hidden="false" customHeight="false" outlineLevel="0" collapsed="false">
      <c r="A123" s="57"/>
      <c r="B123" s="30"/>
      <c r="C123" s="59"/>
      <c r="D123" s="58"/>
      <c r="E123" s="59"/>
      <c r="G123" s="0" t="str">
        <f aca="false">IF(AND(B123&lt;&gt;"",COUNTIF(B$6:B123,B123)=1),MAX(G$5:G122)+1,"")</f>
        <v/>
      </c>
      <c r="H123" s="0" t="str">
        <f aca="false">IF(A123="","",IF(ISNUMBER(A123),IF(A123&gt;=36526,A123,""),IFERROR(DATEVALUE(A123),"")))</f>
        <v/>
      </c>
      <c r="I123" s="0" t="str">
        <f aca="false">IF(H123="","",INT((H123-SAT1)/7)+1)</f>
        <v/>
      </c>
      <c r="J123" s="0" t="str">
        <f aca="false">IF(I123="","",IF(OR(I123&lt;1,I123&gt;NW),"",INDEX(WMON,I123)))</f>
        <v/>
      </c>
    </row>
    <row r="124" customFormat="false" ht="15" hidden="false" customHeight="false" outlineLevel="0" collapsed="false">
      <c r="A124" s="57"/>
      <c r="B124" s="30"/>
      <c r="C124" s="59"/>
      <c r="D124" s="58"/>
      <c r="E124" s="59"/>
      <c r="G124" s="0" t="str">
        <f aca="false">IF(AND(B124&lt;&gt;"",COUNTIF(B$6:B124,B124)=1),MAX(G$5:G123)+1,"")</f>
        <v/>
      </c>
      <c r="H124" s="0" t="str">
        <f aca="false">IF(A124="","",IF(ISNUMBER(A124),IF(A124&gt;=36526,A124,""),IFERROR(DATEVALUE(A124),"")))</f>
        <v/>
      </c>
      <c r="I124" s="0" t="str">
        <f aca="false">IF(H124="","",INT((H124-SAT1)/7)+1)</f>
        <v/>
      </c>
      <c r="J124" s="0" t="str">
        <f aca="false">IF(I124="","",IF(OR(I124&lt;1,I124&gt;NW),"",INDEX(WMON,I124)))</f>
        <v/>
      </c>
    </row>
    <row r="125" customFormat="false" ht="15" hidden="false" customHeight="false" outlineLevel="0" collapsed="false">
      <c r="A125" s="57"/>
      <c r="B125" s="30"/>
      <c r="C125" s="59"/>
      <c r="D125" s="58"/>
      <c r="E125" s="59"/>
      <c r="G125" s="0" t="str">
        <f aca="false">IF(AND(B125&lt;&gt;"",COUNTIF(B$6:B125,B125)=1),MAX(G$5:G124)+1,"")</f>
        <v/>
      </c>
      <c r="H125" s="0" t="str">
        <f aca="false">IF(A125="","",IF(ISNUMBER(A125),IF(A125&gt;=36526,A125,""),IFERROR(DATEVALUE(A125),"")))</f>
        <v/>
      </c>
      <c r="I125" s="0" t="str">
        <f aca="false">IF(H125="","",INT((H125-SAT1)/7)+1)</f>
        <v/>
      </c>
      <c r="J125" s="0" t="str">
        <f aca="false">IF(I125="","",IF(OR(I125&lt;1,I125&gt;NW),"",INDEX(WMON,I125)))</f>
        <v/>
      </c>
    </row>
    <row r="126" customFormat="false" ht="15" hidden="false" customHeight="false" outlineLevel="0" collapsed="false">
      <c r="A126" s="57"/>
      <c r="B126" s="30"/>
      <c r="C126" s="59"/>
      <c r="D126" s="58"/>
      <c r="E126" s="59"/>
      <c r="G126" s="0" t="str">
        <f aca="false">IF(AND(B126&lt;&gt;"",COUNTIF(B$6:B126,B126)=1),MAX(G$5:G125)+1,"")</f>
        <v/>
      </c>
      <c r="H126" s="0" t="str">
        <f aca="false">IF(A126="","",IF(ISNUMBER(A126),IF(A126&gt;=36526,A126,""),IFERROR(DATEVALUE(A126),"")))</f>
        <v/>
      </c>
      <c r="I126" s="0" t="str">
        <f aca="false">IF(H126="","",INT((H126-SAT1)/7)+1)</f>
        <v/>
      </c>
      <c r="J126" s="0" t="str">
        <f aca="false">IF(I126="","",IF(OR(I126&lt;1,I126&gt;NW),"",INDEX(WMON,I126)))</f>
        <v/>
      </c>
    </row>
    <row r="127" customFormat="false" ht="15" hidden="false" customHeight="false" outlineLevel="0" collapsed="false">
      <c r="A127" s="57"/>
      <c r="B127" s="30"/>
      <c r="C127" s="59"/>
      <c r="D127" s="58"/>
      <c r="E127" s="59"/>
      <c r="G127" s="0" t="str">
        <f aca="false">IF(AND(B127&lt;&gt;"",COUNTIF(B$6:B127,B127)=1),MAX(G$5:G126)+1,"")</f>
        <v/>
      </c>
      <c r="H127" s="0" t="str">
        <f aca="false">IF(A127="","",IF(ISNUMBER(A127),IF(A127&gt;=36526,A127,""),IFERROR(DATEVALUE(A127),"")))</f>
        <v/>
      </c>
      <c r="I127" s="0" t="str">
        <f aca="false">IF(H127="","",INT((H127-SAT1)/7)+1)</f>
        <v/>
      </c>
      <c r="J127" s="0" t="str">
        <f aca="false">IF(I127="","",IF(OR(I127&lt;1,I127&gt;NW),"",INDEX(WMON,I127)))</f>
        <v/>
      </c>
    </row>
    <row r="128" customFormat="false" ht="15" hidden="false" customHeight="false" outlineLevel="0" collapsed="false">
      <c r="A128" s="57"/>
      <c r="B128" s="30"/>
      <c r="C128" s="59"/>
      <c r="D128" s="58"/>
      <c r="E128" s="59"/>
      <c r="G128" s="0" t="str">
        <f aca="false">IF(AND(B128&lt;&gt;"",COUNTIF(B$6:B128,B128)=1),MAX(G$5:G127)+1,"")</f>
        <v/>
      </c>
      <c r="H128" s="0" t="str">
        <f aca="false">IF(A128="","",IF(ISNUMBER(A128),IF(A128&gt;=36526,A128,""),IFERROR(DATEVALUE(A128),"")))</f>
        <v/>
      </c>
      <c r="I128" s="0" t="str">
        <f aca="false">IF(H128="","",INT((H128-SAT1)/7)+1)</f>
        <v/>
      </c>
      <c r="J128" s="0" t="str">
        <f aca="false">IF(I128="","",IF(OR(I128&lt;1,I128&gt;NW),"",INDEX(WMON,I128)))</f>
        <v/>
      </c>
    </row>
    <row r="129" customFormat="false" ht="15" hidden="false" customHeight="false" outlineLevel="0" collapsed="false">
      <c r="A129" s="57"/>
      <c r="B129" s="30"/>
      <c r="C129" s="59"/>
      <c r="D129" s="58"/>
      <c r="E129" s="59"/>
      <c r="G129" s="0" t="str">
        <f aca="false">IF(AND(B129&lt;&gt;"",COUNTIF(B$6:B129,B129)=1),MAX(G$5:G128)+1,"")</f>
        <v/>
      </c>
      <c r="H129" s="0" t="str">
        <f aca="false">IF(A129="","",IF(ISNUMBER(A129),IF(A129&gt;=36526,A129,""),IFERROR(DATEVALUE(A129),"")))</f>
        <v/>
      </c>
      <c r="I129" s="0" t="str">
        <f aca="false">IF(H129="","",INT((H129-SAT1)/7)+1)</f>
        <v/>
      </c>
      <c r="J129" s="0" t="str">
        <f aca="false">IF(I129="","",IF(OR(I129&lt;1,I129&gt;NW),"",INDEX(WMON,I129)))</f>
        <v/>
      </c>
    </row>
    <row r="130" customFormat="false" ht="15" hidden="false" customHeight="false" outlineLevel="0" collapsed="false">
      <c r="A130" s="57"/>
      <c r="B130" s="30"/>
      <c r="C130" s="59"/>
      <c r="D130" s="58"/>
      <c r="E130" s="59"/>
      <c r="G130" s="0" t="str">
        <f aca="false">IF(AND(B130&lt;&gt;"",COUNTIF(B$6:B130,B130)=1),MAX(G$5:G129)+1,"")</f>
        <v/>
      </c>
      <c r="H130" s="0" t="str">
        <f aca="false">IF(A130="","",IF(ISNUMBER(A130),IF(A130&gt;=36526,A130,""),IFERROR(DATEVALUE(A130),"")))</f>
        <v/>
      </c>
      <c r="I130" s="0" t="str">
        <f aca="false">IF(H130="","",INT((H130-SAT1)/7)+1)</f>
        <v/>
      </c>
      <c r="J130" s="0" t="str">
        <f aca="false">IF(I130="","",IF(OR(I130&lt;1,I130&gt;NW),"",INDEX(WMON,I130)))</f>
        <v/>
      </c>
    </row>
    <row r="131" customFormat="false" ht="15" hidden="false" customHeight="false" outlineLevel="0" collapsed="false">
      <c r="A131" s="57"/>
      <c r="B131" s="30"/>
      <c r="C131" s="59"/>
      <c r="D131" s="58"/>
      <c r="E131" s="59"/>
      <c r="G131" s="0" t="str">
        <f aca="false">IF(AND(B131&lt;&gt;"",COUNTIF(B$6:B131,B131)=1),MAX(G$5:G130)+1,"")</f>
        <v/>
      </c>
      <c r="H131" s="0" t="str">
        <f aca="false">IF(A131="","",IF(ISNUMBER(A131),IF(A131&gt;=36526,A131,""),IFERROR(DATEVALUE(A131),"")))</f>
        <v/>
      </c>
      <c r="I131" s="0" t="str">
        <f aca="false">IF(H131="","",INT((H131-SAT1)/7)+1)</f>
        <v/>
      </c>
      <c r="J131" s="0" t="str">
        <f aca="false">IF(I131="","",IF(OR(I131&lt;1,I131&gt;NW),"",INDEX(WMON,I131)))</f>
        <v/>
      </c>
    </row>
    <row r="132" customFormat="false" ht="15" hidden="false" customHeight="false" outlineLevel="0" collapsed="false">
      <c r="A132" s="57"/>
      <c r="B132" s="30"/>
      <c r="C132" s="59"/>
      <c r="D132" s="58"/>
      <c r="E132" s="59"/>
      <c r="G132" s="0" t="str">
        <f aca="false">IF(AND(B132&lt;&gt;"",COUNTIF(B$6:B132,B132)=1),MAX(G$5:G131)+1,"")</f>
        <v/>
      </c>
      <c r="H132" s="0" t="str">
        <f aca="false">IF(A132="","",IF(ISNUMBER(A132),IF(A132&gt;=36526,A132,""),IFERROR(DATEVALUE(A132),"")))</f>
        <v/>
      </c>
      <c r="I132" s="0" t="str">
        <f aca="false">IF(H132="","",INT((H132-SAT1)/7)+1)</f>
        <v/>
      </c>
      <c r="J132" s="0" t="str">
        <f aca="false">IF(I132="","",IF(OR(I132&lt;1,I132&gt;NW),"",INDEX(WMON,I132)))</f>
        <v/>
      </c>
    </row>
    <row r="133" customFormat="false" ht="15" hidden="false" customHeight="false" outlineLevel="0" collapsed="false">
      <c r="A133" s="57"/>
      <c r="B133" s="30"/>
      <c r="C133" s="59"/>
      <c r="D133" s="58"/>
      <c r="E133" s="59"/>
      <c r="G133" s="0" t="str">
        <f aca="false">IF(AND(B133&lt;&gt;"",COUNTIF(B$6:B133,B133)=1),MAX(G$5:G132)+1,"")</f>
        <v/>
      </c>
      <c r="H133" s="0" t="str">
        <f aca="false">IF(A133="","",IF(ISNUMBER(A133),IF(A133&gt;=36526,A133,""),IFERROR(DATEVALUE(A133),"")))</f>
        <v/>
      </c>
      <c r="I133" s="0" t="str">
        <f aca="false">IF(H133="","",INT((H133-SAT1)/7)+1)</f>
        <v/>
      </c>
      <c r="J133" s="0" t="str">
        <f aca="false">IF(I133="","",IF(OR(I133&lt;1,I133&gt;NW),"",INDEX(WMON,I133)))</f>
        <v/>
      </c>
    </row>
    <row r="134" customFormat="false" ht="15" hidden="false" customHeight="false" outlineLevel="0" collapsed="false">
      <c r="A134" s="57"/>
      <c r="B134" s="30"/>
      <c r="C134" s="59"/>
      <c r="D134" s="58"/>
      <c r="E134" s="59"/>
      <c r="G134" s="0" t="str">
        <f aca="false">IF(AND(B134&lt;&gt;"",COUNTIF(B$6:B134,B134)=1),MAX(G$5:G133)+1,"")</f>
        <v/>
      </c>
      <c r="H134" s="0" t="str">
        <f aca="false">IF(A134="","",IF(ISNUMBER(A134),IF(A134&gt;=36526,A134,""),IFERROR(DATEVALUE(A134),"")))</f>
        <v/>
      </c>
      <c r="I134" s="0" t="str">
        <f aca="false">IF(H134="","",INT((H134-SAT1)/7)+1)</f>
        <v/>
      </c>
      <c r="J134" s="0" t="str">
        <f aca="false">IF(I134="","",IF(OR(I134&lt;1,I134&gt;NW),"",INDEX(WMON,I134)))</f>
        <v/>
      </c>
    </row>
    <row r="135" customFormat="false" ht="15" hidden="false" customHeight="false" outlineLevel="0" collapsed="false">
      <c r="A135" s="57"/>
      <c r="B135" s="30"/>
      <c r="C135" s="59"/>
      <c r="D135" s="58"/>
      <c r="E135" s="59"/>
      <c r="G135" s="0" t="str">
        <f aca="false">IF(AND(B135&lt;&gt;"",COUNTIF(B$6:B135,B135)=1),MAX(G$5:G134)+1,"")</f>
        <v/>
      </c>
      <c r="H135" s="0" t="str">
        <f aca="false">IF(A135="","",IF(ISNUMBER(A135),IF(A135&gt;=36526,A135,""),IFERROR(DATEVALUE(A135),"")))</f>
        <v/>
      </c>
      <c r="I135" s="0" t="str">
        <f aca="false">IF(H135="","",INT((H135-SAT1)/7)+1)</f>
        <v/>
      </c>
      <c r="J135" s="0" t="str">
        <f aca="false">IF(I135="","",IF(OR(I135&lt;1,I135&gt;NW),"",INDEX(WMON,I135)))</f>
        <v/>
      </c>
    </row>
    <row r="136" customFormat="false" ht="15" hidden="false" customHeight="false" outlineLevel="0" collapsed="false">
      <c r="A136" s="57"/>
      <c r="B136" s="30"/>
      <c r="C136" s="59"/>
      <c r="D136" s="58"/>
      <c r="E136" s="59"/>
      <c r="G136" s="0" t="str">
        <f aca="false">IF(AND(B136&lt;&gt;"",COUNTIF(B$6:B136,B136)=1),MAX(G$5:G135)+1,"")</f>
        <v/>
      </c>
      <c r="H136" s="0" t="str">
        <f aca="false">IF(A136="","",IF(ISNUMBER(A136),IF(A136&gt;=36526,A136,""),IFERROR(DATEVALUE(A136),"")))</f>
        <v/>
      </c>
      <c r="I136" s="0" t="str">
        <f aca="false">IF(H136="","",INT((H136-SAT1)/7)+1)</f>
        <v/>
      </c>
      <c r="J136" s="0" t="str">
        <f aca="false">IF(I136="","",IF(OR(I136&lt;1,I136&gt;NW),"",INDEX(WMON,I136)))</f>
        <v/>
      </c>
    </row>
    <row r="137" customFormat="false" ht="15" hidden="false" customHeight="false" outlineLevel="0" collapsed="false">
      <c r="A137" s="57"/>
      <c r="B137" s="30"/>
      <c r="C137" s="59"/>
      <c r="D137" s="58"/>
      <c r="E137" s="59"/>
      <c r="G137" s="0" t="str">
        <f aca="false">IF(AND(B137&lt;&gt;"",COUNTIF(B$6:B137,B137)=1),MAX(G$5:G136)+1,"")</f>
        <v/>
      </c>
      <c r="H137" s="0" t="str">
        <f aca="false">IF(A137="","",IF(ISNUMBER(A137),IF(A137&gt;=36526,A137,""),IFERROR(DATEVALUE(A137),"")))</f>
        <v/>
      </c>
      <c r="I137" s="0" t="str">
        <f aca="false">IF(H137="","",INT((H137-SAT1)/7)+1)</f>
        <v/>
      </c>
      <c r="J137" s="0" t="str">
        <f aca="false">IF(I137="","",IF(OR(I137&lt;1,I137&gt;NW),"",INDEX(WMON,I137)))</f>
        <v/>
      </c>
    </row>
    <row r="138" customFormat="false" ht="15" hidden="false" customHeight="false" outlineLevel="0" collapsed="false">
      <c r="A138" s="57"/>
      <c r="B138" s="30"/>
      <c r="C138" s="59"/>
      <c r="D138" s="58"/>
      <c r="E138" s="59"/>
      <c r="G138" s="0" t="str">
        <f aca="false">IF(AND(B138&lt;&gt;"",COUNTIF(B$6:B138,B138)=1),MAX(G$5:G137)+1,"")</f>
        <v/>
      </c>
      <c r="H138" s="0" t="str">
        <f aca="false">IF(A138="","",IF(ISNUMBER(A138),IF(A138&gt;=36526,A138,""),IFERROR(DATEVALUE(A138),"")))</f>
        <v/>
      </c>
      <c r="I138" s="0" t="str">
        <f aca="false">IF(H138="","",INT((H138-SAT1)/7)+1)</f>
        <v/>
      </c>
      <c r="J138" s="0" t="str">
        <f aca="false">IF(I138="","",IF(OR(I138&lt;1,I138&gt;NW),"",INDEX(WMON,I138)))</f>
        <v/>
      </c>
    </row>
    <row r="139" customFormat="false" ht="15" hidden="false" customHeight="false" outlineLevel="0" collapsed="false">
      <c r="A139" s="57"/>
      <c r="B139" s="30"/>
      <c r="C139" s="59"/>
      <c r="D139" s="58"/>
      <c r="E139" s="59"/>
      <c r="G139" s="0" t="str">
        <f aca="false">IF(AND(B139&lt;&gt;"",COUNTIF(B$6:B139,B139)=1),MAX(G$5:G138)+1,"")</f>
        <v/>
      </c>
      <c r="H139" s="0" t="str">
        <f aca="false">IF(A139="","",IF(ISNUMBER(A139),IF(A139&gt;=36526,A139,""),IFERROR(DATEVALUE(A139),"")))</f>
        <v/>
      </c>
      <c r="I139" s="0" t="str">
        <f aca="false">IF(H139="","",INT((H139-SAT1)/7)+1)</f>
        <v/>
      </c>
      <c r="J139" s="0" t="str">
        <f aca="false">IF(I139="","",IF(OR(I139&lt;1,I139&gt;NW),"",INDEX(WMON,I139)))</f>
        <v/>
      </c>
    </row>
    <row r="140" customFormat="false" ht="15" hidden="false" customHeight="false" outlineLevel="0" collapsed="false">
      <c r="A140" s="57"/>
      <c r="B140" s="30"/>
      <c r="C140" s="59"/>
      <c r="D140" s="58"/>
      <c r="E140" s="59"/>
      <c r="G140" s="0" t="str">
        <f aca="false">IF(AND(B140&lt;&gt;"",COUNTIF(B$6:B140,B140)=1),MAX(G$5:G139)+1,"")</f>
        <v/>
      </c>
      <c r="H140" s="0" t="str">
        <f aca="false">IF(A140="","",IF(ISNUMBER(A140),IF(A140&gt;=36526,A140,""),IFERROR(DATEVALUE(A140),"")))</f>
        <v/>
      </c>
      <c r="I140" s="0" t="str">
        <f aca="false">IF(H140="","",INT((H140-SAT1)/7)+1)</f>
        <v/>
      </c>
      <c r="J140" s="0" t="str">
        <f aca="false">IF(I140="","",IF(OR(I140&lt;1,I140&gt;NW),"",INDEX(WMON,I140)))</f>
        <v/>
      </c>
    </row>
    <row r="141" customFormat="false" ht="15" hidden="false" customHeight="false" outlineLevel="0" collapsed="false">
      <c r="A141" s="57"/>
      <c r="B141" s="30"/>
      <c r="C141" s="59"/>
      <c r="D141" s="58"/>
      <c r="E141" s="59"/>
      <c r="G141" s="0" t="str">
        <f aca="false">IF(AND(B141&lt;&gt;"",COUNTIF(B$6:B141,B141)=1),MAX(G$5:G140)+1,"")</f>
        <v/>
      </c>
      <c r="H141" s="0" t="str">
        <f aca="false">IF(A141="","",IF(ISNUMBER(A141),IF(A141&gt;=36526,A141,""),IFERROR(DATEVALUE(A141),"")))</f>
        <v/>
      </c>
      <c r="I141" s="0" t="str">
        <f aca="false">IF(H141="","",INT((H141-SAT1)/7)+1)</f>
        <v/>
      </c>
      <c r="J141" s="0" t="str">
        <f aca="false">IF(I141="","",IF(OR(I141&lt;1,I141&gt;NW),"",INDEX(WMON,I141)))</f>
        <v/>
      </c>
    </row>
    <row r="142" customFormat="false" ht="15" hidden="false" customHeight="false" outlineLevel="0" collapsed="false">
      <c r="A142" s="57"/>
      <c r="B142" s="30"/>
      <c r="C142" s="59"/>
      <c r="D142" s="58"/>
      <c r="E142" s="59"/>
      <c r="G142" s="0" t="str">
        <f aca="false">IF(AND(B142&lt;&gt;"",COUNTIF(B$6:B142,B142)=1),MAX(G$5:G141)+1,"")</f>
        <v/>
      </c>
      <c r="H142" s="0" t="str">
        <f aca="false">IF(A142="","",IF(ISNUMBER(A142),IF(A142&gt;=36526,A142,""),IFERROR(DATEVALUE(A142),"")))</f>
        <v/>
      </c>
      <c r="I142" s="0" t="str">
        <f aca="false">IF(H142="","",INT((H142-SAT1)/7)+1)</f>
        <v/>
      </c>
      <c r="J142" s="0" t="str">
        <f aca="false">IF(I142="","",IF(OR(I142&lt;1,I142&gt;NW),"",INDEX(WMON,I142)))</f>
        <v/>
      </c>
    </row>
    <row r="143" customFormat="false" ht="15" hidden="false" customHeight="false" outlineLevel="0" collapsed="false">
      <c r="A143" s="57"/>
      <c r="B143" s="30"/>
      <c r="C143" s="59"/>
      <c r="D143" s="58"/>
      <c r="E143" s="59"/>
      <c r="G143" s="0" t="str">
        <f aca="false">IF(AND(B143&lt;&gt;"",COUNTIF(B$6:B143,B143)=1),MAX(G$5:G142)+1,"")</f>
        <v/>
      </c>
      <c r="H143" s="0" t="str">
        <f aca="false">IF(A143="","",IF(ISNUMBER(A143),IF(A143&gt;=36526,A143,""),IFERROR(DATEVALUE(A143),"")))</f>
        <v/>
      </c>
      <c r="I143" s="0" t="str">
        <f aca="false">IF(H143="","",INT((H143-SAT1)/7)+1)</f>
        <v/>
      </c>
      <c r="J143" s="0" t="str">
        <f aca="false">IF(I143="","",IF(OR(I143&lt;1,I143&gt;NW),"",INDEX(WMON,I143)))</f>
        <v/>
      </c>
    </row>
    <row r="144" customFormat="false" ht="15" hidden="false" customHeight="false" outlineLevel="0" collapsed="false">
      <c r="A144" s="57"/>
      <c r="B144" s="30"/>
      <c r="C144" s="59"/>
      <c r="D144" s="58"/>
      <c r="E144" s="59"/>
      <c r="G144" s="0" t="str">
        <f aca="false">IF(AND(B144&lt;&gt;"",COUNTIF(B$6:B144,B144)=1),MAX(G$5:G143)+1,"")</f>
        <v/>
      </c>
      <c r="H144" s="0" t="str">
        <f aca="false">IF(A144="","",IF(ISNUMBER(A144),IF(A144&gt;=36526,A144,""),IFERROR(DATEVALUE(A144),"")))</f>
        <v/>
      </c>
      <c r="I144" s="0" t="str">
        <f aca="false">IF(H144="","",INT((H144-SAT1)/7)+1)</f>
        <v/>
      </c>
      <c r="J144" s="0" t="str">
        <f aca="false">IF(I144="","",IF(OR(I144&lt;1,I144&gt;NW),"",INDEX(WMON,I144)))</f>
        <v/>
      </c>
    </row>
    <row r="145" customFormat="false" ht="15" hidden="false" customHeight="false" outlineLevel="0" collapsed="false">
      <c r="A145" s="57"/>
      <c r="B145" s="30"/>
      <c r="C145" s="59"/>
      <c r="D145" s="58"/>
      <c r="E145" s="59"/>
      <c r="G145" s="0" t="str">
        <f aca="false">IF(AND(B145&lt;&gt;"",COUNTIF(B$6:B145,B145)=1),MAX(G$5:G144)+1,"")</f>
        <v/>
      </c>
      <c r="H145" s="0" t="str">
        <f aca="false">IF(A145="","",IF(ISNUMBER(A145),IF(A145&gt;=36526,A145,""),IFERROR(DATEVALUE(A145),"")))</f>
        <v/>
      </c>
      <c r="I145" s="0" t="str">
        <f aca="false">IF(H145="","",INT((H145-SAT1)/7)+1)</f>
        <v/>
      </c>
      <c r="J145" s="0" t="str">
        <f aca="false">IF(I145="","",IF(OR(I145&lt;1,I145&gt;NW),"",INDEX(WMON,I145)))</f>
        <v/>
      </c>
    </row>
    <row r="146" customFormat="false" ht="15" hidden="false" customHeight="false" outlineLevel="0" collapsed="false">
      <c r="A146" s="57"/>
      <c r="B146" s="30"/>
      <c r="C146" s="59"/>
      <c r="D146" s="58"/>
      <c r="E146" s="59"/>
      <c r="G146" s="0" t="str">
        <f aca="false">IF(AND(B146&lt;&gt;"",COUNTIF(B$6:B146,B146)=1),MAX(G$5:G145)+1,"")</f>
        <v/>
      </c>
      <c r="H146" s="0" t="str">
        <f aca="false">IF(A146="","",IF(ISNUMBER(A146),IF(A146&gt;=36526,A146,""),IFERROR(DATEVALUE(A146),"")))</f>
        <v/>
      </c>
      <c r="I146" s="0" t="str">
        <f aca="false">IF(H146="","",INT((H146-SAT1)/7)+1)</f>
        <v/>
      </c>
      <c r="J146" s="0" t="str">
        <f aca="false">IF(I146="","",IF(OR(I146&lt;1,I146&gt;NW),"",INDEX(WMON,I146)))</f>
        <v/>
      </c>
    </row>
    <row r="147" customFormat="false" ht="15" hidden="false" customHeight="false" outlineLevel="0" collapsed="false">
      <c r="A147" s="57"/>
      <c r="B147" s="30"/>
      <c r="C147" s="59"/>
      <c r="D147" s="58"/>
      <c r="E147" s="59"/>
      <c r="G147" s="0" t="str">
        <f aca="false">IF(AND(B147&lt;&gt;"",COUNTIF(B$6:B147,B147)=1),MAX(G$5:G146)+1,"")</f>
        <v/>
      </c>
      <c r="H147" s="0" t="str">
        <f aca="false">IF(A147="","",IF(ISNUMBER(A147),IF(A147&gt;=36526,A147,""),IFERROR(DATEVALUE(A147),"")))</f>
        <v/>
      </c>
      <c r="I147" s="0" t="str">
        <f aca="false">IF(H147="","",INT((H147-SAT1)/7)+1)</f>
        <v/>
      </c>
      <c r="J147" s="0" t="str">
        <f aca="false">IF(I147="","",IF(OR(I147&lt;1,I147&gt;NW),"",INDEX(WMON,I147)))</f>
        <v/>
      </c>
    </row>
    <row r="148" customFormat="false" ht="15" hidden="false" customHeight="false" outlineLevel="0" collapsed="false">
      <c r="A148" s="57"/>
      <c r="B148" s="30"/>
      <c r="C148" s="59"/>
      <c r="D148" s="58"/>
      <c r="E148" s="59"/>
      <c r="G148" s="0" t="str">
        <f aca="false">IF(AND(B148&lt;&gt;"",COUNTIF(B$6:B148,B148)=1),MAX(G$5:G147)+1,"")</f>
        <v/>
      </c>
      <c r="H148" s="0" t="str">
        <f aca="false">IF(A148="","",IF(ISNUMBER(A148),IF(A148&gt;=36526,A148,""),IFERROR(DATEVALUE(A148),"")))</f>
        <v/>
      </c>
      <c r="I148" s="0" t="str">
        <f aca="false">IF(H148="","",INT((H148-SAT1)/7)+1)</f>
        <v/>
      </c>
      <c r="J148" s="0" t="str">
        <f aca="false">IF(I148="","",IF(OR(I148&lt;1,I148&gt;NW),"",INDEX(WMON,I148)))</f>
        <v/>
      </c>
    </row>
    <row r="149" customFormat="false" ht="15" hidden="false" customHeight="false" outlineLevel="0" collapsed="false">
      <c r="A149" s="57"/>
      <c r="B149" s="30"/>
      <c r="C149" s="59"/>
      <c r="D149" s="58"/>
      <c r="E149" s="59"/>
      <c r="G149" s="0" t="str">
        <f aca="false">IF(AND(B149&lt;&gt;"",COUNTIF(B$6:B149,B149)=1),MAX(G$5:G148)+1,"")</f>
        <v/>
      </c>
      <c r="H149" s="0" t="str">
        <f aca="false">IF(A149="","",IF(ISNUMBER(A149),IF(A149&gt;=36526,A149,""),IFERROR(DATEVALUE(A149),"")))</f>
        <v/>
      </c>
      <c r="I149" s="0" t="str">
        <f aca="false">IF(H149="","",INT((H149-SAT1)/7)+1)</f>
        <v/>
      </c>
      <c r="J149" s="0" t="str">
        <f aca="false">IF(I149="","",IF(OR(I149&lt;1,I149&gt;NW),"",INDEX(WMON,I149)))</f>
        <v/>
      </c>
    </row>
    <row r="150" customFormat="false" ht="15" hidden="false" customHeight="false" outlineLevel="0" collapsed="false">
      <c r="A150" s="57"/>
      <c r="B150" s="30"/>
      <c r="C150" s="59"/>
      <c r="D150" s="58"/>
      <c r="E150" s="59"/>
      <c r="G150" s="0" t="str">
        <f aca="false">IF(AND(B150&lt;&gt;"",COUNTIF(B$6:B150,B150)=1),MAX(G$5:G149)+1,"")</f>
        <v/>
      </c>
      <c r="H150" s="0" t="str">
        <f aca="false">IF(A150="","",IF(ISNUMBER(A150),IF(A150&gt;=36526,A150,""),IFERROR(DATEVALUE(A150),"")))</f>
        <v/>
      </c>
      <c r="I150" s="0" t="str">
        <f aca="false">IF(H150="","",INT((H150-SAT1)/7)+1)</f>
        <v/>
      </c>
      <c r="J150" s="0" t="str">
        <f aca="false">IF(I150="","",IF(OR(I150&lt;1,I150&gt;NW),"",INDEX(WMON,I150)))</f>
        <v/>
      </c>
    </row>
    <row r="151" customFormat="false" ht="15" hidden="false" customHeight="false" outlineLevel="0" collapsed="false">
      <c r="A151" s="57"/>
      <c r="B151" s="30"/>
      <c r="C151" s="59"/>
      <c r="D151" s="58"/>
      <c r="E151" s="59"/>
      <c r="G151" s="0" t="str">
        <f aca="false">IF(AND(B151&lt;&gt;"",COUNTIF(B$6:B151,B151)=1),MAX(G$5:G150)+1,"")</f>
        <v/>
      </c>
      <c r="H151" s="0" t="str">
        <f aca="false">IF(A151="","",IF(ISNUMBER(A151),IF(A151&gt;=36526,A151,""),IFERROR(DATEVALUE(A151),"")))</f>
        <v/>
      </c>
      <c r="I151" s="0" t="str">
        <f aca="false">IF(H151="","",INT((H151-SAT1)/7)+1)</f>
        <v/>
      </c>
      <c r="J151" s="0" t="str">
        <f aca="false">IF(I151="","",IF(OR(I151&lt;1,I151&gt;NW),"",INDEX(WMON,I151)))</f>
        <v/>
      </c>
    </row>
    <row r="152" customFormat="false" ht="15" hidden="false" customHeight="false" outlineLevel="0" collapsed="false">
      <c r="A152" s="57"/>
      <c r="B152" s="30"/>
      <c r="C152" s="59"/>
      <c r="D152" s="58"/>
      <c r="E152" s="59"/>
      <c r="G152" s="0" t="str">
        <f aca="false">IF(AND(B152&lt;&gt;"",COUNTIF(B$6:B152,B152)=1),MAX(G$5:G151)+1,"")</f>
        <v/>
      </c>
      <c r="H152" s="0" t="str">
        <f aca="false">IF(A152="","",IF(ISNUMBER(A152),IF(A152&gt;=36526,A152,""),IFERROR(DATEVALUE(A152),"")))</f>
        <v/>
      </c>
      <c r="I152" s="0" t="str">
        <f aca="false">IF(H152="","",INT((H152-SAT1)/7)+1)</f>
        <v/>
      </c>
      <c r="J152" s="0" t="str">
        <f aca="false">IF(I152="","",IF(OR(I152&lt;1,I152&gt;NW),"",INDEX(WMON,I152)))</f>
        <v/>
      </c>
    </row>
    <row r="153" customFormat="false" ht="15" hidden="false" customHeight="false" outlineLevel="0" collapsed="false">
      <c r="A153" s="57"/>
      <c r="B153" s="30"/>
      <c r="C153" s="59"/>
      <c r="D153" s="58"/>
      <c r="E153" s="59"/>
      <c r="G153" s="0" t="str">
        <f aca="false">IF(AND(B153&lt;&gt;"",COUNTIF(B$6:B153,B153)=1),MAX(G$5:G152)+1,"")</f>
        <v/>
      </c>
      <c r="H153" s="0" t="str">
        <f aca="false">IF(A153="","",IF(ISNUMBER(A153),IF(A153&gt;=36526,A153,""),IFERROR(DATEVALUE(A153),"")))</f>
        <v/>
      </c>
      <c r="I153" s="0" t="str">
        <f aca="false">IF(H153="","",INT((H153-SAT1)/7)+1)</f>
        <v/>
      </c>
      <c r="J153" s="0" t="str">
        <f aca="false">IF(I153="","",IF(OR(I153&lt;1,I153&gt;NW),"",INDEX(WMON,I153)))</f>
        <v/>
      </c>
    </row>
    <row r="154" customFormat="false" ht="15" hidden="false" customHeight="false" outlineLevel="0" collapsed="false">
      <c r="A154" s="57"/>
      <c r="B154" s="30"/>
      <c r="C154" s="59"/>
      <c r="D154" s="58"/>
      <c r="E154" s="59"/>
      <c r="G154" s="0" t="str">
        <f aca="false">IF(AND(B154&lt;&gt;"",COUNTIF(B$6:B154,B154)=1),MAX(G$5:G153)+1,"")</f>
        <v/>
      </c>
      <c r="H154" s="0" t="str">
        <f aca="false">IF(A154="","",IF(ISNUMBER(A154),IF(A154&gt;=36526,A154,""),IFERROR(DATEVALUE(A154),"")))</f>
        <v/>
      </c>
      <c r="I154" s="0" t="str">
        <f aca="false">IF(H154="","",INT((H154-SAT1)/7)+1)</f>
        <v/>
      </c>
      <c r="J154" s="0" t="str">
        <f aca="false">IF(I154="","",IF(OR(I154&lt;1,I154&gt;NW),"",INDEX(WMON,I154)))</f>
        <v/>
      </c>
    </row>
    <row r="155" customFormat="false" ht="15" hidden="false" customHeight="false" outlineLevel="0" collapsed="false">
      <c r="A155" s="57"/>
      <c r="B155" s="30"/>
      <c r="C155" s="59"/>
      <c r="D155" s="58"/>
      <c r="E155" s="59"/>
      <c r="G155" s="0" t="str">
        <f aca="false">IF(AND(B155&lt;&gt;"",COUNTIF(B$6:B155,B155)=1),MAX(G$5:G154)+1,"")</f>
        <v/>
      </c>
      <c r="H155" s="0" t="str">
        <f aca="false">IF(A155="","",IF(ISNUMBER(A155),IF(A155&gt;=36526,A155,""),IFERROR(DATEVALUE(A155),"")))</f>
        <v/>
      </c>
      <c r="I155" s="0" t="str">
        <f aca="false">IF(H155="","",INT((H155-SAT1)/7)+1)</f>
        <v/>
      </c>
      <c r="J155" s="0" t="str">
        <f aca="false">IF(I155="","",IF(OR(I155&lt;1,I155&gt;NW),"",INDEX(WMON,I155)))</f>
        <v/>
      </c>
    </row>
    <row r="156" customFormat="false" ht="15" hidden="false" customHeight="false" outlineLevel="0" collapsed="false">
      <c r="A156" s="57"/>
      <c r="B156" s="30"/>
      <c r="C156" s="59"/>
      <c r="D156" s="58"/>
      <c r="E156" s="59"/>
      <c r="G156" s="0" t="str">
        <f aca="false">IF(AND(B156&lt;&gt;"",COUNTIF(B$6:B156,B156)=1),MAX(G$5:G155)+1,"")</f>
        <v/>
      </c>
      <c r="H156" s="0" t="str">
        <f aca="false">IF(A156="","",IF(ISNUMBER(A156),IF(A156&gt;=36526,A156,""),IFERROR(DATEVALUE(A156),"")))</f>
        <v/>
      </c>
      <c r="I156" s="0" t="str">
        <f aca="false">IF(H156="","",INT((H156-SAT1)/7)+1)</f>
        <v/>
      </c>
      <c r="J156" s="0" t="str">
        <f aca="false">IF(I156="","",IF(OR(I156&lt;1,I156&gt;NW),"",INDEX(WMON,I156)))</f>
        <v/>
      </c>
    </row>
    <row r="157" customFormat="false" ht="15" hidden="false" customHeight="false" outlineLevel="0" collapsed="false">
      <c r="A157" s="57"/>
      <c r="B157" s="30"/>
      <c r="C157" s="59"/>
      <c r="D157" s="58"/>
      <c r="E157" s="59"/>
      <c r="G157" s="0" t="str">
        <f aca="false">IF(AND(B157&lt;&gt;"",COUNTIF(B$6:B157,B157)=1),MAX(G$5:G156)+1,"")</f>
        <v/>
      </c>
      <c r="H157" s="0" t="str">
        <f aca="false">IF(A157="","",IF(ISNUMBER(A157),IF(A157&gt;=36526,A157,""),IFERROR(DATEVALUE(A157),"")))</f>
        <v/>
      </c>
      <c r="I157" s="0" t="str">
        <f aca="false">IF(H157="","",INT((H157-SAT1)/7)+1)</f>
        <v/>
      </c>
      <c r="J157" s="0" t="str">
        <f aca="false">IF(I157="","",IF(OR(I157&lt;1,I157&gt;NW),"",INDEX(WMON,I157)))</f>
        <v/>
      </c>
    </row>
    <row r="158" customFormat="false" ht="15" hidden="false" customHeight="false" outlineLevel="0" collapsed="false">
      <c r="A158" s="57"/>
      <c r="B158" s="30"/>
      <c r="C158" s="59"/>
      <c r="D158" s="58"/>
      <c r="E158" s="59"/>
      <c r="G158" s="0" t="str">
        <f aca="false">IF(AND(B158&lt;&gt;"",COUNTIF(B$6:B158,B158)=1),MAX(G$5:G157)+1,"")</f>
        <v/>
      </c>
      <c r="H158" s="0" t="str">
        <f aca="false">IF(A158="","",IF(ISNUMBER(A158),IF(A158&gt;=36526,A158,""),IFERROR(DATEVALUE(A158),"")))</f>
        <v/>
      </c>
      <c r="I158" s="0" t="str">
        <f aca="false">IF(H158="","",INT((H158-SAT1)/7)+1)</f>
        <v/>
      </c>
      <c r="J158" s="0" t="str">
        <f aca="false">IF(I158="","",IF(OR(I158&lt;1,I158&gt;NW),"",INDEX(WMON,I158)))</f>
        <v/>
      </c>
    </row>
    <row r="159" customFormat="false" ht="15" hidden="false" customHeight="false" outlineLevel="0" collapsed="false">
      <c r="A159" s="57"/>
      <c r="B159" s="30"/>
      <c r="C159" s="59"/>
      <c r="D159" s="58"/>
      <c r="E159" s="59"/>
      <c r="G159" s="0" t="str">
        <f aca="false">IF(AND(B159&lt;&gt;"",COUNTIF(B$6:B159,B159)=1),MAX(G$5:G158)+1,"")</f>
        <v/>
      </c>
      <c r="H159" s="0" t="str">
        <f aca="false">IF(A159="","",IF(ISNUMBER(A159),IF(A159&gt;=36526,A159,""),IFERROR(DATEVALUE(A159),"")))</f>
        <v/>
      </c>
      <c r="I159" s="0" t="str">
        <f aca="false">IF(H159="","",INT((H159-SAT1)/7)+1)</f>
        <v/>
      </c>
      <c r="J159" s="0" t="str">
        <f aca="false">IF(I159="","",IF(OR(I159&lt;1,I159&gt;NW),"",INDEX(WMON,I159)))</f>
        <v/>
      </c>
    </row>
    <row r="160" customFormat="false" ht="15" hidden="false" customHeight="false" outlineLevel="0" collapsed="false">
      <c r="A160" s="57"/>
      <c r="B160" s="30"/>
      <c r="C160" s="59"/>
      <c r="D160" s="58"/>
      <c r="E160" s="59"/>
      <c r="G160" s="0" t="str">
        <f aca="false">IF(AND(B160&lt;&gt;"",COUNTIF(B$6:B160,B160)=1),MAX(G$5:G159)+1,"")</f>
        <v/>
      </c>
      <c r="H160" s="0" t="str">
        <f aca="false">IF(A160="","",IF(ISNUMBER(A160),IF(A160&gt;=36526,A160,""),IFERROR(DATEVALUE(A160),"")))</f>
        <v/>
      </c>
      <c r="I160" s="0" t="str">
        <f aca="false">IF(H160="","",INT((H160-SAT1)/7)+1)</f>
        <v/>
      </c>
      <c r="J160" s="0" t="str">
        <f aca="false">IF(I160="","",IF(OR(I160&lt;1,I160&gt;NW),"",INDEX(WMON,I160)))</f>
        <v/>
      </c>
    </row>
    <row r="161" customFormat="false" ht="15" hidden="false" customHeight="false" outlineLevel="0" collapsed="false">
      <c r="A161" s="57"/>
      <c r="B161" s="30"/>
      <c r="C161" s="59"/>
      <c r="D161" s="58"/>
      <c r="E161" s="59"/>
      <c r="G161" s="0" t="str">
        <f aca="false">IF(AND(B161&lt;&gt;"",COUNTIF(B$6:B161,B161)=1),MAX(G$5:G160)+1,"")</f>
        <v/>
      </c>
      <c r="H161" s="0" t="str">
        <f aca="false">IF(A161="","",IF(ISNUMBER(A161),IF(A161&gt;=36526,A161,""),IFERROR(DATEVALUE(A161),"")))</f>
        <v/>
      </c>
      <c r="I161" s="0" t="str">
        <f aca="false">IF(H161="","",INT((H161-SAT1)/7)+1)</f>
        <v/>
      </c>
      <c r="J161" s="0" t="str">
        <f aca="false">IF(I161="","",IF(OR(I161&lt;1,I161&gt;NW),"",INDEX(WMON,I161)))</f>
        <v/>
      </c>
    </row>
    <row r="162" customFormat="false" ht="15" hidden="false" customHeight="false" outlineLevel="0" collapsed="false">
      <c r="A162" s="57"/>
      <c r="B162" s="30"/>
      <c r="C162" s="59"/>
      <c r="D162" s="58"/>
      <c r="E162" s="59"/>
      <c r="G162" s="0" t="str">
        <f aca="false">IF(AND(B162&lt;&gt;"",COUNTIF(B$6:B162,B162)=1),MAX(G$5:G161)+1,"")</f>
        <v/>
      </c>
      <c r="H162" s="0" t="str">
        <f aca="false">IF(A162="","",IF(ISNUMBER(A162),IF(A162&gt;=36526,A162,""),IFERROR(DATEVALUE(A162),"")))</f>
        <v/>
      </c>
      <c r="I162" s="0" t="str">
        <f aca="false">IF(H162="","",INT((H162-SAT1)/7)+1)</f>
        <v/>
      </c>
      <c r="J162" s="0" t="str">
        <f aca="false">IF(I162="","",IF(OR(I162&lt;1,I162&gt;NW),"",INDEX(WMON,I162)))</f>
        <v/>
      </c>
    </row>
    <row r="163" customFormat="false" ht="15" hidden="false" customHeight="false" outlineLevel="0" collapsed="false">
      <c r="A163" s="57"/>
      <c r="B163" s="30"/>
      <c r="C163" s="59"/>
      <c r="D163" s="58"/>
      <c r="E163" s="59"/>
      <c r="G163" s="0" t="str">
        <f aca="false">IF(AND(B163&lt;&gt;"",COUNTIF(B$6:B163,B163)=1),MAX(G$5:G162)+1,"")</f>
        <v/>
      </c>
      <c r="H163" s="0" t="str">
        <f aca="false">IF(A163="","",IF(ISNUMBER(A163),IF(A163&gt;=36526,A163,""),IFERROR(DATEVALUE(A163),"")))</f>
        <v/>
      </c>
      <c r="I163" s="0" t="str">
        <f aca="false">IF(H163="","",INT((H163-SAT1)/7)+1)</f>
        <v/>
      </c>
      <c r="J163" s="0" t="str">
        <f aca="false">IF(I163="","",IF(OR(I163&lt;1,I163&gt;NW),"",INDEX(WMON,I163)))</f>
        <v/>
      </c>
    </row>
    <row r="164" customFormat="false" ht="15" hidden="false" customHeight="false" outlineLevel="0" collapsed="false">
      <c r="A164" s="57"/>
      <c r="B164" s="30"/>
      <c r="C164" s="59"/>
      <c r="D164" s="58"/>
      <c r="E164" s="59"/>
      <c r="G164" s="0" t="str">
        <f aca="false">IF(AND(B164&lt;&gt;"",COUNTIF(B$6:B164,B164)=1),MAX(G$5:G163)+1,"")</f>
        <v/>
      </c>
      <c r="H164" s="0" t="str">
        <f aca="false">IF(A164="","",IF(ISNUMBER(A164),IF(A164&gt;=36526,A164,""),IFERROR(DATEVALUE(A164),"")))</f>
        <v/>
      </c>
      <c r="I164" s="0" t="str">
        <f aca="false">IF(H164="","",INT((H164-SAT1)/7)+1)</f>
        <v/>
      </c>
      <c r="J164" s="0" t="str">
        <f aca="false">IF(I164="","",IF(OR(I164&lt;1,I164&gt;NW),"",INDEX(WMON,I164)))</f>
        <v/>
      </c>
    </row>
    <row r="165" customFormat="false" ht="15" hidden="false" customHeight="false" outlineLevel="0" collapsed="false">
      <c r="A165" s="57"/>
      <c r="B165" s="30"/>
      <c r="C165" s="59"/>
      <c r="D165" s="58"/>
      <c r="E165" s="59"/>
      <c r="G165" s="0" t="str">
        <f aca="false">IF(AND(B165&lt;&gt;"",COUNTIF(B$6:B165,B165)=1),MAX(G$5:G164)+1,"")</f>
        <v/>
      </c>
      <c r="H165" s="0" t="str">
        <f aca="false">IF(A165="","",IF(ISNUMBER(A165),IF(A165&gt;=36526,A165,""),IFERROR(DATEVALUE(A165),"")))</f>
        <v/>
      </c>
      <c r="I165" s="0" t="str">
        <f aca="false">IF(H165="","",INT((H165-SAT1)/7)+1)</f>
        <v/>
      </c>
      <c r="J165" s="0" t="str">
        <f aca="false">IF(I165="","",IF(OR(I165&lt;1,I165&gt;NW),"",INDEX(WMON,I165)))</f>
        <v/>
      </c>
    </row>
    <row r="166" customFormat="false" ht="15" hidden="false" customHeight="false" outlineLevel="0" collapsed="false">
      <c r="A166" s="57"/>
      <c r="B166" s="30"/>
      <c r="C166" s="59"/>
      <c r="D166" s="58"/>
      <c r="E166" s="59"/>
      <c r="G166" s="0" t="str">
        <f aca="false">IF(AND(B166&lt;&gt;"",COUNTIF(B$6:B166,B166)=1),MAX(G$5:G165)+1,"")</f>
        <v/>
      </c>
      <c r="H166" s="0" t="str">
        <f aca="false">IF(A166="","",IF(ISNUMBER(A166),IF(A166&gt;=36526,A166,""),IFERROR(DATEVALUE(A166),"")))</f>
        <v/>
      </c>
      <c r="I166" s="0" t="str">
        <f aca="false">IF(H166="","",INT((H166-SAT1)/7)+1)</f>
        <v/>
      </c>
      <c r="J166" s="0" t="str">
        <f aca="false">IF(I166="","",IF(OR(I166&lt;1,I166&gt;NW),"",INDEX(WMON,I166)))</f>
        <v/>
      </c>
    </row>
    <row r="167" customFormat="false" ht="15" hidden="false" customHeight="false" outlineLevel="0" collapsed="false">
      <c r="A167" s="57"/>
      <c r="B167" s="30"/>
      <c r="C167" s="59"/>
      <c r="D167" s="58"/>
      <c r="E167" s="59"/>
      <c r="G167" s="0" t="str">
        <f aca="false">IF(AND(B167&lt;&gt;"",COUNTIF(B$6:B167,B167)=1),MAX(G$5:G166)+1,"")</f>
        <v/>
      </c>
      <c r="H167" s="0" t="str">
        <f aca="false">IF(A167="","",IF(ISNUMBER(A167),IF(A167&gt;=36526,A167,""),IFERROR(DATEVALUE(A167),"")))</f>
        <v/>
      </c>
      <c r="I167" s="0" t="str">
        <f aca="false">IF(H167="","",INT((H167-SAT1)/7)+1)</f>
        <v/>
      </c>
      <c r="J167" s="0" t="str">
        <f aca="false">IF(I167="","",IF(OR(I167&lt;1,I167&gt;NW),"",INDEX(WMON,I167)))</f>
        <v/>
      </c>
    </row>
    <row r="168" customFormat="false" ht="15" hidden="false" customHeight="false" outlineLevel="0" collapsed="false">
      <c r="A168" s="57"/>
      <c r="B168" s="30"/>
      <c r="C168" s="59"/>
      <c r="D168" s="58"/>
      <c r="E168" s="59"/>
      <c r="G168" s="0" t="str">
        <f aca="false">IF(AND(B168&lt;&gt;"",COUNTIF(B$6:B168,B168)=1),MAX(G$5:G167)+1,"")</f>
        <v/>
      </c>
      <c r="H168" s="0" t="str">
        <f aca="false">IF(A168="","",IF(ISNUMBER(A168),IF(A168&gt;=36526,A168,""),IFERROR(DATEVALUE(A168),"")))</f>
        <v/>
      </c>
      <c r="I168" s="0" t="str">
        <f aca="false">IF(H168="","",INT((H168-SAT1)/7)+1)</f>
        <v/>
      </c>
      <c r="J168" s="0" t="str">
        <f aca="false">IF(I168="","",IF(OR(I168&lt;1,I168&gt;NW),"",INDEX(WMON,I168)))</f>
        <v/>
      </c>
    </row>
    <row r="169" customFormat="false" ht="15" hidden="false" customHeight="false" outlineLevel="0" collapsed="false">
      <c r="A169" s="57"/>
      <c r="B169" s="30"/>
      <c r="C169" s="59"/>
      <c r="D169" s="58"/>
      <c r="E169" s="59"/>
      <c r="G169" s="0" t="str">
        <f aca="false">IF(AND(B169&lt;&gt;"",COUNTIF(B$6:B169,B169)=1),MAX(G$5:G168)+1,"")</f>
        <v/>
      </c>
      <c r="H169" s="0" t="str">
        <f aca="false">IF(A169="","",IF(ISNUMBER(A169),IF(A169&gt;=36526,A169,""),IFERROR(DATEVALUE(A169),"")))</f>
        <v/>
      </c>
      <c r="I169" s="0" t="str">
        <f aca="false">IF(H169="","",INT((H169-SAT1)/7)+1)</f>
        <v/>
      </c>
      <c r="J169" s="0" t="str">
        <f aca="false">IF(I169="","",IF(OR(I169&lt;1,I169&gt;NW),"",INDEX(WMON,I169)))</f>
        <v/>
      </c>
    </row>
    <row r="170" customFormat="false" ht="15" hidden="false" customHeight="false" outlineLevel="0" collapsed="false">
      <c r="A170" s="57"/>
      <c r="B170" s="30"/>
      <c r="C170" s="59"/>
      <c r="D170" s="58"/>
      <c r="E170" s="59"/>
      <c r="G170" s="0" t="str">
        <f aca="false">IF(AND(B170&lt;&gt;"",COUNTIF(B$6:B170,B170)=1),MAX(G$5:G169)+1,"")</f>
        <v/>
      </c>
      <c r="H170" s="0" t="str">
        <f aca="false">IF(A170="","",IF(ISNUMBER(A170),IF(A170&gt;=36526,A170,""),IFERROR(DATEVALUE(A170),"")))</f>
        <v/>
      </c>
      <c r="I170" s="0" t="str">
        <f aca="false">IF(H170="","",INT((H170-SAT1)/7)+1)</f>
        <v/>
      </c>
      <c r="J170" s="0" t="str">
        <f aca="false">IF(I170="","",IF(OR(I170&lt;1,I170&gt;NW),"",INDEX(WMON,I170)))</f>
        <v/>
      </c>
    </row>
    <row r="171" customFormat="false" ht="15" hidden="false" customHeight="false" outlineLevel="0" collapsed="false">
      <c r="A171" s="57"/>
      <c r="B171" s="30"/>
      <c r="C171" s="59"/>
      <c r="D171" s="58"/>
      <c r="E171" s="59"/>
      <c r="G171" s="0" t="str">
        <f aca="false">IF(AND(B171&lt;&gt;"",COUNTIF(B$6:B171,B171)=1),MAX(G$5:G170)+1,"")</f>
        <v/>
      </c>
      <c r="H171" s="0" t="str">
        <f aca="false">IF(A171="","",IF(ISNUMBER(A171),IF(A171&gt;=36526,A171,""),IFERROR(DATEVALUE(A171),"")))</f>
        <v/>
      </c>
      <c r="I171" s="0" t="str">
        <f aca="false">IF(H171="","",INT((H171-SAT1)/7)+1)</f>
        <v/>
      </c>
      <c r="J171" s="0" t="str">
        <f aca="false">IF(I171="","",IF(OR(I171&lt;1,I171&gt;NW),"",INDEX(WMON,I171)))</f>
        <v/>
      </c>
    </row>
    <row r="172" customFormat="false" ht="15" hidden="false" customHeight="false" outlineLevel="0" collapsed="false">
      <c r="A172" s="57"/>
      <c r="B172" s="30"/>
      <c r="C172" s="59"/>
      <c r="D172" s="58"/>
      <c r="E172" s="59"/>
      <c r="G172" s="0" t="str">
        <f aca="false">IF(AND(B172&lt;&gt;"",COUNTIF(B$6:B172,B172)=1),MAX(G$5:G171)+1,"")</f>
        <v/>
      </c>
      <c r="H172" s="0" t="str">
        <f aca="false">IF(A172="","",IF(ISNUMBER(A172),IF(A172&gt;=36526,A172,""),IFERROR(DATEVALUE(A172),"")))</f>
        <v/>
      </c>
      <c r="I172" s="0" t="str">
        <f aca="false">IF(H172="","",INT((H172-SAT1)/7)+1)</f>
        <v/>
      </c>
      <c r="J172" s="0" t="str">
        <f aca="false">IF(I172="","",IF(OR(I172&lt;1,I172&gt;NW),"",INDEX(WMON,I172)))</f>
        <v/>
      </c>
    </row>
    <row r="173" customFormat="false" ht="15" hidden="false" customHeight="false" outlineLevel="0" collapsed="false">
      <c r="A173" s="57"/>
      <c r="B173" s="30"/>
      <c r="C173" s="59"/>
      <c r="D173" s="58"/>
      <c r="E173" s="59"/>
      <c r="G173" s="0" t="str">
        <f aca="false">IF(AND(B173&lt;&gt;"",COUNTIF(B$6:B173,B173)=1),MAX(G$5:G172)+1,"")</f>
        <v/>
      </c>
      <c r="H173" s="0" t="str">
        <f aca="false">IF(A173="","",IF(ISNUMBER(A173),IF(A173&gt;=36526,A173,""),IFERROR(DATEVALUE(A173),"")))</f>
        <v/>
      </c>
      <c r="I173" s="0" t="str">
        <f aca="false">IF(H173="","",INT((H173-SAT1)/7)+1)</f>
        <v/>
      </c>
      <c r="J173" s="0" t="str">
        <f aca="false">IF(I173="","",IF(OR(I173&lt;1,I173&gt;NW),"",INDEX(WMON,I173)))</f>
        <v/>
      </c>
    </row>
    <row r="174" customFormat="false" ht="15" hidden="false" customHeight="false" outlineLevel="0" collapsed="false">
      <c r="A174" s="57"/>
      <c r="B174" s="30"/>
      <c r="C174" s="59"/>
      <c r="D174" s="58"/>
      <c r="E174" s="59"/>
      <c r="G174" s="0" t="str">
        <f aca="false">IF(AND(B174&lt;&gt;"",COUNTIF(B$6:B174,B174)=1),MAX(G$5:G173)+1,"")</f>
        <v/>
      </c>
      <c r="H174" s="0" t="str">
        <f aca="false">IF(A174="","",IF(ISNUMBER(A174),IF(A174&gt;=36526,A174,""),IFERROR(DATEVALUE(A174),"")))</f>
        <v/>
      </c>
      <c r="I174" s="0" t="str">
        <f aca="false">IF(H174="","",INT((H174-SAT1)/7)+1)</f>
        <v/>
      </c>
      <c r="J174" s="0" t="str">
        <f aca="false">IF(I174="","",IF(OR(I174&lt;1,I174&gt;NW),"",INDEX(WMON,I174)))</f>
        <v/>
      </c>
    </row>
    <row r="175" customFormat="false" ht="15" hidden="false" customHeight="false" outlineLevel="0" collapsed="false">
      <c r="A175" s="57"/>
      <c r="B175" s="30"/>
      <c r="C175" s="59"/>
      <c r="D175" s="58"/>
      <c r="E175" s="59"/>
      <c r="G175" s="0" t="str">
        <f aca="false">IF(AND(B175&lt;&gt;"",COUNTIF(B$6:B175,B175)=1),MAX(G$5:G174)+1,"")</f>
        <v/>
      </c>
      <c r="H175" s="0" t="str">
        <f aca="false">IF(A175="","",IF(ISNUMBER(A175),IF(A175&gt;=36526,A175,""),IFERROR(DATEVALUE(A175),"")))</f>
        <v/>
      </c>
      <c r="I175" s="0" t="str">
        <f aca="false">IF(H175="","",INT((H175-SAT1)/7)+1)</f>
        <v/>
      </c>
      <c r="J175" s="0" t="str">
        <f aca="false">IF(I175="","",IF(OR(I175&lt;1,I175&gt;NW),"",INDEX(WMON,I175)))</f>
        <v/>
      </c>
    </row>
    <row r="176" customFormat="false" ht="15" hidden="false" customHeight="false" outlineLevel="0" collapsed="false">
      <c r="A176" s="57"/>
      <c r="B176" s="30"/>
      <c r="C176" s="59"/>
      <c r="D176" s="58"/>
      <c r="E176" s="59"/>
      <c r="G176" s="0" t="str">
        <f aca="false">IF(AND(B176&lt;&gt;"",COUNTIF(B$6:B176,B176)=1),MAX(G$5:G175)+1,"")</f>
        <v/>
      </c>
      <c r="H176" s="0" t="str">
        <f aca="false">IF(A176="","",IF(ISNUMBER(A176),IF(A176&gt;=36526,A176,""),IFERROR(DATEVALUE(A176),"")))</f>
        <v/>
      </c>
      <c r="I176" s="0" t="str">
        <f aca="false">IF(H176="","",INT((H176-SAT1)/7)+1)</f>
        <v/>
      </c>
      <c r="J176" s="0" t="str">
        <f aca="false">IF(I176="","",IF(OR(I176&lt;1,I176&gt;NW),"",INDEX(WMON,I176)))</f>
        <v/>
      </c>
    </row>
    <row r="177" customFormat="false" ht="15" hidden="false" customHeight="false" outlineLevel="0" collapsed="false">
      <c r="A177" s="57"/>
      <c r="B177" s="30"/>
      <c r="C177" s="59"/>
      <c r="D177" s="58"/>
      <c r="E177" s="59"/>
      <c r="G177" s="0" t="str">
        <f aca="false">IF(AND(B177&lt;&gt;"",COUNTIF(B$6:B177,B177)=1),MAX(G$5:G176)+1,"")</f>
        <v/>
      </c>
      <c r="H177" s="0" t="str">
        <f aca="false">IF(A177="","",IF(ISNUMBER(A177),IF(A177&gt;=36526,A177,""),IFERROR(DATEVALUE(A177),"")))</f>
        <v/>
      </c>
      <c r="I177" s="0" t="str">
        <f aca="false">IF(H177="","",INT((H177-SAT1)/7)+1)</f>
        <v/>
      </c>
      <c r="J177" s="0" t="str">
        <f aca="false">IF(I177="","",IF(OR(I177&lt;1,I177&gt;NW),"",INDEX(WMON,I177)))</f>
        <v/>
      </c>
    </row>
    <row r="178" customFormat="false" ht="15" hidden="false" customHeight="false" outlineLevel="0" collapsed="false">
      <c r="A178" s="57"/>
      <c r="B178" s="30"/>
      <c r="C178" s="59"/>
      <c r="D178" s="58"/>
      <c r="E178" s="59"/>
      <c r="G178" s="0" t="str">
        <f aca="false">IF(AND(B178&lt;&gt;"",COUNTIF(B$6:B178,B178)=1),MAX(G$5:G177)+1,"")</f>
        <v/>
      </c>
      <c r="H178" s="0" t="str">
        <f aca="false">IF(A178="","",IF(ISNUMBER(A178),IF(A178&gt;=36526,A178,""),IFERROR(DATEVALUE(A178),"")))</f>
        <v/>
      </c>
      <c r="I178" s="0" t="str">
        <f aca="false">IF(H178="","",INT((H178-SAT1)/7)+1)</f>
        <v/>
      </c>
      <c r="J178" s="0" t="str">
        <f aca="false">IF(I178="","",IF(OR(I178&lt;1,I178&gt;NW),"",INDEX(WMON,I178)))</f>
        <v/>
      </c>
    </row>
    <row r="179" customFormat="false" ht="15" hidden="false" customHeight="false" outlineLevel="0" collapsed="false">
      <c r="A179" s="57"/>
      <c r="B179" s="30"/>
      <c r="C179" s="59"/>
      <c r="D179" s="58"/>
      <c r="E179" s="59"/>
      <c r="G179" s="0" t="str">
        <f aca="false">IF(AND(B179&lt;&gt;"",COUNTIF(B$6:B179,B179)=1),MAX(G$5:G178)+1,"")</f>
        <v/>
      </c>
      <c r="H179" s="0" t="str">
        <f aca="false">IF(A179="","",IF(ISNUMBER(A179),IF(A179&gt;=36526,A179,""),IFERROR(DATEVALUE(A179),"")))</f>
        <v/>
      </c>
      <c r="I179" s="0" t="str">
        <f aca="false">IF(H179="","",INT((H179-SAT1)/7)+1)</f>
        <v/>
      </c>
      <c r="J179" s="0" t="str">
        <f aca="false">IF(I179="","",IF(OR(I179&lt;1,I179&gt;NW),"",INDEX(WMON,I179)))</f>
        <v/>
      </c>
    </row>
    <row r="180" customFormat="false" ht="15" hidden="false" customHeight="false" outlineLevel="0" collapsed="false">
      <c r="A180" s="57"/>
      <c r="B180" s="30"/>
      <c r="C180" s="59"/>
      <c r="D180" s="58"/>
      <c r="E180" s="59"/>
      <c r="G180" s="0" t="str">
        <f aca="false">IF(AND(B180&lt;&gt;"",COUNTIF(B$6:B180,B180)=1),MAX(G$5:G179)+1,"")</f>
        <v/>
      </c>
      <c r="H180" s="0" t="str">
        <f aca="false">IF(A180="","",IF(ISNUMBER(A180),IF(A180&gt;=36526,A180,""),IFERROR(DATEVALUE(A180),"")))</f>
        <v/>
      </c>
      <c r="I180" s="0" t="str">
        <f aca="false">IF(H180="","",INT((H180-SAT1)/7)+1)</f>
        <v/>
      </c>
      <c r="J180" s="0" t="str">
        <f aca="false">IF(I180="","",IF(OR(I180&lt;1,I180&gt;NW),"",INDEX(WMON,I180)))</f>
        <v/>
      </c>
    </row>
    <row r="181" customFormat="false" ht="15" hidden="false" customHeight="false" outlineLevel="0" collapsed="false">
      <c r="A181" s="57"/>
      <c r="B181" s="30"/>
      <c r="C181" s="59"/>
      <c r="D181" s="58"/>
      <c r="E181" s="59"/>
      <c r="G181" s="0" t="str">
        <f aca="false">IF(AND(B181&lt;&gt;"",COUNTIF(B$6:B181,B181)=1),MAX(G$5:G180)+1,"")</f>
        <v/>
      </c>
      <c r="H181" s="0" t="str">
        <f aca="false">IF(A181="","",IF(ISNUMBER(A181),IF(A181&gt;=36526,A181,""),IFERROR(DATEVALUE(A181),"")))</f>
        <v/>
      </c>
      <c r="I181" s="0" t="str">
        <f aca="false">IF(H181="","",INT((H181-SAT1)/7)+1)</f>
        <v/>
      </c>
      <c r="J181" s="0" t="str">
        <f aca="false">IF(I181="","",IF(OR(I181&lt;1,I181&gt;NW),"",INDEX(WMON,I181)))</f>
        <v/>
      </c>
    </row>
    <row r="182" customFormat="false" ht="15" hidden="false" customHeight="false" outlineLevel="0" collapsed="false">
      <c r="A182" s="57"/>
      <c r="B182" s="30"/>
      <c r="C182" s="59"/>
      <c r="D182" s="58"/>
      <c r="E182" s="59"/>
      <c r="G182" s="0" t="str">
        <f aca="false">IF(AND(B182&lt;&gt;"",COUNTIF(B$6:B182,B182)=1),MAX(G$5:G181)+1,"")</f>
        <v/>
      </c>
      <c r="H182" s="0" t="str">
        <f aca="false">IF(A182="","",IF(ISNUMBER(A182),IF(A182&gt;=36526,A182,""),IFERROR(DATEVALUE(A182),"")))</f>
        <v/>
      </c>
      <c r="I182" s="0" t="str">
        <f aca="false">IF(H182="","",INT((H182-SAT1)/7)+1)</f>
        <v/>
      </c>
      <c r="J182" s="0" t="str">
        <f aca="false">IF(I182="","",IF(OR(I182&lt;1,I182&gt;NW),"",INDEX(WMON,I182)))</f>
        <v/>
      </c>
    </row>
    <row r="183" customFormat="false" ht="15" hidden="false" customHeight="false" outlineLevel="0" collapsed="false">
      <c r="A183" s="57"/>
      <c r="B183" s="30"/>
      <c r="C183" s="59"/>
      <c r="D183" s="58"/>
      <c r="E183" s="59"/>
      <c r="G183" s="0" t="str">
        <f aca="false">IF(AND(B183&lt;&gt;"",COUNTIF(B$6:B183,B183)=1),MAX(G$5:G182)+1,"")</f>
        <v/>
      </c>
      <c r="H183" s="0" t="str">
        <f aca="false">IF(A183="","",IF(ISNUMBER(A183),IF(A183&gt;=36526,A183,""),IFERROR(DATEVALUE(A183),"")))</f>
        <v/>
      </c>
      <c r="I183" s="0" t="str">
        <f aca="false">IF(H183="","",INT((H183-SAT1)/7)+1)</f>
        <v/>
      </c>
      <c r="J183" s="0" t="str">
        <f aca="false">IF(I183="","",IF(OR(I183&lt;1,I183&gt;NW),"",INDEX(WMON,I183)))</f>
        <v/>
      </c>
    </row>
    <row r="184" customFormat="false" ht="15" hidden="false" customHeight="false" outlineLevel="0" collapsed="false">
      <c r="A184" s="57"/>
      <c r="B184" s="30"/>
      <c r="C184" s="59"/>
      <c r="D184" s="58"/>
      <c r="E184" s="59"/>
      <c r="G184" s="0" t="str">
        <f aca="false">IF(AND(B184&lt;&gt;"",COUNTIF(B$6:B184,B184)=1),MAX(G$5:G183)+1,"")</f>
        <v/>
      </c>
      <c r="H184" s="0" t="str">
        <f aca="false">IF(A184="","",IF(ISNUMBER(A184),IF(A184&gt;=36526,A184,""),IFERROR(DATEVALUE(A184),"")))</f>
        <v/>
      </c>
      <c r="I184" s="0" t="str">
        <f aca="false">IF(H184="","",INT((H184-SAT1)/7)+1)</f>
        <v/>
      </c>
      <c r="J184" s="0" t="str">
        <f aca="false">IF(I184="","",IF(OR(I184&lt;1,I184&gt;NW),"",INDEX(WMON,I184)))</f>
        <v/>
      </c>
    </row>
    <row r="185" customFormat="false" ht="15" hidden="false" customHeight="false" outlineLevel="0" collapsed="false">
      <c r="A185" s="57"/>
      <c r="B185" s="30"/>
      <c r="C185" s="59"/>
      <c r="D185" s="58"/>
      <c r="E185" s="59"/>
      <c r="G185" s="0" t="str">
        <f aca="false">IF(AND(B185&lt;&gt;"",COUNTIF(B$6:B185,B185)=1),MAX(G$5:G184)+1,"")</f>
        <v/>
      </c>
      <c r="H185" s="0" t="str">
        <f aca="false">IF(A185="","",IF(ISNUMBER(A185),IF(A185&gt;=36526,A185,""),IFERROR(DATEVALUE(A185),"")))</f>
        <v/>
      </c>
      <c r="I185" s="0" t="str">
        <f aca="false">IF(H185="","",INT((H185-SAT1)/7)+1)</f>
        <v/>
      </c>
      <c r="J185" s="0" t="str">
        <f aca="false">IF(I185="","",IF(OR(I185&lt;1,I185&gt;NW),"",INDEX(WMON,I185)))</f>
        <v/>
      </c>
    </row>
    <row r="186" customFormat="false" ht="15" hidden="false" customHeight="false" outlineLevel="0" collapsed="false">
      <c r="A186" s="57"/>
      <c r="B186" s="30"/>
      <c r="C186" s="59"/>
      <c r="D186" s="58"/>
      <c r="E186" s="59"/>
      <c r="G186" s="0" t="str">
        <f aca="false">IF(AND(B186&lt;&gt;"",COUNTIF(B$6:B186,B186)=1),MAX(G$5:G185)+1,"")</f>
        <v/>
      </c>
      <c r="H186" s="0" t="str">
        <f aca="false">IF(A186="","",IF(ISNUMBER(A186),IF(A186&gt;=36526,A186,""),IFERROR(DATEVALUE(A186),"")))</f>
        <v/>
      </c>
      <c r="I186" s="0" t="str">
        <f aca="false">IF(H186="","",INT((H186-SAT1)/7)+1)</f>
        <v/>
      </c>
      <c r="J186" s="0" t="str">
        <f aca="false">IF(I186="","",IF(OR(I186&lt;1,I186&gt;NW),"",INDEX(WMON,I186)))</f>
        <v/>
      </c>
    </row>
    <row r="187" customFormat="false" ht="15" hidden="false" customHeight="false" outlineLevel="0" collapsed="false">
      <c r="A187" s="57"/>
      <c r="B187" s="30"/>
      <c r="C187" s="59"/>
      <c r="D187" s="58"/>
      <c r="E187" s="59"/>
      <c r="G187" s="0" t="str">
        <f aca="false">IF(AND(B187&lt;&gt;"",COUNTIF(B$6:B187,B187)=1),MAX(G$5:G186)+1,"")</f>
        <v/>
      </c>
      <c r="H187" s="0" t="str">
        <f aca="false">IF(A187="","",IF(ISNUMBER(A187),IF(A187&gt;=36526,A187,""),IFERROR(DATEVALUE(A187),"")))</f>
        <v/>
      </c>
      <c r="I187" s="0" t="str">
        <f aca="false">IF(H187="","",INT((H187-SAT1)/7)+1)</f>
        <v/>
      </c>
      <c r="J187" s="0" t="str">
        <f aca="false">IF(I187="","",IF(OR(I187&lt;1,I187&gt;NW),"",INDEX(WMON,I187)))</f>
        <v/>
      </c>
    </row>
    <row r="188" customFormat="false" ht="15" hidden="false" customHeight="false" outlineLevel="0" collapsed="false">
      <c r="A188" s="57"/>
      <c r="B188" s="30"/>
      <c r="C188" s="59"/>
      <c r="D188" s="58"/>
      <c r="E188" s="59"/>
      <c r="G188" s="0" t="str">
        <f aca="false">IF(AND(B188&lt;&gt;"",COUNTIF(B$6:B188,B188)=1),MAX(G$5:G187)+1,"")</f>
        <v/>
      </c>
      <c r="H188" s="0" t="str">
        <f aca="false">IF(A188="","",IF(ISNUMBER(A188),IF(A188&gt;=36526,A188,""),IFERROR(DATEVALUE(A188),"")))</f>
        <v/>
      </c>
      <c r="I188" s="0" t="str">
        <f aca="false">IF(H188="","",INT((H188-SAT1)/7)+1)</f>
        <v/>
      </c>
      <c r="J188" s="0" t="str">
        <f aca="false">IF(I188="","",IF(OR(I188&lt;1,I188&gt;NW),"",INDEX(WMON,I188)))</f>
        <v/>
      </c>
    </row>
    <row r="189" customFormat="false" ht="15" hidden="false" customHeight="false" outlineLevel="0" collapsed="false">
      <c r="A189" s="57"/>
      <c r="B189" s="30"/>
      <c r="C189" s="59"/>
      <c r="D189" s="58"/>
      <c r="E189" s="59"/>
      <c r="G189" s="0" t="str">
        <f aca="false">IF(AND(B189&lt;&gt;"",COUNTIF(B$6:B189,B189)=1),MAX(G$5:G188)+1,"")</f>
        <v/>
      </c>
      <c r="H189" s="0" t="str">
        <f aca="false">IF(A189="","",IF(ISNUMBER(A189),IF(A189&gt;=36526,A189,""),IFERROR(DATEVALUE(A189),"")))</f>
        <v/>
      </c>
      <c r="I189" s="0" t="str">
        <f aca="false">IF(H189="","",INT((H189-SAT1)/7)+1)</f>
        <v/>
      </c>
      <c r="J189" s="0" t="str">
        <f aca="false">IF(I189="","",IF(OR(I189&lt;1,I189&gt;NW),"",INDEX(WMON,I189)))</f>
        <v/>
      </c>
    </row>
    <row r="190" customFormat="false" ht="15" hidden="false" customHeight="false" outlineLevel="0" collapsed="false">
      <c r="A190" s="57"/>
      <c r="B190" s="30"/>
      <c r="C190" s="59"/>
      <c r="D190" s="58"/>
      <c r="E190" s="59"/>
      <c r="G190" s="0" t="str">
        <f aca="false">IF(AND(B190&lt;&gt;"",COUNTIF(B$6:B190,B190)=1),MAX(G$5:G189)+1,"")</f>
        <v/>
      </c>
      <c r="H190" s="0" t="str">
        <f aca="false">IF(A190="","",IF(ISNUMBER(A190),IF(A190&gt;=36526,A190,""),IFERROR(DATEVALUE(A190),"")))</f>
        <v/>
      </c>
      <c r="I190" s="0" t="str">
        <f aca="false">IF(H190="","",INT((H190-SAT1)/7)+1)</f>
        <v/>
      </c>
      <c r="J190" s="0" t="str">
        <f aca="false">IF(I190="","",IF(OR(I190&lt;1,I190&gt;NW),"",INDEX(WMON,I190)))</f>
        <v/>
      </c>
    </row>
    <row r="191" customFormat="false" ht="15" hidden="false" customHeight="false" outlineLevel="0" collapsed="false">
      <c r="A191" s="57"/>
      <c r="B191" s="30"/>
      <c r="C191" s="59"/>
      <c r="D191" s="58"/>
      <c r="E191" s="59"/>
      <c r="G191" s="0" t="str">
        <f aca="false">IF(AND(B191&lt;&gt;"",COUNTIF(B$6:B191,B191)=1),MAX(G$5:G190)+1,"")</f>
        <v/>
      </c>
      <c r="H191" s="0" t="str">
        <f aca="false">IF(A191="","",IF(ISNUMBER(A191),IF(A191&gt;=36526,A191,""),IFERROR(DATEVALUE(A191),"")))</f>
        <v/>
      </c>
      <c r="I191" s="0" t="str">
        <f aca="false">IF(H191="","",INT((H191-SAT1)/7)+1)</f>
        <v/>
      </c>
      <c r="J191" s="0" t="str">
        <f aca="false">IF(I191="","",IF(OR(I191&lt;1,I191&gt;NW),"",INDEX(WMON,I191)))</f>
        <v/>
      </c>
    </row>
    <row r="192" customFormat="false" ht="15" hidden="false" customHeight="false" outlineLevel="0" collapsed="false">
      <c r="A192" s="57"/>
      <c r="B192" s="30"/>
      <c r="C192" s="59"/>
      <c r="D192" s="58"/>
      <c r="E192" s="59"/>
      <c r="G192" s="0" t="str">
        <f aca="false">IF(AND(B192&lt;&gt;"",COUNTIF(B$6:B192,B192)=1),MAX(G$5:G191)+1,"")</f>
        <v/>
      </c>
      <c r="H192" s="0" t="str">
        <f aca="false">IF(A192="","",IF(ISNUMBER(A192),IF(A192&gt;=36526,A192,""),IFERROR(DATEVALUE(A192),"")))</f>
        <v/>
      </c>
      <c r="I192" s="0" t="str">
        <f aca="false">IF(H192="","",INT((H192-SAT1)/7)+1)</f>
        <v/>
      </c>
      <c r="J192" s="0" t="str">
        <f aca="false">IF(I192="","",IF(OR(I192&lt;1,I192&gt;NW),"",INDEX(WMON,I192)))</f>
        <v/>
      </c>
    </row>
    <row r="193" customFormat="false" ht="15" hidden="false" customHeight="false" outlineLevel="0" collapsed="false">
      <c r="A193" s="57"/>
      <c r="B193" s="30"/>
      <c r="C193" s="59"/>
      <c r="D193" s="58"/>
      <c r="E193" s="59"/>
      <c r="G193" s="0" t="str">
        <f aca="false">IF(AND(B193&lt;&gt;"",COUNTIF(B$6:B193,B193)=1),MAX(G$5:G192)+1,"")</f>
        <v/>
      </c>
      <c r="H193" s="0" t="str">
        <f aca="false">IF(A193="","",IF(ISNUMBER(A193),IF(A193&gt;=36526,A193,""),IFERROR(DATEVALUE(A193),"")))</f>
        <v/>
      </c>
      <c r="I193" s="0" t="str">
        <f aca="false">IF(H193="","",INT((H193-SAT1)/7)+1)</f>
        <v/>
      </c>
      <c r="J193" s="0" t="str">
        <f aca="false">IF(I193="","",IF(OR(I193&lt;1,I193&gt;NW),"",INDEX(WMON,I193)))</f>
        <v/>
      </c>
    </row>
    <row r="194" customFormat="false" ht="15" hidden="false" customHeight="false" outlineLevel="0" collapsed="false">
      <c r="A194" s="57"/>
      <c r="B194" s="30"/>
      <c r="C194" s="59"/>
      <c r="D194" s="58"/>
      <c r="E194" s="59"/>
      <c r="G194" s="0" t="str">
        <f aca="false">IF(AND(B194&lt;&gt;"",COUNTIF(B$6:B194,B194)=1),MAX(G$5:G193)+1,"")</f>
        <v/>
      </c>
      <c r="H194" s="0" t="str">
        <f aca="false">IF(A194="","",IF(ISNUMBER(A194),IF(A194&gt;=36526,A194,""),IFERROR(DATEVALUE(A194),"")))</f>
        <v/>
      </c>
      <c r="I194" s="0" t="str">
        <f aca="false">IF(H194="","",INT((H194-SAT1)/7)+1)</f>
        <v/>
      </c>
      <c r="J194" s="0" t="str">
        <f aca="false">IF(I194="","",IF(OR(I194&lt;1,I194&gt;NW),"",INDEX(WMON,I194)))</f>
        <v/>
      </c>
    </row>
    <row r="195" customFormat="false" ht="15" hidden="false" customHeight="false" outlineLevel="0" collapsed="false">
      <c r="A195" s="57"/>
      <c r="B195" s="30"/>
      <c r="C195" s="59"/>
      <c r="D195" s="58"/>
      <c r="E195" s="59"/>
      <c r="G195" s="0" t="str">
        <f aca="false">IF(AND(B195&lt;&gt;"",COUNTIF(B$6:B195,B195)=1),MAX(G$5:G194)+1,"")</f>
        <v/>
      </c>
      <c r="H195" s="0" t="str">
        <f aca="false">IF(A195="","",IF(ISNUMBER(A195),IF(A195&gt;=36526,A195,""),IFERROR(DATEVALUE(A195),"")))</f>
        <v/>
      </c>
      <c r="I195" s="0" t="str">
        <f aca="false">IF(H195="","",INT((H195-SAT1)/7)+1)</f>
        <v/>
      </c>
      <c r="J195" s="0" t="str">
        <f aca="false">IF(I195="","",IF(OR(I195&lt;1,I195&gt;NW),"",INDEX(WMON,I195)))</f>
        <v/>
      </c>
    </row>
    <row r="196" customFormat="false" ht="15" hidden="false" customHeight="false" outlineLevel="0" collapsed="false">
      <c r="A196" s="57"/>
      <c r="B196" s="30"/>
      <c r="C196" s="59"/>
      <c r="D196" s="58"/>
      <c r="E196" s="59"/>
      <c r="G196" s="0" t="str">
        <f aca="false">IF(AND(B196&lt;&gt;"",COUNTIF(B$6:B196,B196)=1),MAX(G$5:G195)+1,"")</f>
        <v/>
      </c>
      <c r="H196" s="0" t="str">
        <f aca="false">IF(A196="","",IF(ISNUMBER(A196),IF(A196&gt;=36526,A196,""),IFERROR(DATEVALUE(A196),"")))</f>
        <v/>
      </c>
      <c r="I196" s="0" t="str">
        <f aca="false">IF(H196="","",INT((H196-SAT1)/7)+1)</f>
        <v/>
      </c>
      <c r="J196" s="0" t="str">
        <f aca="false">IF(I196="","",IF(OR(I196&lt;1,I196&gt;NW),"",INDEX(WMON,I196)))</f>
        <v/>
      </c>
    </row>
    <row r="197" customFormat="false" ht="15" hidden="false" customHeight="false" outlineLevel="0" collapsed="false">
      <c r="A197" s="57"/>
      <c r="B197" s="30"/>
      <c r="C197" s="59"/>
      <c r="D197" s="58"/>
      <c r="E197" s="59"/>
      <c r="G197" s="0" t="str">
        <f aca="false">IF(AND(B197&lt;&gt;"",COUNTIF(B$6:B197,B197)=1),MAX(G$5:G196)+1,"")</f>
        <v/>
      </c>
      <c r="H197" s="0" t="str">
        <f aca="false">IF(A197="","",IF(ISNUMBER(A197),IF(A197&gt;=36526,A197,""),IFERROR(DATEVALUE(A197),"")))</f>
        <v/>
      </c>
      <c r="I197" s="0" t="str">
        <f aca="false">IF(H197="","",INT((H197-SAT1)/7)+1)</f>
        <v/>
      </c>
      <c r="J197" s="0" t="str">
        <f aca="false">IF(I197="","",IF(OR(I197&lt;1,I197&gt;NW),"",INDEX(WMON,I197)))</f>
        <v/>
      </c>
    </row>
    <row r="198" customFormat="false" ht="15" hidden="false" customHeight="false" outlineLevel="0" collapsed="false">
      <c r="A198" s="57"/>
      <c r="B198" s="30"/>
      <c r="C198" s="59"/>
      <c r="D198" s="58"/>
      <c r="E198" s="59"/>
      <c r="G198" s="0" t="str">
        <f aca="false">IF(AND(B198&lt;&gt;"",COUNTIF(B$6:B198,B198)=1),MAX(G$5:G197)+1,"")</f>
        <v/>
      </c>
      <c r="H198" s="0" t="str">
        <f aca="false">IF(A198="","",IF(ISNUMBER(A198),IF(A198&gt;=36526,A198,""),IFERROR(DATEVALUE(A198),"")))</f>
        <v/>
      </c>
      <c r="I198" s="0" t="str">
        <f aca="false">IF(H198="","",INT((H198-SAT1)/7)+1)</f>
        <v/>
      </c>
      <c r="J198" s="0" t="str">
        <f aca="false">IF(I198="","",IF(OR(I198&lt;1,I198&gt;NW),"",INDEX(WMON,I198)))</f>
        <v/>
      </c>
    </row>
    <row r="199" customFormat="false" ht="15" hidden="false" customHeight="false" outlineLevel="0" collapsed="false">
      <c r="A199" s="57"/>
      <c r="B199" s="30"/>
      <c r="C199" s="59"/>
      <c r="D199" s="58"/>
      <c r="E199" s="59"/>
      <c r="G199" s="0" t="str">
        <f aca="false">IF(AND(B199&lt;&gt;"",COUNTIF(B$6:B199,B199)=1),MAX(G$5:G198)+1,"")</f>
        <v/>
      </c>
      <c r="H199" s="0" t="str">
        <f aca="false">IF(A199="","",IF(ISNUMBER(A199),IF(A199&gt;=36526,A199,""),IFERROR(DATEVALUE(A199),"")))</f>
        <v/>
      </c>
      <c r="I199" s="0" t="str">
        <f aca="false">IF(H199="","",INT((H199-SAT1)/7)+1)</f>
        <v/>
      </c>
      <c r="J199" s="0" t="str">
        <f aca="false">IF(I199="","",IF(OR(I199&lt;1,I199&gt;NW),"",INDEX(WMON,I199)))</f>
        <v/>
      </c>
    </row>
    <row r="200" customFormat="false" ht="15" hidden="false" customHeight="false" outlineLevel="0" collapsed="false">
      <c r="A200" s="57"/>
      <c r="B200" s="30"/>
      <c r="C200" s="59"/>
      <c r="D200" s="58"/>
      <c r="E200" s="59"/>
      <c r="G200" s="0" t="str">
        <f aca="false">IF(AND(B200&lt;&gt;"",COUNTIF(B$6:B200,B200)=1),MAX(G$5:G199)+1,"")</f>
        <v/>
      </c>
      <c r="H200" s="0" t="str">
        <f aca="false">IF(A200="","",IF(ISNUMBER(A200),IF(A200&gt;=36526,A200,""),IFERROR(DATEVALUE(A200),"")))</f>
        <v/>
      </c>
      <c r="I200" s="0" t="str">
        <f aca="false">IF(H200="","",INT((H200-SAT1)/7)+1)</f>
        <v/>
      </c>
      <c r="J200" s="0" t="str">
        <f aca="false">IF(I200="","",IF(OR(I200&lt;1,I200&gt;NW),"",INDEX(WMON,I200)))</f>
        <v/>
      </c>
    </row>
    <row r="201" customFormat="false" ht="15" hidden="false" customHeight="false" outlineLevel="0" collapsed="false">
      <c r="A201" s="57"/>
      <c r="B201" s="30"/>
      <c r="C201" s="59"/>
      <c r="D201" s="58"/>
      <c r="E201" s="59"/>
      <c r="G201" s="0" t="str">
        <f aca="false">IF(AND(B201&lt;&gt;"",COUNTIF(B$6:B201,B201)=1),MAX(G$5:G200)+1,"")</f>
        <v/>
      </c>
      <c r="H201" s="0" t="str">
        <f aca="false">IF(A201="","",IF(ISNUMBER(A201),IF(A201&gt;=36526,A201,""),IFERROR(DATEVALUE(A201),"")))</f>
        <v/>
      </c>
      <c r="I201" s="0" t="str">
        <f aca="false">IF(H201="","",INT((H201-SAT1)/7)+1)</f>
        <v/>
      </c>
      <c r="J201" s="0" t="str">
        <f aca="false">IF(I201="","",IF(OR(I201&lt;1,I201&gt;NW),"",INDEX(WMON,I201)))</f>
        <v/>
      </c>
    </row>
    <row r="202" customFormat="false" ht="15" hidden="false" customHeight="false" outlineLevel="0" collapsed="false">
      <c r="A202" s="57"/>
      <c r="B202" s="30"/>
      <c r="C202" s="59"/>
      <c r="D202" s="58"/>
      <c r="E202" s="59"/>
      <c r="G202" s="0" t="str">
        <f aca="false">IF(AND(B202&lt;&gt;"",COUNTIF(B$6:B202,B202)=1),MAX(G$5:G201)+1,"")</f>
        <v/>
      </c>
      <c r="H202" s="0" t="str">
        <f aca="false">IF(A202="","",IF(ISNUMBER(A202),IF(A202&gt;=36526,A202,""),IFERROR(DATEVALUE(A202),"")))</f>
        <v/>
      </c>
      <c r="I202" s="0" t="str">
        <f aca="false">IF(H202="","",INT((H202-SAT1)/7)+1)</f>
        <v/>
      </c>
      <c r="J202" s="0" t="str">
        <f aca="false">IF(I202="","",IF(OR(I202&lt;1,I202&gt;NW),"",INDEX(WMON,I202)))</f>
        <v/>
      </c>
    </row>
    <row r="203" customFormat="false" ht="15" hidden="false" customHeight="false" outlineLevel="0" collapsed="false">
      <c r="A203" s="57"/>
      <c r="B203" s="30"/>
      <c r="C203" s="59"/>
      <c r="D203" s="58"/>
      <c r="E203" s="59"/>
      <c r="G203" s="0" t="str">
        <f aca="false">IF(AND(B203&lt;&gt;"",COUNTIF(B$6:B203,B203)=1),MAX(G$5:G202)+1,"")</f>
        <v/>
      </c>
      <c r="H203" s="0" t="str">
        <f aca="false">IF(A203="","",IF(ISNUMBER(A203),IF(A203&gt;=36526,A203,""),IFERROR(DATEVALUE(A203),"")))</f>
        <v/>
      </c>
      <c r="I203" s="0" t="str">
        <f aca="false">IF(H203="","",INT((H203-SAT1)/7)+1)</f>
        <v/>
      </c>
      <c r="J203" s="0" t="str">
        <f aca="false">IF(I203="","",IF(OR(I203&lt;1,I203&gt;NW),"",INDEX(WMON,I203)))</f>
        <v/>
      </c>
    </row>
    <row r="204" customFormat="false" ht="15" hidden="false" customHeight="false" outlineLevel="0" collapsed="false">
      <c r="A204" s="57"/>
      <c r="B204" s="30"/>
      <c r="C204" s="59"/>
      <c r="D204" s="58"/>
      <c r="E204" s="59"/>
      <c r="G204" s="0" t="str">
        <f aca="false">IF(AND(B204&lt;&gt;"",COUNTIF(B$6:B204,B204)=1),MAX(G$5:G203)+1,"")</f>
        <v/>
      </c>
      <c r="H204" s="0" t="str">
        <f aca="false">IF(A204="","",IF(ISNUMBER(A204),IF(A204&gt;=36526,A204,""),IFERROR(DATEVALUE(A204),"")))</f>
        <v/>
      </c>
      <c r="I204" s="0" t="str">
        <f aca="false">IF(H204="","",INT((H204-SAT1)/7)+1)</f>
        <v/>
      </c>
      <c r="J204" s="0" t="str">
        <f aca="false">IF(I204="","",IF(OR(I204&lt;1,I204&gt;NW),"",INDEX(WMON,I204)))</f>
        <v/>
      </c>
    </row>
    <row r="205" customFormat="false" ht="15" hidden="false" customHeight="false" outlineLevel="0" collapsed="false">
      <c r="A205" s="57"/>
      <c r="B205" s="30"/>
      <c r="C205" s="59"/>
      <c r="D205" s="58"/>
      <c r="E205" s="59"/>
      <c r="G205" s="0" t="str">
        <f aca="false">IF(AND(B205&lt;&gt;"",COUNTIF(B$6:B205,B205)=1),MAX(G$5:G204)+1,"")</f>
        <v/>
      </c>
      <c r="H205" s="0" t="str">
        <f aca="false">IF(A205="","",IF(ISNUMBER(A205),IF(A205&gt;=36526,A205,""),IFERROR(DATEVALUE(A205),"")))</f>
        <v/>
      </c>
      <c r="I205" s="0" t="str">
        <f aca="false">IF(H205="","",INT((H205-SAT1)/7)+1)</f>
        <v/>
      </c>
      <c r="J205" s="0" t="str">
        <f aca="false">IF(I205="","",IF(OR(I205&lt;1,I205&gt;NW),"",INDEX(WMON,I205)))</f>
        <v/>
      </c>
    </row>
    <row r="206" customFormat="false" ht="15" hidden="false" customHeight="false" outlineLevel="0" collapsed="false">
      <c r="A206" s="57"/>
      <c r="B206" s="30"/>
      <c r="C206" s="59"/>
      <c r="D206" s="58"/>
      <c r="E206" s="59"/>
      <c r="G206" s="0" t="str">
        <f aca="false">IF(AND(B206&lt;&gt;"",COUNTIF(B$6:B206,B206)=1),MAX(G$5:G205)+1,"")</f>
        <v/>
      </c>
      <c r="H206" s="0" t="str">
        <f aca="false">IF(A206="","",IF(ISNUMBER(A206),IF(A206&gt;=36526,A206,""),IFERROR(DATEVALUE(A206),"")))</f>
        <v/>
      </c>
      <c r="I206" s="0" t="str">
        <f aca="false">IF(H206="","",INT((H206-SAT1)/7)+1)</f>
        <v/>
      </c>
      <c r="J206" s="0" t="str">
        <f aca="false">IF(I206="","",IF(OR(I206&lt;1,I206&gt;NW),"",INDEX(WMON,I206)))</f>
        <v/>
      </c>
    </row>
    <row r="207" customFormat="false" ht="15" hidden="false" customHeight="false" outlineLevel="0" collapsed="false">
      <c r="A207" s="57"/>
      <c r="B207" s="30"/>
      <c r="C207" s="59"/>
      <c r="D207" s="58"/>
      <c r="E207" s="59"/>
      <c r="G207" s="0" t="str">
        <f aca="false">IF(AND(B207&lt;&gt;"",COUNTIF(B$6:B207,B207)=1),MAX(G$5:G206)+1,"")</f>
        <v/>
      </c>
      <c r="H207" s="0" t="str">
        <f aca="false">IF(A207="","",IF(ISNUMBER(A207),IF(A207&gt;=36526,A207,""),IFERROR(DATEVALUE(A207),"")))</f>
        <v/>
      </c>
      <c r="I207" s="0" t="str">
        <f aca="false">IF(H207="","",INT((H207-SAT1)/7)+1)</f>
        <v/>
      </c>
      <c r="J207" s="0" t="str">
        <f aca="false">IF(I207="","",IF(OR(I207&lt;1,I207&gt;NW),"",INDEX(WMON,I207)))</f>
        <v/>
      </c>
    </row>
    <row r="208" customFormat="false" ht="15" hidden="false" customHeight="false" outlineLevel="0" collapsed="false">
      <c r="A208" s="57"/>
      <c r="B208" s="30"/>
      <c r="C208" s="59"/>
      <c r="D208" s="58"/>
      <c r="E208" s="59"/>
      <c r="G208" s="0" t="str">
        <f aca="false">IF(AND(B208&lt;&gt;"",COUNTIF(B$6:B208,B208)=1),MAX(G$5:G207)+1,"")</f>
        <v/>
      </c>
      <c r="H208" s="0" t="str">
        <f aca="false">IF(A208="","",IF(ISNUMBER(A208),IF(A208&gt;=36526,A208,""),IFERROR(DATEVALUE(A208),"")))</f>
        <v/>
      </c>
      <c r="I208" s="0" t="str">
        <f aca="false">IF(H208="","",INT((H208-SAT1)/7)+1)</f>
        <v/>
      </c>
      <c r="J208" s="0" t="str">
        <f aca="false">IF(I208="","",IF(OR(I208&lt;1,I208&gt;NW),"",INDEX(WMON,I208)))</f>
        <v/>
      </c>
    </row>
    <row r="209" customFormat="false" ht="15" hidden="false" customHeight="false" outlineLevel="0" collapsed="false">
      <c r="A209" s="57"/>
      <c r="B209" s="30"/>
      <c r="C209" s="59"/>
      <c r="D209" s="58"/>
      <c r="E209" s="59"/>
      <c r="G209" s="0" t="str">
        <f aca="false">IF(AND(B209&lt;&gt;"",COUNTIF(B$6:B209,B209)=1),MAX(G$5:G208)+1,"")</f>
        <v/>
      </c>
      <c r="H209" s="0" t="str">
        <f aca="false">IF(A209="","",IF(ISNUMBER(A209),IF(A209&gt;=36526,A209,""),IFERROR(DATEVALUE(A209),"")))</f>
        <v/>
      </c>
      <c r="I209" s="0" t="str">
        <f aca="false">IF(H209="","",INT((H209-SAT1)/7)+1)</f>
        <v/>
      </c>
      <c r="J209" s="0" t="str">
        <f aca="false">IF(I209="","",IF(OR(I209&lt;1,I209&gt;NW),"",INDEX(WMON,I209)))</f>
        <v/>
      </c>
    </row>
    <row r="210" customFormat="false" ht="15" hidden="false" customHeight="false" outlineLevel="0" collapsed="false">
      <c r="A210" s="57"/>
      <c r="B210" s="30"/>
      <c r="C210" s="59"/>
      <c r="D210" s="58"/>
      <c r="E210" s="59"/>
      <c r="G210" s="0" t="str">
        <f aca="false">IF(AND(B210&lt;&gt;"",COUNTIF(B$6:B210,B210)=1),MAX(G$5:G209)+1,"")</f>
        <v/>
      </c>
      <c r="H210" s="0" t="str">
        <f aca="false">IF(A210="","",IF(ISNUMBER(A210),IF(A210&gt;=36526,A210,""),IFERROR(DATEVALUE(A210),"")))</f>
        <v/>
      </c>
      <c r="I210" s="0" t="str">
        <f aca="false">IF(H210="","",INT((H210-SAT1)/7)+1)</f>
        <v/>
      </c>
      <c r="J210" s="0" t="str">
        <f aca="false">IF(I210="","",IF(OR(I210&lt;1,I210&gt;NW),"",INDEX(WMON,I210)))</f>
        <v/>
      </c>
    </row>
    <row r="211" customFormat="false" ht="15" hidden="false" customHeight="false" outlineLevel="0" collapsed="false">
      <c r="A211" s="57"/>
      <c r="B211" s="30"/>
      <c r="C211" s="59"/>
      <c r="D211" s="58"/>
      <c r="E211" s="59"/>
      <c r="G211" s="0" t="str">
        <f aca="false">IF(AND(B211&lt;&gt;"",COUNTIF(B$6:B211,B211)=1),MAX(G$5:G210)+1,"")</f>
        <v/>
      </c>
      <c r="H211" s="0" t="str">
        <f aca="false">IF(A211="","",IF(ISNUMBER(A211),IF(A211&gt;=36526,A211,""),IFERROR(DATEVALUE(A211),"")))</f>
        <v/>
      </c>
      <c r="I211" s="0" t="str">
        <f aca="false">IF(H211="","",INT((H211-SAT1)/7)+1)</f>
        <v/>
      </c>
      <c r="J211" s="0" t="str">
        <f aca="false">IF(I211="","",IF(OR(I211&lt;1,I211&gt;NW),"",INDEX(WMON,I211)))</f>
        <v/>
      </c>
    </row>
    <row r="212" customFormat="false" ht="15" hidden="false" customHeight="false" outlineLevel="0" collapsed="false">
      <c r="A212" s="57"/>
      <c r="B212" s="30"/>
      <c r="C212" s="59"/>
      <c r="D212" s="58"/>
      <c r="E212" s="59"/>
      <c r="G212" s="0" t="str">
        <f aca="false">IF(AND(B212&lt;&gt;"",COUNTIF(B$6:B212,B212)=1),MAX(G$5:G211)+1,"")</f>
        <v/>
      </c>
      <c r="H212" s="0" t="str">
        <f aca="false">IF(A212="","",IF(ISNUMBER(A212),IF(A212&gt;=36526,A212,""),IFERROR(DATEVALUE(A212),"")))</f>
        <v/>
      </c>
      <c r="I212" s="0" t="str">
        <f aca="false">IF(H212="","",INT((H212-SAT1)/7)+1)</f>
        <v/>
      </c>
      <c r="J212" s="0" t="str">
        <f aca="false">IF(I212="","",IF(OR(I212&lt;1,I212&gt;NW),"",INDEX(WMON,I212)))</f>
        <v/>
      </c>
    </row>
    <row r="213" customFormat="false" ht="15" hidden="false" customHeight="false" outlineLevel="0" collapsed="false">
      <c r="A213" s="57"/>
      <c r="B213" s="30"/>
      <c r="C213" s="59"/>
      <c r="D213" s="58"/>
      <c r="E213" s="59"/>
      <c r="G213" s="0" t="str">
        <f aca="false">IF(AND(B213&lt;&gt;"",COUNTIF(B$6:B213,B213)=1),MAX(G$5:G212)+1,"")</f>
        <v/>
      </c>
      <c r="H213" s="0" t="str">
        <f aca="false">IF(A213="","",IF(ISNUMBER(A213),IF(A213&gt;=36526,A213,""),IFERROR(DATEVALUE(A213),"")))</f>
        <v/>
      </c>
      <c r="I213" s="0" t="str">
        <f aca="false">IF(H213="","",INT((H213-SAT1)/7)+1)</f>
        <v/>
      </c>
      <c r="J213" s="0" t="str">
        <f aca="false">IF(I213="","",IF(OR(I213&lt;1,I213&gt;NW),"",INDEX(WMON,I213)))</f>
        <v/>
      </c>
    </row>
    <row r="214" customFormat="false" ht="15" hidden="false" customHeight="false" outlineLevel="0" collapsed="false">
      <c r="A214" s="57"/>
      <c r="B214" s="30"/>
      <c r="C214" s="59"/>
      <c r="D214" s="58"/>
      <c r="E214" s="59"/>
      <c r="G214" s="0" t="str">
        <f aca="false">IF(AND(B214&lt;&gt;"",COUNTIF(B$6:B214,B214)=1),MAX(G$5:G213)+1,"")</f>
        <v/>
      </c>
      <c r="H214" s="0" t="str">
        <f aca="false">IF(A214="","",IF(ISNUMBER(A214),IF(A214&gt;=36526,A214,""),IFERROR(DATEVALUE(A214),"")))</f>
        <v/>
      </c>
      <c r="I214" s="0" t="str">
        <f aca="false">IF(H214="","",INT((H214-SAT1)/7)+1)</f>
        <v/>
      </c>
      <c r="J214" s="0" t="str">
        <f aca="false">IF(I214="","",IF(OR(I214&lt;1,I214&gt;NW),"",INDEX(WMON,I214)))</f>
        <v/>
      </c>
    </row>
    <row r="215" customFormat="false" ht="15" hidden="false" customHeight="false" outlineLevel="0" collapsed="false">
      <c r="A215" s="57"/>
      <c r="B215" s="30"/>
      <c r="C215" s="59"/>
      <c r="D215" s="58"/>
      <c r="E215" s="59"/>
      <c r="G215" s="0" t="str">
        <f aca="false">IF(AND(B215&lt;&gt;"",COUNTIF(B$6:B215,B215)=1),MAX(G$5:G214)+1,"")</f>
        <v/>
      </c>
      <c r="H215" s="0" t="str">
        <f aca="false">IF(A215="","",IF(ISNUMBER(A215),IF(A215&gt;=36526,A215,""),IFERROR(DATEVALUE(A215),"")))</f>
        <v/>
      </c>
      <c r="I215" s="0" t="str">
        <f aca="false">IF(H215="","",INT((H215-SAT1)/7)+1)</f>
        <v/>
      </c>
      <c r="J215" s="0" t="str">
        <f aca="false">IF(I215="","",IF(OR(I215&lt;1,I215&gt;NW),"",INDEX(WMON,I215)))</f>
        <v/>
      </c>
    </row>
    <row r="216" customFormat="false" ht="15" hidden="false" customHeight="false" outlineLevel="0" collapsed="false">
      <c r="A216" s="57"/>
      <c r="B216" s="30"/>
      <c r="C216" s="59"/>
      <c r="D216" s="58"/>
      <c r="E216" s="59"/>
      <c r="G216" s="0" t="str">
        <f aca="false">IF(AND(B216&lt;&gt;"",COUNTIF(B$6:B216,B216)=1),MAX(G$5:G215)+1,"")</f>
        <v/>
      </c>
      <c r="H216" s="0" t="str">
        <f aca="false">IF(A216="","",IF(ISNUMBER(A216),IF(A216&gt;=36526,A216,""),IFERROR(DATEVALUE(A216),"")))</f>
        <v/>
      </c>
      <c r="I216" s="0" t="str">
        <f aca="false">IF(H216="","",INT((H216-SAT1)/7)+1)</f>
        <v/>
      </c>
      <c r="J216" s="0" t="str">
        <f aca="false">IF(I216="","",IF(OR(I216&lt;1,I216&gt;NW),"",INDEX(WMON,I216)))</f>
        <v/>
      </c>
    </row>
    <row r="217" customFormat="false" ht="15" hidden="false" customHeight="false" outlineLevel="0" collapsed="false">
      <c r="A217" s="57"/>
      <c r="B217" s="30"/>
      <c r="C217" s="59"/>
      <c r="D217" s="58"/>
      <c r="E217" s="59"/>
      <c r="G217" s="0" t="str">
        <f aca="false">IF(AND(B217&lt;&gt;"",COUNTIF(B$6:B217,B217)=1),MAX(G$5:G216)+1,"")</f>
        <v/>
      </c>
      <c r="H217" s="0" t="str">
        <f aca="false">IF(A217="","",IF(ISNUMBER(A217),IF(A217&gt;=36526,A217,""),IFERROR(DATEVALUE(A217),"")))</f>
        <v/>
      </c>
      <c r="I217" s="0" t="str">
        <f aca="false">IF(H217="","",INT((H217-SAT1)/7)+1)</f>
        <v/>
      </c>
      <c r="J217" s="0" t="str">
        <f aca="false">IF(I217="","",IF(OR(I217&lt;1,I217&gt;NW),"",INDEX(WMON,I217)))</f>
        <v/>
      </c>
    </row>
    <row r="218" customFormat="false" ht="15" hidden="false" customHeight="false" outlineLevel="0" collapsed="false">
      <c r="A218" s="57"/>
      <c r="B218" s="30"/>
      <c r="C218" s="59"/>
      <c r="D218" s="58"/>
      <c r="E218" s="59"/>
      <c r="G218" s="0" t="str">
        <f aca="false">IF(AND(B218&lt;&gt;"",COUNTIF(B$6:B218,B218)=1),MAX(G$5:G217)+1,"")</f>
        <v/>
      </c>
      <c r="H218" s="0" t="str">
        <f aca="false">IF(A218="","",IF(ISNUMBER(A218),IF(A218&gt;=36526,A218,""),IFERROR(DATEVALUE(A218),"")))</f>
        <v/>
      </c>
      <c r="I218" s="0" t="str">
        <f aca="false">IF(H218="","",INT((H218-SAT1)/7)+1)</f>
        <v/>
      </c>
      <c r="J218" s="0" t="str">
        <f aca="false">IF(I218="","",IF(OR(I218&lt;1,I218&gt;NW),"",INDEX(WMON,I218)))</f>
        <v/>
      </c>
    </row>
    <row r="219" customFormat="false" ht="15" hidden="false" customHeight="false" outlineLevel="0" collapsed="false">
      <c r="A219" s="57"/>
      <c r="B219" s="30"/>
      <c r="C219" s="59"/>
      <c r="D219" s="58"/>
      <c r="E219" s="59"/>
      <c r="G219" s="0" t="str">
        <f aca="false">IF(AND(B219&lt;&gt;"",COUNTIF(B$6:B219,B219)=1),MAX(G$5:G218)+1,"")</f>
        <v/>
      </c>
      <c r="H219" s="0" t="str">
        <f aca="false">IF(A219="","",IF(ISNUMBER(A219),IF(A219&gt;=36526,A219,""),IFERROR(DATEVALUE(A219),"")))</f>
        <v/>
      </c>
      <c r="I219" s="0" t="str">
        <f aca="false">IF(H219="","",INT((H219-SAT1)/7)+1)</f>
        <v/>
      </c>
      <c r="J219" s="0" t="str">
        <f aca="false">IF(I219="","",IF(OR(I219&lt;1,I219&gt;NW),"",INDEX(WMON,I219)))</f>
        <v/>
      </c>
    </row>
    <row r="220" customFormat="false" ht="15" hidden="false" customHeight="false" outlineLevel="0" collapsed="false">
      <c r="A220" s="57"/>
      <c r="B220" s="30"/>
      <c r="C220" s="59"/>
      <c r="D220" s="58"/>
      <c r="E220" s="59"/>
      <c r="G220" s="0" t="str">
        <f aca="false">IF(AND(B220&lt;&gt;"",COUNTIF(B$6:B220,B220)=1),MAX(G$5:G219)+1,"")</f>
        <v/>
      </c>
      <c r="H220" s="0" t="str">
        <f aca="false">IF(A220="","",IF(ISNUMBER(A220),IF(A220&gt;=36526,A220,""),IFERROR(DATEVALUE(A220),"")))</f>
        <v/>
      </c>
      <c r="I220" s="0" t="str">
        <f aca="false">IF(H220="","",INT((H220-SAT1)/7)+1)</f>
        <v/>
      </c>
      <c r="J220" s="0" t="str">
        <f aca="false">IF(I220="","",IF(OR(I220&lt;1,I220&gt;NW),"",INDEX(WMON,I220)))</f>
        <v/>
      </c>
    </row>
    <row r="221" customFormat="false" ht="15" hidden="false" customHeight="false" outlineLevel="0" collapsed="false">
      <c r="A221" s="57"/>
      <c r="B221" s="30"/>
      <c r="C221" s="59"/>
      <c r="D221" s="58"/>
      <c r="E221" s="59"/>
      <c r="G221" s="0" t="str">
        <f aca="false">IF(AND(B221&lt;&gt;"",COUNTIF(B$6:B221,B221)=1),MAX(G$5:G220)+1,"")</f>
        <v/>
      </c>
      <c r="H221" s="0" t="str">
        <f aca="false">IF(A221="","",IF(ISNUMBER(A221),IF(A221&gt;=36526,A221,""),IFERROR(DATEVALUE(A221),"")))</f>
        <v/>
      </c>
      <c r="I221" s="0" t="str">
        <f aca="false">IF(H221="","",INT((H221-SAT1)/7)+1)</f>
        <v/>
      </c>
      <c r="J221" s="0" t="str">
        <f aca="false">IF(I221="","",IF(OR(I221&lt;1,I221&gt;NW),"",INDEX(WMON,I221)))</f>
        <v/>
      </c>
    </row>
    <row r="222" customFormat="false" ht="15" hidden="false" customHeight="false" outlineLevel="0" collapsed="false">
      <c r="A222" s="57"/>
      <c r="B222" s="30"/>
      <c r="C222" s="59"/>
      <c r="D222" s="58"/>
      <c r="E222" s="59"/>
      <c r="G222" s="0" t="str">
        <f aca="false">IF(AND(B222&lt;&gt;"",COUNTIF(B$6:B222,B222)=1),MAX(G$5:G221)+1,"")</f>
        <v/>
      </c>
      <c r="H222" s="0" t="str">
        <f aca="false">IF(A222="","",IF(ISNUMBER(A222),IF(A222&gt;=36526,A222,""),IFERROR(DATEVALUE(A222),"")))</f>
        <v/>
      </c>
      <c r="I222" s="0" t="str">
        <f aca="false">IF(H222="","",INT((H222-SAT1)/7)+1)</f>
        <v/>
      </c>
      <c r="J222" s="0" t="str">
        <f aca="false">IF(I222="","",IF(OR(I222&lt;1,I222&gt;NW),"",INDEX(WMON,I222)))</f>
        <v/>
      </c>
    </row>
    <row r="223" customFormat="false" ht="15" hidden="false" customHeight="false" outlineLevel="0" collapsed="false">
      <c r="A223" s="57"/>
      <c r="B223" s="30"/>
      <c r="C223" s="59"/>
      <c r="D223" s="58"/>
      <c r="E223" s="59"/>
      <c r="G223" s="0" t="str">
        <f aca="false">IF(AND(B223&lt;&gt;"",COUNTIF(B$6:B223,B223)=1),MAX(G$5:G222)+1,"")</f>
        <v/>
      </c>
      <c r="H223" s="0" t="str">
        <f aca="false">IF(A223="","",IF(ISNUMBER(A223),IF(A223&gt;=36526,A223,""),IFERROR(DATEVALUE(A223),"")))</f>
        <v/>
      </c>
      <c r="I223" s="0" t="str">
        <f aca="false">IF(H223="","",INT((H223-SAT1)/7)+1)</f>
        <v/>
      </c>
      <c r="J223" s="0" t="str">
        <f aca="false">IF(I223="","",IF(OR(I223&lt;1,I223&gt;NW),"",INDEX(WMON,I223)))</f>
        <v/>
      </c>
    </row>
    <row r="224" customFormat="false" ht="15" hidden="false" customHeight="false" outlineLevel="0" collapsed="false">
      <c r="A224" s="57"/>
      <c r="B224" s="30"/>
      <c r="C224" s="59"/>
      <c r="D224" s="58"/>
      <c r="E224" s="59"/>
      <c r="G224" s="0" t="str">
        <f aca="false">IF(AND(B224&lt;&gt;"",COUNTIF(B$6:B224,B224)=1),MAX(G$5:G223)+1,"")</f>
        <v/>
      </c>
      <c r="H224" s="0" t="str">
        <f aca="false">IF(A224="","",IF(ISNUMBER(A224),IF(A224&gt;=36526,A224,""),IFERROR(DATEVALUE(A224),"")))</f>
        <v/>
      </c>
      <c r="I224" s="0" t="str">
        <f aca="false">IF(H224="","",INT((H224-SAT1)/7)+1)</f>
        <v/>
      </c>
      <c r="J224" s="0" t="str">
        <f aca="false">IF(I224="","",IF(OR(I224&lt;1,I224&gt;NW),"",INDEX(WMON,I224)))</f>
        <v/>
      </c>
    </row>
    <row r="225" customFormat="false" ht="15" hidden="false" customHeight="false" outlineLevel="0" collapsed="false">
      <c r="A225" s="57"/>
      <c r="B225" s="30"/>
      <c r="C225" s="59"/>
      <c r="D225" s="58"/>
      <c r="E225" s="59"/>
      <c r="G225" s="0" t="str">
        <f aca="false">IF(AND(B225&lt;&gt;"",COUNTIF(B$6:B225,B225)=1),MAX(G$5:G224)+1,"")</f>
        <v/>
      </c>
      <c r="H225" s="0" t="str">
        <f aca="false">IF(A225="","",IF(ISNUMBER(A225),IF(A225&gt;=36526,A225,""),IFERROR(DATEVALUE(A225),"")))</f>
        <v/>
      </c>
      <c r="I225" s="0" t="str">
        <f aca="false">IF(H225="","",INT((H225-SAT1)/7)+1)</f>
        <v/>
      </c>
      <c r="J225" s="0" t="str">
        <f aca="false">IF(I225="","",IF(OR(I225&lt;1,I225&gt;NW),"",INDEX(WMON,I225)))</f>
        <v/>
      </c>
    </row>
    <row r="226" customFormat="false" ht="15" hidden="false" customHeight="false" outlineLevel="0" collapsed="false">
      <c r="A226" s="57"/>
      <c r="B226" s="30"/>
      <c r="C226" s="59"/>
      <c r="D226" s="58"/>
      <c r="E226" s="59"/>
      <c r="G226" s="0" t="str">
        <f aca="false">IF(AND(B226&lt;&gt;"",COUNTIF(B$6:B226,B226)=1),MAX(G$5:G225)+1,"")</f>
        <v/>
      </c>
      <c r="H226" s="0" t="str">
        <f aca="false">IF(A226="","",IF(ISNUMBER(A226),IF(A226&gt;=36526,A226,""),IFERROR(DATEVALUE(A226),"")))</f>
        <v/>
      </c>
      <c r="I226" s="0" t="str">
        <f aca="false">IF(H226="","",INT((H226-SAT1)/7)+1)</f>
        <v/>
      </c>
      <c r="J226" s="0" t="str">
        <f aca="false">IF(I226="","",IF(OR(I226&lt;1,I226&gt;NW),"",INDEX(WMON,I226)))</f>
        <v/>
      </c>
    </row>
    <row r="227" customFormat="false" ht="15" hidden="false" customHeight="false" outlineLevel="0" collapsed="false">
      <c r="A227" s="57"/>
      <c r="B227" s="30"/>
      <c r="C227" s="59"/>
      <c r="D227" s="58"/>
      <c r="E227" s="59"/>
      <c r="G227" s="0" t="str">
        <f aca="false">IF(AND(B227&lt;&gt;"",COUNTIF(B$6:B227,B227)=1),MAX(G$5:G226)+1,"")</f>
        <v/>
      </c>
      <c r="H227" s="0" t="str">
        <f aca="false">IF(A227="","",IF(ISNUMBER(A227),IF(A227&gt;=36526,A227,""),IFERROR(DATEVALUE(A227),"")))</f>
        <v/>
      </c>
      <c r="I227" s="0" t="str">
        <f aca="false">IF(H227="","",INT((H227-SAT1)/7)+1)</f>
        <v/>
      </c>
      <c r="J227" s="0" t="str">
        <f aca="false">IF(I227="","",IF(OR(I227&lt;1,I227&gt;NW),"",INDEX(WMON,I227)))</f>
        <v/>
      </c>
    </row>
    <row r="228" customFormat="false" ht="15" hidden="false" customHeight="false" outlineLevel="0" collapsed="false">
      <c r="A228" s="57"/>
      <c r="B228" s="30"/>
      <c r="C228" s="59"/>
      <c r="D228" s="58"/>
      <c r="E228" s="59"/>
      <c r="G228" s="0" t="str">
        <f aca="false">IF(AND(B228&lt;&gt;"",COUNTIF(B$6:B228,B228)=1),MAX(G$5:G227)+1,"")</f>
        <v/>
      </c>
      <c r="H228" s="0" t="str">
        <f aca="false">IF(A228="","",IF(ISNUMBER(A228),IF(A228&gt;=36526,A228,""),IFERROR(DATEVALUE(A228),"")))</f>
        <v/>
      </c>
      <c r="I228" s="0" t="str">
        <f aca="false">IF(H228="","",INT((H228-SAT1)/7)+1)</f>
        <v/>
      </c>
      <c r="J228" s="0" t="str">
        <f aca="false">IF(I228="","",IF(OR(I228&lt;1,I228&gt;NW),"",INDEX(WMON,I228)))</f>
        <v/>
      </c>
    </row>
    <row r="229" customFormat="false" ht="15" hidden="false" customHeight="false" outlineLevel="0" collapsed="false">
      <c r="A229" s="57"/>
      <c r="B229" s="30"/>
      <c r="C229" s="59"/>
      <c r="D229" s="58"/>
      <c r="E229" s="59"/>
      <c r="G229" s="0" t="str">
        <f aca="false">IF(AND(B229&lt;&gt;"",COUNTIF(B$6:B229,B229)=1),MAX(G$5:G228)+1,"")</f>
        <v/>
      </c>
      <c r="H229" s="0" t="str">
        <f aca="false">IF(A229="","",IF(ISNUMBER(A229),IF(A229&gt;=36526,A229,""),IFERROR(DATEVALUE(A229),"")))</f>
        <v/>
      </c>
      <c r="I229" s="0" t="str">
        <f aca="false">IF(H229="","",INT((H229-SAT1)/7)+1)</f>
        <v/>
      </c>
      <c r="J229" s="0" t="str">
        <f aca="false">IF(I229="","",IF(OR(I229&lt;1,I229&gt;NW),"",INDEX(WMON,I229)))</f>
        <v/>
      </c>
    </row>
    <row r="230" customFormat="false" ht="15" hidden="false" customHeight="false" outlineLevel="0" collapsed="false">
      <c r="A230" s="57"/>
      <c r="B230" s="30"/>
      <c r="C230" s="59"/>
      <c r="D230" s="58"/>
      <c r="E230" s="59"/>
      <c r="G230" s="0" t="str">
        <f aca="false">IF(AND(B230&lt;&gt;"",COUNTIF(B$6:B230,B230)=1),MAX(G$5:G229)+1,"")</f>
        <v/>
      </c>
      <c r="H230" s="0" t="str">
        <f aca="false">IF(A230="","",IF(ISNUMBER(A230),IF(A230&gt;=36526,A230,""),IFERROR(DATEVALUE(A230),"")))</f>
        <v/>
      </c>
      <c r="I230" s="0" t="str">
        <f aca="false">IF(H230="","",INT((H230-SAT1)/7)+1)</f>
        <v/>
      </c>
      <c r="J230" s="0" t="str">
        <f aca="false">IF(I230="","",IF(OR(I230&lt;1,I230&gt;NW),"",INDEX(WMON,I230)))</f>
        <v/>
      </c>
    </row>
    <row r="231" customFormat="false" ht="15" hidden="false" customHeight="false" outlineLevel="0" collapsed="false">
      <c r="A231" s="57"/>
      <c r="B231" s="30"/>
      <c r="C231" s="59"/>
      <c r="D231" s="58"/>
      <c r="E231" s="59"/>
      <c r="G231" s="0" t="str">
        <f aca="false">IF(AND(B231&lt;&gt;"",COUNTIF(B$6:B231,B231)=1),MAX(G$5:G230)+1,"")</f>
        <v/>
      </c>
      <c r="H231" s="0" t="str">
        <f aca="false">IF(A231="","",IF(ISNUMBER(A231),IF(A231&gt;=36526,A231,""),IFERROR(DATEVALUE(A231),"")))</f>
        <v/>
      </c>
      <c r="I231" s="0" t="str">
        <f aca="false">IF(H231="","",INT((H231-SAT1)/7)+1)</f>
        <v/>
      </c>
      <c r="J231" s="0" t="str">
        <f aca="false">IF(I231="","",IF(OR(I231&lt;1,I231&gt;NW),"",INDEX(WMON,I231)))</f>
        <v/>
      </c>
    </row>
    <row r="232" customFormat="false" ht="15" hidden="false" customHeight="false" outlineLevel="0" collapsed="false">
      <c r="A232" s="57"/>
      <c r="B232" s="30"/>
      <c r="C232" s="59"/>
      <c r="D232" s="58"/>
      <c r="E232" s="59"/>
      <c r="G232" s="0" t="str">
        <f aca="false">IF(AND(B232&lt;&gt;"",COUNTIF(B$6:B232,B232)=1),MAX(G$5:G231)+1,"")</f>
        <v/>
      </c>
      <c r="H232" s="0" t="str">
        <f aca="false">IF(A232="","",IF(ISNUMBER(A232),IF(A232&gt;=36526,A232,""),IFERROR(DATEVALUE(A232),"")))</f>
        <v/>
      </c>
      <c r="I232" s="0" t="str">
        <f aca="false">IF(H232="","",INT((H232-SAT1)/7)+1)</f>
        <v/>
      </c>
      <c r="J232" s="0" t="str">
        <f aca="false">IF(I232="","",IF(OR(I232&lt;1,I232&gt;NW),"",INDEX(WMON,I232)))</f>
        <v/>
      </c>
    </row>
    <row r="233" customFormat="false" ht="15" hidden="false" customHeight="false" outlineLevel="0" collapsed="false">
      <c r="A233" s="57"/>
      <c r="B233" s="30"/>
      <c r="C233" s="59"/>
      <c r="D233" s="58"/>
      <c r="E233" s="59"/>
      <c r="G233" s="0" t="str">
        <f aca="false">IF(AND(B233&lt;&gt;"",COUNTIF(B$6:B233,B233)=1),MAX(G$5:G232)+1,"")</f>
        <v/>
      </c>
      <c r="H233" s="0" t="str">
        <f aca="false">IF(A233="","",IF(ISNUMBER(A233),IF(A233&gt;=36526,A233,""),IFERROR(DATEVALUE(A233),"")))</f>
        <v/>
      </c>
      <c r="I233" s="0" t="str">
        <f aca="false">IF(H233="","",INT((H233-SAT1)/7)+1)</f>
        <v/>
      </c>
      <c r="J233" s="0" t="str">
        <f aca="false">IF(I233="","",IF(OR(I233&lt;1,I233&gt;NW),"",INDEX(WMON,I233)))</f>
        <v/>
      </c>
    </row>
    <row r="234" customFormat="false" ht="15" hidden="false" customHeight="false" outlineLevel="0" collapsed="false">
      <c r="A234" s="57"/>
      <c r="B234" s="30"/>
      <c r="C234" s="59"/>
      <c r="D234" s="58"/>
      <c r="E234" s="59"/>
      <c r="G234" s="0" t="str">
        <f aca="false">IF(AND(B234&lt;&gt;"",COUNTIF(B$6:B234,B234)=1),MAX(G$5:G233)+1,"")</f>
        <v/>
      </c>
      <c r="H234" s="0" t="str">
        <f aca="false">IF(A234="","",IF(ISNUMBER(A234),IF(A234&gt;=36526,A234,""),IFERROR(DATEVALUE(A234),"")))</f>
        <v/>
      </c>
      <c r="I234" s="0" t="str">
        <f aca="false">IF(H234="","",INT((H234-SAT1)/7)+1)</f>
        <v/>
      </c>
      <c r="J234" s="0" t="str">
        <f aca="false">IF(I234="","",IF(OR(I234&lt;1,I234&gt;NW),"",INDEX(WMON,I234)))</f>
        <v/>
      </c>
    </row>
    <row r="235" customFormat="false" ht="15" hidden="false" customHeight="false" outlineLevel="0" collapsed="false">
      <c r="A235" s="57"/>
      <c r="B235" s="30"/>
      <c r="C235" s="59"/>
      <c r="D235" s="58"/>
      <c r="E235" s="59"/>
      <c r="G235" s="0" t="str">
        <f aca="false">IF(AND(B235&lt;&gt;"",COUNTIF(B$6:B235,B235)=1),MAX(G$5:G234)+1,"")</f>
        <v/>
      </c>
      <c r="H235" s="0" t="str">
        <f aca="false">IF(A235="","",IF(ISNUMBER(A235),IF(A235&gt;=36526,A235,""),IFERROR(DATEVALUE(A235),"")))</f>
        <v/>
      </c>
      <c r="I235" s="0" t="str">
        <f aca="false">IF(H235="","",INT((H235-SAT1)/7)+1)</f>
        <v/>
      </c>
      <c r="J235" s="0" t="str">
        <f aca="false">IF(I235="","",IF(OR(I235&lt;1,I235&gt;NW),"",INDEX(WMON,I235)))</f>
        <v/>
      </c>
    </row>
    <row r="236" customFormat="false" ht="15" hidden="false" customHeight="false" outlineLevel="0" collapsed="false">
      <c r="A236" s="57"/>
      <c r="B236" s="30"/>
      <c r="C236" s="59"/>
      <c r="D236" s="58"/>
      <c r="E236" s="59"/>
      <c r="G236" s="0" t="str">
        <f aca="false">IF(AND(B236&lt;&gt;"",COUNTIF(B$6:B236,B236)=1),MAX(G$5:G235)+1,"")</f>
        <v/>
      </c>
      <c r="H236" s="0" t="str">
        <f aca="false">IF(A236="","",IF(ISNUMBER(A236),IF(A236&gt;=36526,A236,""),IFERROR(DATEVALUE(A236),"")))</f>
        <v/>
      </c>
      <c r="I236" s="0" t="str">
        <f aca="false">IF(H236="","",INT((H236-SAT1)/7)+1)</f>
        <v/>
      </c>
      <c r="J236" s="0" t="str">
        <f aca="false">IF(I236="","",IF(OR(I236&lt;1,I236&gt;NW),"",INDEX(WMON,I236)))</f>
        <v/>
      </c>
    </row>
    <row r="237" customFormat="false" ht="15" hidden="false" customHeight="false" outlineLevel="0" collapsed="false">
      <c r="A237" s="57"/>
      <c r="B237" s="30"/>
      <c r="C237" s="59"/>
      <c r="D237" s="58"/>
      <c r="E237" s="59"/>
      <c r="G237" s="0" t="str">
        <f aca="false">IF(AND(B237&lt;&gt;"",COUNTIF(B$6:B237,B237)=1),MAX(G$5:G236)+1,"")</f>
        <v/>
      </c>
      <c r="H237" s="0" t="str">
        <f aca="false">IF(A237="","",IF(ISNUMBER(A237),IF(A237&gt;=36526,A237,""),IFERROR(DATEVALUE(A237),"")))</f>
        <v/>
      </c>
      <c r="I237" s="0" t="str">
        <f aca="false">IF(H237="","",INT((H237-SAT1)/7)+1)</f>
        <v/>
      </c>
      <c r="J237" s="0" t="str">
        <f aca="false">IF(I237="","",IF(OR(I237&lt;1,I237&gt;NW),"",INDEX(WMON,I237)))</f>
        <v/>
      </c>
    </row>
    <row r="238" customFormat="false" ht="15" hidden="false" customHeight="false" outlineLevel="0" collapsed="false">
      <c r="A238" s="57"/>
      <c r="B238" s="30"/>
      <c r="C238" s="59"/>
      <c r="D238" s="58"/>
      <c r="E238" s="59"/>
      <c r="G238" s="0" t="str">
        <f aca="false">IF(AND(B238&lt;&gt;"",COUNTIF(B$6:B238,B238)=1),MAX(G$5:G237)+1,"")</f>
        <v/>
      </c>
      <c r="H238" s="0" t="str">
        <f aca="false">IF(A238="","",IF(ISNUMBER(A238),IF(A238&gt;=36526,A238,""),IFERROR(DATEVALUE(A238),"")))</f>
        <v/>
      </c>
      <c r="I238" s="0" t="str">
        <f aca="false">IF(H238="","",INT((H238-SAT1)/7)+1)</f>
        <v/>
      </c>
      <c r="J238" s="0" t="str">
        <f aca="false">IF(I238="","",IF(OR(I238&lt;1,I238&gt;NW),"",INDEX(WMON,I238)))</f>
        <v/>
      </c>
    </row>
    <row r="239" customFormat="false" ht="15" hidden="false" customHeight="false" outlineLevel="0" collapsed="false">
      <c r="A239" s="57"/>
      <c r="B239" s="30"/>
      <c r="C239" s="59"/>
      <c r="D239" s="58"/>
      <c r="E239" s="59"/>
      <c r="G239" s="0" t="str">
        <f aca="false">IF(AND(B239&lt;&gt;"",COUNTIF(B$6:B239,B239)=1),MAX(G$5:G238)+1,"")</f>
        <v/>
      </c>
      <c r="H239" s="0" t="str">
        <f aca="false">IF(A239="","",IF(ISNUMBER(A239),IF(A239&gt;=36526,A239,""),IFERROR(DATEVALUE(A239),"")))</f>
        <v/>
      </c>
      <c r="I239" s="0" t="str">
        <f aca="false">IF(H239="","",INT((H239-SAT1)/7)+1)</f>
        <v/>
      </c>
      <c r="J239" s="0" t="str">
        <f aca="false">IF(I239="","",IF(OR(I239&lt;1,I239&gt;NW),"",INDEX(WMON,I239)))</f>
        <v/>
      </c>
    </row>
    <row r="240" customFormat="false" ht="15" hidden="false" customHeight="false" outlineLevel="0" collapsed="false">
      <c r="A240" s="57"/>
      <c r="B240" s="30"/>
      <c r="C240" s="59"/>
      <c r="D240" s="58"/>
      <c r="E240" s="59"/>
      <c r="G240" s="0" t="str">
        <f aca="false">IF(AND(B240&lt;&gt;"",COUNTIF(B$6:B240,B240)=1),MAX(G$5:G239)+1,"")</f>
        <v/>
      </c>
      <c r="H240" s="0" t="str">
        <f aca="false">IF(A240="","",IF(ISNUMBER(A240),IF(A240&gt;=36526,A240,""),IFERROR(DATEVALUE(A240),"")))</f>
        <v/>
      </c>
      <c r="I240" s="0" t="str">
        <f aca="false">IF(H240="","",INT((H240-SAT1)/7)+1)</f>
        <v/>
      </c>
      <c r="J240" s="0" t="str">
        <f aca="false">IF(I240="","",IF(OR(I240&lt;1,I240&gt;NW),"",INDEX(WMON,I240)))</f>
        <v/>
      </c>
    </row>
    <row r="241" customFormat="false" ht="15" hidden="false" customHeight="false" outlineLevel="0" collapsed="false">
      <c r="A241" s="57"/>
      <c r="B241" s="30"/>
      <c r="C241" s="59"/>
      <c r="D241" s="58"/>
      <c r="E241" s="59"/>
      <c r="G241" s="0" t="str">
        <f aca="false">IF(AND(B241&lt;&gt;"",COUNTIF(B$6:B241,B241)=1),MAX(G$5:G240)+1,"")</f>
        <v/>
      </c>
      <c r="H241" s="0" t="str">
        <f aca="false">IF(A241="","",IF(ISNUMBER(A241),IF(A241&gt;=36526,A241,""),IFERROR(DATEVALUE(A241),"")))</f>
        <v/>
      </c>
      <c r="I241" s="0" t="str">
        <f aca="false">IF(H241="","",INT((H241-SAT1)/7)+1)</f>
        <v/>
      </c>
      <c r="J241" s="0" t="str">
        <f aca="false">IF(I241="","",IF(OR(I241&lt;1,I241&gt;NW),"",INDEX(WMON,I241)))</f>
        <v/>
      </c>
    </row>
    <row r="242" customFormat="false" ht="15" hidden="false" customHeight="false" outlineLevel="0" collapsed="false">
      <c r="A242" s="57"/>
      <c r="B242" s="30"/>
      <c r="C242" s="59"/>
      <c r="D242" s="58"/>
      <c r="E242" s="59"/>
      <c r="G242" s="0" t="str">
        <f aca="false">IF(AND(B242&lt;&gt;"",COUNTIF(B$6:B242,B242)=1),MAX(G$5:G241)+1,"")</f>
        <v/>
      </c>
      <c r="H242" s="0" t="str">
        <f aca="false">IF(A242="","",IF(ISNUMBER(A242),IF(A242&gt;=36526,A242,""),IFERROR(DATEVALUE(A242),"")))</f>
        <v/>
      </c>
      <c r="I242" s="0" t="str">
        <f aca="false">IF(H242="","",INT((H242-SAT1)/7)+1)</f>
        <v/>
      </c>
      <c r="J242" s="0" t="str">
        <f aca="false">IF(I242="","",IF(OR(I242&lt;1,I242&gt;NW),"",INDEX(WMON,I242)))</f>
        <v/>
      </c>
    </row>
    <row r="243" customFormat="false" ht="15" hidden="false" customHeight="false" outlineLevel="0" collapsed="false">
      <c r="A243" s="57"/>
      <c r="B243" s="30"/>
      <c r="C243" s="59"/>
      <c r="D243" s="58"/>
      <c r="E243" s="59"/>
      <c r="G243" s="0" t="str">
        <f aca="false">IF(AND(B243&lt;&gt;"",COUNTIF(B$6:B243,B243)=1),MAX(G$5:G242)+1,"")</f>
        <v/>
      </c>
      <c r="H243" s="0" t="str">
        <f aca="false">IF(A243="","",IF(ISNUMBER(A243),IF(A243&gt;=36526,A243,""),IFERROR(DATEVALUE(A243),"")))</f>
        <v/>
      </c>
      <c r="I243" s="0" t="str">
        <f aca="false">IF(H243="","",INT((H243-SAT1)/7)+1)</f>
        <v/>
      </c>
      <c r="J243" s="0" t="str">
        <f aca="false">IF(I243="","",IF(OR(I243&lt;1,I243&gt;NW),"",INDEX(WMON,I243)))</f>
        <v/>
      </c>
    </row>
    <row r="244" customFormat="false" ht="15" hidden="false" customHeight="false" outlineLevel="0" collapsed="false">
      <c r="A244" s="57"/>
      <c r="B244" s="30"/>
      <c r="C244" s="59"/>
      <c r="D244" s="58"/>
      <c r="E244" s="59"/>
      <c r="G244" s="0" t="str">
        <f aca="false">IF(AND(B244&lt;&gt;"",COUNTIF(B$6:B244,B244)=1),MAX(G$5:G243)+1,"")</f>
        <v/>
      </c>
      <c r="H244" s="0" t="str">
        <f aca="false">IF(A244="","",IF(ISNUMBER(A244),IF(A244&gt;=36526,A244,""),IFERROR(DATEVALUE(A244),"")))</f>
        <v/>
      </c>
      <c r="I244" s="0" t="str">
        <f aca="false">IF(H244="","",INT((H244-SAT1)/7)+1)</f>
        <v/>
      </c>
      <c r="J244" s="0" t="str">
        <f aca="false">IF(I244="","",IF(OR(I244&lt;1,I244&gt;NW),"",INDEX(WMON,I244)))</f>
        <v/>
      </c>
    </row>
    <row r="245" customFormat="false" ht="15" hidden="false" customHeight="false" outlineLevel="0" collapsed="false">
      <c r="A245" s="57"/>
      <c r="B245" s="30"/>
      <c r="C245" s="59"/>
      <c r="D245" s="58"/>
      <c r="E245" s="59"/>
      <c r="G245" s="0" t="str">
        <f aca="false">IF(AND(B245&lt;&gt;"",COUNTIF(B$6:B245,B245)=1),MAX(G$5:G244)+1,"")</f>
        <v/>
      </c>
      <c r="H245" s="0" t="str">
        <f aca="false">IF(A245="","",IF(ISNUMBER(A245),IF(A245&gt;=36526,A245,""),IFERROR(DATEVALUE(A245),"")))</f>
        <v/>
      </c>
      <c r="I245" s="0" t="str">
        <f aca="false">IF(H245="","",INT((H245-SAT1)/7)+1)</f>
        <v/>
      </c>
      <c r="J245" s="0" t="str">
        <f aca="false">IF(I245="","",IF(OR(I245&lt;1,I245&gt;NW),"",INDEX(WMON,I245)))</f>
        <v/>
      </c>
    </row>
    <row r="246" customFormat="false" ht="15" hidden="false" customHeight="false" outlineLevel="0" collapsed="false">
      <c r="A246" s="57"/>
      <c r="B246" s="30"/>
      <c r="C246" s="59"/>
      <c r="D246" s="58"/>
      <c r="E246" s="59"/>
      <c r="G246" s="0" t="str">
        <f aca="false">IF(AND(B246&lt;&gt;"",COUNTIF(B$6:B246,B246)=1),MAX(G$5:G245)+1,"")</f>
        <v/>
      </c>
      <c r="H246" s="0" t="str">
        <f aca="false">IF(A246="","",IF(ISNUMBER(A246),IF(A246&gt;=36526,A246,""),IFERROR(DATEVALUE(A246),"")))</f>
        <v/>
      </c>
      <c r="I246" s="0" t="str">
        <f aca="false">IF(H246="","",INT((H246-SAT1)/7)+1)</f>
        <v/>
      </c>
      <c r="J246" s="0" t="str">
        <f aca="false">IF(I246="","",IF(OR(I246&lt;1,I246&gt;NW),"",INDEX(WMON,I246)))</f>
        <v/>
      </c>
    </row>
    <row r="247" customFormat="false" ht="15" hidden="false" customHeight="false" outlineLevel="0" collapsed="false">
      <c r="A247" s="57"/>
      <c r="B247" s="30"/>
      <c r="C247" s="59"/>
      <c r="D247" s="58"/>
      <c r="E247" s="59"/>
      <c r="G247" s="0" t="str">
        <f aca="false">IF(AND(B247&lt;&gt;"",COUNTIF(B$6:B247,B247)=1),MAX(G$5:G246)+1,"")</f>
        <v/>
      </c>
      <c r="H247" s="0" t="str">
        <f aca="false">IF(A247="","",IF(ISNUMBER(A247),IF(A247&gt;=36526,A247,""),IFERROR(DATEVALUE(A247),"")))</f>
        <v/>
      </c>
      <c r="I247" s="0" t="str">
        <f aca="false">IF(H247="","",INT((H247-SAT1)/7)+1)</f>
        <v/>
      </c>
      <c r="J247" s="0" t="str">
        <f aca="false">IF(I247="","",IF(OR(I247&lt;1,I247&gt;NW),"",INDEX(WMON,I247)))</f>
        <v/>
      </c>
    </row>
    <row r="248" customFormat="false" ht="15" hidden="false" customHeight="false" outlineLevel="0" collapsed="false">
      <c r="A248" s="57"/>
      <c r="B248" s="30"/>
      <c r="C248" s="59"/>
      <c r="D248" s="58"/>
      <c r="E248" s="59"/>
      <c r="G248" s="0" t="str">
        <f aca="false">IF(AND(B248&lt;&gt;"",COUNTIF(B$6:B248,B248)=1),MAX(G$5:G247)+1,"")</f>
        <v/>
      </c>
      <c r="H248" s="0" t="str">
        <f aca="false">IF(A248="","",IF(ISNUMBER(A248),IF(A248&gt;=36526,A248,""),IFERROR(DATEVALUE(A248),"")))</f>
        <v/>
      </c>
      <c r="I248" s="0" t="str">
        <f aca="false">IF(H248="","",INT((H248-SAT1)/7)+1)</f>
        <v/>
      </c>
      <c r="J248" s="0" t="str">
        <f aca="false">IF(I248="","",IF(OR(I248&lt;1,I248&gt;NW),"",INDEX(WMON,I248)))</f>
        <v/>
      </c>
    </row>
    <row r="249" customFormat="false" ht="15" hidden="false" customHeight="false" outlineLevel="0" collapsed="false">
      <c r="A249" s="57"/>
      <c r="B249" s="30"/>
      <c r="C249" s="59"/>
      <c r="D249" s="58"/>
      <c r="E249" s="59"/>
      <c r="G249" s="0" t="str">
        <f aca="false">IF(AND(B249&lt;&gt;"",COUNTIF(B$6:B249,B249)=1),MAX(G$5:G248)+1,"")</f>
        <v/>
      </c>
      <c r="H249" s="0" t="str">
        <f aca="false">IF(A249="","",IF(ISNUMBER(A249),IF(A249&gt;=36526,A249,""),IFERROR(DATEVALUE(A249),"")))</f>
        <v/>
      </c>
      <c r="I249" s="0" t="str">
        <f aca="false">IF(H249="","",INT((H249-SAT1)/7)+1)</f>
        <v/>
      </c>
      <c r="J249" s="0" t="str">
        <f aca="false">IF(I249="","",IF(OR(I249&lt;1,I249&gt;NW),"",INDEX(WMON,I249)))</f>
        <v/>
      </c>
    </row>
    <row r="250" customFormat="false" ht="15" hidden="false" customHeight="false" outlineLevel="0" collapsed="false">
      <c r="A250" s="57"/>
      <c r="B250" s="30"/>
      <c r="C250" s="59"/>
      <c r="D250" s="58"/>
      <c r="E250" s="59"/>
      <c r="G250" s="0" t="str">
        <f aca="false">IF(AND(B250&lt;&gt;"",COUNTIF(B$6:B250,B250)=1),MAX(G$5:G249)+1,"")</f>
        <v/>
      </c>
      <c r="H250" s="0" t="str">
        <f aca="false">IF(A250="","",IF(ISNUMBER(A250),IF(A250&gt;=36526,A250,""),IFERROR(DATEVALUE(A250),"")))</f>
        <v/>
      </c>
      <c r="I250" s="0" t="str">
        <f aca="false">IF(H250="","",INT((H250-SAT1)/7)+1)</f>
        <v/>
      </c>
      <c r="J250" s="0" t="str">
        <f aca="false">IF(I250="","",IF(OR(I250&lt;1,I250&gt;NW),"",INDEX(WMON,I250)))</f>
        <v/>
      </c>
    </row>
    <row r="251" customFormat="false" ht="15" hidden="false" customHeight="false" outlineLevel="0" collapsed="false">
      <c r="A251" s="57"/>
      <c r="B251" s="30"/>
      <c r="C251" s="59"/>
      <c r="D251" s="58"/>
      <c r="E251" s="59"/>
      <c r="G251" s="0" t="str">
        <f aca="false">IF(AND(B251&lt;&gt;"",COUNTIF(B$6:B251,B251)=1),MAX(G$5:G250)+1,"")</f>
        <v/>
      </c>
      <c r="H251" s="0" t="str">
        <f aca="false">IF(A251="","",IF(ISNUMBER(A251),IF(A251&gt;=36526,A251,""),IFERROR(DATEVALUE(A251),"")))</f>
        <v/>
      </c>
      <c r="I251" s="0" t="str">
        <f aca="false">IF(H251="","",INT((H251-SAT1)/7)+1)</f>
        <v/>
      </c>
      <c r="J251" s="0" t="str">
        <f aca="false">IF(I251="","",IF(OR(I251&lt;1,I251&gt;NW),"",INDEX(WMON,I251)))</f>
        <v/>
      </c>
    </row>
    <row r="252" customFormat="false" ht="15" hidden="false" customHeight="false" outlineLevel="0" collapsed="false">
      <c r="A252" s="57"/>
      <c r="B252" s="30"/>
      <c r="C252" s="59"/>
      <c r="D252" s="58"/>
      <c r="E252" s="59"/>
      <c r="G252" s="0" t="str">
        <f aca="false">IF(AND(B252&lt;&gt;"",COUNTIF(B$6:B252,B252)=1),MAX(G$5:G251)+1,"")</f>
        <v/>
      </c>
      <c r="H252" s="0" t="str">
        <f aca="false">IF(A252="","",IF(ISNUMBER(A252),IF(A252&gt;=36526,A252,""),IFERROR(DATEVALUE(A252),"")))</f>
        <v/>
      </c>
      <c r="I252" s="0" t="str">
        <f aca="false">IF(H252="","",INT((H252-SAT1)/7)+1)</f>
        <v/>
      </c>
      <c r="J252" s="0" t="str">
        <f aca="false">IF(I252="","",IF(OR(I252&lt;1,I252&gt;NW),"",INDEX(WMON,I252)))</f>
        <v/>
      </c>
    </row>
    <row r="253" customFormat="false" ht="15" hidden="false" customHeight="false" outlineLevel="0" collapsed="false">
      <c r="A253" s="57"/>
      <c r="B253" s="30"/>
      <c r="C253" s="59"/>
      <c r="D253" s="58"/>
      <c r="E253" s="59"/>
      <c r="G253" s="0" t="str">
        <f aca="false">IF(AND(B253&lt;&gt;"",COUNTIF(B$6:B253,B253)=1),MAX(G$5:G252)+1,"")</f>
        <v/>
      </c>
      <c r="H253" s="0" t="str">
        <f aca="false">IF(A253="","",IF(ISNUMBER(A253),IF(A253&gt;=36526,A253,""),IFERROR(DATEVALUE(A253),"")))</f>
        <v/>
      </c>
      <c r="I253" s="0" t="str">
        <f aca="false">IF(H253="","",INT((H253-SAT1)/7)+1)</f>
        <v/>
      </c>
      <c r="J253" s="0" t="str">
        <f aca="false">IF(I253="","",IF(OR(I253&lt;1,I253&gt;NW),"",INDEX(WMON,I253)))</f>
        <v/>
      </c>
    </row>
    <row r="254" customFormat="false" ht="15" hidden="false" customHeight="false" outlineLevel="0" collapsed="false">
      <c r="A254" s="57"/>
      <c r="B254" s="30"/>
      <c r="C254" s="59"/>
      <c r="D254" s="58"/>
      <c r="E254" s="59"/>
      <c r="G254" s="0" t="str">
        <f aca="false">IF(AND(B254&lt;&gt;"",COUNTIF(B$6:B254,B254)=1),MAX(G$5:G253)+1,"")</f>
        <v/>
      </c>
      <c r="H254" s="0" t="str">
        <f aca="false">IF(A254="","",IF(ISNUMBER(A254),IF(A254&gt;=36526,A254,""),IFERROR(DATEVALUE(A254),"")))</f>
        <v/>
      </c>
      <c r="I254" s="0" t="str">
        <f aca="false">IF(H254="","",INT((H254-SAT1)/7)+1)</f>
        <v/>
      </c>
      <c r="J254" s="0" t="str">
        <f aca="false">IF(I254="","",IF(OR(I254&lt;1,I254&gt;NW),"",INDEX(WMON,I254)))</f>
        <v/>
      </c>
    </row>
    <row r="255" customFormat="false" ht="15" hidden="false" customHeight="false" outlineLevel="0" collapsed="false">
      <c r="A255" s="57"/>
      <c r="B255" s="30"/>
      <c r="C255" s="59"/>
      <c r="D255" s="58"/>
      <c r="E255" s="59"/>
      <c r="G255" s="0" t="str">
        <f aca="false">IF(AND(B255&lt;&gt;"",COUNTIF(B$6:B255,B255)=1),MAX(G$5:G254)+1,"")</f>
        <v/>
      </c>
      <c r="H255" s="0" t="str">
        <f aca="false">IF(A255="","",IF(ISNUMBER(A255),IF(A255&gt;=36526,A255,""),IFERROR(DATEVALUE(A255),"")))</f>
        <v/>
      </c>
      <c r="I255" s="0" t="str">
        <f aca="false">IF(H255="","",INT((H255-SAT1)/7)+1)</f>
        <v/>
      </c>
      <c r="J255" s="0" t="str">
        <f aca="false">IF(I255="","",IF(OR(I255&lt;1,I255&gt;NW),"",INDEX(WMON,I255)))</f>
        <v/>
      </c>
    </row>
    <row r="256" customFormat="false" ht="15" hidden="false" customHeight="false" outlineLevel="0" collapsed="false">
      <c r="A256" s="57"/>
      <c r="B256" s="30"/>
      <c r="C256" s="59"/>
      <c r="D256" s="58"/>
      <c r="E256" s="59"/>
      <c r="G256" s="0" t="str">
        <f aca="false">IF(AND(B256&lt;&gt;"",COUNTIF(B$6:B256,B256)=1),MAX(G$5:G255)+1,"")</f>
        <v/>
      </c>
      <c r="H256" s="0" t="str">
        <f aca="false">IF(A256="","",IF(ISNUMBER(A256),IF(A256&gt;=36526,A256,""),IFERROR(DATEVALUE(A256),"")))</f>
        <v/>
      </c>
      <c r="I256" s="0" t="str">
        <f aca="false">IF(H256="","",INT((H256-SAT1)/7)+1)</f>
        <v/>
      </c>
      <c r="J256" s="0" t="str">
        <f aca="false">IF(I256="","",IF(OR(I256&lt;1,I256&gt;NW),"",INDEX(WMON,I256)))</f>
        <v/>
      </c>
    </row>
    <row r="257" customFormat="false" ht="15" hidden="false" customHeight="false" outlineLevel="0" collapsed="false">
      <c r="A257" s="57"/>
      <c r="B257" s="30"/>
      <c r="C257" s="59"/>
      <c r="D257" s="58"/>
      <c r="E257" s="59"/>
      <c r="G257" s="0" t="str">
        <f aca="false">IF(AND(B257&lt;&gt;"",COUNTIF(B$6:B257,B257)=1),MAX(G$5:G256)+1,"")</f>
        <v/>
      </c>
      <c r="H257" s="0" t="str">
        <f aca="false">IF(A257="","",IF(ISNUMBER(A257),IF(A257&gt;=36526,A257,""),IFERROR(DATEVALUE(A257),"")))</f>
        <v/>
      </c>
      <c r="I257" s="0" t="str">
        <f aca="false">IF(H257="","",INT((H257-SAT1)/7)+1)</f>
        <v/>
      </c>
      <c r="J257" s="0" t="str">
        <f aca="false">IF(I257="","",IF(OR(I257&lt;1,I257&gt;NW),"",INDEX(WMON,I257)))</f>
        <v/>
      </c>
    </row>
    <row r="258" customFormat="false" ht="15" hidden="false" customHeight="false" outlineLevel="0" collapsed="false">
      <c r="A258" s="57"/>
      <c r="B258" s="30"/>
      <c r="C258" s="59"/>
      <c r="D258" s="58"/>
      <c r="E258" s="59"/>
      <c r="G258" s="0" t="str">
        <f aca="false">IF(AND(B258&lt;&gt;"",COUNTIF(B$6:B258,B258)=1),MAX(G$5:G257)+1,"")</f>
        <v/>
      </c>
      <c r="H258" s="0" t="str">
        <f aca="false">IF(A258="","",IF(ISNUMBER(A258),IF(A258&gt;=36526,A258,""),IFERROR(DATEVALUE(A258),"")))</f>
        <v/>
      </c>
      <c r="I258" s="0" t="str">
        <f aca="false">IF(H258="","",INT((H258-SAT1)/7)+1)</f>
        <v/>
      </c>
      <c r="J258" s="0" t="str">
        <f aca="false">IF(I258="","",IF(OR(I258&lt;1,I258&gt;NW),"",INDEX(WMON,I258)))</f>
        <v/>
      </c>
    </row>
    <row r="259" customFormat="false" ht="15" hidden="false" customHeight="false" outlineLevel="0" collapsed="false">
      <c r="A259" s="57"/>
      <c r="B259" s="30"/>
      <c r="C259" s="59"/>
      <c r="D259" s="58"/>
      <c r="E259" s="59"/>
      <c r="G259" s="0" t="str">
        <f aca="false">IF(AND(B259&lt;&gt;"",COUNTIF(B$6:B259,B259)=1),MAX(G$5:G258)+1,"")</f>
        <v/>
      </c>
      <c r="H259" s="0" t="str">
        <f aca="false">IF(A259="","",IF(ISNUMBER(A259),IF(A259&gt;=36526,A259,""),IFERROR(DATEVALUE(A259),"")))</f>
        <v/>
      </c>
      <c r="I259" s="0" t="str">
        <f aca="false">IF(H259="","",INT((H259-SAT1)/7)+1)</f>
        <v/>
      </c>
      <c r="J259" s="0" t="str">
        <f aca="false">IF(I259="","",IF(OR(I259&lt;1,I259&gt;NW),"",INDEX(WMON,I259)))</f>
        <v/>
      </c>
    </row>
    <row r="260" customFormat="false" ht="15" hidden="false" customHeight="false" outlineLevel="0" collapsed="false">
      <c r="A260" s="57"/>
      <c r="B260" s="30"/>
      <c r="C260" s="59"/>
      <c r="D260" s="58"/>
      <c r="E260" s="59"/>
      <c r="G260" s="0" t="str">
        <f aca="false">IF(AND(B260&lt;&gt;"",COUNTIF(B$6:B260,B260)=1),MAX(G$5:G259)+1,"")</f>
        <v/>
      </c>
      <c r="H260" s="0" t="str">
        <f aca="false">IF(A260="","",IF(ISNUMBER(A260),IF(A260&gt;=36526,A260,""),IFERROR(DATEVALUE(A260),"")))</f>
        <v/>
      </c>
      <c r="I260" s="0" t="str">
        <f aca="false">IF(H260="","",INT((H260-SAT1)/7)+1)</f>
        <v/>
      </c>
      <c r="J260" s="0" t="str">
        <f aca="false">IF(I260="","",IF(OR(I260&lt;1,I260&gt;NW),"",INDEX(WMON,I260)))</f>
        <v/>
      </c>
    </row>
    <row r="261" customFormat="false" ht="15" hidden="false" customHeight="false" outlineLevel="0" collapsed="false">
      <c r="A261" s="57"/>
      <c r="B261" s="30"/>
      <c r="C261" s="59"/>
      <c r="D261" s="58"/>
      <c r="E261" s="59"/>
      <c r="G261" s="0" t="str">
        <f aca="false">IF(AND(B261&lt;&gt;"",COUNTIF(B$6:B261,B261)=1),MAX(G$5:G260)+1,"")</f>
        <v/>
      </c>
      <c r="H261" s="0" t="str">
        <f aca="false">IF(A261="","",IF(ISNUMBER(A261),IF(A261&gt;=36526,A261,""),IFERROR(DATEVALUE(A261),"")))</f>
        <v/>
      </c>
      <c r="I261" s="0" t="str">
        <f aca="false">IF(H261="","",INT((H261-SAT1)/7)+1)</f>
        <v/>
      </c>
      <c r="J261" s="0" t="str">
        <f aca="false">IF(I261="","",IF(OR(I261&lt;1,I261&gt;NW),"",INDEX(WMON,I261)))</f>
        <v/>
      </c>
    </row>
    <row r="262" customFormat="false" ht="15" hidden="false" customHeight="false" outlineLevel="0" collapsed="false">
      <c r="A262" s="57"/>
      <c r="B262" s="30"/>
      <c r="C262" s="59"/>
      <c r="D262" s="58"/>
      <c r="E262" s="59"/>
      <c r="G262" s="0" t="str">
        <f aca="false">IF(AND(B262&lt;&gt;"",COUNTIF(B$6:B262,B262)=1),MAX(G$5:G261)+1,"")</f>
        <v/>
      </c>
      <c r="H262" s="0" t="str">
        <f aca="false">IF(A262="","",IF(ISNUMBER(A262),IF(A262&gt;=36526,A262,""),IFERROR(DATEVALUE(A262),"")))</f>
        <v/>
      </c>
      <c r="I262" s="0" t="str">
        <f aca="false">IF(H262="","",INT((H262-SAT1)/7)+1)</f>
        <v/>
      </c>
      <c r="J262" s="0" t="str">
        <f aca="false">IF(I262="","",IF(OR(I262&lt;1,I262&gt;NW),"",INDEX(WMON,I262)))</f>
        <v/>
      </c>
    </row>
    <row r="263" customFormat="false" ht="15" hidden="false" customHeight="false" outlineLevel="0" collapsed="false">
      <c r="A263" s="57"/>
      <c r="B263" s="30"/>
      <c r="C263" s="59"/>
      <c r="D263" s="58"/>
      <c r="E263" s="59"/>
      <c r="G263" s="0" t="str">
        <f aca="false">IF(AND(B263&lt;&gt;"",COUNTIF(B$6:B263,B263)=1),MAX(G$5:G262)+1,"")</f>
        <v/>
      </c>
      <c r="H263" s="0" t="str">
        <f aca="false">IF(A263="","",IF(ISNUMBER(A263),IF(A263&gt;=36526,A263,""),IFERROR(DATEVALUE(A263),"")))</f>
        <v/>
      </c>
      <c r="I263" s="0" t="str">
        <f aca="false">IF(H263="","",INT((H263-SAT1)/7)+1)</f>
        <v/>
      </c>
      <c r="J263" s="0" t="str">
        <f aca="false">IF(I263="","",IF(OR(I263&lt;1,I263&gt;NW),"",INDEX(WMON,I263)))</f>
        <v/>
      </c>
    </row>
    <row r="264" customFormat="false" ht="15" hidden="false" customHeight="false" outlineLevel="0" collapsed="false">
      <c r="A264" s="57"/>
      <c r="B264" s="30"/>
      <c r="C264" s="59"/>
      <c r="D264" s="58"/>
      <c r="E264" s="59"/>
      <c r="G264" s="0" t="str">
        <f aca="false">IF(AND(B264&lt;&gt;"",COUNTIF(B$6:B264,B264)=1),MAX(G$5:G263)+1,"")</f>
        <v/>
      </c>
      <c r="H264" s="0" t="str">
        <f aca="false">IF(A264="","",IF(ISNUMBER(A264),IF(A264&gt;=36526,A264,""),IFERROR(DATEVALUE(A264),"")))</f>
        <v/>
      </c>
      <c r="I264" s="0" t="str">
        <f aca="false">IF(H264="","",INT((H264-SAT1)/7)+1)</f>
        <v/>
      </c>
      <c r="J264" s="0" t="str">
        <f aca="false">IF(I264="","",IF(OR(I264&lt;1,I264&gt;NW),"",INDEX(WMON,I264)))</f>
        <v/>
      </c>
    </row>
    <row r="265" customFormat="false" ht="15" hidden="false" customHeight="false" outlineLevel="0" collapsed="false">
      <c r="A265" s="57"/>
      <c r="B265" s="30"/>
      <c r="C265" s="59"/>
      <c r="D265" s="58"/>
      <c r="E265" s="59"/>
      <c r="G265" s="0" t="str">
        <f aca="false">IF(AND(B265&lt;&gt;"",COUNTIF(B$6:B265,B265)=1),MAX(G$5:G264)+1,"")</f>
        <v/>
      </c>
      <c r="H265" s="0" t="str">
        <f aca="false">IF(A265="","",IF(ISNUMBER(A265),IF(A265&gt;=36526,A265,""),IFERROR(DATEVALUE(A265),"")))</f>
        <v/>
      </c>
      <c r="I265" s="0" t="str">
        <f aca="false">IF(H265="","",INT((H265-SAT1)/7)+1)</f>
        <v/>
      </c>
      <c r="J265" s="0" t="str">
        <f aca="false">IF(I265="","",IF(OR(I265&lt;1,I265&gt;NW),"",INDEX(WMON,I265)))</f>
        <v/>
      </c>
    </row>
    <row r="266" customFormat="false" ht="15" hidden="false" customHeight="false" outlineLevel="0" collapsed="false">
      <c r="A266" s="57"/>
      <c r="B266" s="30"/>
      <c r="C266" s="59"/>
      <c r="D266" s="58"/>
      <c r="E266" s="59"/>
      <c r="G266" s="0" t="str">
        <f aca="false">IF(AND(B266&lt;&gt;"",COUNTIF(B$6:B266,B266)=1),MAX(G$5:G265)+1,"")</f>
        <v/>
      </c>
      <c r="H266" s="0" t="str">
        <f aca="false">IF(A266="","",IF(ISNUMBER(A266),IF(A266&gt;=36526,A266,""),IFERROR(DATEVALUE(A266),"")))</f>
        <v/>
      </c>
      <c r="I266" s="0" t="str">
        <f aca="false">IF(H266="","",INT((H266-SAT1)/7)+1)</f>
        <v/>
      </c>
      <c r="J266" s="0" t="str">
        <f aca="false">IF(I266="","",IF(OR(I266&lt;1,I266&gt;NW),"",INDEX(WMON,I266)))</f>
        <v/>
      </c>
    </row>
    <row r="267" customFormat="false" ht="15" hidden="false" customHeight="false" outlineLevel="0" collapsed="false">
      <c r="A267" s="57"/>
      <c r="B267" s="30"/>
      <c r="C267" s="59"/>
      <c r="D267" s="58"/>
      <c r="E267" s="59"/>
      <c r="G267" s="0" t="str">
        <f aca="false">IF(AND(B267&lt;&gt;"",COUNTIF(B$6:B267,B267)=1),MAX(G$5:G266)+1,"")</f>
        <v/>
      </c>
      <c r="H267" s="0" t="str">
        <f aca="false">IF(A267="","",IF(ISNUMBER(A267),IF(A267&gt;=36526,A267,""),IFERROR(DATEVALUE(A267),"")))</f>
        <v/>
      </c>
      <c r="I267" s="0" t="str">
        <f aca="false">IF(H267="","",INT((H267-SAT1)/7)+1)</f>
        <v/>
      </c>
      <c r="J267" s="0" t="str">
        <f aca="false">IF(I267="","",IF(OR(I267&lt;1,I267&gt;NW),"",INDEX(WMON,I267)))</f>
        <v/>
      </c>
    </row>
    <row r="268" customFormat="false" ht="15" hidden="false" customHeight="false" outlineLevel="0" collapsed="false">
      <c r="A268" s="57"/>
      <c r="B268" s="30"/>
      <c r="C268" s="59"/>
      <c r="D268" s="58"/>
      <c r="E268" s="59"/>
      <c r="G268" s="0" t="str">
        <f aca="false">IF(AND(B268&lt;&gt;"",COUNTIF(B$6:B268,B268)=1),MAX(G$5:G267)+1,"")</f>
        <v/>
      </c>
      <c r="H268" s="0" t="str">
        <f aca="false">IF(A268="","",IF(ISNUMBER(A268),IF(A268&gt;=36526,A268,""),IFERROR(DATEVALUE(A268),"")))</f>
        <v/>
      </c>
      <c r="I268" s="0" t="str">
        <f aca="false">IF(H268="","",INT((H268-SAT1)/7)+1)</f>
        <v/>
      </c>
      <c r="J268" s="0" t="str">
        <f aca="false">IF(I268="","",IF(OR(I268&lt;1,I268&gt;NW),"",INDEX(WMON,I268)))</f>
        <v/>
      </c>
    </row>
    <row r="269" customFormat="false" ht="15" hidden="false" customHeight="false" outlineLevel="0" collapsed="false">
      <c r="A269" s="57"/>
      <c r="B269" s="30"/>
      <c r="C269" s="59"/>
      <c r="D269" s="58"/>
      <c r="E269" s="59"/>
      <c r="G269" s="0" t="str">
        <f aca="false">IF(AND(B269&lt;&gt;"",COUNTIF(B$6:B269,B269)=1),MAX(G$5:G268)+1,"")</f>
        <v/>
      </c>
      <c r="H269" s="0" t="str">
        <f aca="false">IF(A269="","",IF(ISNUMBER(A269),IF(A269&gt;=36526,A269,""),IFERROR(DATEVALUE(A269),"")))</f>
        <v/>
      </c>
      <c r="I269" s="0" t="str">
        <f aca="false">IF(H269="","",INT((H269-SAT1)/7)+1)</f>
        <v/>
      </c>
      <c r="J269" s="0" t="str">
        <f aca="false">IF(I269="","",IF(OR(I269&lt;1,I269&gt;NW),"",INDEX(WMON,I269)))</f>
        <v/>
      </c>
    </row>
    <row r="270" customFormat="false" ht="15" hidden="false" customHeight="false" outlineLevel="0" collapsed="false">
      <c r="A270" s="57"/>
      <c r="B270" s="30"/>
      <c r="C270" s="59"/>
      <c r="D270" s="58"/>
      <c r="E270" s="59"/>
      <c r="G270" s="0" t="str">
        <f aca="false">IF(AND(B270&lt;&gt;"",COUNTIF(B$6:B270,B270)=1),MAX(G$5:G269)+1,"")</f>
        <v/>
      </c>
      <c r="H270" s="0" t="str">
        <f aca="false">IF(A270="","",IF(ISNUMBER(A270),IF(A270&gt;=36526,A270,""),IFERROR(DATEVALUE(A270),"")))</f>
        <v/>
      </c>
      <c r="I270" s="0" t="str">
        <f aca="false">IF(H270="","",INT((H270-SAT1)/7)+1)</f>
        <v/>
      </c>
      <c r="J270" s="0" t="str">
        <f aca="false">IF(I270="","",IF(OR(I270&lt;1,I270&gt;NW),"",INDEX(WMON,I270)))</f>
        <v/>
      </c>
    </row>
    <row r="271" customFormat="false" ht="15" hidden="false" customHeight="false" outlineLevel="0" collapsed="false">
      <c r="A271" s="57"/>
      <c r="B271" s="30"/>
      <c r="C271" s="59"/>
      <c r="D271" s="58"/>
      <c r="E271" s="59"/>
      <c r="G271" s="0" t="str">
        <f aca="false">IF(AND(B271&lt;&gt;"",COUNTIF(B$6:B271,B271)=1),MAX(G$5:G270)+1,"")</f>
        <v/>
      </c>
      <c r="H271" s="0" t="str">
        <f aca="false">IF(A271="","",IF(ISNUMBER(A271),IF(A271&gt;=36526,A271,""),IFERROR(DATEVALUE(A271),"")))</f>
        <v/>
      </c>
      <c r="I271" s="0" t="str">
        <f aca="false">IF(H271="","",INT((H271-SAT1)/7)+1)</f>
        <v/>
      </c>
      <c r="J271" s="0" t="str">
        <f aca="false">IF(I271="","",IF(OR(I271&lt;1,I271&gt;NW),"",INDEX(WMON,I271)))</f>
        <v/>
      </c>
    </row>
    <row r="272" customFormat="false" ht="15" hidden="false" customHeight="false" outlineLevel="0" collapsed="false">
      <c r="A272" s="57"/>
      <c r="B272" s="30"/>
      <c r="C272" s="59"/>
      <c r="D272" s="58"/>
      <c r="E272" s="59"/>
      <c r="G272" s="0" t="str">
        <f aca="false">IF(AND(B272&lt;&gt;"",COUNTIF(B$6:B272,B272)=1),MAX(G$5:G271)+1,"")</f>
        <v/>
      </c>
      <c r="H272" s="0" t="str">
        <f aca="false">IF(A272="","",IF(ISNUMBER(A272),IF(A272&gt;=36526,A272,""),IFERROR(DATEVALUE(A272),"")))</f>
        <v/>
      </c>
      <c r="I272" s="0" t="str">
        <f aca="false">IF(H272="","",INT((H272-SAT1)/7)+1)</f>
        <v/>
      </c>
      <c r="J272" s="0" t="str">
        <f aca="false">IF(I272="","",IF(OR(I272&lt;1,I272&gt;NW),"",INDEX(WMON,I272)))</f>
        <v/>
      </c>
    </row>
    <row r="273" customFormat="false" ht="15" hidden="false" customHeight="false" outlineLevel="0" collapsed="false">
      <c r="A273" s="57"/>
      <c r="B273" s="30"/>
      <c r="C273" s="59"/>
      <c r="D273" s="58"/>
      <c r="E273" s="59"/>
      <c r="G273" s="0" t="str">
        <f aca="false">IF(AND(B273&lt;&gt;"",COUNTIF(B$6:B273,B273)=1),MAX(G$5:G272)+1,"")</f>
        <v/>
      </c>
      <c r="H273" s="0" t="str">
        <f aca="false">IF(A273="","",IF(ISNUMBER(A273),IF(A273&gt;=36526,A273,""),IFERROR(DATEVALUE(A273),"")))</f>
        <v/>
      </c>
      <c r="I273" s="0" t="str">
        <f aca="false">IF(H273="","",INT((H273-SAT1)/7)+1)</f>
        <v/>
      </c>
      <c r="J273" s="0" t="str">
        <f aca="false">IF(I273="","",IF(OR(I273&lt;1,I273&gt;NW),"",INDEX(WMON,I273)))</f>
        <v/>
      </c>
    </row>
    <row r="274" customFormat="false" ht="15" hidden="false" customHeight="false" outlineLevel="0" collapsed="false">
      <c r="A274" s="57"/>
      <c r="B274" s="30"/>
      <c r="C274" s="59"/>
      <c r="D274" s="58"/>
      <c r="E274" s="59"/>
      <c r="G274" s="0" t="str">
        <f aca="false">IF(AND(B274&lt;&gt;"",COUNTIF(B$6:B274,B274)=1),MAX(G$5:G273)+1,"")</f>
        <v/>
      </c>
      <c r="H274" s="0" t="str">
        <f aca="false">IF(A274="","",IF(ISNUMBER(A274),IF(A274&gt;=36526,A274,""),IFERROR(DATEVALUE(A274),"")))</f>
        <v/>
      </c>
      <c r="I274" s="0" t="str">
        <f aca="false">IF(H274="","",INT((H274-SAT1)/7)+1)</f>
        <v/>
      </c>
      <c r="J274" s="0" t="str">
        <f aca="false">IF(I274="","",IF(OR(I274&lt;1,I274&gt;NW),"",INDEX(WMON,I274)))</f>
        <v/>
      </c>
    </row>
    <row r="275" customFormat="false" ht="15" hidden="false" customHeight="false" outlineLevel="0" collapsed="false">
      <c r="A275" s="57"/>
      <c r="B275" s="30"/>
      <c r="C275" s="59"/>
      <c r="D275" s="58"/>
      <c r="E275" s="59"/>
      <c r="G275" s="0" t="str">
        <f aca="false">IF(AND(B275&lt;&gt;"",COUNTIF(B$6:B275,B275)=1),MAX(G$5:G274)+1,"")</f>
        <v/>
      </c>
      <c r="H275" s="0" t="str">
        <f aca="false">IF(A275="","",IF(ISNUMBER(A275),IF(A275&gt;=36526,A275,""),IFERROR(DATEVALUE(A275),"")))</f>
        <v/>
      </c>
      <c r="I275" s="0" t="str">
        <f aca="false">IF(H275="","",INT((H275-SAT1)/7)+1)</f>
        <v/>
      </c>
      <c r="J275" s="0" t="str">
        <f aca="false">IF(I275="","",IF(OR(I275&lt;1,I275&gt;NW),"",INDEX(WMON,I275)))</f>
        <v/>
      </c>
    </row>
    <row r="276" customFormat="false" ht="15" hidden="false" customHeight="false" outlineLevel="0" collapsed="false">
      <c r="A276" s="57"/>
      <c r="B276" s="30"/>
      <c r="C276" s="59"/>
      <c r="D276" s="58"/>
      <c r="E276" s="59"/>
      <c r="G276" s="0" t="str">
        <f aca="false">IF(AND(B276&lt;&gt;"",COUNTIF(B$6:B276,B276)=1),MAX(G$5:G275)+1,"")</f>
        <v/>
      </c>
      <c r="H276" s="0" t="str">
        <f aca="false">IF(A276="","",IF(ISNUMBER(A276),IF(A276&gt;=36526,A276,""),IFERROR(DATEVALUE(A276),"")))</f>
        <v/>
      </c>
      <c r="I276" s="0" t="str">
        <f aca="false">IF(H276="","",INT((H276-SAT1)/7)+1)</f>
        <v/>
      </c>
      <c r="J276" s="0" t="str">
        <f aca="false">IF(I276="","",IF(OR(I276&lt;1,I276&gt;NW),"",INDEX(WMON,I276)))</f>
        <v/>
      </c>
    </row>
    <row r="277" customFormat="false" ht="15" hidden="false" customHeight="false" outlineLevel="0" collapsed="false">
      <c r="A277" s="57"/>
      <c r="B277" s="30"/>
      <c r="C277" s="59"/>
      <c r="D277" s="58"/>
      <c r="E277" s="59"/>
      <c r="G277" s="0" t="str">
        <f aca="false">IF(AND(B277&lt;&gt;"",COUNTIF(B$6:B277,B277)=1),MAX(G$5:G276)+1,"")</f>
        <v/>
      </c>
      <c r="H277" s="0" t="str">
        <f aca="false">IF(A277="","",IF(ISNUMBER(A277),IF(A277&gt;=36526,A277,""),IFERROR(DATEVALUE(A277),"")))</f>
        <v/>
      </c>
      <c r="I277" s="0" t="str">
        <f aca="false">IF(H277="","",INT((H277-SAT1)/7)+1)</f>
        <v/>
      </c>
      <c r="J277" s="0" t="str">
        <f aca="false">IF(I277="","",IF(OR(I277&lt;1,I277&gt;NW),"",INDEX(WMON,I277)))</f>
        <v/>
      </c>
    </row>
    <row r="278" customFormat="false" ht="15" hidden="false" customHeight="false" outlineLevel="0" collapsed="false">
      <c r="A278" s="57"/>
      <c r="B278" s="30"/>
      <c r="C278" s="59"/>
      <c r="D278" s="58"/>
      <c r="E278" s="59"/>
      <c r="G278" s="0" t="str">
        <f aca="false">IF(AND(B278&lt;&gt;"",COUNTIF(B$6:B278,B278)=1),MAX(G$5:G277)+1,"")</f>
        <v/>
      </c>
      <c r="H278" s="0" t="str">
        <f aca="false">IF(A278="","",IF(ISNUMBER(A278),IF(A278&gt;=36526,A278,""),IFERROR(DATEVALUE(A278),"")))</f>
        <v/>
      </c>
      <c r="I278" s="0" t="str">
        <f aca="false">IF(H278="","",INT((H278-SAT1)/7)+1)</f>
        <v/>
      </c>
      <c r="J278" s="0" t="str">
        <f aca="false">IF(I278="","",IF(OR(I278&lt;1,I278&gt;NW),"",INDEX(WMON,I278)))</f>
        <v/>
      </c>
    </row>
    <row r="279" customFormat="false" ht="15" hidden="false" customHeight="false" outlineLevel="0" collapsed="false">
      <c r="A279" s="57"/>
      <c r="B279" s="30"/>
      <c r="C279" s="59"/>
      <c r="D279" s="58"/>
      <c r="E279" s="59"/>
      <c r="G279" s="0" t="str">
        <f aca="false">IF(AND(B279&lt;&gt;"",COUNTIF(B$6:B279,B279)=1),MAX(G$5:G278)+1,"")</f>
        <v/>
      </c>
      <c r="H279" s="0" t="str">
        <f aca="false">IF(A279="","",IF(ISNUMBER(A279),IF(A279&gt;=36526,A279,""),IFERROR(DATEVALUE(A279),"")))</f>
        <v/>
      </c>
      <c r="I279" s="0" t="str">
        <f aca="false">IF(H279="","",INT((H279-SAT1)/7)+1)</f>
        <v/>
      </c>
      <c r="J279" s="0" t="str">
        <f aca="false">IF(I279="","",IF(OR(I279&lt;1,I279&gt;NW),"",INDEX(WMON,I279)))</f>
        <v/>
      </c>
    </row>
    <row r="280" customFormat="false" ht="15" hidden="false" customHeight="false" outlineLevel="0" collapsed="false">
      <c r="A280" s="57"/>
      <c r="B280" s="30"/>
      <c r="C280" s="59"/>
      <c r="D280" s="58"/>
      <c r="E280" s="59"/>
      <c r="G280" s="0" t="str">
        <f aca="false">IF(AND(B280&lt;&gt;"",COUNTIF(B$6:B280,B280)=1),MAX(G$5:G279)+1,"")</f>
        <v/>
      </c>
      <c r="H280" s="0" t="str">
        <f aca="false">IF(A280="","",IF(ISNUMBER(A280),IF(A280&gt;=36526,A280,""),IFERROR(DATEVALUE(A280),"")))</f>
        <v/>
      </c>
      <c r="I280" s="0" t="str">
        <f aca="false">IF(H280="","",INT((H280-SAT1)/7)+1)</f>
        <v/>
      </c>
      <c r="J280" s="0" t="str">
        <f aca="false">IF(I280="","",IF(OR(I280&lt;1,I280&gt;NW),"",INDEX(WMON,I280)))</f>
        <v/>
      </c>
    </row>
    <row r="281" customFormat="false" ht="15" hidden="false" customHeight="false" outlineLevel="0" collapsed="false">
      <c r="A281" s="57"/>
      <c r="B281" s="30"/>
      <c r="C281" s="59"/>
      <c r="D281" s="58"/>
      <c r="E281" s="59"/>
      <c r="G281" s="0" t="str">
        <f aca="false">IF(AND(B281&lt;&gt;"",COUNTIF(B$6:B281,B281)=1),MAX(G$5:G280)+1,"")</f>
        <v/>
      </c>
      <c r="H281" s="0" t="str">
        <f aca="false">IF(A281="","",IF(ISNUMBER(A281),IF(A281&gt;=36526,A281,""),IFERROR(DATEVALUE(A281),"")))</f>
        <v/>
      </c>
      <c r="I281" s="0" t="str">
        <f aca="false">IF(H281="","",INT((H281-SAT1)/7)+1)</f>
        <v/>
      </c>
      <c r="J281" s="0" t="str">
        <f aca="false">IF(I281="","",IF(OR(I281&lt;1,I281&gt;NW),"",INDEX(WMON,I281)))</f>
        <v/>
      </c>
    </row>
    <row r="282" customFormat="false" ht="15" hidden="false" customHeight="false" outlineLevel="0" collapsed="false">
      <c r="A282" s="57"/>
      <c r="B282" s="30"/>
      <c r="C282" s="59"/>
      <c r="D282" s="58"/>
      <c r="E282" s="59"/>
      <c r="G282" s="0" t="str">
        <f aca="false">IF(AND(B282&lt;&gt;"",COUNTIF(B$6:B282,B282)=1),MAX(G$5:G281)+1,"")</f>
        <v/>
      </c>
      <c r="H282" s="0" t="str">
        <f aca="false">IF(A282="","",IF(ISNUMBER(A282),IF(A282&gt;=36526,A282,""),IFERROR(DATEVALUE(A282),"")))</f>
        <v/>
      </c>
      <c r="I282" s="0" t="str">
        <f aca="false">IF(H282="","",INT((H282-SAT1)/7)+1)</f>
        <v/>
      </c>
      <c r="J282" s="0" t="str">
        <f aca="false">IF(I282="","",IF(OR(I282&lt;1,I282&gt;NW),"",INDEX(WMON,I282)))</f>
        <v/>
      </c>
    </row>
    <row r="283" customFormat="false" ht="15" hidden="false" customHeight="false" outlineLevel="0" collapsed="false">
      <c r="A283" s="57"/>
      <c r="B283" s="30"/>
      <c r="C283" s="59"/>
      <c r="D283" s="58"/>
      <c r="E283" s="59"/>
      <c r="G283" s="0" t="str">
        <f aca="false">IF(AND(B283&lt;&gt;"",COUNTIF(B$6:B283,B283)=1),MAX(G$5:G282)+1,"")</f>
        <v/>
      </c>
      <c r="H283" s="0" t="str">
        <f aca="false">IF(A283="","",IF(ISNUMBER(A283),IF(A283&gt;=36526,A283,""),IFERROR(DATEVALUE(A283),"")))</f>
        <v/>
      </c>
      <c r="I283" s="0" t="str">
        <f aca="false">IF(H283="","",INT((H283-SAT1)/7)+1)</f>
        <v/>
      </c>
      <c r="J283" s="0" t="str">
        <f aca="false">IF(I283="","",IF(OR(I283&lt;1,I283&gt;NW),"",INDEX(WMON,I283)))</f>
        <v/>
      </c>
    </row>
    <row r="284" customFormat="false" ht="15" hidden="false" customHeight="false" outlineLevel="0" collapsed="false">
      <c r="A284" s="57"/>
      <c r="B284" s="30"/>
      <c r="C284" s="59"/>
      <c r="D284" s="58"/>
      <c r="E284" s="59"/>
      <c r="G284" s="0" t="str">
        <f aca="false">IF(AND(B284&lt;&gt;"",COUNTIF(B$6:B284,B284)=1),MAX(G$5:G283)+1,"")</f>
        <v/>
      </c>
      <c r="H284" s="0" t="str">
        <f aca="false">IF(A284="","",IF(ISNUMBER(A284),IF(A284&gt;=36526,A284,""),IFERROR(DATEVALUE(A284),"")))</f>
        <v/>
      </c>
      <c r="I284" s="0" t="str">
        <f aca="false">IF(H284="","",INT((H284-SAT1)/7)+1)</f>
        <v/>
      </c>
      <c r="J284" s="0" t="str">
        <f aca="false">IF(I284="","",IF(OR(I284&lt;1,I284&gt;NW),"",INDEX(WMON,I284)))</f>
        <v/>
      </c>
    </row>
    <row r="285" customFormat="false" ht="15" hidden="false" customHeight="false" outlineLevel="0" collapsed="false">
      <c r="A285" s="57"/>
      <c r="B285" s="30"/>
      <c r="C285" s="59"/>
      <c r="D285" s="58"/>
      <c r="E285" s="59"/>
      <c r="G285" s="0" t="str">
        <f aca="false">IF(AND(B285&lt;&gt;"",COUNTIF(B$6:B285,B285)=1),MAX(G$5:G284)+1,"")</f>
        <v/>
      </c>
      <c r="H285" s="0" t="str">
        <f aca="false">IF(A285="","",IF(ISNUMBER(A285),IF(A285&gt;=36526,A285,""),IFERROR(DATEVALUE(A285),"")))</f>
        <v/>
      </c>
      <c r="I285" s="0" t="str">
        <f aca="false">IF(H285="","",INT((H285-SAT1)/7)+1)</f>
        <v/>
      </c>
      <c r="J285" s="0" t="str">
        <f aca="false">IF(I285="","",IF(OR(I285&lt;1,I285&gt;NW),"",INDEX(WMON,I285)))</f>
        <v/>
      </c>
    </row>
    <row r="286" customFormat="false" ht="15" hidden="false" customHeight="false" outlineLevel="0" collapsed="false">
      <c r="A286" s="57"/>
      <c r="B286" s="30"/>
      <c r="C286" s="59"/>
      <c r="D286" s="58"/>
      <c r="E286" s="59"/>
      <c r="G286" s="0" t="str">
        <f aca="false">IF(AND(B286&lt;&gt;"",COUNTIF(B$6:B286,B286)=1),MAX(G$5:G285)+1,"")</f>
        <v/>
      </c>
      <c r="H286" s="0" t="str">
        <f aca="false">IF(A286="","",IF(ISNUMBER(A286),IF(A286&gt;=36526,A286,""),IFERROR(DATEVALUE(A286),"")))</f>
        <v/>
      </c>
      <c r="I286" s="0" t="str">
        <f aca="false">IF(H286="","",INT((H286-SAT1)/7)+1)</f>
        <v/>
      </c>
      <c r="J286" s="0" t="str">
        <f aca="false">IF(I286="","",IF(OR(I286&lt;1,I286&gt;NW),"",INDEX(WMON,I286)))</f>
        <v/>
      </c>
    </row>
    <row r="287" customFormat="false" ht="15" hidden="false" customHeight="false" outlineLevel="0" collapsed="false">
      <c r="A287" s="57"/>
      <c r="B287" s="30"/>
      <c r="C287" s="59"/>
      <c r="D287" s="58"/>
      <c r="E287" s="59"/>
      <c r="G287" s="0" t="str">
        <f aca="false">IF(AND(B287&lt;&gt;"",COUNTIF(B$6:B287,B287)=1),MAX(G$5:G286)+1,"")</f>
        <v/>
      </c>
      <c r="H287" s="0" t="str">
        <f aca="false">IF(A287="","",IF(ISNUMBER(A287),IF(A287&gt;=36526,A287,""),IFERROR(DATEVALUE(A287),"")))</f>
        <v/>
      </c>
      <c r="I287" s="0" t="str">
        <f aca="false">IF(H287="","",INT((H287-SAT1)/7)+1)</f>
        <v/>
      </c>
      <c r="J287" s="0" t="str">
        <f aca="false">IF(I287="","",IF(OR(I287&lt;1,I287&gt;NW),"",INDEX(WMON,I287)))</f>
        <v/>
      </c>
    </row>
    <row r="288" customFormat="false" ht="15" hidden="false" customHeight="false" outlineLevel="0" collapsed="false">
      <c r="A288" s="57"/>
      <c r="B288" s="30"/>
      <c r="C288" s="59"/>
      <c r="D288" s="58"/>
      <c r="E288" s="59"/>
      <c r="G288" s="0" t="str">
        <f aca="false">IF(AND(B288&lt;&gt;"",COUNTIF(B$6:B288,B288)=1),MAX(G$5:G287)+1,"")</f>
        <v/>
      </c>
      <c r="H288" s="0" t="str">
        <f aca="false">IF(A288="","",IF(ISNUMBER(A288),IF(A288&gt;=36526,A288,""),IFERROR(DATEVALUE(A288),"")))</f>
        <v/>
      </c>
      <c r="I288" s="0" t="str">
        <f aca="false">IF(H288="","",INT((H288-SAT1)/7)+1)</f>
        <v/>
      </c>
      <c r="J288" s="0" t="str">
        <f aca="false">IF(I288="","",IF(OR(I288&lt;1,I288&gt;NW),"",INDEX(WMON,I288)))</f>
        <v/>
      </c>
    </row>
    <row r="289" customFormat="false" ht="15" hidden="false" customHeight="false" outlineLevel="0" collapsed="false">
      <c r="A289" s="57"/>
      <c r="B289" s="30"/>
      <c r="C289" s="59"/>
      <c r="D289" s="58"/>
      <c r="E289" s="59"/>
      <c r="G289" s="0" t="str">
        <f aca="false">IF(AND(B289&lt;&gt;"",COUNTIF(B$6:B289,B289)=1),MAX(G$5:G288)+1,"")</f>
        <v/>
      </c>
      <c r="H289" s="0" t="str">
        <f aca="false">IF(A289="","",IF(ISNUMBER(A289),IF(A289&gt;=36526,A289,""),IFERROR(DATEVALUE(A289),"")))</f>
        <v/>
      </c>
      <c r="I289" s="0" t="str">
        <f aca="false">IF(H289="","",INT((H289-SAT1)/7)+1)</f>
        <v/>
      </c>
      <c r="J289" s="0" t="str">
        <f aca="false">IF(I289="","",IF(OR(I289&lt;1,I289&gt;NW),"",INDEX(WMON,I289)))</f>
        <v/>
      </c>
    </row>
    <row r="290" customFormat="false" ht="15" hidden="false" customHeight="false" outlineLevel="0" collapsed="false">
      <c r="A290" s="57"/>
      <c r="B290" s="30"/>
      <c r="C290" s="59"/>
      <c r="D290" s="58"/>
      <c r="E290" s="59"/>
      <c r="G290" s="0" t="str">
        <f aca="false">IF(AND(B290&lt;&gt;"",COUNTIF(B$6:B290,B290)=1),MAX(G$5:G289)+1,"")</f>
        <v/>
      </c>
      <c r="H290" s="0" t="str">
        <f aca="false">IF(A290="","",IF(ISNUMBER(A290),IF(A290&gt;=36526,A290,""),IFERROR(DATEVALUE(A290),"")))</f>
        <v/>
      </c>
      <c r="I290" s="0" t="str">
        <f aca="false">IF(H290="","",INT((H290-SAT1)/7)+1)</f>
        <v/>
      </c>
      <c r="J290" s="0" t="str">
        <f aca="false">IF(I290="","",IF(OR(I290&lt;1,I290&gt;NW),"",INDEX(WMON,I290)))</f>
        <v/>
      </c>
    </row>
    <row r="291" customFormat="false" ht="15" hidden="false" customHeight="false" outlineLevel="0" collapsed="false">
      <c r="A291" s="57"/>
      <c r="B291" s="30"/>
      <c r="C291" s="59"/>
      <c r="D291" s="58"/>
      <c r="E291" s="59"/>
      <c r="G291" s="0" t="str">
        <f aca="false">IF(AND(B291&lt;&gt;"",COUNTIF(B$6:B291,B291)=1),MAX(G$5:G290)+1,"")</f>
        <v/>
      </c>
      <c r="H291" s="0" t="str">
        <f aca="false">IF(A291="","",IF(ISNUMBER(A291),IF(A291&gt;=36526,A291,""),IFERROR(DATEVALUE(A291),"")))</f>
        <v/>
      </c>
      <c r="I291" s="0" t="str">
        <f aca="false">IF(H291="","",INT((H291-SAT1)/7)+1)</f>
        <v/>
      </c>
      <c r="J291" s="0" t="str">
        <f aca="false">IF(I291="","",IF(OR(I291&lt;1,I291&gt;NW),"",INDEX(WMON,I291)))</f>
        <v/>
      </c>
    </row>
    <row r="292" customFormat="false" ht="15" hidden="false" customHeight="false" outlineLevel="0" collapsed="false">
      <c r="A292" s="57"/>
      <c r="B292" s="30"/>
      <c r="C292" s="59"/>
      <c r="D292" s="58"/>
      <c r="E292" s="59"/>
      <c r="G292" s="0" t="str">
        <f aca="false">IF(AND(B292&lt;&gt;"",COUNTIF(B$6:B292,B292)=1),MAX(G$5:G291)+1,"")</f>
        <v/>
      </c>
      <c r="H292" s="0" t="str">
        <f aca="false">IF(A292="","",IF(ISNUMBER(A292),IF(A292&gt;=36526,A292,""),IFERROR(DATEVALUE(A292),"")))</f>
        <v/>
      </c>
      <c r="I292" s="0" t="str">
        <f aca="false">IF(H292="","",INT((H292-SAT1)/7)+1)</f>
        <v/>
      </c>
      <c r="J292" s="0" t="str">
        <f aca="false">IF(I292="","",IF(OR(I292&lt;1,I292&gt;NW),"",INDEX(WMON,I292)))</f>
        <v/>
      </c>
    </row>
    <row r="293" customFormat="false" ht="15" hidden="false" customHeight="false" outlineLevel="0" collapsed="false">
      <c r="A293" s="57"/>
      <c r="B293" s="30"/>
      <c r="C293" s="59"/>
      <c r="D293" s="58"/>
      <c r="E293" s="59"/>
      <c r="G293" s="0" t="str">
        <f aca="false">IF(AND(B293&lt;&gt;"",COUNTIF(B$6:B293,B293)=1),MAX(G$5:G292)+1,"")</f>
        <v/>
      </c>
      <c r="H293" s="0" t="str">
        <f aca="false">IF(A293="","",IF(ISNUMBER(A293),IF(A293&gt;=36526,A293,""),IFERROR(DATEVALUE(A293),"")))</f>
        <v/>
      </c>
      <c r="I293" s="0" t="str">
        <f aca="false">IF(H293="","",INT((H293-SAT1)/7)+1)</f>
        <v/>
      </c>
      <c r="J293" s="0" t="str">
        <f aca="false">IF(I293="","",IF(OR(I293&lt;1,I293&gt;NW),"",INDEX(WMON,I293)))</f>
        <v/>
      </c>
    </row>
    <row r="294" customFormat="false" ht="15" hidden="false" customHeight="false" outlineLevel="0" collapsed="false">
      <c r="A294" s="57"/>
      <c r="B294" s="30"/>
      <c r="C294" s="59"/>
      <c r="D294" s="58"/>
      <c r="E294" s="59"/>
      <c r="G294" s="0" t="str">
        <f aca="false">IF(AND(B294&lt;&gt;"",COUNTIF(B$6:B294,B294)=1),MAX(G$5:G293)+1,"")</f>
        <v/>
      </c>
      <c r="H294" s="0" t="str">
        <f aca="false">IF(A294="","",IF(ISNUMBER(A294),IF(A294&gt;=36526,A294,""),IFERROR(DATEVALUE(A294),"")))</f>
        <v/>
      </c>
      <c r="I294" s="0" t="str">
        <f aca="false">IF(H294="","",INT((H294-SAT1)/7)+1)</f>
        <v/>
      </c>
      <c r="J294" s="0" t="str">
        <f aca="false">IF(I294="","",IF(OR(I294&lt;1,I294&gt;NW),"",INDEX(WMON,I294)))</f>
        <v/>
      </c>
    </row>
    <row r="295" customFormat="false" ht="15" hidden="false" customHeight="false" outlineLevel="0" collapsed="false">
      <c r="A295" s="57"/>
      <c r="B295" s="30"/>
      <c r="C295" s="59"/>
      <c r="D295" s="58"/>
      <c r="E295" s="59"/>
      <c r="G295" s="0" t="str">
        <f aca="false">IF(AND(B295&lt;&gt;"",COUNTIF(B$6:B295,B295)=1),MAX(G$5:G294)+1,"")</f>
        <v/>
      </c>
      <c r="H295" s="0" t="str">
        <f aca="false">IF(A295="","",IF(ISNUMBER(A295),IF(A295&gt;=36526,A295,""),IFERROR(DATEVALUE(A295),"")))</f>
        <v/>
      </c>
      <c r="I295" s="0" t="str">
        <f aca="false">IF(H295="","",INT((H295-SAT1)/7)+1)</f>
        <v/>
      </c>
      <c r="J295" s="0" t="str">
        <f aca="false">IF(I295="","",IF(OR(I295&lt;1,I295&gt;NW),"",INDEX(WMON,I295)))</f>
        <v/>
      </c>
    </row>
    <row r="296" customFormat="false" ht="15" hidden="false" customHeight="false" outlineLevel="0" collapsed="false">
      <c r="A296" s="57"/>
      <c r="B296" s="30"/>
      <c r="C296" s="59"/>
      <c r="D296" s="58"/>
      <c r="E296" s="59"/>
      <c r="G296" s="0" t="str">
        <f aca="false">IF(AND(B296&lt;&gt;"",COUNTIF(B$6:B296,B296)=1),MAX(G$5:G295)+1,"")</f>
        <v/>
      </c>
      <c r="H296" s="0" t="str">
        <f aca="false">IF(A296="","",IF(ISNUMBER(A296),IF(A296&gt;=36526,A296,""),IFERROR(DATEVALUE(A296),"")))</f>
        <v/>
      </c>
      <c r="I296" s="0" t="str">
        <f aca="false">IF(H296="","",INT((H296-SAT1)/7)+1)</f>
        <v/>
      </c>
      <c r="J296" s="0" t="str">
        <f aca="false">IF(I296="","",IF(OR(I296&lt;1,I296&gt;NW),"",INDEX(WMON,I296)))</f>
        <v/>
      </c>
    </row>
    <row r="297" customFormat="false" ht="15" hidden="false" customHeight="false" outlineLevel="0" collapsed="false">
      <c r="A297" s="57"/>
      <c r="B297" s="30"/>
      <c r="C297" s="59"/>
      <c r="D297" s="58"/>
      <c r="E297" s="59"/>
      <c r="G297" s="0" t="str">
        <f aca="false">IF(AND(B297&lt;&gt;"",COUNTIF(B$6:B297,B297)=1),MAX(G$5:G296)+1,"")</f>
        <v/>
      </c>
      <c r="H297" s="0" t="str">
        <f aca="false">IF(A297="","",IF(ISNUMBER(A297),IF(A297&gt;=36526,A297,""),IFERROR(DATEVALUE(A297),"")))</f>
        <v/>
      </c>
      <c r="I297" s="0" t="str">
        <f aca="false">IF(H297="","",INT((H297-SAT1)/7)+1)</f>
        <v/>
      </c>
      <c r="J297" s="0" t="str">
        <f aca="false">IF(I297="","",IF(OR(I297&lt;1,I297&gt;NW),"",INDEX(WMON,I297)))</f>
        <v/>
      </c>
    </row>
    <row r="298" customFormat="false" ht="15" hidden="false" customHeight="false" outlineLevel="0" collapsed="false">
      <c r="A298" s="57"/>
      <c r="B298" s="30"/>
      <c r="C298" s="59"/>
      <c r="D298" s="58"/>
      <c r="E298" s="59"/>
      <c r="G298" s="0" t="str">
        <f aca="false">IF(AND(B298&lt;&gt;"",COUNTIF(B$6:B298,B298)=1),MAX(G$5:G297)+1,"")</f>
        <v/>
      </c>
      <c r="H298" s="0" t="str">
        <f aca="false">IF(A298="","",IF(ISNUMBER(A298),IF(A298&gt;=36526,A298,""),IFERROR(DATEVALUE(A298),"")))</f>
        <v/>
      </c>
      <c r="I298" s="0" t="str">
        <f aca="false">IF(H298="","",INT((H298-SAT1)/7)+1)</f>
        <v/>
      </c>
      <c r="J298" s="0" t="str">
        <f aca="false">IF(I298="","",IF(OR(I298&lt;1,I298&gt;NW),"",INDEX(WMON,I298)))</f>
        <v/>
      </c>
    </row>
    <row r="299" customFormat="false" ht="15" hidden="false" customHeight="false" outlineLevel="0" collapsed="false">
      <c r="A299" s="57"/>
      <c r="B299" s="30"/>
      <c r="C299" s="59"/>
      <c r="D299" s="58"/>
      <c r="E299" s="59"/>
      <c r="G299" s="0" t="str">
        <f aca="false">IF(AND(B299&lt;&gt;"",COUNTIF(B$6:B299,B299)=1),MAX(G$5:G298)+1,"")</f>
        <v/>
      </c>
      <c r="H299" s="0" t="str">
        <f aca="false">IF(A299="","",IF(ISNUMBER(A299),IF(A299&gt;=36526,A299,""),IFERROR(DATEVALUE(A299),"")))</f>
        <v/>
      </c>
      <c r="I299" s="0" t="str">
        <f aca="false">IF(H299="","",INT((H299-SAT1)/7)+1)</f>
        <v/>
      </c>
      <c r="J299" s="0" t="str">
        <f aca="false">IF(I299="","",IF(OR(I299&lt;1,I299&gt;NW),"",INDEX(WMON,I299)))</f>
        <v/>
      </c>
    </row>
    <row r="300" customFormat="false" ht="15" hidden="false" customHeight="false" outlineLevel="0" collapsed="false">
      <c r="A300" s="57"/>
      <c r="B300" s="30"/>
      <c r="C300" s="59"/>
      <c r="D300" s="58"/>
      <c r="E300" s="59"/>
      <c r="G300" s="0" t="str">
        <f aca="false">IF(AND(B300&lt;&gt;"",COUNTIF(B$6:B300,B300)=1),MAX(G$5:G299)+1,"")</f>
        <v/>
      </c>
      <c r="H300" s="0" t="str">
        <f aca="false">IF(A300="","",IF(ISNUMBER(A300),IF(A300&gt;=36526,A300,""),IFERROR(DATEVALUE(A300),"")))</f>
        <v/>
      </c>
      <c r="I300" s="0" t="str">
        <f aca="false">IF(H300="","",INT((H300-SAT1)/7)+1)</f>
        <v/>
      </c>
      <c r="J300" s="0" t="str">
        <f aca="false">IF(I300="","",IF(OR(I300&lt;1,I300&gt;NW),"",INDEX(WMON,I300)))</f>
        <v/>
      </c>
    </row>
    <row r="301" customFormat="false" ht="15" hidden="false" customHeight="false" outlineLevel="0" collapsed="false">
      <c r="A301" s="57"/>
      <c r="B301" s="30"/>
      <c r="C301" s="59"/>
      <c r="D301" s="58"/>
      <c r="E301" s="59"/>
      <c r="G301" s="0" t="str">
        <f aca="false">IF(AND(B301&lt;&gt;"",COUNTIF(B$6:B301,B301)=1),MAX(G$5:G300)+1,"")</f>
        <v/>
      </c>
      <c r="H301" s="0" t="str">
        <f aca="false">IF(A301="","",IF(ISNUMBER(A301),IF(A301&gt;=36526,A301,""),IFERROR(DATEVALUE(A301),"")))</f>
        <v/>
      </c>
      <c r="I301" s="0" t="str">
        <f aca="false">IF(H301="","",INT((H301-SAT1)/7)+1)</f>
        <v/>
      </c>
      <c r="J301" s="0" t="str">
        <f aca="false">IF(I301="","",IF(OR(I301&lt;1,I301&gt;NW),"",INDEX(WMON,I301)))</f>
        <v/>
      </c>
    </row>
    <row r="302" customFormat="false" ht="15" hidden="false" customHeight="false" outlineLevel="0" collapsed="false">
      <c r="A302" s="57"/>
      <c r="B302" s="30"/>
      <c r="C302" s="59"/>
      <c r="D302" s="58"/>
      <c r="E302" s="59"/>
      <c r="G302" s="0" t="str">
        <f aca="false">IF(AND(B302&lt;&gt;"",COUNTIF(B$6:B302,B302)=1),MAX(G$5:G301)+1,"")</f>
        <v/>
      </c>
      <c r="H302" s="0" t="str">
        <f aca="false">IF(A302="","",IF(ISNUMBER(A302),IF(A302&gt;=36526,A302,""),IFERROR(DATEVALUE(A302),"")))</f>
        <v/>
      </c>
      <c r="I302" s="0" t="str">
        <f aca="false">IF(H302="","",INT((H302-SAT1)/7)+1)</f>
        <v/>
      </c>
      <c r="J302" s="0" t="str">
        <f aca="false">IF(I302="","",IF(OR(I302&lt;1,I302&gt;NW),"",INDEX(WMON,I302)))</f>
        <v/>
      </c>
    </row>
    <row r="303" customFormat="false" ht="15" hidden="false" customHeight="false" outlineLevel="0" collapsed="false">
      <c r="A303" s="57"/>
      <c r="B303" s="30"/>
      <c r="C303" s="59"/>
      <c r="D303" s="58"/>
      <c r="E303" s="59"/>
      <c r="G303" s="0" t="str">
        <f aca="false">IF(AND(B303&lt;&gt;"",COUNTIF(B$6:B303,B303)=1),MAX(G$5:G302)+1,"")</f>
        <v/>
      </c>
      <c r="H303" s="0" t="str">
        <f aca="false">IF(A303="","",IF(ISNUMBER(A303),IF(A303&gt;=36526,A303,""),IFERROR(DATEVALUE(A303),"")))</f>
        <v/>
      </c>
      <c r="I303" s="0" t="str">
        <f aca="false">IF(H303="","",INT((H303-SAT1)/7)+1)</f>
        <v/>
      </c>
      <c r="J303" s="0" t="str">
        <f aca="false">IF(I303="","",IF(OR(I303&lt;1,I303&gt;NW),"",INDEX(WMON,I303)))</f>
        <v/>
      </c>
    </row>
    <row r="304" customFormat="false" ht="15" hidden="false" customHeight="false" outlineLevel="0" collapsed="false">
      <c r="A304" s="57"/>
      <c r="B304" s="30"/>
      <c r="C304" s="59"/>
      <c r="D304" s="58"/>
      <c r="E304" s="59"/>
      <c r="G304" s="0" t="str">
        <f aca="false">IF(AND(B304&lt;&gt;"",COUNTIF(B$6:B304,B304)=1),MAX(G$5:G303)+1,"")</f>
        <v/>
      </c>
      <c r="H304" s="0" t="str">
        <f aca="false">IF(A304="","",IF(ISNUMBER(A304),IF(A304&gt;=36526,A304,""),IFERROR(DATEVALUE(A304),"")))</f>
        <v/>
      </c>
      <c r="I304" s="0" t="str">
        <f aca="false">IF(H304="","",INT((H304-SAT1)/7)+1)</f>
        <v/>
      </c>
      <c r="J304" s="0" t="str">
        <f aca="false">IF(I304="","",IF(OR(I304&lt;1,I304&gt;NW),"",INDEX(WMON,I304)))</f>
        <v/>
      </c>
    </row>
    <row r="305" customFormat="false" ht="15" hidden="false" customHeight="false" outlineLevel="0" collapsed="false">
      <c r="A305" s="57"/>
      <c r="B305" s="30"/>
      <c r="C305" s="59"/>
      <c r="D305" s="58"/>
      <c r="E305" s="59"/>
      <c r="G305" s="0" t="str">
        <f aca="false">IF(AND(B305&lt;&gt;"",COUNTIF(B$6:B305,B305)=1),MAX(G$5:G304)+1,"")</f>
        <v/>
      </c>
      <c r="H305" s="0" t="str">
        <f aca="false">IF(A305="","",IF(ISNUMBER(A305),IF(A305&gt;=36526,A305,""),IFERROR(DATEVALUE(A305),"")))</f>
        <v/>
      </c>
      <c r="I305" s="0" t="str">
        <f aca="false">IF(H305="","",INT((H305-SAT1)/7)+1)</f>
        <v/>
      </c>
      <c r="J305" s="0" t="str">
        <f aca="false">IF(I305="","",IF(OR(I305&lt;1,I305&gt;NW),"",INDEX(WMON,I305)))</f>
        <v/>
      </c>
    </row>
    <row r="306" customFormat="false" ht="15" hidden="false" customHeight="false" outlineLevel="0" collapsed="false">
      <c r="A306" s="57"/>
      <c r="B306" s="30"/>
      <c r="C306" s="59"/>
      <c r="D306" s="58"/>
      <c r="E306" s="59"/>
      <c r="G306" s="0" t="str">
        <f aca="false">IF(AND(B306&lt;&gt;"",COUNTIF(B$6:B306,B306)=1),MAX(G$5:G305)+1,"")</f>
        <v/>
      </c>
      <c r="H306" s="0" t="str">
        <f aca="false">IF(A306="","",IF(ISNUMBER(A306),IF(A306&gt;=36526,A306,""),IFERROR(DATEVALUE(A306),"")))</f>
        <v/>
      </c>
      <c r="I306" s="0" t="str">
        <f aca="false">IF(H306="","",INT((H306-SAT1)/7)+1)</f>
        <v/>
      </c>
      <c r="J306" s="0" t="str">
        <f aca="false">IF(I306="","",IF(OR(I306&lt;1,I306&gt;NW),"",INDEX(WMON,I306)))</f>
        <v/>
      </c>
    </row>
    <row r="307" customFormat="false" ht="15" hidden="false" customHeight="false" outlineLevel="0" collapsed="false">
      <c r="A307" s="57"/>
      <c r="B307" s="30"/>
      <c r="C307" s="59"/>
      <c r="D307" s="58"/>
      <c r="E307" s="59"/>
      <c r="G307" s="0" t="str">
        <f aca="false">IF(AND(B307&lt;&gt;"",COUNTIF(B$6:B307,B307)=1),MAX(G$5:G306)+1,"")</f>
        <v/>
      </c>
      <c r="H307" s="0" t="str">
        <f aca="false">IF(A307="","",IF(ISNUMBER(A307),IF(A307&gt;=36526,A307,""),IFERROR(DATEVALUE(A307),"")))</f>
        <v/>
      </c>
      <c r="I307" s="0" t="str">
        <f aca="false">IF(H307="","",INT((H307-SAT1)/7)+1)</f>
        <v/>
      </c>
      <c r="J307" s="0" t="str">
        <f aca="false">IF(I307="","",IF(OR(I307&lt;1,I307&gt;NW),"",INDEX(WMON,I307)))</f>
        <v/>
      </c>
    </row>
    <row r="308" customFormat="false" ht="15" hidden="false" customHeight="false" outlineLevel="0" collapsed="false">
      <c r="A308" s="57"/>
      <c r="B308" s="30"/>
      <c r="C308" s="59"/>
      <c r="D308" s="58"/>
      <c r="E308" s="59"/>
      <c r="G308" s="0" t="str">
        <f aca="false">IF(AND(B308&lt;&gt;"",COUNTIF(B$6:B308,B308)=1),MAX(G$5:G307)+1,"")</f>
        <v/>
      </c>
      <c r="H308" s="0" t="str">
        <f aca="false">IF(A308="","",IF(ISNUMBER(A308),IF(A308&gt;=36526,A308,""),IFERROR(DATEVALUE(A308),"")))</f>
        <v/>
      </c>
      <c r="I308" s="0" t="str">
        <f aca="false">IF(H308="","",INT((H308-SAT1)/7)+1)</f>
        <v/>
      </c>
      <c r="J308" s="0" t="str">
        <f aca="false">IF(I308="","",IF(OR(I308&lt;1,I308&gt;NW),"",INDEX(WMON,I308)))</f>
        <v/>
      </c>
    </row>
    <row r="309" customFormat="false" ht="15" hidden="false" customHeight="false" outlineLevel="0" collapsed="false">
      <c r="A309" s="57"/>
      <c r="B309" s="30"/>
      <c r="C309" s="59"/>
      <c r="D309" s="58"/>
      <c r="E309" s="59"/>
      <c r="G309" s="0" t="str">
        <f aca="false">IF(AND(B309&lt;&gt;"",COUNTIF(B$6:B309,B309)=1),MAX(G$5:G308)+1,"")</f>
        <v/>
      </c>
      <c r="H309" s="0" t="str">
        <f aca="false">IF(A309="","",IF(ISNUMBER(A309),IF(A309&gt;=36526,A309,""),IFERROR(DATEVALUE(A309),"")))</f>
        <v/>
      </c>
      <c r="I309" s="0" t="str">
        <f aca="false">IF(H309="","",INT((H309-SAT1)/7)+1)</f>
        <v/>
      </c>
      <c r="J309" s="0" t="str">
        <f aca="false">IF(I309="","",IF(OR(I309&lt;1,I309&gt;NW),"",INDEX(WMON,I309)))</f>
        <v/>
      </c>
    </row>
    <row r="310" customFormat="false" ht="15" hidden="false" customHeight="false" outlineLevel="0" collapsed="false">
      <c r="A310" s="57"/>
      <c r="B310" s="30"/>
      <c r="C310" s="59"/>
      <c r="D310" s="58"/>
      <c r="E310" s="59"/>
      <c r="G310" s="0" t="str">
        <f aca="false">IF(AND(B310&lt;&gt;"",COUNTIF(B$6:B310,B310)=1),MAX(G$5:G309)+1,"")</f>
        <v/>
      </c>
      <c r="H310" s="0" t="str">
        <f aca="false">IF(A310="","",IF(ISNUMBER(A310),IF(A310&gt;=36526,A310,""),IFERROR(DATEVALUE(A310),"")))</f>
        <v/>
      </c>
      <c r="I310" s="0" t="str">
        <f aca="false">IF(H310="","",INT((H310-SAT1)/7)+1)</f>
        <v/>
      </c>
      <c r="J310" s="0" t="str">
        <f aca="false">IF(I310="","",IF(OR(I310&lt;1,I310&gt;NW),"",INDEX(WMON,I310)))</f>
        <v/>
      </c>
    </row>
    <row r="311" customFormat="false" ht="15" hidden="false" customHeight="false" outlineLevel="0" collapsed="false">
      <c r="A311" s="57"/>
      <c r="B311" s="30"/>
      <c r="C311" s="59"/>
      <c r="D311" s="58"/>
      <c r="E311" s="59"/>
      <c r="G311" s="0" t="str">
        <f aca="false">IF(AND(B311&lt;&gt;"",COUNTIF(B$6:B311,B311)=1),MAX(G$5:G310)+1,"")</f>
        <v/>
      </c>
      <c r="H311" s="0" t="str">
        <f aca="false">IF(A311="","",IF(ISNUMBER(A311),IF(A311&gt;=36526,A311,""),IFERROR(DATEVALUE(A311),"")))</f>
        <v/>
      </c>
      <c r="I311" s="0" t="str">
        <f aca="false">IF(H311="","",INT((H311-SAT1)/7)+1)</f>
        <v/>
      </c>
      <c r="J311" s="0" t="str">
        <f aca="false">IF(I311="","",IF(OR(I311&lt;1,I311&gt;NW),"",INDEX(WMON,I311)))</f>
        <v/>
      </c>
    </row>
    <row r="312" customFormat="false" ht="15" hidden="false" customHeight="false" outlineLevel="0" collapsed="false">
      <c r="A312" s="57"/>
      <c r="B312" s="30"/>
      <c r="C312" s="59"/>
      <c r="D312" s="58"/>
      <c r="E312" s="59"/>
      <c r="G312" s="0" t="str">
        <f aca="false">IF(AND(B312&lt;&gt;"",COUNTIF(B$6:B312,B312)=1),MAX(G$5:G311)+1,"")</f>
        <v/>
      </c>
      <c r="H312" s="0" t="str">
        <f aca="false">IF(A312="","",IF(ISNUMBER(A312),IF(A312&gt;=36526,A312,""),IFERROR(DATEVALUE(A312),"")))</f>
        <v/>
      </c>
      <c r="I312" s="0" t="str">
        <f aca="false">IF(H312="","",INT((H312-SAT1)/7)+1)</f>
        <v/>
      </c>
      <c r="J312" s="0" t="str">
        <f aca="false">IF(I312="","",IF(OR(I312&lt;1,I312&gt;NW),"",INDEX(WMON,I312)))</f>
        <v/>
      </c>
    </row>
    <row r="313" customFormat="false" ht="15" hidden="false" customHeight="false" outlineLevel="0" collapsed="false">
      <c r="A313" s="57"/>
      <c r="B313" s="30"/>
      <c r="C313" s="59"/>
      <c r="D313" s="58"/>
      <c r="E313" s="59"/>
      <c r="G313" s="0" t="str">
        <f aca="false">IF(AND(B313&lt;&gt;"",COUNTIF(B$6:B313,B313)=1),MAX(G$5:G312)+1,"")</f>
        <v/>
      </c>
      <c r="H313" s="0" t="str">
        <f aca="false">IF(A313="","",IF(ISNUMBER(A313),IF(A313&gt;=36526,A313,""),IFERROR(DATEVALUE(A313),"")))</f>
        <v/>
      </c>
      <c r="I313" s="0" t="str">
        <f aca="false">IF(H313="","",INT((H313-SAT1)/7)+1)</f>
        <v/>
      </c>
      <c r="J313" s="0" t="str">
        <f aca="false">IF(I313="","",IF(OR(I313&lt;1,I313&gt;NW),"",INDEX(WMON,I313)))</f>
        <v/>
      </c>
    </row>
    <row r="314" customFormat="false" ht="15" hidden="false" customHeight="false" outlineLevel="0" collapsed="false">
      <c r="A314" s="57"/>
      <c r="B314" s="30"/>
      <c r="C314" s="59"/>
      <c r="D314" s="58"/>
      <c r="E314" s="59"/>
      <c r="G314" s="0" t="str">
        <f aca="false">IF(AND(B314&lt;&gt;"",COUNTIF(B$6:B314,B314)=1),MAX(G$5:G313)+1,"")</f>
        <v/>
      </c>
      <c r="H314" s="0" t="str">
        <f aca="false">IF(A314="","",IF(ISNUMBER(A314),IF(A314&gt;=36526,A314,""),IFERROR(DATEVALUE(A314),"")))</f>
        <v/>
      </c>
      <c r="I314" s="0" t="str">
        <f aca="false">IF(H314="","",INT((H314-SAT1)/7)+1)</f>
        <v/>
      </c>
      <c r="J314" s="0" t="str">
        <f aca="false">IF(I314="","",IF(OR(I314&lt;1,I314&gt;NW),"",INDEX(WMON,I314)))</f>
        <v/>
      </c>
    </row>
    <row r="315" customFormat="false" ht="15" hidden="false" customHeight="false" outlineLevel="0" collapsed="false">
      <c r="A315" s="57"/>
      <c r="B315" s="30"/>
      <c r="C315" s="59"/>
      <c r="D315" s="58"/>
      <c r="E315" s="59"/>
      <c r="G315" s="0" t="str">
        <f aca="false">IF(AND(B315&lt;&gt;"",COUNTIF(B$6:B315,B315)=1),MAX(G$5:G314)+1,"")</f>
        <v/>
      </c>
      <c r="H315" s="0" t="str">
        <f aca="false">IF(A315="","",IF(ISNUMBER(A315),IF(A315&gt;=36526,A315,""),IFERROR(DATEVALUE(A315),"")))</f>
        <v/>
      </c>
      <c r="I315" s="0" t="str">
        <f aca="false">IF(H315="","",INT((H315-SAT1)/7)+1)</f>
        <v/>
      </c>
      <c r="J315" s="0" t="str">
        <f aca="false">IF(I315="","",IF(OR(I315&lt;1,I315&gt;NW),"",INDEX(WMON,I315)))</f>
        <v/>
      </c>
    </row>
    <row r="316" customFormat="false" ht="15" hidden="false" customHeight="false" outlineLevel="0" collapsed="false">
      <c r="A316" s="57"/>
      <c r="B316" s="30"/>
      <c r="C316" s="59"/>
      <c r="D316" s="58"/>
      <c r="E316" s="59"/>
      <c r="G316" s="0" t="str">
        <f aca="false">IF(AND(B316&lt;&gt;"",COUNTIF(B$6:B316,B316)=1),MAX(G$5:G315)+1,"")</f>
        <v/>
      </c>
      <c r="H316" s="0" t="str">
        <f aca="false">IF(A316="","",IF(ISNUMBER(A316),IF(A316&gt;=36526,A316,""),IFERROR(DATEVALUE(A316),"")))</f>
        <v/>
      </c>
      <c r="I316" s="0" t="str">
        <f aca="false">IF(H316="","",INT((H316-SAT1)/7)+1)</f>
        <v/>
      </c>
      <c r="J316" s="0" t="str">
        <f aca="false">IF(I316="","",IF(OR(I316&lt;1,I316&gt;NW),"",INDEX(WMON,I316)))</f>
        <v/>
      </c>
    </row>
    <row r="317" customFormat="false" ht="15" hidden="false" customHeight="false" outlineLevel="0" collapsed="false">
      <c r="A317" s="57"/>
      <c r="B317" s="30"/>
      <c r="C317" s="59"/>
      <c r="D317" s="58"/>
      <c r="E317" s="59"/>
      <c r="G317" s="0" t="str">
        <f aca="false">IF(AND(B317&lt;&gt;"",COUNTIF(B$6:B317,B317)=1),MAX(G$5:G316)+1,"")</f>
        <v/>
      </c>
      <c r="H317" s="0" t="str">
        <f aca="false">IF(A317="","",IF(ISNUMBER(A317),IF(A317&gt;=36526,A317,""),IFERROR(DATEVALUE(A317),"")))</f>
        <v/>
      </c>
      <c r="I317" s="0" t="str">
        <f aca="false">IF(H317="","",INT((H317-SAT1)/7)+1)</f>
        <v/>
      </c>
      <c r="J317" s="0" t="str">
        <f aca="false">IF(I317="","",IF(OR(I317&lt;1,I317&gt;NW),"",INDEX(WMON,I317)))</f>
        <v/>
      </c>
    </row>
    <row r="318" customFormat="false" ht="15" hidden="false" customHeight="false" outlineLevel="0" collapsed="false">
      <c r="A318" s="57"/>
      <c r="B318" s="30"/>
      <c r="C318" s="59"/>
      <c r="D318" s="58"/>
      <c r="E318" s="59"/>
      <c r="G318" s="0" t="str">
        <f aca="false">IF(AND(B318&lt;&gt;"",COUNTIF(B$6:B318,B318)=1),MAX(G$5:G317)+1,"")</f>
        <v/>
      </c>
      <c r="H318" s="0" t="str">
        <f aca="false">IF(A318="","",IF(ISNUMBER(A318),IF(A318&gt;=36526,A318,""),IFERROR(DATEVALUE(A318),"")))</f>
        <v/>
      </c>
      <c r="I318" s="0" t="str">
        <f aca="false">IF(H318="","",INT((H318-SAT1)/7)+1)</f>
        <v/>
      </c>
      <c r="J318" s="0" t="str">
        <f aca="false">IF(I318="","",IF(OR(I318&lt;1,I318&gt;NW),"",INDEX(WMON,I318)))</f>
        <v/>
      </c>
    </row>
    <row r="319" customFormat="false" ht="15" hidden="false" customHeight="false" outlineLevel="0" collapsed="false">
      <c r="A319" s="57"/>
      <c r="B319" s="30"/>
      <c r="C319" s="59"/>
      <c r="D319" s="58"/>
      <c r="E319" s="59"/>
      <c r="G319" s="0" t="str">
        <f aca="false">IF(AND(B319&lt;&gt;"",COUNTIF(B$6:B319,B319)=1),MAX(G$5:G318)+1,"")</f>
        <v/>
      </c>
      <c r="H319" s="0" t="str">
        <f aca="false">IF(A319="","",IF(ISNUMBER(A319),IF(A319&gt;=36526,A319,""),IFERROR(DATEVALUE(A319),"")))</f>
        <v/>
      </c>
      <c r="I319" s="0" t="str">
        <f aca="false">IF(H319="","",INT((H319-SAT1)/7)+1)</f>
        <v/>
      </c>
      <c r="J319" s="0" t="str">
        <f aca="false">IF(I319="","",IF(OR(I319&lt;1,I319&gt;NW),"",INDEX(WMON,I319)))</f>
        <v/>
      </c>
    </row>
    <row r="320" customFormat="false" ht="15" hidden="false" customHeight="false" outlineLevel="0" collapsed="false">
      <c r="A320" s="57"/>
      <c r="B320" s="30"/>
      <c r="C320" s="59"/>
      <c r="D320" s="58"/>
      <c r="E320" s="59"/>
      <c r="G320" s="0" t="str">
        <f aca="false">IF(AND(B320&lt;&gt;"",COUNTIF(B$6:B320,B320)=1),MAX(G$5:G319)+1,"")</f>
        <v/>
      </c>
      <c r="H320" s="0" t="str">
        <f aca="false">IF(A320="","",IF(ISNUMBER(A320),IF(A320&gt;=36526,A320,""),IFERROR(DATEVALUE(A320),"")))</f>
        <v/>
      </c>
      <c r="I320" s="0" t="str">
        <f aca="false">IF(H320="","",INT((H320-SAT1)/7)+1)</f>
        <v/>
      </c>
      <c r="J320" s="0" t="str">
        <f aca="false">IF(I320="","",IF(OR(I320&lt;1,I320&gt;NW),"",INDEX(WMON,I320)))</f>
        <v/>
      </c>
    </row>
    <row r="321" customFormat="false" ht="15" hidden="false" customHeight="false" outlineLevel="0" collapsed="false">
      <c r="A321" s="57"/>
      <c r="B321" s="30"/>
      <c r="C321" s="59"/>
      <c r="D321" s="58"/>
      <c r="E321" s="59"/>
      <c r="G321" s="0" t="str">
        <f aca="false">IF(AND(B321&lt;&gt;"",COUNTIF(B$6:B321,B321)=1),MAX(G$5:G320)+1,"")</f>
        <v/>
      </c>
      <c r="H321" s="0" t="str">
        <f aca="false">IF(A321="","",IF(ISNUMBER(A321),IF(A321&gt;=36526,A321,""),IFERROR(DATEVALUE(A321),"")))</f>
        <v/>
      </c>
      <c r="I321" s="0" t="str">
        <f aca="false">IF(H321="","",INT((H321-SAT1)/7)+1)</f>
        <v/>
      </c>
      <c r="J321" s="0" t="str">
        <f aca="false">IF(I321="","",IF(OR(I321&lt;1,I321&gt;NW),"",INDEX(WMON,I321)))</f>
        <v/>
      </c>
    </row>
    <row r="322" customFormat="false" ht="15" hidden="false" customHeight="false" outlineLevel="0" collapsed="false">
      <c r="A322" s="57"/>
      <c r="B322" s="30"/>
      <c r="C322" s="59"/>
      <c r="D322" s="58"/>
      <c r="E322" s="59"/>
      <c r="G322" s="0" t="str">
        <f aca="false">IF(AND(B322&lt;&gt;"",COUNTIF(B$6:B322,B322)=1),MAX(G$5:G321)+1,"")</f>
        <v/>
      </c>
      <c r="H322" s="0" t="str">
        <f aca="false">IF(A322="","",IF(ISNUMBER(A322),IF(A322&gt;=36526,A322,""),IFERROR(DATEVALUE(A322),"")))</f>
        <v/>
      </c>
      <c r="I322" s="0" t="str">
        <f aca="false">IF(H322="","",INT((H322-SAT1)/7)+1)</f>
        <v/>
      </c>
      <c r="J322" s="0" t="str">
        <f aca="false">IF(I322="","",IF(OR(I322&lt;1,I322&gt;NW),"",INDEX(WMON,I322)))</f>
        <v/>
      </c>
    </row>
    <row r="323" customFormat="false" ht="15" hidden="false" customHeight="false" outlineLevel="0" collapsed="false">
      <c r="A323" s="57"/>
      <c r="B323" s="30"/>
      <c r="C323" s="59"/>
      <c r="D323" s="58"/>
      <c r="E323" s="59"/>
      <c r="G323" s="0" t="str">
        <f aca="false">IF(AND(B323&lt;&gt;"",COUNTIF(B$6:B323,B323)=1),MAX(G$5:G322)+1,"")</f>
        <v/>
      </c>
      <c r="H323" s="0" t="str">
        <f aca="false">IF(A323="","",IF(ISNUMBER(A323),IF(A323&gt;=36526,A323,""),IFERROR(DATEVALUE(A323),"")))</f>
        <v/>
      </c>
      <c r="I323" s="0" t="str">
        <f aca="false">IF(H323="","",INT((H323-SAT1)/7)+1)</f>
        <v/>
      </c>
      <c r="J323" s="0" t="str">
        <f aca="false">IF(I323="","",IF(OR(I323&lt;1,I323&gt;NW),"",INDEX(WMON,I323)))</f>
        <v/>
      </c>
    </row>
    <row r="324" customFormat="false" ht="15" hidden="false" customHeight="false" outlineLevel="0" collapsed="false">
      <c r="A324" s="57"/>
      <c r="B324" s="30"/>
      <c r="C324" s="59"/>
      <c r="D324" s="58"/>
      <c r="E324" s="59"/>
      <c r="G324" s="0" t="str">
        <f aca="false">IF(AND(B324&lt;&gt;"",COUNTIF(B$6:B324,B324)=1),MAX(G$5:G323)+1,"")</f>
        <v/>
      </c>
      <c r="H324" s="0" t="str">
        <f aca="false">IF(A324="","",IF(ISNUMBER(A324),IF(A324&gt;=36526,A324,""),IFERROR(DATEVALUE(A324),"")))</f>
        <v/>
      </c>
      <c r="I324" s="0" t="str">
        <f aca="false">IF(H324="","",INT((H324-SAT1)/7)+1)</f>
        <v/>
      </c>
      <c r="J324" s="0" t="str">
        <f aca="false">IF(I324="","",IF(OR(I324&lt;1,I324&gt;NW),"",INDEX(WMON,I324)))</f>
        <v/>
      </c>
    </row>
    <row r="325" customFormat="false" ht="15" hidden="false" customHeight="false" outlineLevel="0" collapsed="false">
      <c r="A325" s="57"/>
      <c r="B325" s="30"/>
      <c r="C325" s="59"/>
      <c r="D325" s="58"/>
      <c r="E325" s="59"/>
      <c r="G325" s="0" t="str">
        <f aca="false">IF(AND(B325&lt;&gt;"",COUNTIF(B$6:B325,B325)=1),MAX(G$5:G324)+1,"")</f>
        <v/>
      </c>
      <c r="H325" s="0" t="str">
        <f aca="false">IF(A325="","",IF(ISNUMBER(A325),IF(A325&gt;=36526,A325,""),IFERROR(DATEVALUE(A325),"")))</f>
        <v/>
      </c>
      <c r="I325" s="0" t="str">
        <f aca="false">IF(H325="","",INT((H325-SAT1)/7)+1)</f>
        <v/>
      </c>
      <c r="J325" s="0" t="str">
        <f aca="false">IF(I325="","",IF(OR(I325&lt;1,I325&gt;NW),"",INDEX(WMON,I325)))</f>
        <v/>
      </c>
    </row>
    <row r="326" customFormat="false" ht="15" hidden="false" customHeight="false" outlineLevel="0" collapsed="false">
      <c r="A326" s="57"/>
      <c r="B326" s="30"/>
      <c r="C326" s="59"/>
      <c r="D326" s="58"/>
      <c r="E326" s="59"/>
      <c r="G326" s="0" t="str">
        <f aca="false">IF(AND(B326&lt;&gt;"",COUNTIF(B$6:B326,B326)=1),MAX(G$5:G325)+1,"")</f>
        <v/>
      </c>
      <c r="H326" s="0" t="str">
        <f aca="false">IF(A326="","",IF(ISNUMBER(A326),IF(A326&gt;=36526,A326,""),IFERROR(DATEVALUE(A326),"")))</f>
        <v/>
      </c>
      <c r="I326" s="0" t="str">
        <f aca="false">IF(H326="","",INT((H326-SAT1)/7)+1)</f>
        <v/>
      </c>
      <c r="J326" s="0" t="str">
        <f aca="false">IF(I326="","",IF(OR(I326&lt;1,I326&gt;NW),"",INDEX(WMON,I326)))</f>
        <v/>
      </c>
    </row>
    <row r="327" customFormat="false" ht="15" hidden="false" customHeight="false" outlineLevel="0" collapsed="false">
      <c r="A327" s="57"/>
      <c r="B327" s="30"/>
      <c r="C327" s="59"/>
      <c r="D327" s="58"/>
      <c r="E327" s="59"/>
      <c r="G327" s="0" t="str">
        <f aca="false">IF(AND(B327&lt;&gt;"",COUNTIF(B$6:B327,B327)=1),MAX(G$5:G326)+1,"")</f>
        <v/>
      </c>
      <c r="H327" s="0" t="str">
        <f aca="false">IF(A327="","",IF(ISNUMBER(A327),IF(A327&gt;=36526,A327,""),IFERROR(DATEVALUE(A327),"")))</f>
        <v/>
      </c>
      <c r="I327" s="0" t="str">
        <f aca="false">IF(H327="","",INT((H327-SAT1)/7)+1)</f>
        <v/>
      </c>
      <c r="J327" s="0" t="str">
        <f aca="false">IF(I327="","",IF(OR(I327&lt;1,I327&gt;NW),"",INDEX(WMON,I327)))</f>
        <v/>
      </c>
    </row>
    <row r="328" customFormat="false" ht="15" hidden="false" customHeight="false" outlineLevel="0" collapsed="false">
      <c r="A328" s="57"/>
      <c r="B328" s="30"/>
      <c r="C328" s="59"/>
      <c r="D328" s="58"/>
      <c r="E328" s="59"/>
      <c r="G328" s="0" t="str">
        <f aca="false">IF(AND(B328&lt;&gt;"",COUNTIF(B$6:B328,B328)=1),MAX(G$5:G327)+1,"")</f>
        <v/>
      </c>
      <c r="H328" s="0" t="str">
        <f aca="false">IF(A328="","",IF(ISNUMBER(A328),IF(A328&gt;=36526,A328,""),IFERROR(DATEVALUE(A328),"")))</f>
        <v/>
      </c>
      <c r="I328" s="0" t="str">
        <f aca="false">IF(H328="","",INT((H328-SAT1)/7)+1)</f>
        <v/>
      </c>
      <c r="J328" s="0" t="str">
        <f aca="false">IF(I328="","",IF(OR(I328&lt;1,I328&gt;NW),"",INDEX(WMON,I328)))</f>
        <v/>
      </c>
    </row>
    <row r="329" customFormat="false" ht="15" hidden="false" customHeight="false" outlineLevel="0" collapsed="false">
      <c r="A329" s="57"/>
      <c r="B329" s="30"/>
      <c r="C329" s="59"/>
      <c r="D329" s="58"/>
      <c r="E329" s="59"/>
      <c r="G329" s="0" t="str">
        <f aca="false">IF(AND(B329&lt;&gt;"",COUNTIF(B$6:B329,B329)=1),MAX(G$5:G328)+1,"")</f>
        <v/>
      </c>
      <c r="H329" s="0" t="str">
        <f aca="false">IF(A329="","",IF(ISNUMBER(A329),IF(A329&gt;=36526,A329,""),IFERROR(DATEVALUE(A329),"")))</f>
        <v/>
      </c>
      <c r="I329" s="0" t="str">
        <f aca="false">IF(H329="","",INT((H329-SAT1)/7)+1)</f>
        <v/>
      </c>
      <c r="J329" s="0" t="str">
        <f aca="false">IF(I329="","",IF(OR(I329&lt;1,I329&gt;NW),"",INDEX(WMON,I329)))</f>
        <v/>
      </c>
    </row>
    <row r="330" customFormat="false" ht="15" hidden="false" customHeight="false" outlineLevel="0" collapsed="false">
      <c r="A330" s="57"/>
      <c r="B330" s="30"/>
      <c r="C330" s="59"/>
      <c r="D330" s="58"/>
      <c r="E330" s="59"/>
      <c r="G330" s="0" t="str">
        <f aca="false">IF(AND(B330&lt;&gt;"",COUNTIF(B$6:B330,B330)=1),MAX(G$5:G329)+1,"")</f>
        <v/>
      </c>
      <c r="H330" s="0" t="str">
        <f aca="false">IF(A330="","",IF(ISNUMBER(A330),IF(A330&gt;=36526,A330,""),IFERROR(DATEVALUE(A330),"")))</f>
        <v/>
      </c>
      <c r="I330" s="0" t="str">
        <f aca="false">IF(H330="","",INT((H330-SAT1)/7)+1)</f>
        <v/>
      </c>
      <c r="J330" s="0" t="str">
        <f aca="false">IF(I330="","",IF(OR(I330&lt;1,I330&gt;NW),"",INDEX(WMON,I330)))</f>
        <v/>
      </c>
    </row>
    <row r="331" customFormat="false" ht="15" hidden="false" customHeight="false" outlineLevel="0" collapsed="false">
      <c r="A331" s="57"/>
      <c r="B331" s="30"/>
      <c r="C331" s="59"/>
      <c r="D331" s="58"/>
      <c r="E331" s="59"/>
      <c r="G331" s="0" t="str">
        <f aca="false">IF(AND(B331&lt;&gt;"",COUNTIF(B$6:B331,B331)=1),MAX(G$5:G330)+1,"")</f>
        <v/>
      </c>
      <c r="H331" s="0" t="str">
        <f aca="false">IF(A331="","",IF(ISNUMBER(A331),IF(A331&gt;=36526,A331,""),IFERROR(DATEVALUE(A331),"")))</f>
        <v/>
      </c>
      <c r="I331" s="0" t="str">
        <f aca="false">IF(H331="","",INT((H331-SAT1)/7)+1)</f>
        <v/>
      </c>
      <c r="J331" s="0" t="str">
        <f aca="false">IF(I331="","",IF(OR(I331&lt;1,I331&gt;NW),"",INDEX(WMON,I331)))</f>
        <v/>
      </c>
    </row>
    <row r="332" customFormat="false" ht="15" hidden="false" customHeight="false" outlineLevel="0" collapsed="false">
      <c r="A332" s="57"/>
      <c r="B332" s="30"/>
      <c r="C332" s="59"/>
      <c r="D332" s="58"/>
      <c r="E332" s="59"/>
      <c r="G332" s="0" t="str">
        <f aca="false">IF(AND(B332&lt;&gt;"",COUNTIF(B$6:B332,B332)=1),MAX(G$5:G331)+1,"")</f>
        <v/>
      </c>
      <c r="H332" s="0" t="str">
        <f aca="false">IF(A332="","",IF(ISNUMBER(A332),IF(A332&gt;=36526,A332,""),IFERROR(DATEVALUE(A332),"")))</f>
        <v/>
      </c>
      <c r="I332" s="0" t="str">
        <f aca="false">IF(H332="","",INT((H332-SAT1)/7)+1)</f>
        <v/>
      </c>
      <c r="J332" s="0" t="str">
        <f aca="false">IF(I332="","",IF(OR(I332&lt;1,I332&gt;NW),"",INDEX(WMON,I332)))</f>
        <v/>
      </c>
    </row>
    <row r="333" customFormat="false" ht="15" hidden="false" customHeight="false" outlineLevel="0" collapsed="false">
      <c r="A333" s="57"/>
      <c r="B333" s="30"/>
      <c r="C333" s="59"/>
      <c r="D333" s="58"/>
      <c r="E333" s="59"/>
      <c r="G333" s="0" t="str">
        <f aca="false">IF(AND(B333&lt;&gt;"",COUNTIF(B$6:B333,B333)=1),MAX(G$5:G332)+1,"")</f>
        <v/>
      </c>
      <c r="H333" s="0" t="str">
        <f aca="false">IF(A333="","",IF(ISNUMBER(A333),IF(A333&gt;=36526,A333,""),IFERROR(DATEVALUE(A333),"")))</f>
        <v/>
      </c>
      <c r="I333" s="0" t="str">
        <f aca="false">IF(H333="","",INT((H333-SAT1)/7)+1)</f>
        <v/>
      </c>
      <c r="J333" s="0" t="str">
        <f aca="false">IF(I333="","",IF(OR(I333&lt;1,I333&gt;NW),"",INDEX(WMON,I333)))</f>
        <v/>
      </c>
    </row>
    <row r="334" customFormat="false" ht="15" hidden="false" customHeight="false" outlineLevel="0" collapsed="false">
      <c r="A334" s="57"/>
      <c r="B334" s="30"/>
      <c r="C334" s="59"/>
      <c r="D334" s="58"/>
      <c r="E334" s="59"/>
      <c r="G334" s="0" t="str">
        <f aca="false">IF(AND(B334&lt;&gt;"",COUNTIF(B$6:B334,B334)=1),MAX(G$5:G333)+1,"")</f>
        <v/>
      </c>
      <c r="H334" s="0" t="str">
        <f aca="false">IF(A334="","",IF(ISNUMBER(A334),IF(A334&gt;=36526,A334,""),IFERROR(DATEVALUE(A334),"")))</f>
        <v/>
      </c>
      <c r="I334" s="0" t="str">
        <f aca="false">IF(H334="","",INT((H334-SAT1)/7)+1)</f>
        <v/>
      </c>
      <c r="J334" s="0" t="str">
        <f aca="false">IF(I334="","",IF(OR(I334&lt;1,I334&gt;NW),"",INDEX(WMON,I334)))</f>
        <v/>
      </c>
    </row>
    <row r="335" customFormat="false" ht="15" hidden="false" customHeight="false" outlineLevel="0" collapsed="false">
      <c r="A335" s="57"/>
      <c r="B335" s="30"/>
      <c r="C335" s="59"/>
      <c r="D335" s="58"/>
      <c r="E335" s="59"/>
      <c r="G335" s="0" t="str">
        <f aca="false">IF(AND(B335&lt;&gt;"",COUNTIF(B$6:B335,B335)=1),MAX(G$5:G334)+1,"")</f>
        <v/>
      </c>
      <c r="H335" s="0" t="str">
        <f aca="false">IF(A335="","",IF(ISNUMBER(A335),IF(A335&gt;=36526,A335,""),IFERROR(DATEVALUE(A335),"")))</f>
        <v/>
      </c>
      <c r="I335" s="0" t="str">
        <f aca="false">IF(H335="","",INT((H335-SAT1)/7)+1)</f>
        <v/>
      </c>
      <c r="J335" s="0" t="str">
        <f aca="false">IF(I335="","",IF(OR(I335&lt;1,I335&gt;NW),"",INDEX(WMON,I335)))</f>
        <v/>
      </c>
    </row>
    <row r="336" customFormat="false" ht="15" hidden="false" customHeight="false" outlineLevel="0" collapsed="false">
      <c r="A336" s="57"/>
      <c r="B336" s="30"/>
      <c r="C336" s="59"/>
      <c r="D336" s="58"/>
      <c r="E336" s="59"/>
      <c r="G336" s="0" t="str">
        <f aca="false">IF(AND(B336&lt;&gt;"",COUNTIF(B$6:B336,B336)=1),MAX(G$5:G335)+1,"")</f>
        <v/>
      </c>
      <c r="H336" s="0" t="str">
        <f aca="false">IF(A336="","",IF(ISNUMBER(A336),IF(A336&gt;=36526,A336,""),IFERROR(DATEVALUE(A336),"")))</f>
        <v/>
      </c>
      <c r="I336" s="0" t="str">
        <f aca="false">IF(H336="","",INT((H336-SAT1)/7)+1)</f>
        <v/>
      </c>
      <c r="J336" s="0" t="str">
        <f aca="false">IF(I336="","",IF(OR(I336&lt;1,I336&gt;NW),"",INDEX(WMON,I336)))</f>
        <v/>
      </c>
    </row>
    <row r="337" customFormat="false" ht="15" hidden="false" customHeight="false" outlineLevel="0" collapsed="false">
      <c r="A337" s="57"/>
      <c r="B337" s="30"/>
      <c r="C337" s="59"/>
      <c r="D337" s="58"/>
      <c r="E337" s="59"/>
      <c r="G337" s="0" t="str">
        <f aca="false">IF(AND(B337&lt;&gt;"",COUNTIF(B$6:B337,B337)=1),MAX(G$5:G336)+1,"")</f>
        <v/>
      </c>
      <c r="H337" s="0" t="str">
        <f aca="false">IF(A337="","",IF(ISNUMBER(A337),IF(A337&gt;=36526,A337,""),IFERROR(DATEVALUE(A337),"")))</f>
        <v/>
      </c>
      <c r="I337" s="0" t="str">
        <f aca="false">IF(H337="","",INT((H337-SAT1)/7)+1)</f>
        <v/>
      </c>
      <c r="J337" s="0" t="str">
        <f aca="false">IF(I337="","",IF(OR(I337&lt;1,I337&gt;NW),"",INDEX(WMON,I337)))</f>
        <v/>
      </c>
    </row>
    <row r="338" customFormat="false" ht="15" hidden="false" customHeight="false" outlineLevel="0" collapsed="false">
      <c r="A338" s="57"/>
      <c r="B338" s="30"/>
      <c r="C338" s="59"/>
      <c r="D338" s="58"/>
      <c r="E338" s="59"/>
      <c r="G338" s="0" t="str">
        <f aca="false">IF(AND(B338&lt;&gt;"",COUNTIF(B$6:B338,B338)=1),MAX(G$5:G337)+1,"")</f>
        <v/>
      </c>
      <c r="H338" s="0" t="str">
        <f aca="false">IF(A338="","",IF(ISNUMBER(A338),IF(A338&gt;=36526,A338,""),IFERROR(DATEVALUE(A338),"")))</f>
        <v/>
      </c>
      <c r="I338" s="0" t="str">
        <f aca="false">IF(H338="","",INT((H338-SAT1)/7)+1)</f>
        <v/>
      </c>
      <c r="J338" s="0" t="str">
        <f aca="false">IF(I338="","",IF(OR(I338&lt;1,I338&gt;NW),"",INDEX(WMON,I338)))</f>
        <v/>
      </c>
    </row>
    <row r="339" customFormat="false" ht="15" hidden="false" customHeight="false" outlineLevel="0" collapsed="false">
      <c r="A339" s="57"/>
      <c r="B339" s="30"/>
      <c r="C339" s="59"/>
      <c r="D339" s="58"/>
      <c r="E339" s="59"/>
      <c r="G339" s="0" t="str">
        <f aca="false">IF(AND(B339&lt;&gt;"",COUNTIF(B$6:B339,B339)=1),MAX(G$5:G338)+1,"")</f>
        <v/>
      </c>
      <c r="H339" s="0" t="str">
        <f aca="false">IF(A339="","",IF(ISNUMBER(A339),IF(A339&gt;=36526,A339,""),IFERROR(DATEVALUE(A339),"")))</f>
        <v/>
      </c>
      <c r="I339" s="0" t="str">
        <f aca="false">IF(H339="","",INT((H339-SAT1)/7)+1)</f>
        <v/>
      </c>
      <c r="J339" s="0" t="str">
        <f aca="false">IF(I339="","",IF(OR(I339&lt;1,I339&gt;NW),"",INDEX(WMON,I339)))</f>
        <v/>
      </c>
    </row>
    <row r="340" customFormat="false" ht="15" hidden="false" customHeight="false" outlineLevel="0" collapsed="false">
      <c r="A340" s="57"/>
      <c r="B340" s="30"/>
      <c r="C340" s="59"/>
      <c r="D340" s="58"/>
      <c r="E340" s="59"/>
      <c r="G340" s="0" t="str">
        <f aca="false">IF(AND(B340&lt;&gt;"",COUNTIF(B$6:B340,B340)=1),MAX(G$5:G339)+1,"")</f>
        <v/>
      </c>
      <c r="H340" s="0" t="str">
        <f aca="false">IF(A340="","",IF(ISNUMBER(A340),IF(A340&gt;=36526,A340,""),IFERROR(DATEVALUE(A340),"")))</f>
        <v/>
      </c>
      <c r="I340" s="0" t="str">
        <f aca="false">IF(H340="","",INT((H340-SAT1)/7)+1)</f>
        <v/>
      </c>
      <c r="J340" s="0" t="str">
        <f aca="false">IF(I340="","",IF(OR(I340&lt;1,I340&gt;NW),"",INDEX(WMON,I340)))</f>
        <v/>
      </c>
    </row>
    <row r="341" customFormat="false" ht="15" hidden="false" customHeight="false" outlineLevel="0" collapsed="false">
      <c r="A341" s="57"/>
      <c r="B341" s="30"/>
      <c r="C341" s="59"/>
      <c r="D341" s="58"/>
      <c r="E341" s="59"/>
      <c r="G341" s="0" t="str">
        <f aca="false">IF(AND(B341&lt;&gt;"",COUNTIF(B$6:B341,B341)=1),MAX(G$5:G340)+1,"")</f>
        <v/>
      </c>
      <c r="H341" s="0" t="str">
        <f aca="false">IF(A341="","",IF(ISNUMBER(A341),IF(A341&gt;=36526,A341,""),IFERROR(DATEVALUE(A341),"")))</f>
        <v/>
      </c>
      <c r="I341" s="0" t="str">
        <f aca="false">IF(H341="","",INT((H341-SAT1)/7)+1)</f>
        <v/>
      </c>
      <c r="J341" s="0" t="str">
        <f aca="false">IF(I341="","",IF(OR(I341&lt;1,I341&gt;NW),"",INDEX(WMON,I341)))</f>
        <v/>
      </c>
    </row>
    <row r="342" customFormat="false" ht="15" hidden="false" customHeight="false" outlineLevel="0" collapsed="false">
      <c r="A342" s="57"/>
      <c r="B342" s="30"/>
      <c r="C342" s="59"/>
      <c r="D342" s="58"/>
      <c r="E342" s="59"/>
      <c r="G342" s="0" t="str">
        <f aca="false">IF(AND(B342&lt;&gt;"",COUNTIF(B$6:B342,B342)=1),MAX(G$5:G341)+1,"")</f>
        <v/>
      </c>
      <c r="H342" s="0" t="str">
        <f aca="false">IF(A342="","",IF(ISNUMBER(A342),IF(A342&gt;=36526,A342,""),IFERROR(DATEVALUE(A342),"")))</f>
        <v/>
      </c>
      <c r="I342" s="0" t="str">
        <f aca="false">IF(H342="","",INT((H342-SAT1)/7)+1)</f>
        <v/>
      </c>
      <c r="J342" s="0" t="str">
        <f aca="false">IF(I342="","",IF(OR(I342&lt;1,I342&gt;NW),"",INDEX(WMON,I342)))</f>
        <v/>
      </c>
    </row>
    <row r="343" customFormat="false" ht="15" hidden="false" customHeight="false" outlineLevel="0" collapsed="false">
      <c r="A343" s="57"/>
      <c r="B343" s="30"/>
      <c r="C343" s="59"/>
      <c r="D343" s="58"/>
      <c r="E343" s="59"/>
      <c r="G343" s="0" t="str">
        <f aca="false">IF(AND(B343&lt;&gt;"",COUNTIF(B$6:B343,B343)=1),MAX(G$5:G342)+1,"")</f>
        <v/>
      </c>
      <c r="H343" s="0" t="str">
        <f aca="false">IF(A343="","",IF(ISNUMBER(A343),IF(A343&gt;=36526,A343,""),IFERROR(DATEVALUE(A343),"")))</f>
        <v/>
      </c>
      <c r="I343" s="0" t="str">
        <f aca="false">IF(H343="","",INT((H343-SAT1)/7)+1)</f>
        <v/>
      </c>
      <c r="J343" s="0" t="str">
        <f aca="false">IF(I343="","",IF(OR(I343&lt;1,I343&gt;NW),"",INDEX(WMON,I343)))</f>
        <v/>
      </c>
    </row>
    <row r="344" customFormat="false" ht="15" hidden="false" customHeight="false" outlineLevel="0" collapsed="false">
      <c r="A344" s="57"/>
      <c r="B344" s="30"/>
      <c r="C344" s="59"/>
      <c r="D344" s="58"/>
      <c r="E344" s="59"/>
      <c r="G344" s="0" t="str">
        <f aca="false">IF(AND(B344&lt;&gt;"",COUNTIF(B$6:B344,B344)=1),MAX(G$5:G343)+1,"")</f>
        <v/>
      </c>
      <c r="H344" s="0" t="str">
        <f aca="false">IF(A344="","",IF(ISNUMBER(A344),IF(A344&gt;=36526,A344,""),IFERROR(DATEVALUE(A344),"")))</f>
        <v/>
      </c>
      <c r="I344" s="0" t="str">
        <f aca="false">IF(H344="","",INT((H344-SAT1)/7)+1)</f>
        <v/>
      </c>
      <c r="J344" s="0" t="str">
        <f aca="false">IF(I344="","",IF(OR(I344&lt;1,I344&gt;NW),"",INDEX(WMON,I344)))</f>
        <v/>
      </c>
    </row>
    <row r="345" customFormat="false" ht="15" hidden="false" customHeight="false" outlineLevel="0" collapsed="false">
      <c r="A345" s="57"/>
      <c r="B345" s="30"/>
      <c r="C345" s="59"/>
      <c r="D345" s="58"/>
      <c r="E345" s="59"/>
      <c r="G345" s="0" t="str">
        <f aca="false">IF(AND(B345&lt;&gt;"",COUNTIF(B$6:B345,B345)=1),MAX(G$5:G344)+1,"")</f>
        <v/>
      </c>
      <c r="H345" s="0" t="str">
        <f aca="false">IF(A345="","",IF(ISNUMBER(A345),IF(A345&gt;=36526,A345,""),IFERROR(DATEVALUE(A345),"")))</f>
        <v/>
      </c>
      <c r="I345" s="0" t="str">
        <f aca="false">IF(H345="","",INT((H345-SAT1)/7)+1)</f>
        <v/>
      </c>
      <c r="J345" s="0" t="str">
        <f aca="false">IF(I345="","",IF(OR(I345&lt;1,I345&gt;NW),"",INDEX(WMON,I345)))</f>
        <v/>
      </c>
    </row>
    <row r="346" customFormat="false" ht="15" hidden="false" customHeight="false" outlineLevel="0" collapsed="false">
      <c r="A346" s="57"/>
      <c r="B346" s="30"/>
      <c r="C346" s="59"/>
      <c r="D346" s="58"/>
      <c r="E346" s="59"/>
      <c r="G346" s="0" t="str">
        <f aca="false">IF(AND(B346&lt;&gt;"",COUNTIF(B$6:B346,B346)=1),MAX(G$5:G345)+1,"")</f>
        <v/>
      </c>
      <c r="H346" s="0" t="str">
        <f aca="false">IF(A346="","",IF(ISNUMBER(A346),IF(A346&gt;=36526,A346,""),IFERROR(DATEVALUE(A346),"")))</f>
        <v/>
      </c>
      <c r="I346" s="0" t="str">
        <f aca="false">IF(H346="","",INT((H346-SAT1)/7)+1)</f>
        <v/>
      </c>
      <c r="J346" s="0" t="str">
        <f aca="false">IF(I346="","",IF(OR(I346&lt;1,I346&gt;NW),"",INDEX(WMON,I346)))</f>
        <v/>
      </c>
    </row>
    <row r="347" customFormat="false" ht="15" hidden="false" customHeight="false" outlineLevel="0" collapsed="false">
      <c r="A347" s="57"/>
      <c r="B347" s="30"/>
      <c r="C347" s="59"/>
      <c r="D347" s="58"/>
      <c r="E347" s="59"/>
      <c r="G347" s="0" t="str">
        <f aca="false">IF(AND(B347&lt;&gt;"",COUNTIF(B$6:B347,B347)=1),MAX(G$5:G346)+1,"")</f>
        <v/>
      </c>
      <c r="H347" s="0" t="str">
        <f aca="false">IF(A347="","",IF(ISNUMBER(A347),IF(A347&gt;=36526,A347,""),IFERROR(DATEVALUE(A347),"")))</f>
        <v/>
      </c>
      <c r="I347" s="0" t="str">
        <f aca="false">IF(H347="","",INT((H347-SAT1)/7)+1)</f>
        <v/>
      </c>
      <c r="J347" s="0" t="str">
        <f aca="false">IF(I347="","",IF(OR(I347&lt;1,I347&gt;NW),"",INDEX(WMON,I347)))</f>
        <v/>
      </c>
    </row>
    <row r="348" customFormat="false" ht="15" hidden="false" customHeight="false" outlineLevel="0" collapsed="false">
      <c r="A348" s="57"/>
      <c r="B348" s="30"/>
      <c r="C348" s="59"/>
      <c r="D348" s="58"/>
      <c r="E348" s="59"/>
      <c r="G348" s="0" t="str">
        <f aca="false">IF(AND(B348&lt;&gt;"",COUNTIF(B$6:B348,B348)=1),MAX(G$5:G347)+1,"")</f>
        <v/>
      </c>
      <c r="H348" s="0" t="str">
        <f aca="false">IF(A348="","",IF(ISNUMBER(A348),IF(A348&gt;=36526,A348,""),IFERROR(DATEVALUE(A348),"")))</f>
        <v/>
      </c>
      <c r="I348" s="0" t="str">
        <f aca="false">IF(H348="","",INT((H348-SAT1)/7)+1)</f>
        <v/>
      </c>
      <c r="J348" s="0" t="str">
        <f aca="false">IF(I348="","",IF(OR(I348&lt;1,I348&gt;NW),"",INDEX(WMON,I348)))</f>
        <v/>
      </c>
    </row>
    <row r="349" customFormat="false" ht="15" hidden="false" customHeight="false" outlineLevel="0" collapsed="false">
      <c r="A349" s="57"/>
      <c r="B349" s="30"/>
      <c r="C349" s="59"/>
      <c r="D349" s="58"/>
      <c r="E349" s="59"/>
      <c r="G349" s="0" t="str">
        <f aca="false">IF(AND(B349&lt;&gt;"",COUNTIF(B$6:B349,B349)=1),MAX(G$5:G348)+1,"")</f>
        <v/>
      </c>
      <c r="H349" s="0" t="str">
        <f aca="false">IF(A349="","",IF(ISNUMBER(A349),IF(A349&gt;=36526,A349,""),IFERROR(DATEVALUE(A349),"")))</f>
        <v/>
      </c>
      <c r="I349" s="0" t="str">
        <f aca="false">IF(H349="","",INT((H349-SAT1)/7)+1)</f>
        <v/>
      </c>
      <c r="J349" s="0" t="str">
        <f aca="false">IF(I349="","",IF(OR(I349&lt;1,I349&gt;NW),"",INDEX(WMON,I349)))</f>
        <v/>
      </c>
    </row>
    <row r="350" customFormat="false" ht="15" hidden="false" customHeight="false" outlineLevel="0" collapsed="false">
      <c r="A350" s="57"/>
      <c r="B350" s="30"/>
      <c r="C350" s="59"/>
      <c r="D350" s="58"/>
      <c r="E350" s="59"/>
      <c r="G350" s="0" t="str">
        <f aca="false">IF(AND(B350&lt;&gt;"",COUNTIF(B$6:B350,B350)=1),MAX(G$5:G349)+1,"")</f>
        <v/>
      </c>
      <c r="H350" s="0" t="str">
        <f aca="false">IF(A350="","",IF(ISNUMBER(A350),IF(A350&gt;=36526,A350,""),IFERROR(DATEVALUE(A350),"")))</f>
        <v/>
      </c>
      <c r="I350" s="0" t="str">
        <f aca="false">IF(H350="","",INT((H350-SAT1)/7)+1)</f>
        <v/>
      </c>
      <c r="J350" s="0" t="str">
        <f aca="false">IF(I350="","",IF(OR(I350&lt;1,I350&gt;NW),"",INDEX(WMON,I350)))</f>
        <v/>
      </c>
    </row>
    <row r="351" customFormat="false" ht="15" hidden="false" customHeight="false" outlineLevel="0" collapsed="false">
      <c r="A351" s="57"/>
      <c r="B351" s="30"/>
      <c r="C351" s="59"/>
      <c r="D351" s="58"/>
      <c r="E351" s="59"/>
      <c r="G351" s="0" t="str">
        <f aca="false">IF(AND(B351&lt;&gt;"",COUNTIF(B$6:B351,B351)=1),MAX(G$5:G350)+1,"")</f>
        <v/>
      </c>
      <c r="H351" s="0" t="str">
        <f aca="false">IF(A351="","",IF(ISNUMBER(A351),IF(A351&gt;=36526,A351,""),IFERROR(DATEVALUE(A351),"")))</f>
        <v/>
      </c>
      <c r="I351" s="0" t="str">
        <f aca="false">IF(H351="","",INT((H351-SAT1)/7)+1)</f>
        <v/>
      </c>
      <c r="J351" s="0" t="str">
        <f aca="false">IF(I351="","",IF(OR(I351&lt;1,I351&gt;NW),"",INDEX(WMON,I351)))</f>
        <v/>
      </c>
    </row>
    <row r="352" customFormat="false" ht="15" hidden="false" customHeight="false" outlineLevel="0" collapsed="false">
      <c r="A352" s="57"/>
      <c r="B352" s="30"/>
      <c r="C352" s="59"/>
      <c r="D352" s="58"/>
      <c r="E352" s="59"/>
      <c r="G352" s="0" t="str">
        <f aca="false">IF(AND(B352&lt;&gt;"",COUNTIF(B$6:B352,B352)=1),MAX(G$5:G351)+1,"")</f>
        <v/>
      </c>
      <c r="H352" s="0" t="str">
        <f aca="false">IF(A352="","",IF(ISNUMBER(A352),IF(A352&gt;=36526,A352,""),IFERROR(DATEVALUE(A352),"")))</f>
        <v/>
      </c>
      <c r="I352" s="0" t="str">
        <f aca="false">IF(H352="","",INT((H352-SAT1)/7)+1)</f>
        <v/>
      </c>
      <c r="J352" s="0" t="str">
        <f aca="false">IF(I352="","",IF(OR(I352&lt;1,I352&gt;NW),"",INDEX(WMON,I352)))</f>
        <v/>
      </c>
    </row>
    <row r="353" customFormat="false" ht="15" hidden="false" customHeight="false" outlineLevel="0" collapsed="false">
      <c r="A353" s="57"/>
      <c r="B353" s="30"/>
      <c r="C353" s="59"/>
      <c r="D353" s="58"/>
      <c r="E353" s="59"/>
      <c r="G353" s="0" t="str">
        <f aca="false">IF(AND(B353&lt;&gt;"",COUNTIF(B$6:B353,B353)=1),MAX(G$5:G352)+1,"")</f>
        <v/>
      </c>
      <c r="H353" s="0" t="str">
        <f aca="false">IF(A353="","",IF(ISNUMBER(A353),IF(A353&gt;=36526,A353,""),IFERROR(DATEVALUE(A353),"")))</f>
        <v/>
      </c>
      <c r="I353" s="0" t="str">
        <f aca="false">IF(H353="","",INT((H353-SAT1)/7)+1)</f>
        <v/>
      </c>
      <c r="J353" s="0" t="str">
        <f aca="false">IF(I353="","",IF(OR(I353&lt;1,I353&gt;NW),"",INDEX(WMON,I353)))</f>
        <v/>
      </c>
    </row>
    <row r="354" customFormat="false" ht="15" hidden="false" customHeight="false" outlineLevel="0" collapsed="false">
      <c r="A354" s="57"/>
      <c r="B354" s="30"/>
      <c r="C354" s="59"/>
      <c r="D354" s="58"/>
      <c r="E354" s="59"/>
      <c r="G354" s="0" t="str">
        <f aca="false">IF(AND(B354&lt;&gt;"",COUNTIF(B$6:B354,B354)=1),MAX(G$5:G353)+1,"")</f>
        <v/>
      </c>
      <c r="H354" s="0" t="str">
        <f aca="false">IF(A354="","",IF(ISNUMBER(A354),IF(A354&gt;=36526,A354,""),IFERROR(DATEVALUE(A354),"")))</f>
        <v/>
      </c>
      <c r="I354" s="0" t="str">
        <f aca="false">IF(H354="","",INT((H354-SAT1)/7)+1)</f>
        <v/>
      </c>
      <c r="J354" s="0" t="str">
        <f aca="false">IF(I354="","",IF(OR(I354&lt;1,I354&gt;NW),"",INDEX(WMON,I354)))</f>
        <v/>
      </c>
    </row>
    <row r="355" customFormat="false" ht="15" hidden="false" customHeight="false" outlineLevel="0" collapsed="false">
      <c r="A355" s="57"/>
      <c r="B355" s="30"/>
      <c r="C355" s="59"/>
      <c r="D355" s="58"/>
      <c r="E355" s="59"/>
      <c r="G355" s="0" t="str">
        <f aca="false">IF(AND(B355&lt;&gt;"",COUNTIF(B$6:B355,B355)=1),MAX(G$5:G354)+1,"")</f>
        <v/>
      </c>
      <c r="H355" s="0" t="str">
        <f aca="false">IF(A355="","",IF(ISNUMBER(A355),IF(A355&gt;=36526,A355,""),IFERROR(DATEVALUE(A355),"")))</f>
        <v/>
      </c>
      <c r="I355" s="0" t="str">
        <f aca="false">IF(H355="","",INT((H355-SAT1)/7)+1)</f>
        <v/>
      </c>
      <c r="J355" s="0" t="str">
        <f aca="false">IF(I355="","",IF(OR(I355&lt;1,I355&gt;NW),"",INDEX(WMON,I355)))</f>
        <v/>
      </c>
    </row>
    <row r="356" customFormat="false" ht="15" hidden="false" customHeight="false" outlineLevel="0" collapsed="false">
      <c r="A356" s="57"/>
      <c r="B356" s="30"/>
      <c r="C356" s="59"/>
      <c r="D356" s="58"/>
      <c r="E356" s="59"/>
      <c r="G356" s="0" t="str">
        <f aca="false">IF(AND(B356&lt;&gt;"",COUNTIF(B$6:B356,B356)=1),MAX(G$5:G355)+1,"")</f>
        <v/>
      </c>
      <c r="H356" s="0" t="str">
        <f aca="false">IF(A356="","",IF(ISNUMBER(A356),IF(A356&gt;=36526,A356,""),IFERROR(DATEVALUE(A356),"")))</f>
        <v/>
      </c>
      <c r="I356" s="0" t="str">
        <f aca="false">IF(H356="","",INT((H356-SAT1)/7)+1)</f>
        <v/>
      </c>
      <c r="J356" s="0" t="str">
        <f aca="false">IF(I356="","",IF(OR(I356&lt;1,I356&gt;NW),"",INDEX(WMON,I356)))</f>
        <v/>
      </c>
    </row>
    <row r="357" customFormat="false" ht="15" hidden="false" customHeight="false" outlineLevel="0" collapsed="false">
      <c r="A357" s="57"/>
      <c r="B357" s="30"/>
      <c r="C357" s="59"/>
      <c r="D357" s="58"/>
      <c r="E357" s="59"/>
      <c r="G357" s="0" t="str">
        <f aca="false">IF(AND(B357&lt;&gt;"",COUNTIF(B$6:B357,B357)=1),MAX(G$5:G356)+1,"")</f>
        <v/>
      </c>
      <c r="H357" s="0" t="str">
        <f aca="false">IF(A357="","",IF(ISNUMBER(A357),IF(A357&gt;=36526,A357,""),IFERROR(DATEVALUE(A357),"")))</f>
        <v/>
      </c>
      <c r="I357" s="0" t="str">
        <f aca="false">IF(H357="","",INT((H357-SAT1)/7)+1)</f>
        <v/>
      </c>
      <c r="J357" s="0" t="str">
        <f aca="false">IF(I357="","",IF(OR(I357&lt;1,I357&gt;NW),"",INDEX(WMON,I357)))</f>
        <v/>
      </c>
    </row>
    <row r="358" customFormat="false" ht="15" hidden="false" customHeight="false" outlineLevel="0" collapsed="false">
      <c r="A358" s="57"/>
      <c r="B358" s="30"/>
      <c r="C358" s="59"/>
      <c r="D358" s="58"/>
      <c r="E358" s="59"/>
      <c r="G358" s="0" t="str">
        <f aca="false">IF(AND(B358&lt;&gt;"",COUNTIF(B$6:B358,B358)=1),MAX(G$5:G357)+1,"")</f>
        <v/>
      </c>
      <c r="H358" s="0" t="str">
        <f aca="false">IF(A358="","",IF(ISNUMBER(A358),IF(A358&gt;=36526,A358,""),IFERROR(DATEVALUE(A358),"")))</f>
        <v/>
      </c>
      <c r="I358" s="0" t="str">
        <f aca="false">IF(H358="","",INT((H358-SAT1)/7)+1)</f>
        <v/>
      </c>
      <c r="J358" s="0" t="str">
        <f aca="false">IF(I358="","",IF(OR(I358&lt;1,I358&gt;NW),"",INDEX(WMON,I358)))</f>
        <v/>
      </c>
    </row>
    <row r="359" customFormat="false" ht="15" hidden="false" customHeight="false" outlineLevel="0" collapsed="false">
      <c r="A359" s="57"/>
      <c r="B359" s="30"/>
      <c r="C359" s="59"/>
      <c r="D359" s="58"/>
      <c r="E359" s="59"/>
      <c r="G359" s="0" t="str">
        <f aca="false">IF(AND(B359&lt;&gt;"",COUNTIF(B$6:B359,B359)=1),MAX(G$5:G358)+1,"")</f>
        <v/>
      </c>
      <c r="H359" s="0" t="str">
        <f aca="false">IF(A359="","",IF(ISNUMBER(A359),IF(A359&gt;=36526,A359,""),IFERROR(DATEVALUE(A359),"")))</f>
        <v/>
      </c>
      <c r="I359" s="0" t="str">
        <f aca="false">IF(H359="","",INT((H359-SAT1)/7)+1)</f>
        <v/>
      </c>
      <c r="J359" s="0" t="str">
        <f aca="false">IF(I359="","",IF(OR(I359&lt;1,I359&gt;NW),"",INDEX(WMON,I359)))</f>
        <v/>
      </c>
    </row>
    <row r="360" customFormat="false" ht="15" hidden="false" customHeight="false" outlineLevel="0" collapsed="false">
      <c r="A360" s="57"/>
      <c r="B360" s="30"/>
      <c r="C360" s="59"/>
      <c r="D360" s="58"/>
      <c r="E360" s="59"/>
      <c r="G360" s="0" t="str">
        <f aca="false">IF(AND(B360&lt;&gt;"",COUNTIF(B$6:B360,B360)=1),MAX(G$5:G359)+1,"")</f>
        <v/>
      </c>
      <c r="H360" s="0" t="str">
        <f aca="false">IF(A360="","",IF(ISNUMBER(A360),IF(A360&gt;=36526,A360,""),IFERROR(DATEVALUE(A360),"")))</f>
        <v/>
      </c>
      <c r="I360" s="0" t="str">
        <f aca="false">IF(H360="","",INT((H360-SAT1)/7)+1)</f>
        <v/>
      </c>
      <c r="J360" s="0" t="str">
        <f aca="false">IF(I360="","",IF(OR(I360&lt;1,I360&gt;NW),"",INDEX(WMON,I360)))</f>
        <v/>
      </c>
    </row>
    <row r="361" customFormat="false" ht="15" hidden="false" customHeight="false" outlineLevel="0" collapsed="false">
      <c r="A361" s="57"/>
      <c r="B361" s="30"/>
      <c r="C361" s="59"/>
      <c r="D361" s="58"/>
      <c r="E361" s="59"/>
      <c r="G361" s="0" t="str">
        <f aca="false">IF(AND(B361&lt;&gt;"",COUNTIF(B$6:B361,B361)=1),MAX(G$5:G360)+1,"")</f>
        <v/>
      </c>
      <c r="H361" s="0" t="str">
        <f aca="false">IF(A361="","",IF(ISNUMBER(A361),IF(A361&gt;=36526,A361,""),IFERROR(DATEVALUE(A361),"")))</f>
        <v/>
      </c>
      <c r="I361" s="0" t="str">
        <f aca="false">IF(H361="","",INT((H361-SAT1)/7)+1)</f>
        <v/>
      </c>
      <c r="J361" s="0" t="str">
        <f aca="false">IF(I361="","",IF(OR(I361&lt;1,I361&gt;NW),"",INDEX(WMON,I361)))</f>
        <v/>
      </c>
    </row>
    <row r="362" customFormat="false" ht="15" hidden="false" customHeight="false" outlineLevel="0" collapsed="false">
      <c r="A362" s="57"/>
      <c r="B362" s="30"/>
      <c r="C362" s="59"/>
      <c r="D362" s="58"/>
      <c r="E362" s="59"/>
      <c r="G362" s="0" t="str">
        <f aca="false">IF(AND(B362&lt;&gt;"",COUNTIF(B$6:B362,B362)=1),MAX(G$5:G361)+1,"")</f>
        <v/>
      </c>
      <c r="H362" s="0" t="str">
        <f aca="false">IF(A362="","",IF(ISNUMBER(A362),IF(A362&gt;=36526,A362,""),IFERROR(DATEVALUE(A362),"")))</f>
        <v/>
      </c>
      <c r="I362" s="0" t="str">
        <f aca="false">IF(H362="","",INT((H362-SAT1)/7)+1)</f>
        <v/>
      </c>
      <c r="J362" s="0" t="str">
        <f aca="false">IF(I362="","",IF(OR(I362&lt;1,I362&gt;NW),"",INDEX(WMON,I362)))</f>
        <v/>
      </c>
    </row>
    <row r="363" customFormat="false" ht="15" hidden="false" customHeight="false" outlineLevel="0" collapsed="false">
      <c r="A363" s="57"/>
      <c r="B363" s="30"/>
      <c r="C363" s="59"/>
      <c r="D363" s="58"/>
      <c r="E363" s="59"/>
      <c r="G363" s="0" t="str">
        <f aca="false">IF(AND(B363&lt;&gt;"",COUNTIF(B$6:B363,B363)=1),MAX(G$5:G362)+1,"")</f>
        <v/>
      </c>
      <c r="H363" s="0" t="str">
        <f aca="false">IF(A363="","",IF(ISNUMBER(A363),IF(A363&gt;=36526,A363,""),IFERROR(DATEVALUE(A363),"")))</f>
        <v/>
      </c>
      <c r="I363" s="0" t="str">
        <f aca="false">IF(H363="","",INT((H363-SAT1)/7)+1)</f>
        <v/>
      </c>
      <c r="J363" s="0" t="str">
        <f aca="false">IF(I363="","",IF(OR(I363&lt;1,I363&gt;NW),"",INDEX(WMON,I363)))</f>
        <v/>
      </c>
    </row>
    <row r="364" customFormat="false" ht="15" hidden="false" customHeight="false" outlineLevel="0" collapsed="false">
      <c r="A364" s="57"/>
      <c r="B364" s="30"/>
      <c r="C364" s="59"/>
      <c r="D364" s="58"/>
      <c r="E364" s="59"/>
      <c r="G364" s="0" t="str">
        <f aca="false">IF(AND(B364&lt;&gt;"",COUNTIF(B$6:B364,B364)=1),MAX(G$5:G363)+1,"")</f>
        <v/>
      </c>
      <c r="H364" s="0" t="str">
        <f aca="false">IF(A364="","",IF(ISNUMBER(A364),IF(A364&gt;=36526,A364,""),IFERROR(DATEVALUE(A364),"")))</f>
        <v/>
      </c>
      <c r="I364" s="0" t="str">
        <f aca="false">IF(H364="","",INT((H364-SAT1)/7)+1)</f>
        <v/>
      </c>
      <c r="J364" s="0" t="str">
        <f aca="false">IF(I364="","",IF(OR(I364&lt;1,I364&gt;NW),"",INDEX(WMON,I364)))</f>
        <v/>
      </c>
    </row>
    <row r="365" customFormat="false" ht="15" hidden="false" customHeight="false" outlineLevel="0" collapsed="false">
      <c r="A365" s="57"/>
      <c r="B365" s="30"/>
      <c r="C365" s="59"/>
      <c r="D365" s="58"/>
      <c r="E365" s="59"/>
      <c r="G365" s="0" t="str">
        <f aca="false">IF(AND(B365&lt;&gt;"",COUNTIF(B$6:B365,B365)=1),MAX(G$5:G364)+1,"")</f>
        <v/>
      </c>
      <c r="H365" s="0" t="str">
        <f aca="false">IF(A365="","",IF(ISNUMBER(A365),IF(A365&gt;=36526,A365,""),IFERROR(DATEVALUE(A365),"")))</f>
        <v/>
      </c>
      <c r="I365" s="0" t="str">
        <f aca="false">IF(H365="","",INT((H365-SAT1)/7)+1)</f>
        <v/>
      </c>
      <c r="J365" s="0" t="str">
        <f aca="false">IF(I365="","",IF(OR(I365&lt;1,I365&gt;NW),"",INDEX(WMON,I365)))</f>
        <v/>
      </c>
    </row>
    <row r="366" customFormat="false" ht="15" hidden="false" customHeight="false" outlineLevel="0" collapsed="false">
      <c r="A366" s="57"/>
      <c r="B366" s="30"/>
      <c r="C366" s="59"/>
      <c r="D366" s="58"/>
      <c r="E366" s="59"/>
      <c r="G366" s="0" t="str">
        <f aca="false">IF(AND(B366&lt;&gt;"",COUNTIF(B$6:B366,B366)=1),MAX(G$5:G365)+1,"")</f>
        <v/>
      </c>
      <c r="H366" s="0" t="str">
        <f aca="false">IF(A366="","",IF(ISNUMBER(A366),IF(A366&gt;=36526,A366,""),IFERROR(DATEVALUE(A366),"")))</f>
        <v/>
      </c>
      <c r="I366" s="0" t="str">
        <f aca="false">IF(H366="","",INT((H366-SAT1)/7)+1)</f>
        <v/>
      </c>
      <c r="J366" s="0" t="str">
        <f aca="false">IF(I366="","",IF(OR(I366&lt;1,I366&gt;NW),"",INDEX(WMON,I366)))</f>
        <v/>
      </c>
    </row>
    <row r="367" customFormat="false" ht="15" hidden="false" customHeight="false" outlineLevel="0" collapsed="false">
      <c r="A367" s="57"/>
      <c r="B367" s="30"/>
      <c r="C367" s="59"/>
      <c r="D367" s="58"/>
      <c r="E367" s="59"/>
      <c r="G367" s="0" t="str">
        <f aca="false">IF(AND(B367&lt;&gt;"",COUNTIF(B$6:B367,B367)=1),MAX(G$5:G366)+1,"")</f>
        <v/>
      </c>
      <c r="H367" s="0" t="str">
        <f aca="false">IF(A367="","",IF(ISNUMBER(A367),IF(A367&gt;=36526,A367,""),IFERROR(DATEVALUE(A367),"")))</f>
        <v/>
      </c>
      <c r="I367" s="0" t="str">
        <f aca="false">IF(H367="","",INT((H367-SAT1)/7)+1)</f>
        <v/>
      </c>
      <c r="J367" s="0" t="str">
        <f aca="false">IF(I367="","",IF(OR(I367&lt;1,I367&gt;NW),"",INDEX(WMON,I367)))</f>
        <v/>
      </c>
    </row>
    <row r="368" customFormat="false" ht="15" hidden="false" customHeight="false" outlineLevel="0" collapsed="false">
      <c r="A368" s="57"/>
      <c r="B368" s="30"/>
      <c r="C368" s="59"/>
      <c r="D368" s="58"/>
      <c r="E368" s="59"/>
      <c r="G368" s="0" t="str">
        <f aca="false">IF(AND(B368&lt;&gt;"",COUNTIF(B$6:B368,B368)=1),MAX(G$5:G367)+1,"")</f>
        <v/>
      </c>
      <c r="H368" s="0" t="str">
        <f aca="false">IF(A368="","",IF(ISNUMBER(A368),IF(A368&gt;=36526,A368,""),IFERROR(DATEVALUE(A368),"")))</f>
        <v/>
      </c>
      <c r="I368" s="0" t="str">
        <f aca="false">IF(H368="","",INT((H368-SAT1)/7)+1)</f>
        <v/>
      </c>
      <c r="J368" s="0" t="str">
        <f aca="false">IF(I368="","",IF(OR(I368&lt;1,I368&gt;NW),"",INDEX(WMON,I368)))</f>
        <v/>
      </c>
    </row>
    <row r="369" customFormat="false" ht="15" hidden="false" customHeight="false" outlineLevel="0" collapsed="false">
      <c r="A369" s="57"/>
      <c r="B369" s="30"/>
      <c r="C369" s="59"/>
      <c r="D369" s="58"/>
      <c r="E369" s="59"/>
      <c r="G369" s="0" t="str">
        <f aca="false">IF(AND(B369&lt;&gt;"",COUNTIF(B$6:B369,B369)=1),MAX(G$5:G368)+1,"")</f>
        <v/>
      </c>
      <c r="H369" s="0" t="str">
        <f aca="false">IF(A369="","",IF(ISNUMBER(A369),IF(A369&gt;=36526,A369,""),IFERROR(DATEVALUE(A369),"")))</f>
        <v/>
      </c>
      <c r="I369" s="0" t="str">
        <f aca="false">IF(H369="","",INT((H369-SAT1)/7)+1)</f>
        <v/>
      </c>
      <c r="J369" s="0" t="str">
        <f aca="false">IF(I369="","",IF(OR(I369&lt;1,I369&gt;NW),"",INDEX(WMON,I369)))</f>
        <v/>
      </c>
    </row>
    <row r="370" customFormat="false" ht="15" hidden="false" customHeight="false" outlineLevel="0" collapsed="false">
      <c r="A370" s="57"/>
      <c r="B370" s="30"/>
      <c r="C370" s="59"/>
      <c r="D370" s="58"/>
      <c r="E370" s="59"/>
      <c r="G370" s="0" t="str">
        <f aca="false">IF(AND(B370&lt;&gt;"",COUNTIF(B$6:B370,B370)=1),MAX(G$5:G369)+1,"")</f>
        <v/>
      </c>
      <c r="H370" s="0" t="str">
        <f aca="false">IF(A370="","",IF(ISNUMBER(A370),IF(A370&gt;=36526,A370,""),IFERROR(DATEVALUE(A370),"")))</f>
        <v/>
      </c>
      <c r="I370" s="0" t="str">
        <f aca="false">IF(H370="","",INT((H370-SAT1)/7)+1)</f>
        <v/>
      </c>
      <c r="J370" s="0" t="str">
        <f aca="false">IF(I370="","",IF(OR(I370&lt;1,I370&gt;NW),"",INDEX(WMON,I370)))</f>
        <v/>
      </c>
    </row>
    <row r="371" customFormat="false" ht="15" hidden="false" customHeight="false" outlineLevel="0" collapsed="false">
      <c r="A371" s="57"/>
      <c r="B371" s="30"/>
      <c r="C371" s="59"/>
      <c r="D371" s="58"/>
      <c r="E371" s="59"/>
      <c r="G371" s="0" t="str">
        <f aca="false">IF(AND(B371&lt;&gt;"",COUNTIF(B$6:B371,B371)=1),MAX(G$5:G370)+1,"")</f>
        <v/>
      </c>
      <c r="H371" s="0" t="str">
        <f aca="false">IF(A371="","",IF(ISNUMBER(A371),IF(A371&gt;=36526,A371,""),IFERROR(DATEVALUE(A371),"")))</f>
        <v/>
      </c>
      <c r="I371" s="0" t="str">
        <f aca="false">IF(H371="","",INT((H371-SAT1)/7)+1)</f>
        <v/>
      </c>
      <c r="J371" s="0" t="str">
        <f aca="false">IF(I371="","",IF(OR(I371&lt;1,I371&gt;NW),"",INDEX(WMON,I371)))</f>
        <v/>
      </c>
    </row>
    <row r="372" customFormat="false" ht="15" hidden="false" customHeight="false" outlineLevel="0" collapsed="false">
      <c r="A372" s="57"/>
      <c r="B372" s="30"/>
      <c r="C372" s="59"/>
      <c r="D372" s="58"/>
      <c r="E372" s="59"/>
      <c r="G372" s="0" t="str">
        <f aca="false">IF(AND(B372&lt;&gt;"",COUNTIF(B$6:B372,B372)=1),MAX(G$5:G371)+1,"")</f>
        <v/>
      </c>
      <c r="H372" s="0" t="str">
        <f aca="false">IF(A372="","",IF(ISNUMBER(A372),IF(A372&gt;=36526,A372,""),IFERROR(DATEVALUE(A372),"")))</f>
        <v/>
      </c>
      <c r="I372" s="0" t="str">
        <f aca="false">IF(H372="","",INT((H372-SAT1)/7)+1)</f>
        <v/>
      </c>
      <c r="J372" s="0" t="str">
        <f aca="false">IF(I372="","",IF(OR(I372&lt;1,I372&gt;NW),"",INDEX(WMON,I372)))</f>
        <v/>
      </c>
    </row>
    <row r="373" customFormat="false" ht="15" hidden="false" customHeight="false" outlineLevel="0" collapsed="false">
      <c r="A373" s="57"/>
      <c r="B373" s="30"/>
      <c r="C373" s="59"/>
      <c r="D373" s="58"/>
      <c r="E373" s="59"/>
      <c r="G373" s="0" t="str">
        <f aca="false">IF(AND(B373&lt;&gt;"",COUNTIF(B$6:B373,B373)=1),MAX(G$5:G372)+1,"")</f>
        <v/>
      </c>
      <c r="H373" s="0" t="str">
        <f aca="false">IF(A373="","",IF(ISNUMBER(A373),IF(A373&gt;=36526,A373,""),IFERROR(DATEVALUE(A373),"")))</f>
        <v/>
      </c>
      <c r="I373" s="0" t="str">
        <f aca="false">IF(H373="","",INT((H373-SAT1)/7)+1)</f>
        <v/>
      </c>
      <c r="J373" s="0" t="str">
        <f aca="false">IF(I373="","",IF(OR(I373&lt;1,I373&gt;NW),"",INDEX(WMON,I373)))</f>
        <v/>
      </c>
    </row>
    <row r="374" customFormat="false" ht="15" hidden="false" customHeight="false" outlineLevel="0" collapsed="false">
      <c r="A374" s="57"/>
      <c r="B374" s="30"/>
      <c r="C374" s="59"/>
      <c r="D374" s="58"/>
      <c r="E374" s="59"/>
      <c r="G374" s="0" t="str">
        <f aca="false">IF(AND(B374&lt;&gt;"",COUNTIF(B$6:B374,B374)=1),MAX(G$5:G373)+1,"")</f>
        <v/>
      </c>
      <c r="H374" s="0" t="str">
        <f aca="false">IF(A374="","",IF(ISNUMBER(A374),IF(A374&gt;=36526,A374,""),IFERROR(DATEVALUE(A374),"")))</f>
        <v/>
      </c>
      <c r="I374" s="0" t="str">
        <f aca="false">IF(H374="","",INT((H374-SAT1)/7)+1)</f>
        <v/>
      </c>
      <c r="J374" s="0" t="str">
        <f aca="false">IF(I374="","",IF(OR(I374&lt;1,I374&gt;NW),"",INDEX(WMON,I374)))</f>
        <v/>
      </c>
    </row>
    <row r="375" customFormat="false" ht="15" hidden="false" customHeight="false" outlineLevel="0" collapsed="false">
      <c r="A375" s="57"/>
      <c r="B375" s="30"/>
      <c r="C375" s="59"/>
      <c r="D375" s="58"/>
      <c r="E375" s="59"/>
      <c r="G375" s="0" t="str">
        <f aca="false">IF(AND(B375&lt;&gt;"",COUNTIF(B$6:B375,B375)=1),MAX(G$5:G374)+1,"")</f>
        <v/>
      </c>
      <c r="H375" s="0" t="str">
        <f aca="false">IF(A375="","",IF(ISNUMBER(A375),IF(A375&gt;=36526,A375,""),IFERROR(DATEVALUE(A375),"")))</f>
        <v/>
      </c>
      <c r="I375" s="0" t="str">
        <f aca="false">IF(H375="","",INT((H375-SAT1)/7)+1)</f>
        <v/>
      </c>
      <c r="J375" s="0" t="str">
        <f aca="false">IF(I375="","",IF(OR(I375&lt;1,I375&gt;NW),"",INDEX(WMON,I375)))</f>
        <v/>
      </c>
    </row>
    <row r="376" customFormat="false" ht="15" hidden="false" customHeight="false" outlineLevel="0" collapsed="false">
      <c r="A376" s="57"/>
      <c r="B376" s="30"/>
      <c r="C376" s="59"/>
      <c r="D376" s="58"/>
      <c r="E376" s="59"/>
      <c r="G376" s="0" t="str">
        <f aca="false">IF(AND(B376&lt;&gt;"",COUNTIF(B$6:B376,B376)=1),MAX(G$5:G375)+1,"")</f>
        <v/>
      </c>
      <c r="H376" s="0" t="str">
        <f aca="false">IF(A376="","",IF(ISNUMBER(A376),IF(A376&gt;=36526,A376,""),IFERROR(DATEVALUE(A376),"")))</f>
        <v/>
      </c>
      <c r="I376" s="0" t="str">
        <f aca="false">IF(H376="","",INT((H376-SAT1)/7)+1)</f>
        <v/>
      </c>
      <c r="J376" s="0" t="str">
        <f aca="false">IF(I376="","",IF(OR(I376&lt;1,I376&gt;NW),"",INDEX(WMON,I376)))</f>
        <v/>
      </c>
    </row>
    <row r="377" customFormat="false" ht="15" hidden="false" customHeight="false" outlineLevel="0" collapsed="false">
      <c r="A377" s="57"/>
      <c r="B377" s="30"/>
      <c r="C377" s="59"/>
      <c r="D377" s="58"/>
      <c r="E377" s="59"/>
      <c r="G377" s="0" t="str">
        <f aca="false">IF(AND(B377&lt;&gt;"",COUNTIF(B$6:B377,B377)=1),MAX(G$5:G376)+1,"")</f>
        <v/>
      </c>
      <c r="H377" s="0" t="str">
        <f aca="false">IF(A377="","",IF(ISNUMBER(A377),IF(A377&gt;=36526,A377,""),IFERROR(DATEVALUE(A377),"")))</f>
        <v/>
      </c>
      <c r="I377" s="0" t="str">
        <f aca="false">IF(H377="","",INT((H377-SAT1)/7)+1)</f>
        <v/>
      </c>
      <c r="J377" s="0" t="str">
        <f aca="false">IF(I377="","",IF(OR(I377&lt;1,I377&gt;NW),"",INDEX(WMON,I377)))</f>
        <v/>
      </c>
    </row>
    <row r="378" customFormat="false" ht="15" hidden="false" customHeight="false" outlineLevel="0" collapsed="false">
      <c r="A378" s="57"/>
      <c r="B378" s="30"/>
      <c r="C378" s="59"/>
      <c r="D378" s="58"/>
      <c r="E378" s="59"/>
      <c r="G378" s="0" t="str">
        <f aca="false">IF(AND(B378&lt;&gt;"",COUNTIF(B$6:B378,B378)=1),MAX(G$5:G377)+1,"")</f>
        <v/>
      </c>
      <c r="H378" s="0" t="str">
        <f aca="false">IF(A378="","",IF(ISNUMBER(A378),IF(A378&gt;=36526,A378,""),IFERROR(DATEVALUE(A378),"")))</f>
        <v/>
      </c>
      <c r="I378" s="0" t="str">
        <f aca="false">IF(H378="","",INT((H378-SAT1)/7)+1)</f>
        <v/>
      </c>
      <c r="J378" s="0" t="str">
        <f aca="false">IF(I378="","",IF(OR(I378&lt;1,I378&gt;NW),"",INDEX(WMON,I378)))</f>
        <v/>
      </c>
    </row>
    <row r="379" customFormat="false" ht="15" hidden="false" customHeight="false" outlineLevel="0" collapsed="false">
      <c r="A379" s="57"/>
      <c r="B379" s="30"/>
      <c r="C379" s="59"/>
      <c r="D379" s="58"/>
      <c r="E379" s="59"/>
      <c r="G379" s="0" t="str">
        <f aca="false">IF(AND(B379&lt;&gt;"",COUNTIF(B$6:B379,B379)=1),MAX(G$5:G378)+1,"")</f>
        <v/>
      </c>
      <c r="H379" s="0" t="str">
        <f aca="false">IF(A379="","",IF(ISNUMBER(A379),IF(A379&gt;=36526,A379,""),IFERROR(DATEVALUE(A379),"")))</f>
        <v/>
      </c>
      <c r="I379" s="0" t="str">
        <f aca="false">IF(H379="","",INT((H379-SAT1)/7)+1)</f>
        <v/>
      </c>
      <c r="J379" s="0" t="str">
        <f aca="false">IF(I379="","",IF(OR(I379&lt;1,I379&gt;NW),"",INDEX(WMON,I379)))</f>
        <v/>
      </c>
    </row>
    <row r="380" customFormat="false" ht="15" hidden="false" customHeight="false" outlineLevel="0" collapsed="false">
      <c r="A380" s="57"/>
      <c r="B380" s="30"/>
      <c r="C380" s="59"/>
      <c r="D380" s="58"/>
      <c r="E380" s="59"/>
      <c r="G380" s="0" t="str">
        <f aca="false">IF(AND(B380&lt;&gt;"",COUNTIF(B$6:B380,B380)=1),MAX(G$5:G379)+1,"")</f>
        <v/>
      </c>
      <c r="H380" s="0" t="str">
        <f aca="false">IF(A380="","",IF(ISNUMBER(A380),IF(A380&gt;=36526,A380,""),IFERROR(DATEVALUE(A380),"")))</f>
        <v/>
      </c>
      <c r="I380" s="0" t="str">
        <f aca="false">IF(H380="","",INT((H380-SAT1)/7)+1)</f>
        <v/>
      </c>
      <c r="J380" s="0" t="str">
        <f aca="false">IF(I380="","",IF(OR(I380&lt;1,I380&gt;NW),"",INDEX(WMON,I380)))</f>
        <v/>
      </c>
    </row>
    <row r="381" customFormat="false" ht="15" hidden="false" customHeight="false" outlineLevel="0" collapsed="false">
      <c r="A381" s="57"/>
      <c r="B381" s="30"/>
      <c r="C381" s="59"/>
      <c r="D381" s="58"/>
      <c r="E381" s="59"/>
      <c r="G381" s="0" t="str">
        <f aca="false">IF(AND(B381&lt;&gt;"",COUNTIF(B$6:B381,B381)=1),MAX(G$5:G380)+1,"")</f>
        <v/>
      </c>
      <c r="H381" s="0" t="str">
        <f aca="false">IF(A381="","",IF(ISNUMBER(A381),IF(A381&gt;=36526,A381,""),IFERROR(DATEVALUE(A381),"")))</f>
        <v/>
      </c>
      <c r="I381" s="0" t="str">
        <f aca="false">IF(H381="","",INT((H381-SAT1)/7)+1)</f>
        <v/>
      </c>
      <c r="J381" s="0" t="str">
        <f aca="false">IF(I381="","",IF(OR(I381&lt;1,I381&gt;NW),"",INDEX(WMON,I381)))</f>
        <v/>
      </c>
    </row>
    <row r="382" customFormat="false" ht="15" hidden="false" customHeight="false" outlineLevel="0" collapsed="false">
      <c r="A382" s="57"/>
      <c r="B382" s="30"/>
      <c r="C382" s="59"/>
      <c r="D382" s="58"/>
      <c r="E382" s="59"/>
      <c r="G382" s="0" t="str">
        <f aca="false">IF(AND(B382&lt;&gt;"",COUNTIF(B$6:B382,B382)=1),MAX(G$5:G381)+1,"")</f>
        <v/>
      </c>
      <c r="H382" s="0" t="str">
        <f aca="false">IF(A382="","",IF(ISNUMBER(A382),IF(A382&gt;=36526,A382,""),IFERROR(DATEVALUE(A382),"")))</f>
        <v/>
      </c>
      <c r="I382" s="0" t="str">
        <f aca="false">IF(H382="","",INT((H382-SAT1)/7)+1)</f>
        <v/>
      </c>
      <c r="J382" s="0" t="str">
        <f aca="false">IF(I382="","",IF(OR(I382&lt;1,I382&gt;NW),"",INDEX(WMON,I382)))</f>
        <v/>
      </c>
    </row>
    <row r="383" customFormat="false" ht="15" hidden="false" customHeight="false" outlineLevel="0" collapsed="false">
      <c r="A383" s="57"/>
      <c r="B383" s="30"/>
      <c r="C383" s="59"/>
      <c r="D383" s="58"/>
      <c r="E383" s="59"/>
      <c r="G383" s="0" t="str">
        <f aca="false">IF(AND(B383&lt;&gt;"",COUNTIF(B$6:B383,B383)=1),MAX(G$5:G382)+1,"")</f>
        <v/>
      </c>
      <c r="H383" s="0" t="str">
        <f aca="false">IF(A383="","",IF(ISNUMBER(A383),IF(A383&gt;=36526,A383,""),IFERROR(DATEVALUE(A383),"")))</f>
        <v/>
      </c>
      <c r="I383" s="0" t="str">
        <f aca="false">IF(H383="","",INT((H383-SAT1)/7)+1)</f>
        <v/>
      </c>
      <c r="J383" s="0" t="str">
        <f aca="false">IF(I383="","",IF(OR(I383&lt;1,I383&gt;NW),"",INDEX(WMON,I383)))</f>
        <v/>
      </c>
    </row>
    <row r="384" customFormat="false" ht="15" hidden="false" customHeight="false" outlineLevel="0" collapsed="false">
      <c r="A384" s="57"/>
      <c r="B384" s="30"/>
      <c r="C384" s="59"/>
      <c r="D384" s="58"/>
      <c r="E384" s="59"/>
      <c r="G384" s="0" t="str">
        <f aca="false">IF(AND(B384&lt;&gt;"",COUNTIF(B$6:B384,B384)=1),MAX(G$5:G383)+1,"")</f>
        <v/>
      </c>
      <c r="H384" s="0" t="str">
        <f aca="false">IF(A384="","",IF(ISNUMBER(A384),IF(A384&gt;=36526,A384,""),IFERROR(DATEVALUE(A384),"")))</f>
        <v/>
      </c>
      <c r="I384" s="0" t="str">
        <f aca="false">IF(H384="","",INT((H384-SAT1)/7)+1)</f>
        <v/>
      </c>
      <c r="J384" s="0" t="str">
        <f aca="false">IF(I384="","",IF(OR(I384&lt;1,I384&gt;NW),"",INDEX(WMON,I384)))</f>
        <v/>
      </c>
    </row>
    <row r="385" customFormat="false" ht="15" hidden="false" customHeight="false" outlineLevel="0" collapsed="false">
      <c r="A385" s="57"/>
      <c r="B385" s="30"/>
      <c r="C385" s="59"/>
      <c r="D385" s="58"/>
      <c r="E385" s="59"/>
      <c r="G385" s="0" t="str">
        <f aca="false">IF(AND(B385&lt;&gt;"",COUNTIF(B$6:B385,B385)=1),MAX(G$5:G384)+1,"")</f>
        <v/>
      </c>
      <c r="H385" s="0" t="str">
        <f aca="false">IF(A385="","",IF(ISNUMBER(A385),IF(A385&gt;=36526,A385,""),IFERROR(DATEVALUE(A385),"")))</f>
        <v/>
      </c>
      <c r="I385" s="0" t="str">
        <f aca="false">IF(H385="","",INT((H385-SAT1)/7)+1)</f>
        <v/>
      </c>
      <c r="J385" s="0" t="str">
        <f aca="false">IF(I385="","",IF(OR(I385&lt;1,I385&gt;NW),"",INDEX(WMON,I385)))</f>
        <v/>
      </c>
    </row>
    <row r="386" customFormat="false" ht="15" hidden="false" customHeight="false" outlineLevel="0" collapsed="false">
      <c r="A386" s="57"/>
      <c r="B386" s="30"/>
      <c r="C386" s="59"/>
      <c r="D386" s="58"/>
      <c r="E386" s="59"/>
      <c r="G386" s="0" t="str">
        <f aca="false">IF(AND(B386&lt;&gt;"",COUNTIF(B$6:B386,B386)=1),MAX(G$5:G385)+1,"")</f>
        <v/>
      </c>
      <c r="H386" s="0" t="str">
        <f aca="false">IF(A386="","",IF(ISNUMBER(A386),IF(A386&gt;=36526,A386,""),IFERROR(DATEVALUE(A386),"")))</f>
        <v/>
      </c>
      <c r="I386" s="0" t="str">
        <f aca="false">IF(H386="","",INT((H386-SAT1)/7)+1)</f>
        <v/>
      </c>
      <c r="J386" s="0" t="str">
        <f aca="false">IF(I386="","",IF(OR(I386&lt;1,I386&gt;NW),"",INDEX(WMON,I386)))</f>
        <v/>
      </c>
    </row>
    <row r="387" customFormat="false" ht="15" hidden="false" customHeight="false" outlineLevel="0" collapsed="false">
      <c r="A387" s="57"/>
      <c r="B387" s="30"/>
      <c r="C387" s="59"/>
      <c r="D387" s="58"/>
      <c r="E387" s="59"/>
      <c r="G387" s="0" t="str">
        <f aca="false">IF(AND(B387&lt;&gt;"",COUNTIF(B$6:B387,B387)=1),MAX(G$5:G386)+1,"")</f>
        <v/>
      </c>
      <c r="H387" s="0" t="str">
        <f aca="false">IF(A387="","",IF(ISNUMBER(A387),IF(A387&gt;=36526,A387,""),IFERROR(DATEVALUE(A387),"")))</f>
        <v/>
      </c>
      <c r="I387" s="0" t="str">
        <f aca="false">IF(H387="","",INT((H387-SAT1)/7)+1)</f>
        <v/>
      </c>
      <c r="J387" s="0" t="str">
        <f aca="false">IF(I387="","",IF(OR(I387&lt;1,I387&gt;NW),"",INDEX(WMON,I387)))</f>
        <v/>
      </c>
    </row>
    <row r="388" customFormat="false" ht="15" hidden="false" customHeight="false" outlineLevel="0" collapsed="false">
      <c r="A388" s="57"/>
      <c r="B388" s="30"/>
      <c r="C388" s="59"/>
      <c r="D388" s="58"/>
      <c r="E388" s="59"/>
      <c r="G388" s="0" t="str">
        <f aca="false">IF(AND(B388&lt;&gt;"",COUNTIF(B$6:B388,B388)=1),MAX(G$5:G387)+1,"")</f>
        <v/>
      </c>
      <c r="H388" s="0" t="str">
        <f aca="false">IF(A388="","",IF(ISNUMBER(A388),IF(A388&gt;=36526,A388,""),IFERROR(DATEVALUE(A388),"")))</f>
        <v/>
      </c>
      <c r="I388" s="0" t="str">
        <f aca="false">IF(H388="","",INT((H388-SAT1)/7)+1)</f>
        <v/>
      </c>
      <c r="J388" s="0" t="str">
        <f aca="false">IF(I388="","",IF(OR(I388&lt;1,I388&gt;NW),"",INDEX(WMON,I388)))</f>
        <v/>
      </c>
    </row>
    <row r="389" customFormat="false" ht="15" hidden="false" customHeight="false" outlineLevel="0" collapsed="false">
      <c r="A389" s="57"/>
      <c r="B389" s="30"/>
      <c r="C389" s="59"/>
      <c r="D389" s="58"/>
      <c r="E389" s="59"/>
      <c r="G389" s="0" t="str">
        <f aca="false">IF(AND(B389&lt;&gt;"",COUNTIF(B$6:B389,B389)=1),MAX(G$5:G388)+1,"")</f>
        <v/>
      </c>
      <c r="H389" s="0" t="str">
        <f aca="false">IF(A389="","",IF(ISNUMBER(A389),IF(A389&gt;=36526,A389,""),IFERROR(DATEVALUE(A389),"")))</f>
        <v/>
      </c>
      <c r="I389" s="0" t="str">
        <f aca="false">IF(H389="","",INT((H389-SAT1)/7)+1)</f>
        <v/>
      </c>
      <c r="J389" s="0" t="str">
        <f aca="false">IF(I389="","",IF(OR(I389&lt;1,I389&gt;NW),"",INDEX(WMON,I389)))</f>
        <v/>
      </c>
    </row>
    <row r="390" customFormat="false" ht="15" hidden="false" customHeight="false" outlineLevel="0" collapsed="false">
      <c r="A390" s="57"/>
      <c r="B390" s="30"/>
      <c r="C390" s="59"/>
      <c r="D390" s="58"/>
      <c r="E390" s="59"/>
      <c r="G390" s="0" t="str">
        <f aca="false">IF(AND(B390&lt;&gt;"",COUNTIF(B$6:B390,B390)=1),MAX(G$5:G389)+1,"")</f>
        <v/>
      </c>
      <c r="H390" s="0" t="str">
        <f aca="false">IF(A390="","",IF(ISNUMBER(A390),IF(A390&gt;=36526,A390,""),IFERROR(DATEVALUE(A390),"")))</f>
        <v/>
      </c>
      <c r="I390" s="0" t="str">
        <f aca="false">IF(H390="","",INT((H390-SAT1)/7)+1)</f>
        <v/>
      </c>
      <c r="J390" s="0" t="str">
        <f aca="false">IF(I390="","",IF(OR(I390&lt;1,I390&gt;NW),"",INDEX(WMON,I390)))</f>
        <v/>
      </c>
    </row>
    <row r="391" customFormat="false" ht="15" hidden="false" customHeight="false" outlineLevel="0" collapsed="false">
      <c r="A391" s="57"/>
      <c r="B391" s="30"/>
      <c r="C391" s="59"/>
      <c r="D391" s="58"/>
      <c r="E391" s="59"/>
      <c r="G391" s="0" t="str">
        <f aca="false">IF(AND(B391&lt;&gt;"",COUNTIF(B$6:B391,B391)=1),MAX(G$5:G390)+1,"")</f>
        <v/>
      </c>
      <c r="H391" s="0" t="str">
        <f aca="false">IF(A391="","",IF(ISNUMBER(A391),IF(A391&gt;=36526,A391,""),IFERROR(DATEVALUE(A391),"")))</f>
        <v/>
      </c>
      <c r="I391" s="0" t="str">
        <f aca="false">IF(H391="","",INT((H391-SAT1)/7)+1)</f>
        <v/>
      </c>
      <c r="J391" s="0" t="str">
        <f aca="false">IF(I391="","",IF(OR(I391&lt;1,I391&gt;NW),"",INDEX(WMON,I391)))</f>
        <v/>
      </c>
    </row>
    <row r="392" customFormat="false" ht="15" hidden="false" customHeight="false" outlineLevel="0" collapsed="false">
      <c r="A392" s="57"/>
      <c r="B392" s="30"/>
      <c r="C392" s="59"/>
      <c r="D392" s="58"/>
      <c r="E392" s="59"/>
      <c r="G392" s="0" t="str">
        <f aca="false">IF(AND(B392&lt;&gt;"",COUNTIF(B$6:B392,B392)=1),MAX(G$5:G391)+1,"")</f>
        <v/>
      </c>
      <c r="H392" s="0" t="str">
        <f aca="false">IF(A392="","",IF(ISNUMBER(A392),IF(A392&gt;=36526,A392,""),IFERROR(DATEVALUE(A392),"")))</f>
        <v/>
      </c>
      <c r="I392" s="0" t="str">
        <f aca="false">IF(H392="","",INT((H392-SAT1)/7)+1)</f>
        <v/>
      </c>
      <c r="J392" s="0" t="str">
        <f aca="false">IF(I392="","",IF(OR(I392&lt;1,I392&gt;NW),"",INDEX(WMON,I392)))</f>
        <v/>
      </c>
    </row>
    <row r="393" customFormat="false" ht="15" hidden="false" customHeight="false" outlineLevel="0" collapsed="false">
      <c r="A393" s="57"/>
      <c r="B393" s="30"/>
      <c r="C393" s="59"/>
      <c r="D393" s="58"/>
      <c r="E393" s="59"/>
      <c r="G393" s="0" t="str">
        <f aca="false">IF(AND(B393&lt;&gt;"",COUNTIF(B$6:B393,B393)=1),MAX(G$5:G392)+1,"")</f>
        <v/>
      </c>
      <c r="H393" s="0" t="str">
        <f aca="false">IF(A393="","",IF(ISNUMBER(A393),IF(A393&gt;=36526,A393,""),IFERROR(DATEVALUE(A393),"")))</f>
        <v/>
      </c>
      <c r="I393" s="0" t="str">
        <f aca="false">IF(H393="","",INT((H393-SAT1)/7)+1)</f>
        <v/>
      </c>
      <c r="J393" s="0" t="str">
        <f aca="false">IF(I393="","",IF(OR(I393&lt;1,I393&gt;NW),"",INDEX(WMON,I393)))</f>
        <v/>
      </c>
    </row>
    <row r="394" customFormat="false" ht="15" hidden="false" customHeight="false" outlineLevel="0" collapsed="false">
      <c r="A394" s="57"/>
      <c r="B394" s="30"/>
      <c r="C394" s="59"/>
      <c r="D394" s="58"/>
      <c r="E394" s="59"/>
      <c r="G394" s="0" t="str">
        <f aca="false">IF(AND(B394&lt;&gt;"",COUNTIF(B$6:B394,B394)=1),MAX(G$5:G393)+1,"")</f>
        <v/>
      </c>
      <c r="H394" s="0" t="str">
        <f aca="false">IF(A394="","",IF(ISNUMBER(A394),IF(A394&gt;=36526,A394,""),IFERROR(DATEVALUE(A394),"")))</f>
        <v/>
      </c>
      <c r="I394" s="0" t="str">
        <f aca="false">IF(H394="","",INT((H394-SAT1)/7)+1)</f>
        <v/>
      </c>
      <c r="J394" s="0" t="str">
        <f aca="false">IF(I394="","",IF(OR(I394&lt;1,I394&gt;NW),"",INDEX(WMON,I394)))</f>
        <v/>
      </c>
    </row>
    <row r="395" customFormat="false" ht="15" hidden="false" customHeight="false" outlineLevel="0" collapsed="false">
      <c r="A395" s="57"/>
      <c r="B395" s="30"/>
      <c r="C395" s="59"/>
      <c r="D395" s="58"/>
      <c r="E395" s="59"/>
      <c r="G395" s="0" t="str">
        <f aca="false">IF(AND(B395&lt;&gt;"",COUNTIF(B$6:B395,B395)=1),MAX(G$5:G394)+1,"")</f>
        <v/>
      </c>
      <c r="H395" s="0" t="str">
        <f aca="false">IF(A395="","",IF(ISNUMBER(A395),IF(A395&gt;=36526,A395,""),IFERROR(DATEVALUE(A395),"")))</f>
        <v/>
      </c>
      <c r="I395" s="0" t="str">
        <f aca="false">IF(H395="","",INT((H395-SAT1)/7)+1)</f>
        <v/>
      </c>
      <c r="J395" s="0" t="str">
        <f aca="false">IF(I395="","",IF(OR(I395&lt;1,I395&gt;NW),"",INDEX(WMON,I395)))</f>
        <v/>
      </c>
    </row>
    <row r="396" customFormat="false" ht="15" hidden="false" customHeight="false" outlineLevel="0" collapsed="false">
      <c r="A396" s="57"/>
      <c r="B396" s="30"/>
      <c r="C396" s="59"/>
      <c r="D396" s="58"/>
      <c r="E396" s="59"/>
      <c r="G396" s="0" t="str">
        <f aca="false">IF(AND(B396&lt;&gt;"",COUNTIF(B$6:B396,B396)=1),MAX(G$5:G395)+1,"")</f>
        <v/>
      </c>
      <c r="H396" s="0" t="str">
        <f aca="false">IF(A396="","",IF(ISNUMBER(A396),IF(A396&gt;=36526,A396,""),IFERROR(DATEVALUE(A396),"")))</f>
        <v/>
      </c>
      <c r="I396" s="0" t="str">
        <f aca="false">IF(H396="","",INT((H396-SAT1)/7)+1)</f>
        <v/>
      </c>
      <c r="J396" s="0" t="str">
        <f aca="false">IF(I396="","",IF(OR(I396&lt;1,I396&gt;NW),"",INDEX(WMON,I396)))</f>
        <v/>
      </c>
    </row>
    <row r="397" customFormat="false" ht="15" hidden="false" customHeight="false" outlineLevel="0" collapsed="false">
      <c r="A397" s="57"/>
      <c r="B397" s="30"/>
      <c r="C397" s="59"/>
      <c r="D397" s="58"/>
      <c r="E397" s="59"/>
      <c r="G397" s="0" t="str">
        <f aca="false">IF(AND(B397&lt;&gt;"",COUNTIF(B$6:B397,B397)=1),MAX(G$5:G396)+1,"")</f>
        <v/>
      </c>
      <c r="H397" s="0" t="str">
        <f aca="false">IF(A397="","",IF(ISNUMBER(A397),IF(A397&gt;=36526,A397,""),IFERROR(DATEVALUE(A397),"")))</f>
        <v/>
      </c>
      <c r="I397" s="0" t="str">
        <f aca="false">IF(H397="","",INT((H397-SAT1)/7)+1)</f>
        <v/>
      </c>
      <c r="J397" s="0" t="str">
        <f aca="false">IF(I397="","",IF(OR(I397&lt;1,I397&gt;NW),"",INDEX(WMON,I397)))</f>
        <v/>
      </c>
    </row>
    <row r="398" customFormat="false" ht="15" hidden="false" customHeight="false" outlineLevel="0" collapsed="false">
      <c r="A398" s="57"/>
      <c r="B398" s="30"/>
      <c r="C398" s="59"/>
      <c r="D398" s="58"/>
      <c r="E398" s="59"/>
      <c r="G398" s="0" t="str">
        <f aca="false">IF(AND(B398&lt;&gt;"",COUNTIF(B$6:B398,B398)=1),MAX(G$5:G397)+1,"")</f>
        <v/>
      </c>
      <c r="H398" s="0" t="str">
        <f aca="false">IF(A398="","",IF(ISNUMBER(A398),IF(A398&gt;=36526,A398,""),IFERROR(DATEVALUE(A398),"")))</f>
        <v/>
      </c>
      <c r="I398" s="0" t="str">
        <f aca="false">IF(H398="","",INT((H398-SAT1)/7)+1)</f>
        <v/>
      </c>
      <c r="J398" s="0" t="str">
        <f aca="false">IF(I398="","",IF(OR(I398&lt;1,I398&gt;NW),"",INDEX(WMON,I398)))</f>
        <v/>
      </c>
    </row>
    <row r="399" customFormat="false" ht="15" hidden="false" customHeight="false" outlineLevel="0" collapsed="false">
      <c r="A399" s="57"/>
      <c r="B399" s="30"/>
      <c r="C399" s="59"/>
      <c r="D399" s="58"/>
      <c r="E399" s="59"/>
      <c r="G399" s="0" t="str">
        <f aca="false">IF(AND(B399&lt;&gt;"",COUNTIF(B$6:B399,B399)=1),MAX(G$5:G398)+1,"")</f>
        <v/>
      </c>
      <c r="H399" s="0" t="str">
        <f aca="false">IF(A399="","",IF(ISNUMBER(A399),IF(A399&gt;=36526,A399,""),IFERROR(DATEVALUE(A399),"")))</f>
        <v/>
      </c>
      <c r="I399" s="0" t="str">
        <f aca="false">IF(H399="","",INT((H399-SAT1)/7)+1)</f>
        <v/>
      </c>
      <c r="J399" s="0" t="str">
        <f aca="false">IF(I399="","",IF(OR(I399&lt;1,I399&gt;NW),"",INDEX(WMON,I399)))</f>
        <v/>
      </c>
    </row>
    <row r="400" customFormat="false" ht="15" hidden="false" customHeight="false" outlineLevel="0" collapsed="false">
      <c r="A400" s="57"/>
      <c r="B400" s="30"/>
      <c r="C400" s="59"/>
      <c r="D400" s="58"/>
      <c r="E400" s="59"/>
      <c r="G400" s="0" t="str">
        <f aca="false">IF(AND(B400&lt;&gt;"",COUNTIF(B$6:B400,B400)=1),MAX(G$5:G399)+1,"")</f>
        <v/>
      </c>
      <c r="H400" s="0" t="str">
        <f aca="false">IF(A400="","",IF(ISNUMBER(A400),IF(A400&gt;=36526,A400,""),IFERROR(DATEVALUE(A400),"")))</f>
        <v/>
      </c>
      <c r="I400" s="0" t="str">
        <f aca="false">IF(H400="","",INT((H400-SAT1)/7)+1)</f>
        <v/>
      </c>
      <c r="J400" s="0" t="str">
        <f aca="false">IF(I400="","",IF(OR(I400&lt;1,I400&gt;NW),"",INDEX(WMON,I400)))</f>
        <v/>
      </c>
    </row>
    <row r="401" customFormat="false" ht="15" hidden="false" customHeight="false" outlineLevel="0" collapsed="false">
      <c r="A401" s="57"/>
      <c r="B401" s="30"/>
      <c r="C401" s="59"/>
      <c r="D401" s="58"/>
      <c r="E401" s="59"/>
      <c r="G401" s="0" t="str">
        <f aca="false">IF(AND(B401&lt;&gt;"",COUNTIF(B$6:B401,B401)=1),MAX(G$5:G400)+1,"")</f>
        <v/>
      </c>
      <c r="H401" s="0" t="str">
        <f aca="false">IF(A401="","",IF(ISNUMBER(A401),IF(A401&gt;=36526,A401,""),IFERROR(DATEVALUE(A401),"")))</f>
        <v/>
      </c>
      <c r="I401" s="0" t="str">
        <f aca="false">IF(H401="","",INT((H401-SAT1)/7)+1)</f>
        <v/>
      </c>
      <c r="J401" s="0" t="str">
        <f aca="false">IF(I401="","",IF(OR(I401&lt;1,I401&gt;NW),"",INDEX(WMON,I401)))</f>
        <v/>
      </c>
    </row>
    <row r="402" customFormat="false" ht="15" hidden="false" customHeight="false" outlineLevel="0" collapsed="false">
      <c r="A402" s="57"/>
      <c r="B402" s="30"/>
      <c r="C402" s="59"/>
      <c r="D402" s="58"/>
      <c r="E402" s="59"/>
      <c r="G402" s="0" t="str">
        <f aca="false">IF(AND(B402&lt;&gt;"",COUNTIF(B$6:B402,B402)=1),MAX(G$5:G401)+1,"")</f>
        <v/>
      </c>
      <c r="H402" s="0" t="str">
        <f aca="false">IF(A402="","",IF(ISNUMBER(A402),IF(A402&gt;=36526,A402,""),IFERROR(DATEVALUE(A402),"")))</f>
        <v/>
      </c>
      <c r="I402" s="0" t="str">
        <f aca="false">IF(H402="","",INT((H402-SAT1)/7)+1)</f>
        <v/>
      </c>
      <c r="J402" s="0" t="str">
        <f aca="false">IF(I402="","",IF(OR(I402&lt;1,I402&gt;NW),"",INDEX(WMON,I402)))</f>
        <v/>
      </c>
    </row>
    <row r="403" customFormat="false" ht="15" hidden="false" customHeight="false" outlineLevel="0" collapsed="false">
      <c r="A403" s="57"/>
      <c r="B403" s="30"/>
      <c r="C403" s="59"/>
      <c r="D403" s="58"/>
      <c r="E403" s="59"/>
      <c r="G403" s="0" t="str">
        <f aca="false">IF(AND(B403&lt;&gt;"",COUNTIF(B$6:B403,B403)=1),MAX(G$5:G402)+1,"")</f>
        <v/>
      </c>
      <c r="H403" s="0" t="str">
        <f aca="false">IF(A403="","",IF(ISNUMBER(A403),IF(A403&gt;=36526,A403,""),IFERROR(DATEVALUE(A403),"")))</f>
        <v/>
      </c>
      <c r="I403" s="0" t="str">
        <f aca="false">IF(H403="","",INT((H403-SAT1)/7)+1)</f>
        <v/>
      </c>
      <c r="J403" s="0" t="str">
        <f aca="false">IF(I403="","",IF(OR(I403&lt;1,I403&gt;NW),"",INDEX(WMON,I403)))</f>
        <v/>
      </c>
    </row>
    <row r="404" customFormat="false" ht="15" hidden="false" customHeight="false" outlineLevel="0" collapsed="false">
      <c r="A404" s="57"/>
      <c r="B404" s="30"/>
      <c r="C404" s="59"/>
      <c r="D404" s="58"/>
      <c r="E404" s="59"/>
      <c r="G404" s="0" t="str">
        <f aca="false">IF(AND(B404&lt;&gt;"",COUNTIF(B$6:B404,B404)=1),MAX(G$5:G403)+1,"")</f>
        <v/>
      </c>
      <c r="H404" s="0" t="str">
        <f aca="false">IF(A404="","",IF(ISNUMBER(A404),IF(A404&gt;=36526,A404,""),IFERROR(DATEVALUE(A404),"")))</f>
        <v/>
      </c>
      <c r="I404" s="0" t="str">
        <f aca="false">IF(H404="","",INT((H404-SAT1)/7)+1)</f>
        <v/>
      </c>
      <c r="J404" s="0" t="str">
        <f aca="false">IF(I404="","",IF(OR(I404&lt;1,I404&gt;NW),"",INDEX(WMON,I404)))</f>
        <v/>
      </c>
    </row>
    <row r="405" customFormat="false" ht="15" hidden="false" customHeight="false" outlineLevel="0" collapsed="false">
      <c r="A405" s="57"/>
      <c r="B405" s="30"/>
      <c r="C405" s="59"/>
      <c r="D405" s="58"/>
      <c r="E405" s="59"/>
      <c r="G405" s="0" t="str">
        <f aca="false">IF(AND(B405&lt;&gt;"",COUNTIF(B$6:B405,B405)=1),MAX(G$5:G404)+1,"")</f>
        <v/>
      </c>
      <c r="H405" s="0" t="str">
        <f aca="false">IF(A405="","",IF(ISNUMBER(A405),IF(A405&gt;=36526,A405,""),IFERROR(DATEVALUE(A405),"")))</f>
        <v/>
      </c>
      <c r="I405" s="0" t="str">
        <f aca="false">IF(H405="","",INT((H405-SAT1)/7)+1)</f>
        <v/>
      </c>
      <c r="J405" s="0" t="str">
        <f aca="false">IF(I405="","",IF(OR(I405&lt;1,I405&gt;NW),"",INDEX(WMON,I405)))</f>
        <v/>
      </c>
    </row>
    <row r="406" customFormat="false" ht="15" hidden="false" customHeight="false" outlineLevel="0" collapsed="false">
      <c r="A406" s="57"/>
      <c r="B406" s="30"/>
      <c r="C406" s="59"/>
      <c r="D406" s="58"/>
      <c r="E406" s="59"/>
      <c r="G406" s="0" t="str">
        <f aca="false">IF(AND(B406&lt;&gt;"",COUNTIF(B$6:B406,B406)=1),MAX(G$5:G405)+1,"")</f>
        <v/>
      </c>
      <c r="H406" s="0" t="str">
        <f aca="false">IF(A406="","",IF(ISNUMBER(A406),IF(A406&gt;=36526,A406,""),IFERROR(DATEVALUE(A406),"")))</f>
        <v/>
      </c>
      <c r="I406" s="0" t="str">
        <f aca="false">IF(H406="","",INT((H406-SAT1)/7)+1)</f>
        <v/>
      </c>
      <c r="J406" s="0" t="str">
        <f aca="false">IF(I406="","",IF(OR(I406&lt;1,I406&gt;NW),"",INDEX(WMON,I406)))</f>
        <v/>
      </c>
    </row>
    <row r="407" customFormat="false" ht="15" hidden="false" customHeight="false" outlineLevel="0" collapsed="false">
      <c r="A407" s="57"/>
      <c r="B407" s="30"/>
      <c r="C407" s="59"/>
      <c r="D407" s="58"/>
      <c r="E407" s="59"/>
      <c r="G407" s="0" t="str">
        <f aca="false">IF(AND(B407&lt;&gt;"",COUNTIF(B$6:B407,B407)=1),MAX(G$5:G406)+1,"")</f>
        <v/>
      </c>
      <c r="H407" s="0" t="str">
        <f aca="false">IF(A407="","",IF(ISNUMBER(A407),IF(A407&gt;=36526,A407,""),IFERROR(DATEVALUE(A407),"")))</f>
        <v/>
      </c>
      <c r="I407" s="0" t="str">
        <f aca="false">IF(H407="","",INT((H407-SAT1)/7)+1)</f>
        <v/>
      </c>
      <c r="J407" s="0" t="str">
        <f aca="false">IF(I407="","",IF(OR(I407&lt;1,I407&gt;NW),"",INDEX(WMON,I407)))</f>
        <v/>
      </c>
    </row>
    <row r="408" customFormat="false" ht="15" hidden="false" customHeight="false" outlineLevel="0" collapsed="false">
      <c r="A408" s="57"/>
      <c r="B408" s="30"/>
      <c r="C408" s="59"/>
      <c r="D408" s="58"/>
      <c r="E408" s="59"/>
      <c r="G408" s="0" t="str">
        <f aca="false">IF(AND(B408&lt;&gt;"",COUNTIF(B$6:B408,B408)=1),MAX(G$5:G407)+1,"")</f>
        <v/>
      </c>
      <c r="H408" s="0" t="str">
        <f aca="false">IF(A408="","",IF(ISNUMBER(A408),IF(A408&gt;=36526,A408,""),IFERROR(DATEVALUE(A408),"")))</f>
        <v/>
      </c>
      <c r="I408" s="0" t="str">
        <f aca="false">IF(H408="","",INT((H408-SAT1)/7)+1)</f>
        <v/>
      </c>
      <c r="J408" s="0" t="str">
        <f aca="false">IF(I408="","",IF(OR(I408&lt;1,I408&gt;NW),"",INDEX(WMON,I408)))</f>
        <v/>
      </c>
    </row>
    <row r="409" customFormat="false" ht="15" hidden="false" customHeight="false" outlineLevel="0" collapsed="false">
      <c r="A409" s="57"/>
      <c r="B409" s="30"/>
      <c r="C409" s="59"/>
      <c r="D409" s="58"/>
      <c r="E409" s="59"/>
      <c r="G409" s="0" t="str">
        <f aca="false">IF(AND(B409&lt;&gt;"",COUNTIF(B$6:B409,B409)=1),MAX(G$5:G408)+1,"")</f>
        <v/>
      </c>
      <c r="H409" s="0" t="str">
        <f aca="false">IF(A409="","",IF(ISNUMBER(A409),IF(A409&gt;=36526,A409,""),IFERROR(DATEVALUE(A409),"")))</f>
        <v/>
      </c>
      <c r="I409" s="0" t="str">
        <f aca="false">IF(H409="","",INT((H409-SAT1)/7)+1)</f>
        <v/>
      </c>
      <c r="J409" s="0" t="str">
        <f aca="false">IF(I409="","",IF(OR(I409&lt;1,I409&gt;NW),"",INDEX(WMON,I409)))</f>
        <v/>
      </c>
    </row>
    <row r="410" customFormat="false" ht="15" hidden="false" customHeight="false" outlineLevel="0" collapsed="false">
      <c r="A410" s="57"/>
      <c r="B410" s="30"/>
      <c r="C410" s="59"/>
      <c r="D410" s="58"/>
      <c r="E410" s="59"/>
      <c r="G410" s="0" t="str">
        <f aca="false">IF(AND(B410&lt;&gt;"",COUNTIF(B$6:B410,B410)=1),MAX(G$5:G409)+1,"")</f>
        <v/>
      </c>
      <c r="H410" s="0" t="str">
        <f aca="false">IF(A410="","",IF(ISNUMBER(A410),IF(A410&gt;=36526,A410,""),IFERROR(DATEVALUE(A410),"")))</f>
        <v/>
      </c>
      <c r="I410" s="0" t="str">
        <f aca="false">IF(H410="","",INT((H410-SAT1)/7)+1)</f>
        <v/>
      </c>
      <c r="J410" s="0" t="str">
        <f aca="false">IF(I410="","",IF(OR(I410&lt;1,I410&gt;NW),"",INDEX(WMON,I410)))</f>
        <v/>
      </c>
    </row>
    <row r="411" customFormat="false" ht="15" hidden="false" customHeight="false" outlineLevel="0" collapsed="false">
      <c r="A411" s="57"/>
      <c r="B411" s="30"/>
      <c r="C411" s="59"/>
      <c r="D411" s="58"/>
      <c r="E411" s="59"/>
      <c r="G411" s="0" t="str">
        <f aca="false">IF(AND(B411&lt;&gt;"",COUNTIF(B$6:B411,B411)=1),MAX(G$5:G410)+1,"")</f>
        <v/>
      </c>
      <c r="H411" s="0" t="str">
        <f aca="false">IF(A411="","",IF(ISNUMBER(A411),IF(A411&gt;=36526,A411,""),IFERROR(DATEVALUE(A411),"")))</f>
        <v/>
      </c>
      <c r="I411" s="0" t="str">
        <f aca="false">IF(H411="","",INT((H411-SAT1)/7)+1)</f>
        <v/>
      </c>
      <c r="J411" s="0" t="str">
        <f aca="false">IF(I411="","",IF(OR(I411&lt;1,I411&gt;NW),"",INDEX(WMON,I411)))</f>
        <v/>
      </c>
    </row>
    <row r="412" customFormat="false" ht="15" hidden="false" customHeight="false" outlineLevel="0" collapsed="false">
      <c r="A412" s="57"/>
      <c r="B412" s="30"/>
      <c r="C412" s="59"/>
      <c r="D412" s="58"/>
      <c r="E412" s="59"/>
      <c r="G412" s="0" t="str">
        <f aca="false">IF(AND(B412&lt;&gt;"",COUNTIF(B$6:B412,B412)=1),MAX(G$5:G411)+1,"")</f>
        <v/>
      </c>
      <c r="H412" s="0" t="str">
        <f aca="false">IF(A412="","",IF(ISNUMBER(A412),IF(A412&gt;=36526,A412,""),IFERROR(DATEVALUE(A412),"")))</f>
        <v/>
      </c>
      <c r="I412" s="0" t="str">
        <f aca="false">IF(H412="","",INT((H412-SAT1)/7)+1)</f>
        <v/>
      </c>
      <c r="J412" s="0" t="str">
        <f aca="false">IF(I412="","",IF(OR(I412&lt;1,I412&gt;NW),"",INDEX(WMON,I412)))</f>
        <v/>
      </c>
    </row>
    <row r="413" customFormat="false" ht="15" hidden="false" customHeight="false" outlineLevel="0" collapsed="false">
      <c r="A413" s="57"/>
      <c r="B413" s="30"/>
      <c r="C413" s="59"/>
      <c r="D413" s="58"/>
      <c r="E413" s="59"/>
      <c r="G413" s="0" t="str">
        <f aca="false">IF(AND(B413&lt;&gt;"",COUNTIF(B$6:B413,B413)=1),MAX(G$5:G412)+1,"")</f>
        <v/>
      </c>
      <c r="H413" s="0" t="str">
        <f aca="false">IF(A413="","",IF(ISNUMBER(A413),IF(A413&gt;=36526,A413,""),IFERROR(DATEVALUE(A413),"")))</f>
        <v/>
      </c>
      <c r="I413" s="0" t="str">
        <f aca="false">IF(H413="","",INT((H413-SAT1)/7)+1)</f>
        <v/>
      </c>
      <c r="J413" s="0" t="str">
        <f aca="false">IF(I413="","",IF(OR(I413&lt;1,I413&gt;NW),"",INDEX(WMON,I413)))</f>
        <v/>
      </c>
    </row>
    <row r="414" customFormat="false" ht="15" hidden="false" customHeight="false" outlineLevel="0" collapsed="false">
      <c r="A414" s="57"/>
      <c r="B414" s="30"/>
      <c r="C414" s="59"/>
      <c r="D414" s="58"/>
      <c r="E414" s="59"/>
      <c r="G414" s="0" t="str">
        <f aca="false">IF(AND(B414&lt;&gt;"",COUNTIF(B$6:B414,B414)=1),MAX(G$5:G413)+1,"")</f>
        <v/>
      </c>
      <c r="H414" s="0" t="str">
        <f aca="false">IF(A414="","",IF(ISNUMBER(A414),IF(A414&gt;=36526,A414,""),IFERROR(DATEVALUE(A414),"")))</f>
        <v/>
      </c>
      <c r="I414" s="0" t="str">
        <f aca="false">IF(H414="","",INT((H414-SAT1)/7)+1)</f>
        <v/>
      </c>
      <c r="J414" s="0" t="str">
        <f aca="false">IF(I414="","",IF(OR(I414&lt;1,I414&gt;NW),"",INDEX(WMON,I414)))</f>
        <v/>
      </c>
    </row>
    <row r="415" customFormat="false" ht="15" hidden="false" customHeight="false" outlineLevel="0" collapsed="false">
      <c r="A415" s="57"/>
      <c r="B415" s="30"/>
      <c r="C415" s="59"/>
      <c r="D415" s="58"/>
      <c r="E415" s="59"/>
      <c r="G415" s="0" t="str">
        <f aca="false">IF(AND(B415&lt;&gt;"",COUNTIF(B$6:B415,B415)=1),MAX(G$5:G414)+1,"")</f>
        <v/>
      </c>
      <c r="H415" s="0" t="str">
        <f aca="false">IF(A415="","",IF(ISNUMBER(A415),IF(A415&gt;=36526,A415,""),IFERROR(DATEVALUE(A415),"")))</f>
        <v/>
      </c>
      <c r="I415" s="0" t="str">
        <f aca="false">IF(H415="","",INT((H415-SAT1)/7)+1)</f>
        <v/>
      </c>
      <c r="J415" s="0" t="str">
        <f aca="false">IF(I415="","",IF(OR(I415&lt;1,I415&gt;NW),"",INDEX(WMON,I415)))</f>
        <v/>
      </c>
    </row>
    <row r="416" customFormat="false" ht="15" hidden="false" customHeight="false" outlineLevel="0" collapsed="false">
      <c r="A416" s="57"/>
      <c r="B416" s="30"/>
      <c r="C416" s="59"/>
      <c r="D416" s="58"/>
      <c r="E416" s="59"/>
      <c r="G416" s="0" t="str">
        <f aca="false">IF(AND(B416&lt;&gt;"",COUNTIF(B$6:B416,B416)=1),MAX(G$5:G415)+1,"")</f>
        <v/>
      </c>
      <c r="H416" s="0" t="str">
        <f aca="false">IF(A416="","",IF(ISNUMBER(A416),IF(A416&gt;=36526,A416,""),IFERROR(DATEVALUE(A416),"")))</f>
        <v/>
      </c>
      <c r="I416" s="0" t="str">
        <f aca="false">IF(H416="","",INT((H416-SAT1)/7)+1)</f>
        <v/>
      </c>
      <c r="J416" s="0" t="str">
        <f aca="false">IF(I416="","",IF(OR(I416&lt;1,I416&gt;NW),"",INDEX(WMON,I416)))</f>
        <v/>
      </c>
    </row>
    <row r="417" customFormat="false" ht="15" hidden="false" customHeight="false" outlineLevel="0" collapsed="false">
      <c r="A417" s="57"/>
      <c r="B417" s="30"/>
      <c r="C417" s="59"/>
      <c r="D417" s="58"/>
      <c r="E417" s="59"/>
      <c r="G417" s="0" t="str">
        <f aca="false">IF(AND(B417&lt;&gt;"",COUNTIF(B$6:B417,B417)=1),MAX(G$5:G416)+1,"")</f>
        <v/>
      </c>
      <c r="H417" s="0" t="str">
        <f aca="false">IF(A417="","",IF(ISNUMBER(A417),IF(A417&gt;=36526,A417,""),IFERROR(DATEVALUE(A417),"")))</f>
        <v/>
      </c>
      <c r="I417" s="0" t="str">
        <f aca="false">IF(H417="","",INT((H417-SAT1)/7)+1)</f>
        <v/>
      </c>
      <c r="J417" s="0" t="str">
        <f aca="false">IF(I417="","",IF(OR(I417&lt;1,I417&gt;NW),"",INDEX(WMON,I417)))</f>
        <v/>
      </c>
    </row>
    <row r="418" customFormat="false" ht="15" hidden="false" customHeight="false" outlineLevel="0" collapsed="false">
      <c r="A418" s="57"/>
      <c r="B418" s="30"/>
      <c r="C418" s="59"/>
      <c r="D418" s="58"/>
      <c r="E418" s="59"/>
      <c r="G418" s="0" t="str">
        <f aca="false">IF(AND(B418&lt;&gt;"",COUNTIF(B$6:B418,B418)=1),MAX(G$5:G417)+1,"")</f>
        <v/>
      </c>
      <c r="H418" s="0" t="str">
        <f aca="false">IF(A418="","",IF(ISNUMBER(A418),IF(A418&gt;=36526,A418,""),IFERROR(DATEVALUE(A418),"")))</f>
        <v/>
      </c>
      <c r="I418" s="0" t="str">
        <f aca="false">IF(H418="","",INT((H418-SAT1)/7)+1)</f>
        <v/>
      </c>
      <c r="J418" s="0" t="str">
        <f aca="false">IF(I418="","",IF(OR(I418&lt;1,I418&gt;NW),"",INDEX(WMON,I418)))</f>
        <v/>
      </c>
    </row>
    <row r="419" customFormat="false" ht="15" hidden="false" customHeight="false" outlineLevel="0" collapsed="false">
      <c r="A419" s="57"/>
      <c r="B419" s="30"/>
      <c r="C419" s="59"/>
      <c r="D419" s="58"/>
      <c r="E419" s="59"/>
      <c r="G419" s="0" t="str">
        <f aca="false">IF(AND(B419&lt;&gt;"",COUNTIF(B$6:B419,B419)=1),MAX(G$5:G418)+1,"")</f>
        <v/>
      </c>
      <c r="H419" s="0" t="str">
        <f aca="false">IF(A419="","",IF(ISNUMBER(A419),IF(A419&gt;=36526,A419,""),IFERROR(DATEVALUE(A419),"")))</f>
        <v/>
      </c>
      <c r="I419" s="0" t="str">
        <f aca="false">IF(H419="","",INT((H419-SAT1)/7)+1)</f>
        <v/>
      </c>
      <c r="J419" s="0" t="str">
        <f aca="false">IF(I419="","",IF(OR(I419&lt;1,I419&gt;NW),"",INDEX(WMON,I419)))</f>
        <v/>
      </c>
    </row>
    <row r="420" customFormat="false" ht="15" hidden="false" customHeight="false" outlineLevel="0" collapsed="false">
      <c r="A420" s="57"/>
      <c r="B420" s="30"/>
      <c r="C420" s="59"/>
      <c r="D420" s="58"/>
      <c r="E420" s="59"/>
      <c r="G420" s="0" t="str">
        <f aca="false">IF(AND(B420&lt;&gt;"",COUNTIF(B$6:B420,B420)=1),MAX(G$5:G419)+1,"")</f>
        <v/>
      </c>
      <c r="H420" s="0" t="str">
        <f aca="false">IF(A420="","",IF(ISNUMBER(A420),IF(A420&gt;=36526,A420,""),IFERROR(DATEVALUE(A420),"")))</f>
        <v/>
      </c>
      <c r="I420" s="0" t="str">
        <f aca="false">IF(H420="","",INT((H420-SAT1)/7)+1)</f>
        <v/>
      </c>
      <c r="J420" s="0" t="str">
        <f aca="false">IF(I420="","",IF(OR(I420&lt;1,I420&gt;NW),"",INDEX(WMON,I420)))</f>
        <v/>
      </c>
    </row>
    <row r="421" customFormat="false" ht="15" hidden="false" customHeight="false" outlineLevel="0" collapsed="false">
      <c r="A421" s="57"/>
      <c r="B421" s="30"/>
      <c r="C421" s="59"/>
      <c r="D421" s="58"/>
      <c r="E421" s="59"/>
      <c r="G421" s="0" t="str">
        <f aca="false">IF(AND(B421&lt;&gt;"",COUNTIF(B$6:B421,B421)=1),MAX(G$5:G420)+1,"")</f>
        <v/>
      </c>
      <c r="H421" s="0" t="str">
        <f aca="false">IF(A421="","",IF(ISNUMBER(A421),IF(A421&gt;=36526,A421,""),IFERROR(DATEVALUE(A421),"")))</f>
        <v/>
      </c>
      <c r="I421" s="0" t="str">
        <f aca="false">IF(H421="","",INT((H421-SAT1)/7)+1)</f>
        <v/>
      </c>
      <c r="J421" s="0" t="str">
        <f aca="false">IF(I421="","",IF(OR(I421&lt;1,I421&gt;NW),"",INDEX(WMON,I421)))</f>
        <v/>
      </c>
    </row>
    <row r="422" customFormat="false" ht="15" hidden="false" customHeight="false" outlineLevel="0" collapsed="false">
      <c r="A422" s="57"/>
      <c r="B422" s="30"/>
      <c r="C422" s="59"/>
      <c r="D422" s="58"/>
      <c r="E422" s="59"/>
      <c r="G422" s="0" t="str">
        <f aca="false">IF(AND(B422&lt;&gt;"",COUNTIF(B$6:B422,B422)=1),MAX(G$5:G421)+1,"")</f>
        <v/>
      </c>
      <c r="H422" s="0" t="str">
        <f aca="false">IF(A422="","",IF(ISNUMBER(A422),IF(A422&gt;=36526,A422,""),IFERROR(DATEVALUE(A422),"")))</f>
        <v/>
      </c>
      <c r="I422" s="0" t="str">
        <f aca="false">IF(H422="","",INT((H422-SAT1)/7)+1)</f>
        <v/>
      </c>
      <c r="J422" s="0" t="str">
        <f aca="false">IF(I422="","",IF(OR(I422&lt;1,I422&gt;NW),"",INDEX(WMON,I422)))</f>
        <v/>
      </c>
    </row>
    <row r="423" customFormat="false" ht="15" hidden="false" customHeight="false" outlineLevel="0" collapsed="false">
      <c r="A423" s="57"/>
      <c r="B423" s="30"/>
      <c r="C423" s="59"/>
      <c r="D423" s="58"/>
      <c r="E423" s="59"/>
      <c r="G423" s="0" t="str">
        <f aca="false">IF(AND(B423&lt;&gt;"",COUNTIF(B$6:B423,B423)=1),MAX(G$5:G422)+1,"")</f>
        <v/>
      </c>
      <c r="H423" s="0" t="str">
        <f aca="false">IF(A423="","",IF(ISNUMBER(A423),IF(A423&gt;=36526,A423,""),IFERROR(DATEVALUE(A423),"")))</f>
        <v/>
      </c>
      <c r="I423" s="0" t="str">
        <f aca="false">IF(H423="","",INT((H423-SAT1)/7)+1)</f>
        <v/>
      </c>
      <c r="J423" s="0" t="str">
        <f aca="false">IF(I423="","",IF(OR(I423&lt;1,I423&gt;NW),"",INDEX(WMON,I423)))</f>
        <v/>
      </c>
    </row>
    <row r="424" customFormat="false" ht="15" hidden="false" customHeight="false" outlineLevel="0" collapsed="false">
      <c r="A424" s="57"/>
      <c r="B424" s="30"/>
      <c r="C424" s="59"/>
      <c r="D424" s="58"/>
      <c r="E424" s="59"/>
      <c r="G424" s="0" t="str">
        <f aca="false">IF(AND(B424&lt;&gt;"",COUNTIF(B$6:B424,B424)=1),MAX(G$5:G423)+1,"")</f>
        <v/>
      </c>
      <c r="H424" s="0" t="str">
        <f aca="false">IF(A424="","",IF(ISNUMBER(A424),IF(A424&gt;=36526,A424,""),IFERROR(DATEVALUE(A424),"")))</f>
        <v/>
      </c>
      <c r="I424" s="0" t="str">
        <f aca="false">IF(H424="","",INT((H424-SAT1)/7)+1)</f>
        <v/>
      </c>
      <c r="J424" s="0" t="str">
        <f aca="false">IF(I424="","",IF(OR(I424&lt;1,I424&gt;NW),"",INDEX(WMON,I424)))</f>
        <v/>
      </c>
    </row>
    <row r="425" customFormat="false" ht="15" hidden="false" customHeight="false" outlineLevel="0" collapsed="false">
      <c r="A425" s="57"/>
      <c r="B425" s="30"/>
      <c r="C425" s="59"/>
      <c r="D425" s="58"/>
      <c r="E425" s="59"/>
      <c r="G425" s="0" t="str">
        <f aca="false">IF(AND(B425&lt;&gt;"",COUNTIF(B$6:B425,B425)=1),MAX(G$5:G424)+1,"")</f>
        <v/>
      </c>
      <c r="H425" s="0" t="str">
        <f aca="false">IF(A425="","",IF(ISNUMBER(A425),IF(A425&gt;=36526,A425,""),IFERROR(DATEVALUE(A425),"")))</f>
        <v/>
      </c>
      <c r="I425" s="0" t="str">
        <f aca="false">IF(H425="","",INT((H425-SAT1)/7)+1)</f>
        <v/>
      </c>
      <c r="J425" s="0" t="str">
        <f aca="false">IF(I425="","",IF(OR(I425&lt;1,I425&gt;NW),"",INDEX(WMON,I425)))</f>
        <v/>
      </c>
    </row>
    <row r="426" customFormat="false" ht="15" hidden="false" customHeight="false" outlineLevel="0" collapsed="false">
      <c r="A426" s="57"/>
      <c r="B426" s="30"/>
      <c r="C426" s="59"/>
      <c r="D426" s="58"/>
      <c r="E426" s="59"/>
      <c r="G426" s="0" t="str">
        <f aca="false">IF(AND(B426&lt;&gt;"",COUNTIF(B$6:B426,B426)=1),MAX(G$5:G425)+1,"")</f>
        <v/>
      </c>
      <c r="H426" s="0" t="str">
        <f aca="false">IF(A426="","",IF(ISNUMBER(A426),IF(A426&gt;=36526,A426,""),IFERROR(DATEVALUE(A426),"")))</f>
        <v/>
      </c>
      <c r="I426" s="0" t="str">
        <f aca="false">IF(H426="","",INT((H426-SAT1)/7)+1)</f>
        <v/>
      </c>
      <c r="J426" s="0" t="str">
        <f aca="false">IF(I426="","",IF(OR(I426&lt;1,I426&gt;NW),"",INDEX(WMON,I426)))</f>
        <v/>
      </c>
    </row>
    <row r="427" customFormat="false" ht="15" hidden="false" customHeight="false" outlineLevel="0" collapsed="false">
      <c r="A427" s="57"/>
      <c r="B427" s="30"/>
      <c r="C427" s="59"/>
      <c r="D427" s="58"/>
      <c r="E427" s="59"/>
      <c r="G427" s="0" t="str">
        <f aca="false">IF(AND(B427&lt;&gt;"",COUNTIF(B$6:B427,B427)=1),MAX(G$5:G426)+1,"")</f>
        <v/>
      </c>
      <c r="H427" s="0" t="str">
        <f aca="false">IF(A427="","",IF(ISNUMBER(A427),IF(A427&gt;=36526,A427,""),IFERROR(DATEVALUE(A427),"")))</f>
        <v/>
      </c>
      <c r="I427" s="0" t="str">
        <f aca="false">IF(H427="","",INT((H427-SAT1)/7)+1)</f>
        <v/>
      </c>
      <c r="J427" s="0" t="str">
        <f aca="false">IF(I427="","",IF(OR(I427&lt;1,I427&gt;NW),"",INDEX(WMON,I427)))</f>
        <v/>
      </c>
    </row>
    <row r="428" customFormat="false" ht="15" hidden="false" customHeight="false" outlineLevel="0" collapsed="false">
      <c r="A428" s="57"/>
      <c r="B428" s="30"/>
      <c r="C428" s="59"/>
      <c r="D428" s="58"/>
      <c r="E428" s="59"/>
      <c r="G428" s="0" t="str">
        <f aca="false">IF(AND(B428&lt;&gt;"",COUNTIF(B$6:B428,B428)=1),MAX(G$5:G427)+1,"")</f>
        <v/>
      </c>
      <c r="H428" s="0" t="str">
        <f aca="false">IF(A428="","",IF(ISNUMBER(A428),IF(A428&gt;=36526,A428,""),IFERROR(DATEVALUE(A428),"")))</f>
        <v/>
      </c>
      <c r="I428" s="0" t="str">
        <f aca="false">IF(H428="","",INT((H428-SAT1)/7)+1)</f>
        <v/>
      </c>
      <c r="J428" s="0" t="str">
        <f aca="false">IF(I428="","",IF(OR(I428&lt;1,I428&gt;NW),"",INDEX(WMON,I428)))</f>
        <v/>
      </c>
    </row>
    <row r="429" customFormat="false" ht="15" hidden="false" customHeight="false" outlineLevel="0" collapsed="false">
      <c r="A429" s="57"/>
      <c r="B429" s="30"/>
      <c r="C429" s="59"/>
      <c r="D429" s="58"/>
      <c r="E429" s="59"/>
      <c r="G429" s="0" t="str">
        <f aca="false">IF(AND(B429&lt;&gt;"",COUNTIF(B$6:B429,B429)=1),MAX(G$5:G428)+1,"")</f>
        <v/>
      </c>
      <c r="H429" s="0" t="str">
        <f aca="false">IF(A429="","",IF(ISNUMBER(A429),IF(A429&gt;=36526,A429,""),IFERROR(DATEVALUE(A429),"")))</f>
        <v/>
      </c>
      <c r="I429" s="0" t="str">
        <f aca="false">IF(H429="","",INT((H429-SAT1)/7)+1)</f>
        <v/>
      </c>
      <c r="J429" s="0" t="str">
        <f aca="false">IF(I429="","",IF(OR(I429&lt;1,I429&gt;NW),"",INDEX(WMON,I429)))</f>
        <v/>
      </c>
    </row>
    <row r="430" customFormat="false" ht="15" hidden="false" customHeight="false" outlineLevel="0" collapsed="false">
      <c r="A430" s="57"/>
      <c r="B430" s="30"/>
      <c r="C430" s="59"/>
      <c r="D430" s="58"/>
      <c r="E430" s="59"/>
      <c r="G430" s="0" t="str">
        <f aca="false">IF(AND(B430&lt;&gt;"",COUNTIF(B$6:B430,B430)=1),MAX(G$5:G429)+1,"")</f>
        <v/>
      </c>
      <c r="H430" s="0" t="str">
        <f aca="false">IF(A430="","",IF(ISNUMBER(A430),IF(A430&gt;=36526,A430,""),IFERROR(DATEVALUE(A430),"")))</f>
        <v/>
      </c>
      <c r="I430" s="0" t="str">
        <f aca="false">IF(H430="","",INT((H430-SAT1)/7)+1)</f>
        <v/>
      </c>
      <c r="J430" s="0" t="str">
        <f aca="false">IF(I430="","",IF(OR(I430&lt;1,I430&gt;NW),"",INDEX(WMON,I430)))</f>
        <v/>
      </c>
    </row>
    <row r="431" customFormat="false" ht="15" hidden="false" customHeight="false" outlineLevel="0" collapsed="false">
      <c r="A431" s="57"/>
      <c r="B431" s="30"/>
      <c r="C431" s="59"/>
      <c r="D431" s="58"/>
      <c r="E431" s="59"/>
      <c r="G431" s="0" t="str">
        <f aca="false">IF(AND(B431&lt;&gt;"",COUNTIF(B$6:B431,B431)=1),MAX(G$5:G430)+1,"")</f>
        <v/>
      </c>
      <c r="H431" s="0" t="str">
        <f aca="false">IF(A431="","",IF(ISNUMBER(A431),IF(A431&gt;=36526,A431,""),IFERROR(DATEVALUE(A431),"")))</f>
        <v/>
      </c>
      <c r="I431" s="0" t="str">
        <f aca="false">IF(H431="","",INT((H431-SAT1)/7)+1)</f>
        <v/>
      </c>
      <c r="J431" s="0" t="str">
        <f aca="false">IF(I431="","",IF(OR(I431&lt;1,I431&gt;NW),"",INDEX(WMON,I431)))</f>
        <v/>
      </c>
    </row>
    <row r="432" customFormat="false" ht="15" hidden="false" customHeight="false" outlineLevel="0" collapsed="false">
      <c r="A432" s="57"/>
      <c r="B432" s="30"/>
      <c r="C432" s="59"/>
      <c r="D432" s="58"/>
      <c r="E432" s="59"/>
      <c r="G432" s="0" t="str">
        <f aca="false">IF(AND(B432&lt;&gt;"",COUNTIF(B$6:B432,B432)=1),MAX(G$5:G431)+1,"")</f>
        <v/>
      </c>
      <c r="H432" s="0" t="str">
        <f aca="false">IF(A432="","",IF(ISNUMBER(A432),IF(A432&gt;=36526,A432,""),IFERROR(DATEVALUE(A432),"")))</f>
        <v/>
      </c>
      <c r="I432" s="0" t="str">
        <f aca="false">IF(H432="","",INT((H432-SAT1)/7)+1)</f>
        <v/>
      </c>
      <c r="J432" s="0" t="str">
        <f aca="false">IF(I432="","",IF(OR(I432&lt;1,I432&gt;NW),"",INDEX(WMON,I432)))</f>
        <v/>
      </c>
    </row>
    <row r="433" customFormat="false" ht="15" hidden="false" customHeight="false" outlineLevel="0" collapsed="false">
      <c r="A433" s="57"/>
      <c r="B433" s="30"/>
      <c r="C433" s="59"/>
      <c r="D433" s="58"/>
      <c r="E433" s="59"/>
      <c r="G433" s="0" t="str">
        <f aca="false">IF(AND(B433&lt;&gt;"",COUNTIF(B$6:B433,B433)=1),MAX(G$5:G432)+1,"")</f>
        <v/>
      </c>
      <c r="H433" s="0" t="str">
        <f aca="false">IF(A433="","",IF(ISNUMBER(A433),IF(A433&gt;=36526,A433,""),IFERROR(DATEVALUE(A433),"")))</f>
        <v/>
      </c>
      <c r="I433" s="0" t="str">
        <f aca="false">IF(H433="","",INT((H433-SAT1)/7)+1)</f>
        <v/>
      </c>
      <c r="J433" s="0" t="str">
        <f aca="false">IF(I433="","",IF(OR(I433&lt;1,I433&gt;NW),"",INDEX(WMON,I433)))</f>
        <v/>
      </c>
    </row>
    <row r="434" customFormat="false" ht="15" hidden="false" customHeight="false" outlineLevel="0" collapsed="false">
      <c r="A434" s="57"/>
      <c r="B434" s="30"/>
      <c r="C434" s="59"/>
      <c r="D434" s="58"/>
      <c r="E434" s="59"/>
      <c r="G434" s="0" t="str">
        <f aca="false">IF(AND(B434&lt;&gt;"",COUNTIF(B$6:B434,B434)=1),MAX(G$5:G433)+1,"")</f>
        <v/>
      </c>
      <c r="H434" s="0" t="str">
        <f aca="false">IF(A434="","",IF(ISNUMBER(A434),IF(A434&gt;=36526,A434,""),IFERROR(DATEVALUE(A434),"")))</f>
        <v/>
      </c>
      <c r="I434" s="0" t="str">
        <f aca="false">IF(H434="","",INT((H434-SAT1)/7)+1)</f>
        <v/>
      </c>
      <c r="J434" s="0" t="str">
        <f aca="false">IF(I434="","",IF(OR(I434&lt;1,I434&gt;NW),"",INDEX(WMON,I434)))</f>
        <v/>
      </c>
    </row>
    <row r="435" customFormat="false" ht="15" hidden="false" customHeight="false" outlineLevel="0" collapsed="false">
      <c r="A435" s="57"/>
      <c r="B435" s="30"/>
      <c r="C435" s="59"/>
      <c r="D435" s="58"/>
      <c r="E435" s="59"/>
      <c r="G435" s="0" t="str">
        <f aca="false">IF(AND(B435&lt;&gt;"",COUNTIF(B$6:B435,B435)=1),MAX(G$5:G434)+1,"")</f>
        <v/>
      </c>
      <c r="H435" s="0" t="str">
        <f aca="false">IF(A435="","",IF(ISNUMBER(A435),IF(A435&gt;=36526,A435,""),IFERROR(DATEVALUE(A435),"")))</f>
        <v/>
      </c>
      <c r="I435" s="0" t="str">
        <f aca="false">IF(H435="","",INT((H435-SAT1)/7)+1)</f>
        <v/>
      </c>
      <c r="J435" s="0" t="str">
        <f aca="false">IF(I435="","",IF(OR(I435&lt;1,I435&gt;NW),"",INDEX(WMON,I435)))</f>
        <v/>
      </c>
    </row>
    <row r="436" customFormat="false" ht="15" hidden="false" customHeight="false" outlineLevel="0" collapsed="false">
      <c r="A436" s="57"/>
      <c r="B436" s="30"/>
      <c r="C436" s="59"/>
      <c r="D436" s="58"/>
      <c r="E436" s="59"/>
      <c r="G436" s="0" t="str">
        <f aca="false">IF(AND(B436&lt;&gt;"",COUNTIF(B$6:B436,B436)=1),MAX(G$5:G435)+1,"")</f>
        <v/>
      </c>
      <c r="H436" s="0" t="str">
        <f aca="false">IF(A436="","",IF(ISNUMBER(A436),IF(A436&gt;=36526,A436,""),IFERROR(DATEVALUE(A436),"")))</f>
        <v/>
      </c>
      <c r="I436" s="0" t="str">
        <f aca="false">IF(H436="","",INT((H436-SAT1)/7)+1)</f>
        <v/>
      </c>
      <c r="J436" s="0" t="str">
        <f aca="false">IF(I436="","",IF(OR(I436&lt;1,I436&gt;NW),"",INDEX(WMON,I436)))</f>
        <v/>
      </c>
    </row>
    <row r="437" customFormat="false" ht="15" hidden="false" customHeight="false" outlineLevel="0" collapsed="false">
      <c r="A437" s="57"/>
      <c r="B437" s="30"/>
      <c r="C437" s="59"/>
      <c r="D437" s="58"/>
      <c r="E437" s="59"/>
      <c r="G437" s="0" t="str">
        <f aca="false">IF(AND(B437&lt;&gt;"",COUNTIF(B$6:B437,B437)=1),MAX(G$5:G436)+1,"")</f>
        <v/>
      </c>
      <c r="H437" s="0" t="str">
        <f aca="false">IF(A437="","",IF(ISNUMBER(A437),IF(A437&gt;=36526,A437,""),IFERROR(DATEVALUE(A437),"")))</f>
        <v/>
      </c>
      <c r="I437" s="0" t="str">
        <f aca="false">IF(H437="","",INT((H437-SAT1)/7)+1)</f>
        <v/>
      </c>
      <c r="J437" s="0" t="str">
        <f aca="false">IF(I437="","",IF(OR(I437&lt;1,I437&gt;NW),"",INDEX(WMON,I437)))</f>
        <v/>
      </c>
    </row>
    <row r="438" customFormat="false" ht="15" hidden="false" customHeight="false" outlineLevel="0" collapsed="false">
      <c r="A438" s="57"/>
      <c r="B438" s="30"/>
      <c r="C438" s="59"/>
      <c r="D438" s="58"/>
      <c r="E438" s="59"/>
      <c r="G438" s="0" t="str">
        <f aca="false">IF(AND(B438&lt;&gt;"",COUNTIF(B$6:B438,B438)=1),MAX(G$5:G437)+1,"")</f>
        <v/>
      </c>
      <c r="H438" s="0" t="str">
        <f aca="false">IF(A438="","",IF(ISNUMBER(A438),IF(A438&gt;=36526,A438,""),IFERROR(DATEVALUE(A438),"")))</f>
        <v/>
      </c>
      <c r="I438" s="0" t="str">
        <f aca="false">IF(H438="","",INT((H438-SAT1)/7)+1)</f>
        <v/>
      </c>
      <c r="J438" s="0" t="str">
        <f aca="false">IF(I438="","",IF(OR(I438&lt;1,I438&gt;NW),"",INDEX(WMON,I438)))</f>
        <v/>
      </c>
    </row>
    <row r="439" customFormat="false" ht="15" hidden="false" customHeight="false" outlineLevel="0" collapsed="false">
      <c r="A439" s="57"/>
      <c r="B439" s="30"/>
      <c r="C439" s="59"/>
      <c r="D439" s="58"/>
      <c r="E439" s="59"/>
      <c r="G439" s="0" t="str">
        <f aca="false">IF(AND(B439&lt;&gt;"",COUNTIF(B$6:B439,B439)=1),MAX(G$5:G438)+1,"")</f>
        <v/>
      </c>
      <c r="H439" s="0" t="str">
        <f aca="false">IF(A439="","",IF(ISNUMBER(A439),IF(A439&gt;=36526,A439,""),IFERROR(DATEVALUE(A439),"")))</f>
        <v/>
      </c>
      <c r="I439" s="0" t="str">
        <f aca="false">IF(H439="","",INT((H439-SAT1)/7)+1)</f>
        <v/>
      </c>
      <c r="J439" s="0" t="str">
        <f aca="false">IF(I439="","",IF(OR(I439&lt;1,I439&gt;NW),"",INDEX(WMON,I439)))</f>
        <v/>
      </c>
    </row>
    <row r="440" customFormat="false" ht="15" hidden="false" customHeight="false" outlineLevel="0" collapsed="false">
      <c r="A440" s="57"/>
      <c r="B440" s="30"/>
      <c r="C440" s="59"/>
      <c r="D440" s="58"/>
      <c r="E440" s="59"/>
      <c r="G440" s="0" t="str">
        <f aca="false">IF(AND(B440&lt;&gt;"",COUNTIF(B$6:B440,B440)=1),MAX(G$5:G439)+1,"")</f>
        <v/>
      </c>
      <c r="H440" s="0" t="str">
        <f aca="false">IF(A440="","",IF(ISNUMBER(A440),IF(A440&gt;=36526,A440,""),IFERROR(DATEVALUE(A440),"")))</f>
        <v/>
      </c>
      <c r="I440" s="0" t="str">
        <f aca="false">IF(H440="","",INT((H440-SAT1)/7)+1)</f>
        <v/>
      </c>
      <c r="J440" s="0" t="str">
        <f aca="false">IF(I440="","",IF(OR(I440&lt;1,I440&gt;NW),"",INDEX(WMON,I440)))</f>
        <v/>
      </c>
    </row>
    <row r="441" customFormat="false" ht="15" hidden="false" customHeight="false" outlineLevel="0" collapsed="false">
      <c r="A441" s="57"/>
      <c r="B441" s="30"/>
      <c r="C441" s="59"/>
      <c r="D441" s="58"/>
      <c r="E441" s="59"/>
      <c r="G441" s="0" t="str">
        <f aca="false">IF(AND(B441&lt;&gt;"",COUNTIF(B$6:B441,B441)=1),MAX(G$5:G440)+1,"")</f>
        <v/>
      </c>
      <c r="H441" s="0" t="str">
        <f aca="false">IF(A441="","",IF(ISNUMBER(A441),IF(A441&gt;=36526,A441,""),IFERROR(DATEVALUE(A441),"")))</f>
        <v/>
      </c>
      <c r="I441" s="0" t="str">
        <f aca="false">IF(H441="","",INT((H441-SAT1)/7)+1)</f>
        <v/>
      </c>
      <c r="J441" s="0" t="str">
        <f aca="false">IF(I441="","",IF(OR(I441&lt;1,I441&gt;NW),"",INDEX(WMON,I441)))</f>
        <v/>
      </c>
    </row>
    <row r="442" customFormat="false" ht="15" hidden="false" customHeight="false" outlineLevel="0" collapsed="false">
      <c r="A442" s="57"/>
      <c r="B442" s="30"/>
      <c r="C442" s="59"/>
      <c r="D442" s="58"/>
      <c r="E442" s="59"/>
      <c r="G442" s="0" t="str">
        <f aca="false">IF(AND(B442&lt;&gt;"",COUNTIF(B$6:B442,B442)=1),MAX(G$5:G441)+1,"")</f>
        <v/>
      </c>
      <c r="H442" s="0" t="str">
        <f aca="false">IF(A442="","",IF(ISNUMBER(A442),IF(A442&gt;=36526,A442,""),IFERROR(DATEVALUE(A442),"")))</f>
        <v/>
      </c>
      <c r="I442" s="0" t="str">
        <f aca="false">IF(H442="","",INT((H442-SAT1)/7)+1)</f>
        <v/>
      </c>
      <c r="J442" s="0" t="str">
        <f aca="false">IF(I442="","",IF(OR(I442&lt;1,I442&gt;NW),"",INDEX(WMON,I442)))</f>
        <v/>
      </c>
    </row>
    <row r="443" customFormat="false" ht="15" hidden="false" customHeight="false" outlineLevel="0" collapsed="false">
      <c r="A443" s="57"/>
      <c r="B443" s="30"/>
      <c r="C443" s="59"/>
      <c r="D443" s="58"/>
      <c r="E443" s="59"/>
      <c r="G443" s="0" t="str">
        <f aca="false">IF(AND(B443&lt;&gt;"",COUNTIF(B$6:B443,B443)=1),MAX(G$5:G442)+1,"")</f>
        <v/>
      </c>
      <c r="H443" s="0" t="str">
        <f aca="false">IF(A443="","",IF(ISNUMBER(A443),IF(A443&gt;=36526,A443,""),IFERROR(DATEVALUE(A443),"")))</f>
        <v/>
      </c>
      <c r="I443" s="0" t="str">
        <f aca="false">IF(H443="","",INT((H443-SAT1)/7)+1)</f>
        <v/>
      </c>
      <c r="J443" s="0" t="str">
        <f aca="false">IF(I443="","",IF(OR(I443&lt;1,I443&gt;NW),"",INDEX(WMON,I443)))</f>
        <v/>
      </c>
    </row>
    <row r="444" customFormat="false" ht="15" hidden="false" customHeight="false" outlineLevel="0" collapsed="false">
      <c r="A444" s="57"/>
      <c r="B444" s="30"/>
      <c r="C444" s="59"/>
      <c r="D444" s="58"/>
      <c r="E444" s="59"/>
      <c r="G444" s="0" t="str">
        <f aca="false">IF(AND(B444&lt;&gt;"",COUNTIF(B$6:B444,B444)=1),MAX(G$5:G443)+1,"")</f>
        <v/>
      </c>
      <c r="H444" s="0" t="str">
        <f aca="false">IF(A444="","",IF(ISNUMBER(A444),IF(A444&gt;=36526,A444,""),IFERROR(DATEVALUE(A444),"")))</f>
        <v/>
      </c>
      <c r="I444" s="0" t="str">
        <f aca="false">IF(H444="","",INT((H444-SAT1)/7)+1)</f>
        <v/>
      </c>
      <c r="J444" s="0" t="str">
        <f aca="false">IF(I444="","",IF(OR(I444&lt;1,I444&gt;NW),"",INDEX(WMON,I444)))</f>
        <v/>
      </c>
    </row>
    <row r="445" customFormat="false" ht="15" hidden="false" customHeight="false" outlineLevel="0" collapsed="false">
      <c r="A445" s="57"/>
      <c r="B445" s="30"/>
      <c r="C445" s="59"/>
      <c r="D445" s="58"/>
      <c r="E445" s="59"/>
      <c r="G445" s="0" t="str">
        <f aca="false">IF(AND(B445&lt;&gt;"",COUNTIF(B$6:B445,B445)=1),MAX(G$5:G444)+1,"")</f>
        <v/>
      </c>
      <c r="H445" s="0" t="str">
        <f aca="false">IF(A445="","",IF(ISNUMBER(A445),IF(A445&gt;=36526,A445,""),IFERROR(DATEVALUE(A445),"")))</f>
        <v/>
      </c>
      <c r="I445" s="0" t="str">
        <f aca="false">IF(H445="","",INT((H445-SAT1)/7)+1)</f>
        <v/>
      </c>
      <c r="J445" s="0" t="str">
        <f aca="false">IF(I445="","",IF(OR(I445&lt;1,I445&gt;NW),"",INDEX(WMON,I445)))</f>
        <v/>
      </c>
    </row>
    <row r="446" customFormat="false" ht="15" hidden="false" customHeight="false" outlineLevel="0" collapsed="false">
      <c r="A446" s="57"/>
      <c r="B446" s="30"/>
      <c r="C446" s="59"/>
      <c r="D446" s="58"/>
      <c r="E446" s="59"/>
      <c r="G446" s="0" t="str">
        <f aca="false">IF(AND(B446&lt;&gt;"",COUNTIF(B$6:B446,B446)=1),MAX(G$5:G445)+1,"")</f>
        <v/>
      </c>
      <c r="H446" s="0" t="str">
        <f aca="false">IF(A446="","",IF(ISNUMBER(A446),IF(A446&gt;=36526,A446,""),IFERROR(DATEVALUE(A446),"")))</f>
        <v/>
      </c>
      <c r="I446" s="0" t="str">
        <f aca="false">IF(H446="","",INT((H446-SAT1)/7)+1)</f>
        <v/>
      </c>
      <c r="J446" s="0" t="str">
        <f aca="false">IF(I446="","",IF(OR(I446&lt;1,I446&gt;NW),"",INDEX(WMON,I446)))</f>
        <v/>
      </c>
    </row>
    <row r="447" customFormat="false" ht="15" hidden="false" customHeight="false" outlineLevel="0" collapsed="false">
      <c r="A447" s="57"/>
      <c r="B447" s="30"/>
      <c r="C447" s="59"/>
      <c r="D447" s="58"/>
      <c r="E447" s="59"/>
      <c r="G447" s="0" t="str">
        <f aca="false">IF(AND(B447&lt;&gt;"",COUNTIF(B$6:B447,B447)=1),MAX(G$5:G446)+1,"")</f>
        <v/>
      </c>
      <c r="H447" s="0" t="str">
        <f aca="false">IF(A447="","",IF(ISNUMBER(A447),IF(A447&gt;=36526,A447,""),IFERROR(DATEVALUE(A447),"")))</f>
        <v/>
      </c>
      <c r="I447" s="0" t="str">
        <f aca="false">IF(H447="","",INT((H447-SAT1)/7)+1)</f>
        <v/>
      </c>
      <c r="J447" s="0" t="str">
        <f aca="false">IF(I447="","",IF(OR(I447&lt;1,I447&gt;NW),"",INDEX(WMON,I447)))</f>
        <v/>
      </c>
    </row>
    <row r="448" customFormat="false" ht="15" hidden="false" customHeight="false" outlineLevel="0" collapsed="false">
      <c r="A448" s="57"/>
      <c r="B448" s="30"/>
      <c r="C448" s="59"/>
      <c r="D448" s="58"/>
      <c r="E448" s="59"/>
      <c r="G448" s="0" t="str">
        <f aca="false">IF(AND(B448&lt;&gt;"",COUNTIF(B$6:B448,B448)=1),MAX(G$5:G447)+1,"")</f>
        <v/>
      </c>
      <c r="H448" s="0" t="str">
        <f aca="false">IF(A448="","",IF(ISNUMBER(A448),IF(A448&gt;=36526,A448,""),IFERROR(DATEVALUE(A448),"")))</f>
        <v/>
      </c>
      <c r="I448" s="0" t="str">
        <f aca="false">IF(H448="","",INT((H448-SAT1)/7)+1)</f>
        <v/>
      </c>
      <c r="J448" s="0" t="str">
        <f aca="false">IF(I448="","",IF(OR(I448&lt;1,I448&gt;NW),"",INDEX(WMON,I448)))</f>
        <v/>
      </c>
    </row>
    <row r="449" customFormat="false" ht="15" hidden="false" customHeight="false" outlineLevel="0" collapsed="false">
      <c r="A449" s="57"/>
      <c r="B449" s="30"/>
      <c r="C449" s="59"/>
      <c r="D449" s="58"/>
      <c r="E449" s="59"/>
      <c r="G449" s="0" t="str">
        <f aca="false">IF(AND(B449&lt;&gt;"",COUNTIF(B$6:B449,B449)=1),MAX(G$5:G448)+1,"")</f>
        <v/>
      </c>
      <c r="H449" s="0" t="str">
        <f aca="false">IF(A449="","",IF(ISNUMBER(A449),IF(A449&gt;=36526,A449,""),IFERROR(DATEVALUE(A449),"")))</f>
        <v/>
      </c>
      <c r="I449" s="0" t="str">
        <f aca="false">IF(H449="","",INT((H449-SAT1)/7)+1)</f>
        <v/>
      </c>
      <c r="J449" s="0" t="str">
        <f aca="false">IF(I449="","",IF(OR(I449&lt;1,I449&gt;NW),"",INDEX(WMON,I449)))</f>
        <v/>
      </c>
    </row>
    <row r="450" customFormat="false" ht="15" hidden="false" customHeight="false" outlineLevel="0" collapsed="false">
      <c r="A450" s="57"/>
      <c r="B450" s="30"/>
      <c r="C450" s="59"/>
      <c r="D450" s="58"/>
      <c r="E450" s="59"/>
      <c r="G450" s="0" t="str">
        <f aca="false">IF(AND(B450&lt;&gt;"",COUNTIF(B$6:B450,B450)=1),MAX(G$5:G449)+1,"")</f>
        <v/>
      </c>
      <c r="H450" s="0" t="str">
        <f aca="false">IF(A450="","",IF(ISNUMBER(A450),IF(A450&gt;=36526,A450,""),IFERROR(DATEVALUE(A450),"")))</f>
        <v/>
      </c>
      <c r="I450" s="0" t="str">
        <f aca="false">IF(H450="","",INT((H450-SAT1)/7)+1)</f>
        <v/>
      </c>
      <c r="J450" s="0" t="str">
        <f aca="false">IF(I450="","",IF(OR(I450&lt;1,I450&gt;NW),"",INDEX(WMON,I450)))</f>
        <v/>
      </c>
    </row>
    <row r="451" customFormat="false" ht="15" hidden="false" customHeight="false" outlineLevel="0" collapsed="false">
      <c r="A451" s="57"/>
      <c r="B451" s="30"/>
      <c r="C451" s="59"/>
      <c r="D451" s="58"/>
      <c r="E451" s="59"/>
      <c r="G451" s="0" t="str">
        <f aca="false">IF(AND(B451&lt;&gt;"",COUNTIF(B$6:B451,B451)=1),MAX(G$5:G450)+1,"")</f>
        <v/>
      </c>
      <c r="H451" s="0" t="str">
        <f aca="false">IF(A451="","",IF(ISNUMBER(A451),IF(A451&gt;=36526,A451,""),IFERROR(DATEVALUE(A451),"")))</f>
        <v/>
      </c>
      <c r="I451" s="0" t="str">
        <f aca="false">IF(H451="","",INT((H451-SAT1)/7)+1)</f>
        <v/>
      </c>
      <c r="J451" s="0" t="str">
        <f aca="false">IF(I451="","",IF(OR(I451&lt;1,I451&gt;NW),"",INDEX(WMON,I451)))</f>
        <v/>
      </c>
    </row>
    <row r="452" customFormat="false" ht="15" hidden="false" customHeight="false" outlineLevel="0" collapsed="false">
      <c r="A452" s="57"/>
      <c r="B452" s="30"/>
      <c r="C452" s="59"/>
      <c r="D452" s="58"/>
      <c r="E452" s="59"/>
      <c r="G452" s="0" t="str">
        <f aca="false">IF(AND(B452&lt;&gt;"",COUNTIF(B$6:B452,B452)=1),MAX(G$5:G451)+1,"")</f>
        <v/>
      </c>
      <c r="H452" s="0" t="str">
        <f aca="false">IF(A452="","",IF(ISNUMBER(A452),IF(A452&gt;=36526,A452,""),IFERROR(DATEVALUE(A452),"")))</f>
        <v/>
      </c>
      <c r="I452" s="0" t="str">
        <f aca="false">IF(H452="","",INT((H452-SAT1)/7)+1)</f>
        <v/>
      </c>
      <c r="J452" s="0" t="str">
        <f aca="false">IF(I452="","",IF(OR(I452&lt;1,I452&gt;NW),"",INDEX(WMON,I452)))</f>
        <v/>
      </c>
    </row>
    <row r="453" customFormat="false" ht="15" hidden="false" customHeight="false" outlineLevel="0" collapsed="false">
      <c r="A453" s="57"/>
      <c r="B453" s="30"/>
      <c r="C453" s="59"/>
      <c r="D453" s="58"/>
      <c r="E453" s="59"/>
      <c r="G453" s="0" t="str">
        <f aca="false">IF(AND(B453&lt;&gt;"",COUNTIF(B$6:B453,B453)=1),MAX(G$5:G452)+1,"")</f>
        <v/>
      </c>
      <c r="H453" s="0" t="str">
        <f aca="false">IF(A453="","",IF(ISNUMBER(A453),IF(A453&gt;=36526,A453,""),IFERROR(DATEVALUE(A453),"")))</f>
        <v/>
      </c>
      <c r="I453" s="0" t="str">
        <f aca="false">IF(H453="","",INT((H453-SAT1)/7)+1)</f>
        <v/>
      </c>
      <c r="J453" s="0" t="str">
        <f aca="false">IF(I453="","",IF(OR(I453&lt;1,I453&gt;NW),"",INDEX(WMON,I453)))</f>
        <v/>
      </c>
    </row>
    <row r="454" customFormat="false" ht="15" hidden="false" customHeight="false" outlineLevel="0" collapsed="false">
      <c r="A454" s="57"/>
      <c r="B454" s="30"/>
      <c r="C454" s="59"/>
      <c r="D454" s="58"/>
      <c r="E454" s="59"/>
      <c r="G454" s="0" t="str">
        <f aca="false">IF(AND(B454&lt;&gt;"",COUNTIF(B$6:B454,B454)=1),MAX(G$5:G453)+1,"")</f>
        <v/>
      </c>
      <c r="H454" s="0" t="str">
        <f aca="false">IF(A454="","",IF(ISNUMBER(A454),IF(A454&gt;=36526,A454,""),IFERROR(DATEVALUE(A454),"")))</f>
        <v/>
      </c>
      <c r="I454" s="0" t="str">
        <f aca="false">IF(H454="","",INT((H454-SAT1)/7)+1)</f>
        <v/>
      </c>
      <c r="J454" s="0" t="str">
        <f aca="false">IF(I454="","",IF(OR(I454&lt;1,I454&gt;NW),"",INDEX(WMON,I454)))</f>
        <v/>
      </c>
    </row>
    <row r="455" customFormat="false" ht="15" hidden="false" customHeight="false" outlineLevel="0" collapsed="false">
      <c r="A455" s="57"/>
      <c r="B455" s="30"/>
      <c r="C455" s="59"/>
      <c r="D455" s="58"/>
      <c r="E455" s="59"/>
      <c r="G455" s="0" t="str">
        <f aca="false">IF(AND(B455&lt;&gt;"",COUNTIF(B$6:B455,B455)=1),MAX(G$5:G454)+1,"")</f>
        <v/>
      </c>
      <c r="H455" s="0" t="str">
        <f aca="false">IF(A455="","",IF(ISNUMBER(A455),IF(A455&gt;=36526,A455,""),IFERROR(DATEVALUE(A455),"")))</f>
        <v/>
      </c>
      <c r="I455" s="0" t="str">
        <f aca="false">IF(H455="","",INT((H455-SAT1)/7)+1)</f>
        <v/>
      </c>
      <c r="J455" s="0" t="str">
        <f aca="false">IF(I455="","",IF(OR(I455&lt;1,I455&gt;NW),"",INDEX(WMON,I455)))</f>
        <v/>
      </c>
    </row>
    <row r="456" customFormat="false" ht="15" hidden="false" customHeight="false" outlineLevel="0" collapsed="false">
      <c r="A456" s="57"/>
      <c r="B456" s="30"/>
      <c r="C456" s="59"/>
      <c r="D456" s="58"/>
      <c r="E456" s="59"/>
      <c r="G456" s="0" t="str">
        <f aca="false">IF(AND(B456&lt;&gt;"",COUNTIF(B$6:B456,B456)=1),MAX(G$5:G455)+1,"")</f>
        <v/>
      </c>
      <c r="H456" s="0" t="str">
        <f aca="false">IF(A456="","",IF(ISNUMBER(A456),IF(A456&gt;=36526,A456,""),IFERROR(DATEVALUE(A456),"")))</f>
        <v/>
      </c>
      <c r="I456" s="0" t="str">
        <f aca="false">IF(H456="","",INT((H456-SAT1)/7)+1)</f>
        <v/>
      </c>
      <c r="J456" s="0" t="str">
        <f aca="false">IF(I456="","",IF(OR(I456&lt;1,I456&gt;NW),"",INDEX(WMON,I456)))</f>
        <v/>
      </c>
    </row>
    <row r="457" customFormat="false" ht="15" hidden="false" customHeight="false" outlineLevel="0" collapsed="false">
      <c r="A457" s="57"/>
      <c r="B457" s="30"/>
      <c r="C457" s="59"/>
      <c r="D457" s="58"/>
      <c r="E457" s="59"/>
      <c r="G457" s="0" t="str">
        <f aca="false">IF(AND(B457&lt;&gt;"",COUNTIF(B$6:B457,B457)=1),MAX(G$5:G456)+1,"")</f>
        <v/>
      </c>
      <c r="H457" s="0" t="str">
        <f aca="false">IF(A457="","",IF(ISNUMBER(A457),IF(A457&gt;=36526,A457,""),IFERROR(DATEVALUE(A457),"")))</f>
        <v/>
      </c>
      <c r="I457" s="0" t="str">
        <f aca="false">IF(H457="","",INT((H457-SAT1)/7)+1)</f>
        <v/>
      </c>
      <c r="J457" s="0" t="str">
        <f aca="false">IF(I457="","",IF(OR(I457&lt;1,I457&gt;NW),"",INDEX(WMON,I457)))</f>
        <v/>
      </c>
    </row>
    <row r="458" customFormat="false" ht="15" hidden="false" customHeight="false" outlineLevel="0" collapsed="false">
      <c r="A458" s="57"/>
      <c r="B458" s="30"/>
      <c r="C458" s="59"/>
      <c r="D458" s="58"/>
      <c r="E458" s="59"/>
      <c r="G458" s="0" t="str">
        <f aca="false">IF(AND(B458&lt;&gt;"",COUNTIF(B$6:B458,B458)=1),MAX(G$5:G457)+1,"")</f>
        <v/>
      </c>
      <c r="H458" s="0" t="str">
        <f aca="false">IF(A458="","",IF(ISNUMBER(A458),IF(A458&gt;=36526,A458,""),IFERROR(DATEVALUE(A458),"")))</f>
        <v/>
      </c>
      <c r="I458" s="0" t="str">
        <f aca="false">IF(H458="","",INT((H458-SAT1)/7)+1)</f>
        <v/>
      </c>
      <c r="J458" s="0" t="str">
        <f aca="false">IF(I458="","",IF(OR(I458&lt;1,I458&gt;NW),"",INDEX(WMON,I458)))</f>
        <v/>
      </c>
    </row>
    <row r="459" customFormat="false" ht="15" hidden="false" customHeight="false" outlineLevel="0" collapsed="false">
      <c r="A459" s="57"/>
      <c r="B459" s="30"/>
      <c r="C459" s="59"/>
      <c r="D459" s="58"/>
      <c r="E459" s="59"/>
      <c r="G459" s="0" t="str">
        <f aca="false">IF(AND(B459&lt;&gt;"",COUNTIF(B$6:B459,B459)=1),MAX(G$5:G458)+1,"")</f>
        <v/>
      </c>
      <c r="H459" s="0" t="str">
        <f aca="false">IF(A459="","",IF(ISNUMBER(A459),IF(A459&gt;=36526,A459,""),IFERROR(DATEVALUE(A459),"")))</f>
        <v/>
      </c>
      <c r="I459" s="0" t="str">
        <f aca="false">IF(H459="","",INT((H459-SAT1)/7)+1)</f>
        <v/>
      </c>
      <c r="J459" s="0" t="str">
        <f aca="false">IF(I459="","",IF(OR(I459&lt;1,I459&gt;NW),"",INDEX(WMON,I459)))</f>
        <v/>
      </c>
    </row>
    <row r="460" customFormat="false" ht="15" hidden="false" customHeight="false" outlineLevel="0" collapsed="false">
      <c r="A460" s="57"/>
      <c r="B460" s="30"/>
      <c r="C460" s="59"/>
      <c r="D460" s="58"/>
      <c r="E460" s="59"/>
      <c r="G460" s="0" t="str">
        <f aca="false">IF(AND(B460&lt;&gt;"",COUNTIF(B$6:B460,B460)=1),MAX(G$5:G459)+1,"")</f>
        <v/>
      </c>
      <c r="H460" s="0" t="str">
        <f aca="false">IF(A460="","",IF(ISNUMBER(A460),IF(A460&gt;=36526,A460,""),IFERROR(DATEVALUE(A460),"")))</f>
        <v/>
      </c>
      <c r="I460" s="0" t="str">
        <f aca="false">IF(H460="","",INT((H460-SAT1)/7)+1)</f>
        <v/>
      </c>
      <c r="J460" s="0" t="str">
        <f aca="false">IF(I460="","",IF(OR(I460&lt;1,I460&gt;NW),"",INDEX(WMON,I460)))</f>
        <v/>
      </c>
    </row>
    <row r="461" customFormat="false" ht="15" hidden="false" customHeight="false" outlineLevel="0" collapsed="false">
      <c r="A461" s="57"/>
      <c r="B461" s="30"/>
      <c r="C461" s="59"/>
      <c r="D461" s="58"/>
      <c r="E461" s="59"/>
      <c r="G461" s="0" t="str">
        <f aca="false">IF(AND(B461&lt;&gt;"",COUNTIF(B$6:B461,B461)=1),MAX(G$5:G460)+1,"")</f>
        <v/>
      </c>
      <c r="H461" s="0" t="str">
        <f aca="false">IF(A461="","",IF(ISNUMBER(A461),IF(A461&gt;=36526,A461,""),IFERROR(DATEVALUE(A461),"")))</f>
        <v/>
      </c>
      <c r="I461" s="0" t="str">
        <f aca="false">IF(H461="","",INT((H461-SAT1)/7)+1)</f>
        <v/>
      </c>
      <c r="J461" s="0" t="str">
        <f aca="false">IF(I461="","",IF(OR(I461&lt;1,I461&gt;NW),"",INDEX(WMON,I461)))</f>
        <v/>
      </c>
    </row>
    <row r="462" customFormat="false" ht="15" hidden="false" customHeight="false" outlineLevel="0" collapsed="false">
      <c r="A462" s="57"/>
      <c r="B462" s="30"/>
      <c r="C462" s="59"/>
      <c r="D462" s="58"/>
      <c r="E462" s="59"/>
      <c r="G462" s="0" t="str">
        <f aca="false">IF(AND(B462&lt;&gt;"",COUNTIF(B$6:B462,B462)=1),MAX(G$5:G461)+1,"")</f>
        <v/>
      </c>
      <c r="H462" s="0" t="str">
        <f aca="false">IF(A462="","",IF(ISNUMBER(A462),IF(A462&gt;=36526,A462,""),IFERROR(DATEVALUE(A462),"")))</f>
        <v/>
      </c>
      <c r="I462" s="0" t="str">
        <f aca="false">IF(H462="","",INT((H462-SAT1)/7)+1)</f>
        <v/>
      </c>
      <c r="J462" s="0" t="str">
        <f aca="false">IF(I462="","",IF(OR(I462&lt;1,I462&gt;NW),"",INDEX(WMON,I462)))</f>
        <v/>
      </c>
    </row>
    <row r="463" customFormat="false" ht="15" hidden="false" customHeight="false" outlineLevel="0" collapsed="false">
      <c r="A463" s="57"/>
      <c r="B463" s="30"/>
      <c r="C463" s="59"/>
      <c r="D463" s="58"/>
      <c r="E463" s="59"/>
      <c r="G463" s="0" t="str">
        <f aca="false">IF(AND(B463&lt;&gt;"",COUNTIF(B$6:B463,B463)=1),MAX(G$5:G462)+1,"")</f>
        <v/>
      </c>
      <c r="H463" s="0" t="str">
        <f aca="false">IF(A463="","",IF(ISNUMBER(A463),IF(A463&gt;=36526,A463,""),IFERROR(DATEVALUE(A463),"")))</f>
        <v/>
      </c>
      <c r="I463" s="0" t="str">
        <f aca="false">IF(H463="","",INT((H463-SAT1)/7)+1)</f>
        <v/>
      </c>
      <c r="J463" s="0" t="str">
        <f aca="false">IF(I463="","",IF(OR(I463&lt;1,I463&gt;NW),"",INDEX(WMON,I463)))</f>
        <v/>
      </c>
    </row>
    <row r="464" customFormat="false" ht="15" hidden="false" customHeight="false" outlineLevel="0" collapsed="false">
      <c r="A464" s="57"/>
      <c r="B464" s="30"/>
      <c r="C464" s="59"/>
      <c r="D464" s="58"/>
      <c r="E464" s="59"/>
      <c r="G464" s="0" t="str">
        <f aca="false">IF(AND(B464&lt;&gt;"",COUNTIF(B$6:B464,B464)=1),MAX(G$5:G463)+1,"")</f>
        <v/>
      </c>
      <c r="H464" s="0" t="str">
        <f aca="false">IF(A464="","",IF(ISNUMBER(A464),IF(A464&gt;=36526,A464,""),IFERROR(DATEVALUE(A464),"")))</f>
        <v/>
      </c>
      <c r="I464" s="0" t="str">
        <f aca="false">IF(H464="","",INT((H464-SAT1)/7)+1)</f>
        <v/>
      </c>
      <c r="J464" s="0" t="str">
        <f aca="false">IF(I464="","",IF(OR(I464&lt;1,I464&gt;NW),"",INDEX(WMON,I464)))</f>
        <v/>
      </c>
    </row>
    <row r="465" customFormat="false" ht="15" hidden="false" customHeight="false" outlineLevel="0" collapsed="false">
      <c r="A465" s="57"/>
      <c r="B465" s="30"/>
      <c r="C465" s="59"/>
      <c r="D465" s="58"/>
      <c r="E465" s="59"/>
      <c r="G465" s="0" t="str">
        <f aca="false">IF(AND(B465&lt;&gt;"",COUNTIF(B$6:B465,B465)=1),MAX(G$5:G464)+1,"")</f>
        <v/>
      </c>
      <c r="H465" s="0" t="str">
        <f aca="false">IF(A465="","",IF(ISNUMBER(A465),IF(A465&gt;=36526,A465,""),IFERROR(DATEVALUE(A465),"")))</f>
        <v/>
      </c>
      <c r="I465" s="0" t="str">
        <f aca="false">IF(H465="","",INT((H465-SAT1)/7)+1)</f>
        <v/>
      </c>
      <c r="J465" s="0" t="str">
        <f aca="false">IF(I465="","",IF(OR(I465&lt;1,I465&gt;NW),"",INDEX(WMON,I465)))</f>
        <v/>
      </c>
    </row>
    <row r="466" customFormat="false" ht="15" hidden="false" customHeight="false" outlineLevel="0" collapsed="false">
      <c r="A466" s="57"/>
      <c r="B466" s="30"/>
      <c r="C466" s="59"/>
      <c r="D466" s="58"/>
      <c r="E466" s="59"/>
      <c r="G466" s="0" t="str">
        <f aca="false">IF(AND(B466&lt;&gt;"",COUNTIF(B$6:B466,B466)=1),MAX(G$5:G465)+1,"")</f>
        <v/>
      </c>
      <c r="H466" s="0" t="str">
        <f aca="false">IF(A466="","",IF(ISNUMBER(A466),IF(A466&gt;=36526,A466,""),IFERROR(DATEVALUE(A466),"")))</f>
        <v/>
      </c>
      <c r="I466" s="0" t="str">
        <f aca="false">IF(H466="","",INT((H466-SAT1)/7)+1)</f>
        <v/>
      </c>
      <c r="J466" s="0" t="str">
        <f aca="false">IF(I466="","",IF(OR(I466&lt;1,I466&gt;NW),"",INDEX(WMON,I466)))</f>
        <v/>
      </c>
    </row>
    <row r="467" customFormat="false" ht="15" hidden="false" customHeight="false" outlineLevel="0" collapsed="false">
      <c r="A467" s="57"/>
      <c r="B467" s="30"/>
      <c r="C467" s="59"/>
      <c r="D467" s="58"/>
      <c r="E467" s="59"/>
      <c r="G467" s="0" t="str">
        <f aca="false">IF(AND(B467&lt;&gt;"",COUNTIF(B$6:B467,B467)=1),MAX(G$5:G466)+1,"")</f>
        <v/>
      </c>
      <c r="H467" s="0" t="str">
        <f aca="false">IF(A467="","",IF(ISNUMBER(A467),IF(A467&gt;=36526,A467,""),IFERROR(DATEVALUE(A467),"")))</f>
        <v/>
      </c>
      <c r="I467" s="0" t="str">
        <f aca="false">IF(H467="","",INT((H467-SAT1)/7)+1)</f>
        <v/>
      </c>
      <c r="J467" s="0" t="str">
        <f aca="false">IF(I467="","",IF(OR(I467&lt;1,I467&gt;NW),"",INDEX(WMON,I467)))</f>
        <v/>
      </c>
    </row>
    <row r="468" customFormat="false" ht="15" hidden="false" customHeight="false" outlineLevel="0" collapsed="false">
      <c r="A468" s="57"/>
      <c r="B468" s="30"/>
      <c r="C468" s="59"/>
      <c r="D468" s="58"/>
      <c r="E468" s="59"/>
      <c r="G468" s="0" t="str">
        <f aca="false">IF(AND(B468&lt;&gt;"",COUNTIF(B$6:B468,B468)=1),MAX(G$5:G467)+1,"")</f>
        <v/>
      </c>
      <c r="H468" s="0" t="str">
        <f aca="false">IF(A468="","",IF(ISNUMBER(A468),IF(A468&gt;=36526,A468,""),IFERROR(DATEVALUE(A468),"")))</f>
        <v/>
      </c>
      <c r="I468" s="0" t="str">
        <f aca="false">IF(H468="","",INT((H468-SAT1)/7)+1)</f>
        <v/>
      </c>
      <c r="J468" s="0" t="str">
        <f aca="false">IF(I468="","",IF(OR(I468&lt;1,I468&gt;NW),"",INDEX(WMON,I468)))</f>
        <v/>
      </c>
    </row>
    <row r="469" customFormat="false" ht="15" hidden="false" customHeight="false" outlineLevel="0" collapsed="false">
      <c r="A469" s="57"/>
      <c r="B469" s="30"/>
      <c r="C469" s="59"/>
      <c r="D469" s="58"/>
      <c r="E469" s="59"/>
      <c r="G469" s="0" t="str">
        <f aca="false">IF(AND(B469&lt;&gt;"",COUNTIF(B$6:B469,B469)=1),MAX(G$5:G468)+1,"")</f>
        <v/>
      </c>
      <c r="H469" s="0" t="str">
        <f aca="false">IF(A469="","",IF(ISNUMBER(A469),IF(A469&gt;=36526,A469,""),IFERROR(DATEVALUE(A469),"")))</f>
        <v/>
      </c>
      <c r="I469" s="0" t="str">
        <f aca="false">IF(H469="","",INT((H469-SAT1)/7)+1)</f>
        <v/>
      </c>
      <c r="J469" s="0" t="str">
        <f aca="false">IF(I469="","",IF(OR(I469&lt;1,I469&gt;NW),"",INDEX(WMON,I469)))</f>
        <v/>
      </c>
    </row>
    <row r="470" customFormat="false" ht="15" hidden="false" customHeight="false" outlineLevel="0" collapsed="false">
      <c r="A470" s="57"/>
      <c r="B470" s="30"/>
      <c r="C470" s="59"/>
      <c r="D470" s="58"/>
      <c r="E470" s="59"/>
      <c r="G470" s="0" t="str">
        <f aca="false">IF(AND(B470&lt;&gt;"",COUNTIF(B$6:B470,B470)=1),MAX(G$5:G469)+1,"")</f>
        <v/>
      </c>
      <c r="H470" s="0" t="str">
        <f aca="false">IF(A470="","",IF(ISNUMBER(A470),IF(A470&gt;=36526,A470,""),IFERROR(DATEVALUE(A470),"")))</f>
        <v/>
      </c>
      <c r="I470" s="0" t="str">
        <f aca="false">IF(H470="","",INT((H470-SAT1)/7)+1)</f>
        <v/>
      </c>
      <c r="J470" s="0" t="str">
        <f aca="false">IF(I470="","",IF(OR(I470&lt;1,I470&gt;NW),"",INDEX(WMON,I470)))</f>
        <v/>
      </c>
    </row>
    <row r="471" customFormat="false" ht="15" hidden="false" customHeight="false" outlineLevel="0" collapsed="false">
      <c r="A471" s="57"/>
      <c r="B471" s="30"/>
      <c r="C471" s="59"/>
      <c r="D471" s="58"/>
      <c r="E471" s="59"/>
      <c r="G471" s="0" t="str">
        <f aca="false">IF(AND(B471&lt;&gt;"",COUNTIF(B$6:B471,B471)=1),MAX(G$5:G470)+1,"")</f>
        <v/>
      </c>
      <c r="H471" s="0" t="str">
        <f aca="false">IF(A471="","",IF(ISNUMBER(A471),IF(A471&gt;=36526,A471,""),IFERROR(DATEVALUE(A471),"")))</f>
        <v/>
      </c>
      <c r="I471" s="0" t="str">
        <f aca="false">IF(H471="","",INT((H471-SAT1)/7)+1)</f>
        <v/>
      </c>
      <c r="J471" s="0" t="str">
        <f aca="false">IF(I471="","",IF(OR(I471&lt;1,I471&gt;NW),"",INDEX(WMON,I471)))</f>
        <v/>
      </c>
    </row>
    <row r="472" customFormat="false" ht="15" hidden="false" customHeight="false" outlineLevel="0" collapsed="false">
      <c r="A472" s="57"/>
      <c r="B472" s="30"/>
      <c r="C472" s="59"/>
      <c r="D472" s="58"/>
      <c r="E472" s="59"/>
      <c r="G472" s="0" t="str">
        <f aca="false">IF(AND(B472&lt;&gt;"",COUNTIF(B$6:B472,B472)=1),MAX(G$5:G471)+1,"")</f>
        <v/>
      </c>
      <c r="H472" s="0" t="str">
        <f aca="false">IF(A472="","",IF(ISNUMBER(A472),IF(A472&gt;=36526,A472,""),IFERROR(DATEVALUE(A472),"")))</f>
        <v/>
      </c>
      <c r="I472" s="0" t="str">
        <f aca="false">IF(H472="","",INT((H472-SAT1)/7)+1)</f>
        <v/>
      </c>
      <c r="J472" s="0" t="str">
        <f aca="false">IF(I472="","",IF(OR(I472&lt;1,I472&gt;NW),"",INDEX(WMON,I472)))</f>
        <v/>
      </c>
    </row>
    <row r="473" customFormat="false" ht="15" hidden="false" customHeight="false" outlineLevel="0" collapsed="false">
      <c r="A473" s="57"/>
      <c r="B473" s="30"/>
      <c r="C473" s="59"/>
      <c r="D473" s="58"/>
      <c r="E473" s="59"/>
      <c r="G473" s="0" t="str">
        <f aca="false">IF(AND(B473&lt;&gt;"",COUNTIF(B$6:B473,B473)=1),MAX(G$5:G472)+1,"")</f>
        <v/>
      </c>
      <c r="H473" s="0" t="str">
        <f aca="false">IF(A473="","",IF(ISNUMBER(A473),IF(A473&gt;=36526,A473,""),IFERROR(DATEVALUE(A473),"")))</f>
        <v/>
      </c>
      <c r="I473" s="0" t="str">
        <f aca="false">IF(H473="","",INT((H473-SAT1)/7)+1)</f>
        <v/>
      </c>
      <c r="J473" s="0" t="str">
        <f aca="false">IF(I473="","",IF(OR(I473&lt;1,I473&gt;NW),"",INDEX(WMON,I473)))</f>
        <v/>
      </c>
    </row>
    <row r="474" customFormat="false" ht="15" hidden="false" customHeight="false" outlineLevel="0" collapsed="false">
      <c r="A474" s="57"/>
      <c r="B474" s="30"/>
      <c r="C474" s="59"/>
      <c r="D474" s="58"/>
      <c r="E474" s="59"/>
      <c r="G474" s="0" t="str">
        <f aca="false">IF(AND(B474&lt;&gt;"",COUNTIF(B$6:B474,B474)=1),MAX(G$5:G473)+1,"")</f>
        <v/>
      </c>
      <c r="H474" s="0" t="str">
        <f aca="false">IF(A474="","",IF(ISNUMBER(A474),IF(A474&gt;=36526,A474,""),IFERROR(DATEVALUE(A474),"")))</f>
        <v/>
      </c>
      <c r="I474" s="0" t="str">
        <f aca="false">IF(H474="","",INT((H474-SAT1)/7)+1)</f>
        <v/>
      </c>
      <c r="J474" s="0" t="str">
        <f aca="false">IF(I474="","",IF(OR(I474&lt;1,I474&gt;NW),"",INDEX(WMON,I474)))</f>
        <v/>
      </c>
    </row>
    <row r="475" customFormat="false" ht="15" hidden="false" customHeight="false" outlineLevel="0" collapsed="false">
      <c r="A475" s="57"/>
      <c r="B475" s="30"/>
      <c r="C475" s="59"/>
      <c r="D475" s="58"/>
      <c r="E475" s="59"/>
      <c r="G475" s="0" t="str">
        <f aca="false">IF(AND(B475&lt;&gt;"",COUNTIF(B$6:B475,B475)=1),MAX(G$5:G474)+1,"")</f>
        <v/>
      </c>
      <c r="H475" s="0" t="str">
        <f aca="false">IF(A475="","",IF(ISNUMBER(A475),IF(A475&gt;=36526,A475,""),IFERROR(DATEVALUE(A475),"")))</f>
        <v/>
      </c>
      <c r="I475" s="0" t="str">
        <f aca="false">IF(H475="","",INT((H475-SAT1)/7)+1)</f>
        <v/>
      </c>
      <c r="J475" s="0" t="str">
        <f aca="false">IF(I475="","",IF(OR(I475&lt;1,I475&gt;NW),"",INDEX(WMON,I475)))</f>
        <v/>
      </c>
    </row>
    <row r="476" customFormat="false" ht="15" hidden="false" customHeight="false" outlineLevel="0" collapsed="false">
      <c r="A476" s="57"/>
      <c r="B476" s="30"/>
      <c r="C476" s="59"/>
      <c r="D476" s="58"/>
      <c r="E476" s="59"/>
      <c r="G476" s="0" t="str">
        <f aca="false">IF(AND(B476&lt;&gt;"",COUNTIF(B$6:B476,B476)=1),MAX(G$5:G475)+1,"")</f>
        <v/>
      </c>
      <c r="H476" s="0" t="str">
        <f aca="false">IF(A476="","",IF(ISNUMBER(A476),IF(A476&gt;=36526,A476,""),IFERROR(DATEVALUE(A476),"")))</f>
        <v/>
      </c>
      <c r="I476" s="0" t="str">
        <f aca="false">IF(H476="","",INT((H476-SAT1)/7)+1)</f>
        <v/>
      </c>
      <c r="J476" s="0" t="str">
        <f aca="false">IF(I476="","",IF(OR(I476&lt;1,I476&gt;NW),"",INDEX(WMON,I476)))</f>
        <v/>
      </c>
    </row>
    <row r="477" customFormat="false" ht="15" hidden="false" customHeight="false" outlineLevel="0" collapsed="false">
      <c r="A477" s="57"/>
      <c r="B477" s="30"/>
      <c r="C477" s="59"/>
      <c r="D477" s="58"/>
      <c r="E477" s="59"/>
      <c r="G477" s="0" t="str">
        <f aca="false">IF(AND(B477&lt;&gt;"",COUNTIF(B$6:B477,B477)=1),MAX(G$5:G476)+1,"")</f>
        <v/>
      </c>
      <c r="H477" s="0" t="str">
        <f aca="false">IF(A477="","",IF(ISNUMBER(A477),IF(A477&gt;=36526,A477,""),IFERROR(DATEVALUE(A477),"")))</f>
        <v/>
      </c>
      <c r="I477" s="0" t="str">
        <f aca="false">IF(H477="","",INT((H477-SAT1)/7)+1)</f>
        <v/>
      </c>
      <c r="J477" s="0" t="str">
        <f aca="false">IF(I477="","",IF(OR(I477&lt;1,I477&gt;NW),"",INDEX(WMON,I477)))</f>
        <v/>
      </c>
    </row>
    <row r="478" customFormat="false" ht="15" hidden="false" customHeight="false" outlineLevel="0" collapsed="false">
      <c r="A478" s="57"/>
      <c r="B478" s="30"/>
      <c r="C478" s="59"/>
      <c r="D478" s="58"/>
      <c r="E478" s="59"/>
      <c r="G478" s="0" t="str">
        <f aca="false">IF(AND(B478&lt;&gt;"",COUNTIF(B$6:B478,B478)=1),MAX(G$5:G477)+1,"")</f>
        <v/>
      </c>
      <c r="H478" s="0" t="str">
        <f aca="false">IF(A478="","",IF(ISNUMBER(A478),IF(A478&gt;=36526,A478,""),IFERROR(DATEVALUE(A478),"")))</f>
        <v/>
      </c>
      <c r="I478" s="0" t="str">
        <f aca="false">IF(H478="","",INT((H478-SAT1)/7)+1)</f>
        <v/>
      </c>
      <c r="J478" s="0" t="str">
        <f aca="false">IF(I478="","",IF(OR(I478&lt;1,I478&gt;NW),"",INDEX(WMON,I478)))</f>
        <v/>
      </c>
    </row>
    <row r="479" customFormat="false" ht="15" hidden="false" customHeight="false" outlineLevel="0" collapsed="false">
      <c r="A479" s="57"/>
      <c r="B479" s="30"/>
      <c r="C479" s="59"/>
      <c r="D479" s="58"/>
      <c r="E479" s="59"/>
      <c r="G479" s="0" t="str">
        <f aca="false">IF(AND(B479&lt;&gt;"",COUNTIF(B$6:B479,B479)=1),MAX(G$5:G478)+1,"")</f>
        <v/>
      </c>
      <c r="H479" s="0" t="str">
        <f aca="false">IF(A479="","",IF(ISNUMBER(A479),IF(A479&gt;=36526,A479,""),IFERROR(DATEVALUE(A479),"")))</f>
        <v/>
      </c>
      <c r="I479" s="0" t="str">
        <f aca="false">IF(H479="","",INT((H479-SAT1)/7)+1)</f>
        <v/>
      </c>
      <c r="J479" s="0" t="str">
        <f aca="false">IF(I479="","",IF(OR(I479&lt;1,I479&gt;NW),"",INDEX(WMON,I479)))</f>
        <v/>
      </c>
    </row>
    <row r="480" customFormat="false" ht="15" hidden="false" customHeight="false" outlineLevel="0" collapsed="false">
      <c r="A480" s="57"/>
      <c r="B480" s="30"/>
      <c r="C480" s="59"/>
      <c r="D480" s="58"/>
      <c r="E480" s="59"/>
      <c r="G480" s="0" t="str">
        <f aca="false">IF(AND(B480&lt;&gt;"",COUNTIF(B$6:B480,B480)=1),MAX(G$5:G479)+1,"")</f>
        <v/>
      </c>
      <c r="H480" s="0" t="str">
        <f aca="false">IF(A480="","",IF(ISNUMBER(A480),IF(A480&gt;=36526,A480,""),IFERROR(DATEVALUE(A480),"")))</f>
        <v/>
      </c>
      <c r="I480" s="0" t="str">
        <f aca="false">IF(H480="","",INT((H480-SAT1)/7)+1)</f>
        <v/>
      </c>
      <c r="J480" s="0" t="str">
        <f aca="false">IF(I480="","",IF(OR(I480&lt;1,I480&gt;NW),"",INDEX(WMON,I480)))</f>
        <v/>
      </c>
    </row>
    <row r="481" customFormat="false" ht="15" hidden="false" customHeight="false" outlineLevel="0" collapsed="false">
      <c r="A481" s="57"/>
      <c r="B481" s="30"/>
      <c r="C481" s="59"/>
      <c r="D481" s="58"/>
      <c r="E481" s="59"/>
      <c r="G481" s="0" t="str">
        <f aca="false">IF(AND(B481&lt;&gt;"",COUNTIF(B$6:B481,B481)=1),MAX(G$5:G480)+1,"")</f>
        <v/>
      </c>
      <c r="H481" s="0" t="str">
        <f aca="false">IF(A481="","",IF(ISNUMBER(A481),IF(A481&gt;=36526,A481,""),IFERROR(DATEVALUE(A481),"")))</f>
        <v/>
      </c>
      <c r="I481" s="0" t="str">
        <f aca="false">IF(H481="","",INT((H481-SAT1)/7)+1)</f>
        <v/>
      </c>
      <c r="J481" s="0" t="str">
        <f aca="false">IF(I481="","",IF(OR(I481&lt;1,I481&gt;NW),"",INDEX(WMON,I481)))</f>
        <v/>
      </c>
    </row>
    <row r="482" customFormat="false" ht="15" hidden="false" customHeight="false" outlineLevel="0" collapsed="false">
      <c r="A482" s="57"/>
      <c r="B482" s="30"/>
      <c r="C482" s="59"/>
      <c r="D482" s="58"/>
      <c r="E482" s="59"/>
      <c r="G482" s="0" t="str">
        <f aca="false">IF(AND(B482&lt;&gt;"",COUNTIF(B$6:B482,B482)=1),MAX(G$5:G481)+1,"")</f>
        <v/>
      </c>
      <c r="H482" s="0" t="str">
        <f aca="false">IF(A482="","",IF(ISNUMBER(A482),IF(A482&gt;=36526,A482,""),IFERROR(DATEVALUE(A482),"")))</f>
        <v/>
      </c>
      <c r="I482" s="0" t="str">
        <f aca="false">IF(H482="","",INT((H482-SAT1)/7)+1)</f>
        <v/>
      </c>
      <c r="J482" s="0" t="str">
        <f aca="false">IF(I482="","",IF(OR(I482&lt;1,I482&gt;NW),"",INDEX(WMON,I482)))</f>
        <v/>
      </c>
    </row>
    <row r="483" customFormat="false" ht="15" hidden="false" customHeight="false" outlineLevel="0" collapsed="false">
      <c r="A483" s="57"/>
      <c r="B483" s="30"/>
      <c r="C483" s="59"/>
      <c r="D483" s="58"/>
      <c r="E483" s="59"/>
      <c r="G483" s="0" t="str">
        <f aca="false">IF(AND(B483&lt;&gt;"",COUNTIF(B$6:B483,B483)=1),MAX(G$5:G482)+1,"")</f>
        <v/>
      </c>
      <c r="H483" s="0" t="str">
        <f aca="false">IF(A483="","",IF(ISNUMBER(A483),IF(A483&gt;=36526,A483,""),IFERROR(DATEVALUE(A483),"")))</f>
        <v/>
      </c>
      <c r="I483" s="0" t="str">
        <f aca="false">IF(H483="","",INT((H483-SAT1)/7)+1)</f>
        <v/>
      </c>
      <c r="J483" s="0" t="str">
        <f aca="false">IF(I483="","",IF(OR(I483&lt;1,I483&gt;NW),"",INDEX(WMON,I483)))</f>
        <v/>
      </c>
    </row>
    <row r="484" customFormat="false" ht="15" hidden="false" customHeight="false" outlineLevel="0" collapsed="false">
      <c r="A484" s="57"/>
      <c r="B484" s="30"/>
      <c r="C484" s="59"/>
      <c r="D484" s="58"/>
      <c r="E484" s="59"/>
      <c r="G484" s="0" t="str">
        <f aca="false">IF(AND(B484&lt;&gt;"",COUNTIF(B$6:B484,B484)=1),MAX(G$5:G483)+1,"")</f>
        <v/>
      </c>
      <c r="H484" s="0" t="str">
        <f aca="false">IF(A484="","",IF(ISNUMBER(A484),IF(A484&gt;=36526,A484,""),IFERROR(DATEVALUE(A484),"")))</f>
        <v/>
      </c>
      <c r="I484" s="0" t="str">
        <f aca="false">IF(H484="","",INT((H484-SAT1)/7)+1)</f>
        <v/>
      </c>
      <c r="J484" s="0" t="str">
        <f aca="false">IF(I484="","",IF(OR(I484&lt;1,I484&gt;NW),"",INDEX(WMON,I484)))</f>
        <v/>
      </c>
    </row>
    <row r="485" customFormat="false" ht="15" hidden="false" customHeight="false" outlineLevel="0" collapsed="false">
      <c r="A485" s="57"/>
      <c r="B485" s="30"/>
      <c r="C485" s="59"/>
      <c r="D485" s="58"/>
      <c r="E485" s="59"/>
      <c r="G485" s="0" t="str">
        <f aca="false">IF(AND(B485&lt;&gt;"",COUNTIF(B$6:B485,B485)=1),MAX(G$5:G484)+1,"")</f>
        <v/>
      </c>
      <c r="H485" s="0" t="str">
        <f aca="false">IF(A485="","",IF(ISNUMBER(A485),IF(A485&gt;=36526,A485,""),IFERROR(DATEVALUE(A485),"")))</f>
        <v/>
      </c>
      <c r="I485" s="0" t="str">
        <f aca="false">IF(H485="","",INT((H485-SAT1)/7)+1)</f>
        <v/>
      </c>
      <c r="J485" s="0" t="str">
        <f aca="false">IF(I485="","",IF(OR(I485&lt;1,I485&gt;NW),"",INDEX(WMON,I485)))</f>
        <v/>
      </c>
    </row>
    <row r="486" customFormat="false" ht="15" hidden="false" customHeight="false" outlineLevel="0" collapsed="false">
      <c r="A486" s="57"/>
      <c r="B486" s="30"/>
      <c r="C486" s="59"/>
      <c r="D486" s="58"/>
      <c r="E486" s="59"/>
      <c r="G486" s="0" t="str">
        <f aca="false">IF(AND(B486&lt;&gt;"",COUNTIF(B$6:B486,B486)=1),MAX(G$5:G485)+1,"")</f>
        <v/>
      </c>
      <c r="H486" s="0" t="str">
        <f aca="false">IF(A486="","",IF(ISNUMBER(A486),IF(A486&gt;=36526,A486,""),IFERROR(DATEVALUE(A486),"")))</f>
        <v/>
      </c>
      <c r="I486" s="0" t="str">
        <f aca="false">IF(H486="","",INT((H486-SAT1)/7)+1)</f>
        <v/>
      </c>
      <c r="J486" s="0" t="str">
        <f aca="false">IF(I486="","",IF(OR(I486&lt;1,I486&gt;NW),"",INDEX(WMON,I486)))</f>
        <v/>
      </c>
    </row>
    <row r="487" customFormat="false" ht="15" hidden="false" customHeight="false" outlineLevel="0" collapsed="false">
      <c r="A487" s="57"/>
      <c r="B487" s="30"/>
      <c r="C487" s="59"/>
      <c r="D487" s="58"/>
      <c r="E487" s="59"/>
      <c r="G487" s="0" t="str">
        <f aca="false">IF(AND(B487&lt;&gt;"",COUNTIF(B$6:B487,B487)=1),MAX(G$5:G486)+1,"")</f>
        <v/>
      </c>
      <c r="H487" s="0" t="str">
        <f aca="false">IF(A487="","",IF(ISNUMBER(A487),IF(A487&gt;=36526,A487,""),IFERROR(DATEVALUE(A487),"")))</f>
        <v/>
      </c>
      <c r="I487" s="0" t="str">
        <f aca="false">IF(H487="","",INT((H487-SAT1)/7)+1)</f>
        <v/>
      </c>
      <c r="J487" s="0" t="str">
        <f aca="false">IF(I487="","",IF(OR(I487&lt;1,I487&gt;NW),"",INDEX(WMON,I487)))</f>
        <v/>
      </c>
    </row>
    <row r="488" customFormat="false" ht="15" hidden="false" customHeight="false" outlineLevel="0" collapsed="false">
      <c r="A488" s="57"/>
      <c r="B488" s="30"/>
      <c r="C488" s="59"/>
      <c r="D488" s="58"/>
      <c r="E488" s="59"/>
      <c r="G488" s="0" t="str">
        <f aca="false">IF(AND(B488&lt;&gt;"",COUNTIF(B$6:B488,B488)=1),MAX(G$5:G487)+1,"")</f>
        <v/>
      </c>
      <c r="H488" s="0" t="str">
        <f aca="false">IF(A488="","",IF(ISNUMBER(A488),IF(A488&gt;=36526,A488,""),IFERROR(DATEVALUE(A488),"")))</f>
        <v/>
      </c>
      <c r="I488" s="0" t="str">
        <f aca="false">IF(H488="","",INT((H488-SAT1)/7)+1)</f>
        <v/>
      </c>
      <c r="J488" s="0" t="str">
        <f aca="false">IF(I488="","",IF(OR(I488&lt;1,I488&gt;NW),"",INDEX(WMON,I488)))</f>
        <v/>
      </c>
    </row>
    <row r="489" customFormat="false" ht="15" hidden="false" customHeight="false" outlineLevel="0" collapsed="false">
      <c r="A489" s="57"/>
      <c r="B489" s="30"/>
      <c r="C489" s="59"/>
      <c r="D489" s="58"/>
      <c r="E489" s="59"/>
      <c r="G489" s="0" t="str">
        <f aca="false">IF(AND(B489&lt;&gt;"",COUNTIF(B$6:B489,B489)=1),MAX(G$5:G488)+1,"")</f>
        <v/>
      </c>
      <c r="H489" s="0" t="str">
        <f aca="false">IF(A489="","",IF(ISNUMBER(A489),IF(A489&gt;=36526,A489,""),IFERROR(DATEVALUE(A489),"")))</f>
        <v/>
      </c>
      <c r="I489" s="0" t="str">
        <f aca="false">IF(H489="","",INT((H489-SAT1)/7)+1)</f>
        <v/>
      </c>
      <c r="J489" s="0" t="str">
        <f aca="false">IF(I489="","",IF(OR(I489&lt;1,I489&gt;NW),"",INDEX(WMON,I489)))</f>
        <v/>
      </c>
    </row>
    <row r="490" customFormat="false" ht="15" hidden="false" customHeight="false" outlineLevel="0" collapsed="false">
      <c r="A490" s="57"/>
      <c r="B490" s="30"/>
      <c r="C490" s="59"/>
      <c r="D490" s="58"/>
      <c r="E490" s="59"/>
      <c r="G490" s="0" t="str">
        <f aca="false">IF(AND(B490&lt;&gt;"",COUNTIF(B$6:B490,B490)=1),MAX(G$5:G489)+1,"")</f>
        <v/>
      </c>
      <c r="H490" s="0" t="str">
        <f aca="false">IF(A490="","",IF(ISNUMBER(A490),IF(A490&gt;=36526,A490,""),IFERROR(DATEVALUE(A490),"")))</f>
        <v/>
      </c>
      <c r="I490" s="0" t="str">
        <f aca="false">IF(H490="","",INT((H490-SAT1)/7)+1)</f>
        <v/>
      </c>
      <c r="J490" s="0" t="str">
        <f aca="false">IF(I490="","",IF(OR(I490&lt;1,I490&gt;NW),"",INDEX(WMON,I490)))</f>
        <v/>
      </c>
    </row>
    <row r="491" customFormat="false" ht="15" hidden="false" customHeight="false" outlineLevel="0" collapsed="false">
      <c r="A491" s="57"/>
      <c r="B491" s="30"/>
      <c r="C491" s="59"/>
      <c r="D491" s="58"/>
      <c r="E491" s="59"/>
      <c r="G491" s="0" t="str">
        <f aca="false">IF(AND(B491&lt;&gt;"",COUNTIF(B$6:B491,B491)=1),MAX(G$5:G490)+1,"")</f>
        <v/>
      </c>
      <c r="H491" s="0" t="str">
        <f aca="false">IF(A491="","",IF(ISNUMBER(A491),IF(A491&gt;=36526,A491,""),IFERROR(DATEVALUE(A491),"")))</f>
        <v/>
      </c>
      <c r="I491" s="0" t="str">
        <f aca="false">IF(H491="","",INT((H491-SAT1)/7)+1)</f>
        <v/>
      </c>
      <c r="J491" s="0" t="str">
        <f aca="false">IF(I491="","",IF(OR(I491&lt;1,I491&gt;NW),"",INDEX(WMON,I491)))</f>
        <v/>
      </c>
    </row>
    <row r="492" customFormat="false" ht="15" hidden="false" customHeight="false" outlineLevel="0" collapsed="false">
      <c r="A492" s="57"/>
      <c r="B492" s="30"/>
      <c r="C492" s="59"/>
      <c r="D492" s="58"/>
      <c r="E492" s="59"/>
      <c r="G492" s="0" t="str">
        <f aca="false">IF(AND(B492&lt;&gt;"",COUNTIF(B$6:B492,B492)=1),MAX(G$5:G491)+1,"")</f>
        <v/>
      </c>
      <c r="H492" s="0" t="str">
        <f aca="false">IF(A492="","",IF(ISNUMBER(A492),IF(A492&gt;=36526,A492,""),IFERROR(DATEVALUE(A492),"")))</f>
        <v/>
      </c>
      <c r="I492" s="0" t="str">
        <f aca="false">IF(H492="","",INT((H492-SAT1)/7)+1)</f>
        <v/>
      </c>
      <c r="J492" s="0" t="str">
        <f aca="false">IF(I492="","",IF(OR(I492&lt;1,I492&gt;NW),"",INDEX(WMON,I492)))</f>
        <v/>
      </c>
    </row>
    <row r="493" customFormat="false" ht="15" hidden="false" customHeight="false" outlineLevel="0" collapsed="false">
      <c r="A493" s="57"/>
      <c r="B493" s="30"/>
      <c r="C493" s="59"/>
      <c r="D493" s="58"/>
      <c r="E493" s="59"/>
      <c r="G493" s="0" t="str">
        <f aca="false">IF(AND(B493&lt;&gt;"",COUNTIF(B$6:B493,B493)=1),MAX(G$5:G492)+1,"")</f>
        <v/>
      </c>
      <c r="H493" s="0" t="str">
        <f aca="false">IF(A493="","",IF(ISNUMBER(A493),IF(A493&gt;=36526,A493,""),IFERROR(DATEVALUE(A493),"")))</f>
        <v/>
      </c>
      <c r="I493" s="0" t="str">
        <f aca="false">IF(H493="","",INT((H493-SAT1)/7)+1)</f>
        <v/>
      </c>
      <c r="J493" s="0" t="str">
        <f aca="false">IF(I493="","",IF(OR(I493&lt;1,I493&gt;NW),"",INDEX(WMON,I493)))</f>
        <v/>
      </c>
    </row>
    <row r="494" customFormat="false" ht="15" hidden="false" customHeight="false" outlineLevel="0" collapsed="false">
      <c r="A494" s="57"/>
      <c r="B494" s="30"/>
      <c r="C494" s="59"/>
      <c r="D494" s="58"/>
      <c r="E494" s="59"/>
      <c r="G494" s="0" t="str">
        <f aca="false">IF(AND(B494&lt;&gt;"",COUNTIF(B$6:B494,B494)=1),MAX(G$5:G493)+1,"")</f>
        <v/>
      </c>
      <c r="H494" s="0" t="str">
        <f aca="false">IF(A494="","",IF(ISNUMBER(A494),IF(A494&gt;=36526,A494,""),IFERROR(DATEVALUE(A494),"")))</f>
        <v/>
      </c>
      <c r="I494" s="0" t="str">
        <f aca="false">IF(H494="","",INT((H494-SAT1)/7)+1)</f>
        <v/>
      </c>
      <c r="J494" s="0" t="str">
        <f aca="false">IF(I494="","",IF(OR(I494&lt;1,I494&gt;NW),"",INDEX(WMON,I494)))</f>
        <v/>
      </c>
    </row>
    <row r="495" customFormat="false" ht="15" hidden="false" customHeight="false" outlineLevel="0" collapsed="false">
      <c r="A495" s="57"/>
      <c r="B495" s="30"/>
      <c r="C495" s="59"/>
      <c r="D495" s="58"/>
      <c r="E495" s="59"/>
      <c r="G495" s="0" t="str">
        <f aca="false">IF(AND(B495&lt;&gt;"",COUNTIF(B$6:B495,B495)=1),MAX(G$5:G494)+1,"")</f>
        <v/>
      </c>
      <c r="H495" s="0" t="str">
        <f aca="false">IF(A495="","",IF(ISNUMBER(A495),IF(A495&gt;=36526,A495,""),IFERROR(DATEVALUE(A495),"")))</f>
        <v/>
      </c>
      <c r="I495" s="0" t="str">
        <f aca="false">IF(H495="","",INT((H495-SAT1)/7)+1)</f>
        <v/>
      </c>
      <c r="J495" s="0" t="str">
        <f aca="false">IF(I495="","",IF(OR(I495&lt;1,I495&gt;NW),"",INDEX(WMON,I495)))</f>
        <v/>
      </c>
    </row>
    <row r="496" customFormat="false" ht="15" hidden="false" customHeight="false" outlineLevel="0" collapsed="false">
      <c r="A496" s="57"/>
      <c r="B496" s="30"/>
      <c r="C496" s="59"/>
      <c r="D496" s="58"/>
      <c r="E496" s="59"/>
      <c r="G496" s="0" t="str">
        <f aca="false">IF(AND(B496&lt;&gt;"",COUNTIF(B$6:B496,B496)=1),MAX(G$5:G495)+1,"")</f>
        <v/>
      </c>
      <c r="H496" s="0" t="str">
        <f aca="false">IF(A496="","",IF(ISNUMBER(A496),IF(A496&gt;=36526,A496,""),IFERROR(DATEVALUE(A496),"")))</f>
        <v/>
      </c>
      <c r="I496" s="0" t="str">
        <f aca="false">IF(H496="","",INT((H496-SAT1)/7)+1)</f>
        <v/>
      </c>
      <c r="J496" s="0" t="str">
        <f aca="false">IF(I496="","",IF(OR(I496&lt;1,I496&gt;NW),"",INDEX(WMON,I496)))</f>
        <v/>
      </c>
    </row>
    <row r="497" customFormat="false" ht="15" hidden="false" customHeight="false" outlineLevel="0" collapsed="false">
      <c r="A497" s="57"/>
      <c r="B497" s="30"/>
      <c r="C497" s="59"/>
      <c r="D497" s="58"/>
      <c r="E497" s="59"/>
      <c r="G497" s="0" t="str">
        <f aca="false">IF(AND(B497&lt;&gt;"",COUNTIF(B$6:B497,B497)=1),MAX(G$5:G496)+1,"")</f>
        <v/>
      </c>
      <c r="H497" s="0" t="str">
        <f aca="false">IF(A497="","",IF(ISNUMBER(A497),IF(A497&gt;=36526,A497,""),IFERROR(DATEVALUE(A497),"")))</f>
        <v/>
      </c>
      <c r="I497" s="0" t="str">
        <f aca="false">IF(H497="","",INT((H497-SAT1)/7)+1)</f>
        <v/>
      </c>
      <c r="J497" s="0" t="str">
        <f aca="false">IF(I497="","",IF(OR(I497&lt;1,I497&gt;NW),"",INDEX(WMON,I497)))</f>
        <v/>
      </c>
    </row>
    <row r="498" customFormat="false" ht="15" hidden="false" customHeight="false" outlineLevel="0" collapsed="false">
      <c r="A498" s="57"/>
      <c r="B498" s="30"/>
      <c r="C498" s="59"/>
      <c r="D498" s="58"/>
      <c r="E498" s="59"/>
      <c r="G498" s="0" t="str">
        <f aca="false">IF(AND(B498&lt;&gt;"",COUNTIF(B$6:B498,B498)=1),MAX(G$5:G497)+1,"")</f>
        <v/>
      </c>
      <c r="H498" s="0" t="str">
        <f aca="false">IF(A498="","",IF(ISNUMBER(A498),IF(A498&gt;=36526,A498,""),IFERROR(DATEVALUE(A498),"")))</f>
        <v/>
      </c>
      <c r="I498" s="0" t="str">
        <f aca="false">IF(H498="","",INT((H498-SAT1)/7)+1)</f>
        <v/>
      </c>
      <c r="J498" s="0" t="str">
        <f aca="false">IF(I498="","",IF(OR(I498&lt;1,I498&gt;NW),"",INDEX(WMON,I498)))</f>
        <v/>
      </c>
    </row>
    <row r="499" customFormat="false" ht="15" hidden="false" customHeight="false" outlineLevel="0" collapsed="false">
      <c r="A499" s="57"/>
      <c r="B499" s="30"/>
      <c r="C499" s="59"/>
      <c r="D499" s="58"/>
      <c r="E499" s="59"/>
      <c r="G499" s="0" t="str">
        <f aca="false">IF(AND(B499&lt;&gt;"",COUNTIF(B$6:B499,B499)=1),MAX(G$5:G498)+1,"")</f>
        <v/>
      </c>
      <c r="H499" s="0" t="str">
        <f aca="false">IF(A499="","",IF(ISNUMBER(A499),IF(A499&gt;=36526,A499,""),IFERROR(DATEVALUE(A499),"")))</f>
        <v/>
      </c>
      <c r="I499" s="0" t="str">
        <f aca="false">IF(H499="","",INT((H499-SAT1)/7)+1)</f>
        <v/>
      </c>
      <c r="J499" s="0" t="str">
        <f aca="false">IF(I499="","",IF(OR(I499&lt;1,I499&gt;NW),"",INDEX(WMON,I499)))</f>
        <v/>
      </c>
    </row>
    <row r="500" customFormat="false" ht="15" hidden="false" customHeight="false" outlineLevel="0" collapsed="false">
      <c r="A500" s="57"/>
      <c r="B500" s="30"/>
      <c r="C500" s="59"/>
      <c r="D500" s="58"/>
      <c r="E500" s="59"/>
      <c r="G500" s="0" t="str">
        <f aca="false">IF(AND(B500&lt;&gt;"",COUNTIF(B$6:B500,B500)=1),MAX(G$5:G499)+1,"")</f>
        <v/>
      </c>
      <c r="H500" s="0" t="str">
        <f aca="false">IF(A500="","",IF(ISNUMBER(A500),IF(A500&gt;=36526,A500,""),IFERROR(DATEVALUE(A500),"")))</f>
        <v/>
      </c>
      <c r="I500" s="0" t="str">
        <f aca="false">IF(H500="","",INT((H500-SAT1)/7)+1)</f>
        <v/>
      </c>
      <c r="J500" s="0" t="str">
        <f aca="false">IF(I500="","",IF(OR(I500&lt;1,I500&gt;NW),"",INDEX(WMON,I500)))</f>
        <v/>
      </c>
    </row>
    <row r="501" customFormat="false" ht="15" hidden="false" customHeight="false" outlineLevel="0" collapsed="false">
      <c r="A501" s="57"/>
      <c r="B501" s="30"/>
      <c r="C501" s="59"/>
      <c r="D501" s="58"/>
      <c r="E501" s="59"/>
      <c r="G501" s="0" t="str">
        <f aca="false">IF(AND(B501&lt;&gt;"",COUNTIF(B$6:B501,B501)=1),MAX(G$5:G500)+1,"")</f>
        <v/>
      </c>
      <c r="H501" s="0" t="str">
        <f aca="false">IF(A501="","",IF(ISNUMBER(A501),IF(A501&gt;=36526,A501,""),IFERROR(DATEVALUE(A501),"")))</f>
        <v/>
      </c>
      <c r="I501" s="0" t="str">
        <f aca="false">IF(H501="","",INT((H501-SAT1)/7)+1)</f>
        <v/>
      </c>
      <c r="J501" s="0" t="str">
        <f aca="false">IF(I501="","",IF(OR(I501&lt;1,I501&gt;NW),"",INDEX(WMON,I501)))</f>
        <v/>
      </c>
    </row>
    <row r="502" customFormat="false" ht="15" hidden="false" customHeight="false" outlineLevel="0" collapsed="false">
      <c r="A502" s="57"/>
      <c r="B502" s="30"/>
      <c r="C502" s="59"/>
      <c r="D502" s="58"/>
      <c r="E502" s="59"/>
      <c r="G502" s="0" t="str">
        <f aca="false">IF(AND(B502&lt;&gt;"",COUNTIF(B$6:B502,B502)=1),MAX(G$5:G501)+1,"")</f>
        <v/>
      </c>
      <c r="H502" s="0" t="str">
        <f aca="false">IF(A502="","",IF(ISNUMBER(A502),IF(A502&gt;=36526,A502,""),IFERROR(DATEVALUE(A502),"")))</f>
        <v/>
      </c>
      <c r="I502" s="0" t="str">
        <f aca="false">IF(H502="","",INT((H502-SAT1)/7)+1)</f>
        <v/>
      </c>
      <c r="J502" s="0" t="str">
        <f aca="false">IF(I502="","",IF(OR(I502&lt;1,I502&gt;NW),"",INDEX(WMON,I502)))</f>
        <v/>
      </c>
    </row>
    <row r="503" customFormat="false" ht="15" hidden="false" customHeight="false" outlineLevel="0" collapsed="false">
      <c r="A503" s="57"/>
      <c r="B503" s="30"/>
      <c r="C503" s="59"/>
      <c r="D503" s="58"/>
      <c r="E503" s="59"/>
      <c r="G503" s="0" t="str">
        <f aca="false">IF(AND(B503&lt;&gt;"",COUNTIF(B$6:B503,B503)=1),MAX(G$5:G502)+1,"")</f>
        <v/>
      </c>
      <c r="H503" s="0" t="str">
        <f aca="false">IF(A503="","",IF(ISNUMBER(A503),IF(A503&gt;=36526,A503,""),IFERROR(DATEVALUE(A503),"")))</f>
        <v/>
      </c>
      <c r="I503" s="0" t="str">
        <f aca="false">IF(H503="","",INT((H503-SAT1)/7)+1)</f>
        <v/>
      </c>
      <c r="J503" s="0" t="str">
        <f aca="false">IF(I503="","",IF(OR(I503&lt;1,I503&gt;NW),"",INDEX(WMON,I503)))</f>
        <v/>
      </c>
    </row>
    <row r="504" customFormat="false" ht="15" hidden="false" customHeight="false" outlineLevel="0" collapsed="false">
      <c r="A504" s="57"/>
      <c r="B504" s="30"/>
      <c r="C504" s="59"/>
      <c r="D504" s="58"/>
      <c r="E504" s="59"/>
      <c r="G504" s="0" t="str">
        <f aca="false">IF(AND(B504&lt;&gt;"",COUNTIF(B$6:B504,B504)=1),MAX(G$5:G503)+1,"")</f>
        <v/>
      </c>
      <c r="H504" s="0" t="str">
        <f aca="false">IF(A504="","",IF(ISNUMBER(A504),IF(A504&gt;=36526,A504,""),IFERROR(DATEVALUE(A504),"")))</f>
        <v/>
      </c>
      <c r="I504" s="0" t="str">
        <f aca="false">IF(H504="","",INT((H504-SAT1)/7)+1)</f>
        <v/>
      </c>
      <c r="J504" s="0" t="str">
        <f aca="false">IF(I504="","",IF(OR(I504&lt;1,I504&gt;NW),"",INDEX(WMON,I504)))</f>
        <v/>
      </c>
    </row>
    <row r="505" customFormat="false" ht="15" hidden="false" customHeight="false" outlineLevel="0" collapsed="false">
      <c r="A505" s="57"/>
      <c r="B505" s="30"/>
      <c r="C505" s="59"/>
      <c r="D505" s="58"/>
      <c r="E505" s="59"/>
      <c r="G505" s="0" t="str">
        <f aca="false">IF(AND(B505&lt;&gt;"",COUNTIF(B$6:B505,B505)=1),MAX(G$5:G504)+1,"")</f>
        <v/>
      </c>
      <c r="H505" s="0" t="str">
        <f aca="false">IF(A505="","",IF(ISNUMBER(A505),IF(A505&gt;=36526,A505,""),IFERROR(DATEVALUE(A505),"")))</f>
        <v/>
      </c>
      <c r="I505" s="0" t="str">
        <f aca="false">IF(H505="","",INT((H505-SAT1)/7)+1)</f>
        <v/>
      </c>
      <c r="J505" s="0" t="str">
        <f aca="false">IF(I505="","",IF(OR(I505&lt;1,I505&gt;NW),"",INDEX(WMON,I505)))</f>
        <v/>
      </c>
    </row>
    <row r="506" customFormat="false" ht="15" hidden="false" customHeight="false" outlineLevel="0" collapsed="false">
      <c r="A506" s="57"/>
      <c r="B506" s="30"/>
      <c r="C506" s="59"/>
      <c r="D506" s="58"/>
      <c r="E506" s="59"/>
      <c r="G506" s="0" t="str">
        <f aca="false">IF(AND(B506&lt;&gt;"",COUNTIF(B$6:B506,B506)=1),MAX(G$5:G505)+1,"")</f>
        <v/>
      </c>
      <c r="H506" s="0" t="str">
        <f aca="false">IF(A506="","",IF(ISNUMBER(A506),IF(A506&gt;=36526,A506,""),IFERROR(DATEVALUE(A506),"")))</f>
        <v/>
      </c>
      <c r="I506" s="0" t="str">
        <f aca="false">IF(H506="","",INT((H506-SAT1)/7)+1)</f>
        <v/>
      </c>
      <c r="J506" s="0" t="str">
        <f aca="false">IF(I506="","",IF(OR(I506&lt;1,I506&gt;NW),"",INDEX(WMON,I506)))</f>
        <v/>
      </c>
    </row>
    <row r="507" customFormat="false" ht="15" hidden="false" customHeight="false" outlineLevel="0" collapsed="false">
      <c r="A507" s="57"/>
      <c r="B507" s="30"/>
      <c r="C507" s="59"/>
      <c r="D507" s="58"/>
      <c r="E507" s="59"/>
      <c r="G507" s="0" t="str">
        <f aca="false">IF(AND(B507&lt;&gt;"",COUNTIF(B$6:B507,B507)=1),MAX(G$5:G506)+1,"")</f>
        <v/>
      </c>
      <c r="H507" s="0" t="str">
        <f aca="false">IF(A507="","",IF(ISNUMBER(A507),IF(A507&gt;=36526,A507,""),IFERROR(DATEVALUE(A507),"")))</f>
        <v/>
      </c>
      <c r="I507" s="0" t="str">
        <f aca="false">IF(H507="","",INT((H507-SAT1)/7)+1)</f>
        <v/>
      </c>
      <c r="J507" s="0" t="str">
        <f aca="false">IF(I507="","",IF(OR(I507&lt;1,I507&gt;NW),"",INDEX(WMON,I507)))</f>
        <v/>
      </c>
    </row>
    <row r="508" customFormat="false" ht="15" hidden="false" customHeight="false" outlineLevel="0" collapsed="false">
      <c r="A508" s="57"/>
      <c r="B508" s="30"/>
      <c r="C508" s="59"/>
      <c r="D508" s="58"/>
      <c r="E508" s="59"/>
      <c r="G508" s="0" t="str">
        <f aca="false">IF(AND(B508&lt;&gt;"",COUNTIF(B$6:B508,B508)=1),MAX(G$5:G507)+1,"")</f>
        <v/>
      </c>
      <c r="H508" s="0" t="str">
        <f aca="false">IF(A508="","",IF(ISNUMBER(A508),IF(A508&gt;=36526,A508,""),IFERROR(DATEVALUE(A508),"")))</f>
        <v/>
      </c>
      <c r="I508" s="0" t="str">
        <f aca="false">IF(H508="","",INT((H508-SAT1)/7)+1)</f>
        <v/>
      </c>
      <c r="J508" s="0" t="str">
        <f aca="false">IF(I508="","",IF(OR(I508&lt;1,I508&gt;NW),"",INDEX(WMON,I508)))</f>
        <v/>
      </c>
    </row>
    <row r="509" customFormat="false" ht="15" hidden="false" customHeight="false" outlineLevel="0" collapsed="false">
      <c r="A509" s="57"/>
      <c r="B509" s="30"/>
      <c r="C509" s="59"/>
      <c r="D509" s="58"/>
      <c r="E509" s="59"/>
      <c r="G509" s="0" t="str">
        <f aca="false">IF(AND(B509&lt;&gt;"",COUNTIF(B$6:B509,B509)=1),MAX(G$5:G508)+1,"")</f>
        <v/>
      </c>
      <c r="H509" s="0" t="str">
        <f aca="false">IF(A509="","",IF(ISNUMBER(A509),IF(A509&gt;=36526,A509,""),IFERROR(DATEVALUE(A509),"")))</f>
        <v/>
      </c>
      <c r="I509" s="0" t="str">
        <f aca="false">IF(H509="","",INT((H509-SAT1)/7)+1)</f>
        <v/>
      </c>
      <c r="J509" s="0" t="str">
        <f aca="false">IF(I509="","",IF(OR(I509&lt;1,I509&gt;NW),"",INDEX(WMON,I509)))</f>
        <v/>
      </c>
    </row>
    <row r="510" customFormat="false" ht="15" hidden="false" customHeight="false" outlineLevel="0" collapsed="false">
      <c r="A510" s="57"/>
      <c r="B510" s="30"/>
      <c r="C510" s="59"/>
      <c r="D510" s="58"/>
      <c r="E510" s="59"/>
      <c r="G510" s="0" t="str">
        <f aca="false">IF(AND(B510&lt;&gt;"",COUNTIF(B$6:B510,B510)=1),MAX(G$5:G509)+1,"")</f>
        <v/>
      </c>
      <c r="H510" s="0" t="str">
        <f aca="false">IF(A510="","",IF(ISNUMBER(A510),IF(A510&gt;=36526,A510,""),IFERROR(DATEVALUE(A510),"")))</f>
        <v/>
      </c>
      <c r="I510" s="0" t="str">
        <f aca="false">IF(H510="","",INT((H510-SAT1)/7)+1)</f>
        <v/>
      </c>
      <c r="J510" s="0" t="str">
        <f aca="false">IF(I510="","",IF(OR(I510&lt;1,I510&gt;NW),"",INDEX(WMON,I510)))</f>
        <v/>
      </c>
    </row>
    <row r="511" customFormat="false" ht="15" hidden="false" customHeight="false" outlineLevel="0" collapsed="false">
      <c r="A511" s="57"/>
      <c r="B511" s="30"/>
      <c r="C511" s="59"/>
      <c r="D511" s="58"/>
      <c r="E511" s="59"/>
      <c r="G511" s="0" t="str">
        <f aca="false">IF(AND(B511&lt;&gt;"",COUNTIF(B$6:B511,B511)=1),MAX(G$5:G510)+1,"")</f>
        <v/>
      </c>
      <c r="H511" s="0" t="str">
        <f aca="false">IF(A511="","",IF(ISNUMBER(A511),IF(A511&gt;=36526,A511,""),IFERROR(DATEVALUE(A511),"")))</f>
        <v/>
      </c>
      <c r="I511" s="0" t="str">
        <f aca="false">IF(H511="","",INT((H511-SAT1)/7)+1)</f>
        <v/>
      </c>
      <c r="J511" s="0" t="str">
        <f aca="false">IF(I511="","",IF(OR(I511&lt;1,I511&gt;NW),"",INDEX(WMON,I511)))</f>
        <v/>
      </c>
    </row>
    <row r="512" customFormat="false" ht="15" hidden="false" customHeight="false" outlineLevel="0" collapsed="false">
      <c r="A512" s="57"/>
      <c r="B512" s="30"/>
      <c r="C512" s="59"/>
      <c r="D512" s="58"/>
      <c r="E512" s="59"/>
      <c r="G512" s="0" t="str">
        <f aca="false">IF(AND(B512&lt;&gt;"",COUNTIF(B$6:B512,B512)=1),MAX(G$5:G511)+1,"")</f>
        <v/>
      </c>
      <c r="H512" s="0" t="str">
        <f aca="false">IF(A512="","",IF(ISNUMBER(A512),IF(A512&gt;=36526,A512,""),IFERROR(DATEVALUE(A512),"")))</f>
        <v/>
      </c>
      <c r="I512" s="0" t="str">
        <f aca="false">IF(H512="","",INT((H512-SAT1)/7)+1)</f>
        <v/>
      </c>
      <c r="J512" s="0" t="str">
        <f aca="false">IF(I512="","",IF(OR(I512&lt;1,I512&gt;NW),"",INDEX(WMON,I512)))</f>
        <v/>
      </c>
    </row>
    <row r="513" customFormat="false" ht="15" hidden="false" customHeight="false" outlineLevel="0" collapsed="false">
      <c r="A513" s="57"/>
      <c r="B513" s="30"/>
      <c r="C513" s="59"/>
      <c r="D513" s="58"/>
      <c r="E513" s="59"/>
      <c r="G513" s="0" t="str">
        <f aca="false">IF(AND(B513&lt;&gt;"",COUNTIF(B$6:B513,B513)=1),MAX(G$5:G512)+1,"")</f>
        <v/>
      </c>
      <c r="H513" s="0" t="str">
        <f aca="false">IF(A513="","",IF(ISNUMBER(A513),IF(A513&gt;=36526,A513,""),IFERROR(DATEVALUE(A513),"")))</f>
        <v/>
      </c>
      <c r="I513" s="0" t="str">
        <f aca="false">IF(H513="","",INT((H513-SAT1)/7)+1)</f>
        <v/>
      </c>
      <c r="J513" s="0" t="str">
        <f aca="false">IF(I513="","",IF(OR(I513&lt;1,I513&gt;NW),"",INDEX(WMON,I513)))</f>
        <v/>
      </c>
    </row>
    <row r="514" customFormat="false" ht="15" hidden="false" customHeight="false" outlineLevel="0" collapsed="false">
      <c r="A514" s="57"/>
      <c r="B514" s="30"/>
      <c r="C514" s="59"/>
      <c r="D514" s="58"/>
      <c r="E514" s="59"/>
      <c r="G514" s="0" t="str">
        <f aca="false">IF(AND(B514&lt;&gt;"",COUNTIF(B$6:B514,B514)=1),MAX(G$5:G513)+1,"")</f>
        <v/>
      </c>
      <c r="H514" s="0" t="str">
        <f aca="false">IF(A514="","",IF(ISNUMBER(A514),IF(A514&gt;=36526,A514,""),IFERROR(DATEVALUE(A514),"")))</f>
        <v/>
      </c>
      <c r="I514" s="0" t="str">
        <f aca="false">IF(H514="","",INT((H514-SAT1)/7)+1)</f>
        <v/>
      </c>
      <c r="J514" s="0" t="str">
        <f aca="false">IF(I514="","",IF(OR(I514&lt;1,I514&gt;NW),"",INDEX(WMON,I514)))</f>
        <v/>
      </c>
    </row>
    <row r="515" customFormat="false" ht="15" hidden="false" customHeight="false" outlineLevel="0" collapsed="false">
      <c r="A515" s="57"/>
      <c r="B515" s="30"/>
      <c r="C515" s="59"/>
      <c r="D515" s="58"/>
      <c r="E515" s="59"/>
      <c r="G515" s="0" t="str">
        <f aca="false">IF(AND(B515&lt;&gt;"",COUNTIF(B$6:B515,B515)=1),MAX(G$5:G514)+1,"")</f>
        <v/>
      </c>
      <c r="H515" s="0" t="str">
        <f aca="false">IF(A515="","",IF(ISNUMBER(A515),IF(A515&gt;=36526,A515,""),IFERROR(DATEVALUE(A515),"")))</f>
        <v/>
      </c>
      <c r="I515" s="0" t="str">
        <f aca="false">IF(H515="","",INT((H515-SAT1)/7)+1)</f>
        <v/>
      </c>
      <c r="J515" s="0" t="str">
        <f aca="false">IF(I515="","",IF(OR(I515&lt;1,I515&gt;NW),"",INDEX(WMON,I515)))</f>
        <v/>
      </c>
    </row>
    <row r="516" customFormat="false" ht="15" hidden="false" customHeight="false" outlineLevel="0" collapsed="false">
      <c r="A516" s="57"/>
      <c r="B516" s="30"/>
      <c r="C516" s="59"/>
      <c r="D516" s="58"/>
      <c r="E516" s="59"/>
      <c r="G516" s="0" t="str">
        <f aca="false">IF(AND(B516&lt;&gt;"",COUNTIF(B$6:B516,B516)=1),MAX(G$5:G515)+1,"")</f>
        <v/>
      </c>
      <c r="H516" s="0" t="str">
        <f aca="false">IF(A516="","",IF(ISNUMBER(A516),IF(A516&gt;=36526,A516,""),IFERROR(DATEVALUE(A516),"")))</f>
        <v/>
      </c>
      <c r="I516" s="0" t="str">
        <f aca="false">IF(H516="","",INT((H516-SAT1)/7)+1)</f>
        <v/>
      </c>
      <c r="J516" s="0" t="str">
        <f aca="false">IF(I516="","",IF(OR(I516&lt;1,I516&gt;NW),"",INDEX(WMON,I516)))</f>
        <v/>
      </c>
    </row>
    <row r="517" customFormat="false" ht="15" hidden="false" customHeight="false" outlineLevel="0" collapsed="false">
      <c r="A517" s="57"/>
      <c r="B517" s="30"/>
      <c r="C517" s="59"/>
      <c r="D517" s="58"/>
      <c r="E517" s="59"/>
      <c r="G517" s="0" t="str">
        <f aca="false">IF(AND(B517&lt;&gt;"",COUNTIF(B$6:B517,B517)=1),MAX(G$5:G516)+1,"")</f>
        <v/>
      </c>
      <c r="H517" s="0" t="str">
        <f aca="false">IF(A517="","",IF(ISNUMBER(A517),IF(A517&gt;=36526,A517,""),IFERROR(DATEVALUE(A517),"")))</f>
        <v/>
      </c>
      <c r="I517" s="0" t="str">
        <f aca="false">IF(H517="","",INT((H517-SAT1)/7)+1)</f>
        <v/>
      </c>
      <c r="J517" s="0" t="str">
        <f aca="false">IF(I517="","",IF(OR(I517&lt;1,I517&gt;NW),"",INDEX(WMON,I517)))</f>
        <v/>
      </c>
    </row>
    <row r="518" customFormat="false" ht="15" hidden="false" customHeight="false" outlineLevel="0" collapsed="false">
      <c r="A518" s="57"/>
      <c r="B518" s="30"/>
      <c r="C518" s="59"/>
      <c r="D518" s="58"/>
      <c r="E518" s="59"/>
      <c r="G518" s="0" t="str">
        <f aca="false">IF(AND(B518&lt;&gt;"",COUNTIF(B$6:B518,B518)=1),MAX(G$5:G517)+1,"")</f>
        <v/>
      </c>
      <c r="H518" s="0" t="str">
        <f aca="false">IF(A518="","",IF(ISNUMBER(A518),IF(A518&gt;=36526,A518,""),IFERROR(DATEVALUE(A518),"")))</f>
        <v/>
      </c>
      <c r="I518" s="0" t="str">
        <f aca="false">IF(H518="","",INT((H518-SAT1)/7)+1)</f>
        <v/>
      </c>
      <c r="J518" s="0" t="str">
        <f aca="false">IF(I518="","",IF(OR(I518&lt;1,I518&gt;NW),"",INDEX(WMON,I518)))</f>
        <v/>
      </c>
    </row>
    <row r="519" customFormat="false" ht="15" hidden="false" customHeight="false" outlineLevel="0" collapsed="false">
      <c r="A519" s="57"/>
      <c r="B519" s="30"/>
      <c r="C519" s="59"/>
      <c r="D519" s="58"/>
      <c r="E519" s="59"/>
      <c r="G519" s="0" t="str">
        <f aca="false">IF(AND(B519&lt;&gt;"",COUNTIF(B$6:B519,B519)=1),MAX(G$5:G518)+1,"")</f>
        <v/>
      </c>
      <c r="H519" s="0" t="str">
        <f aca="false">IF(A519="","",IF(ISNUMBER(A519),IF(A519&gt;=36526,A519,""),IFERROR(DATEVALUE(A519),"")))</f>
        <v/>
      </c>
      <c r="I519" s="0" t="str">
        <f aca="false">IF(H519="","",INT((H519-SAT1)/7)+1)</f>
        <v/>
      </c>
      <c r="J519" s="0" t="str">
        <f aca="false">IF(I519="","",IF(OR(I519&lt;1,I519&gt;NW),"",INDEX(WMON,I519)))</f>
        <v/>
      </c>
    </row>
    <row r="520" customFormat="false" ht="15" hidden="false" customHeight="false" outlineLevel="0" collapsed="false">
      <c r="A520" s="57"/>
      <c r="B520" s="30"/>
      <c r="C520" s="59"/>
      <c r="D520" s="58"/>
      <c r="E520" s="59"/>
      <c r="G520" s="0" t="str">
        <f aca="false">IF(AND(B520&lt;&gt;"",COUNTIF(B$6:B520,B520)=1),MAX(G$5:G519)+1,"")</f>
        <v/>
      </c>
      <c r="H520" s="0" t="str">
        <f aca="false">IF(A520="","",IF(ISNUMBER(A520),IF(A520&gt;=36526,A520,""),IFERROR(DATEVALUE(A520),"")))</f>
        <v/>
      </c>
      <c r="I520" s="0" t="str">
        <f aca="false">IF(H520="","",INT((H520-SAT1)/7)+1)</f>
        <v/>
      </c>
      <c r="J520" s="0" t="str">
        <f aca="false">IF(I520="","",IF(OR(I520&lt;1,I520&gt;NW),"",INDEX(WMON,I520)))</f>
        <v/>
      </c>
    </row>
    <row r="521" customFormat="false" ht="15" hidden="false" customHeight="false" outlineLevel="0" collapsed="false">
      <c r="A521" s="57"/>
      <c r="B521" s="30"/>
      <c r="C521" s="59"/>
      <c r="D521" s="58"/>
      <c r="E521" s="59"/>
      <c r="G521" s="0" t="str">
        <f aca="false">IF(AND(B521&lt;&gt;"",COUNTIF(B$6:B521,B521)=1),MAX(G$5:G520)+1,"")</f>
        <v/>
      </c>
      <c r="H521" s="0" t="str">
        <f aca="false">IF(A521="","",IF(ISNUMBER(A521),IF(A521&gt;=36526,A521,""),IFERROR(DATEVALUE(A521),"")))</f>
        <v/>
      </c>
      <c r="I521" s="0" t="str">
        <f aca="false">IF(H521="","",INT((H521-SAT1)/7)+1)</f>
        <v/>
      </c>
      <c r="J521" s="0" t="str">
        <f aca="false">IF(I521="","",IF(OR(I521&lt;1,I521&gt;NW),"",INDEX(WMON,I521)))</f>
        <v/>
      </c>
    </row>
    <row r="522" customFormat="false" ht="15" hidden="false" customHeight="false" outlineLevel="0" collapsed="false">
      <c r="A522" s="57"/>
      <c r="B522" s="30"/>
      <c r="C522" s="59"/>
      <c r="D522" s="58"/>
      <c r="E522" s="59"/>
      <c r="G522" s="0" t="str">
        <f aca="false">IF(AND(B522&lt;&gt;"",COUNTIF(B$6:B522,B522)=1),MAX(G$5:G521)+1,"")</f>
        <v/>
      </c>
      <c r="H522" s="0" t="str">
        <f aca="false">IF(A522="","",IF(ISNUMBER(A522),IF(A522&gt;=36526,A522,""),IFERROR(DATEVALUE(A522),"")))</f>
        <v/>
      </c>
      <c r="I522" s="0" t="str">
        <f aca="false">IF(H522="","",INT((H522-SAT1)/7)+1)</f>
        <v/>
      </c>
      <c r="J522" s="0" t="str">
        <f aca="false">IF(I522="","",IF(OR(I522&lt;1,I522&gt;NW),"",INDEX(WMON,I522)))</f>
        <v/>
      </c>
    </row>
    <row r="523" customFormat="false" ht="15" hidden="false" customHeight="false" outlineLevel="0" collapsed="false">
      <c r="A523" s="57"/>
      <c r="B523" s="30"/>
      <c r="C523" s="59"/>
      <c r="D523" s="58"/>
      <c r="E523" s="59"/>
      <c r="G523" s="0" t="str">
        <f aca="false">IF(AND(B523&lt;&gt;"",COUNTIF(B$6:B523,B523)=1),MAX(G$5:G522)+1,"")</f>
        <v/>
      </c>
      <c r="H523" s="0" t="str">
        <f aca="false">IF(A523="","",IF(ISNUMBER(A523),IF(A523&gt;=36526,A523,""),IFERROR(DATEVALUE(A523),"")))</f>
        <v/>
      </c>
      <c r="I523" s="0" t="str">
        <f aca="false">IF(H523="","",INT((H523-SAT1)/7)+1)</f>
        <v/>
      </c>
      <c r="J523" s="0" t="str">
        <f aca="false">IF(I523="","",IF(OR(I523&lt;1,I523&gt;NW),"",INDEX(WMON,I523)))</f>
        <v/>
      </c>
    </row>
    <row r="524" customFormat="false" ht="15" hidden="false" customHeight="false" outlineLevel="0" collapsed="false">
      <c r="A524" s="57"/>
      <c r="B524" s="30"/>
      <c r="C524" s="59"/>
      <c r="D524" s="58"/>
      <c r="E524" s="59"/>
      <c r="G524" s="0" t="str">
        <f aca="false">IF(AND(B524&lt;&gt;"",COUNTIF(B$6:B524,B524)=1),MAX(G$5:G523)+1,"")</f>
        <v/>
      </c>
      <c r="H524" s="0" t="str">
        <f aca="false">IF(A524="","",IF(ISNUMBER(A524),IF(A524&gt;=36526,A524,""),IFERROR(DATEVALUE(A524),"")))</f>
        <v/>
      </c>
      <c r="I524" s="0" t="str">
        <f aca="false">IF(H524="","",INT((H524-SAT1)/7)+1)</f>
        <v/>
      </c>
      <c r="J524" s="0" t="str">
        <f aca="false">IF(I524="","",IF(OR(I524&lt;1,I524&gt;NW),"",INDEX(WMON,I524)))</f>
        <v/>
      </c>
    </row>
    <row r="525" customFormat="false" ht="15" hidden="false" customHeight="false" outlineLevel="0" collapsed="false">
      <c r="A525" s="57"/>
      <c r="B525" s="30"/>
      <c r="C525" s="59"/>
      <c r="D525" s="58"/>
      <c r="E525" s="59"/>
      <c r="G525" s="0" t="str">
        <f aca="false">IF(AND(B525&lt;&gt;"",COUNTIF(B$6:B525,B525)=1),MAX(G$5:G524)+1,"")</f>
        <v/>
      </c>
      <c r="H525" s="0" t="str">
        <f aca="false">IF(A525="","",IF(ISNUMBER(A525),IF(A525&gt;=36526,A525,""),IFERROR(DATEVALUE(A525),"")))</f>
        <v/>
      </c>
      <c r="I525" s="0" t="str">
        <f aca="false">IF(H525="","",INT((H525-SAT1)/7)+1)</f>
        <v/>
      </c>
      <c r="J525" s="0" t="str">
        <f aca="false">IF(I525="","",IF(OR(I525&lt;1,I525&gt;NW),"",INDEX(WMON,I525)))</f>
        <v/>
      </c>
    </row>
    <row r="526" customFormat="false" ht="15" hidden="false" customHeight="false" outlineLevel="0" collapsed="false">
      <c r="A526" s="57"/>
      <c r="B526" s="30"/>
      <c r="C526" s="59"/>
      <c r="D526" s="58"/>
      <c r="E526" s="59"/>
      <c r="G526" s="0" t="str">
        <f aca="false">IF(AND(B526&lt;&gt;"",COUNTIF(B$6:B526,B526)=1),MAX(G$5:G525)+1,"")</f>
        <v/>
      </c>
      <c r="H526" s="0" t="str">
        <f aca="false">IF(A526="","",IF(ISNUMBER(A526),IF(A526&gt;=36526,A526,""),IFERROR(DATEVALUE(A526),"")))</f>
        <v/>
      </c>
      <c r="I526" s="0" t="str">
        <f aca="false">IF(H526="","",INT((H526-SAT1)/7)+1)</f>
        <v/>
      </c>
      <c r="J526" s="0" t="str">
        <f aca="false">IF(I526="","",IF(OR(I526&lt;1,I526&gt;NW),"",INDEX(WMON,I526)))</f>
        <v/>
      </c>
    </row>
    <row r="527" customFormat="false" ht="15" hidden="false" customHeight="false" outlineLevel="0" collapsed="false">
      <c r="A527" s="57"/>
      <c r="B527" s="30"/>
      <c r="C527" s="59"/>
      <c r="D527" s="58"/>
      <c r="E527" s="59"/>
      <c r="G527" s="0" t="str">
        <f aca="false">IF(AND(B527&lt;&gt;"",COUNTIF(B$6:B527,B527)=1),MAX(G$5:G526)+1,"")</f>
        <v/>
      </c>
      <c r="H527" s="0" t="str">
        <f aca="false">IF(A527="","",IF(ISNUMBER(A527),IF(A527&gt;=36526,A527,""),IFERROR(DATEVALUE(A527),"")))</f>
        <v/>
      </c>
      <c r="I527" s="0" t="str">
        <f aca="false">IF(H527="","",INT((H527-SAT1)/7)+1)</f>
        <v/>
      </c>
      <c r="J527" s="0" t="str">
        <f aca="false">IF(I527="","",IF(OR(I527&lt;1,I527&gt;NW),"",INDEX(WMON,I527)))</f>
        <v/>
      </c>
    </row>
    <row r="528" customFormat="false" ht="15" hidden="false" customHeight="false" outlineLevel="0" collapsed="false">
      <c r="A528" s="57"/>
      <c r="B528" s="30"/>
      <c r="C528" s="59"/>
      <c r="D528" s="58"/>
      <c r="E528" s="59"/>
      <c r="G528" s="0" t="str">
        <f aca="false">IF(AND(B528&lt;&gt;"",COUNTIF(B$6:B528,B528)=1),MAX(G$5:G527)+1,"")</f>
        <v/>
      </c>
      <c r="H528" s="0" t="str">
        <f aca="false">IF(A528="","",IF(ISNUMBER(A528),IF(A528&gt;=36526,A528,""),IFERROR(DATEVALUE(A528),"")))</f>
        <v/>
      </c>
      <c r="I528" s="0" t="str">
        <f aca="false">IF(H528="","",INT((H528-SAT1)/7)+1)</f>
        <v/>
      </c>
      <c r="J528" s="0" t="str">
        <f aca="false">IF(I528="","",IF(OR(I528&lt;1,I528&gt;NW),"",INDEX(WMON,I528)))</f>
        <v/>
      </c>
    </row>
    <row r="529" customFormat="false" ht="15" hidden="false" customHeight="false" outlineLevel="0" collapsed="false">
      <c r="A529" s="57"/>
      <c r="B529" s="30"/>
      <c r="C529" s="59"/>
      <c r="D529" s="58"/>
      <c r="E529" s="59"/>
      <c r="G529" s="0" t="str">
        <f aca="false">IF(AND(B529&lt;&gt;"",COUNTIF(B$6:B529,B529)=1),MAX(G$5:G528)+1,"")</f>
        <v/>
      </c>
      <c r="H529" s="0" t="str">
        <f aca="false">IF(A529="","",IF(ISNUMBER(A529),IF(A529&gt;=36526,A529,""),IFERROR(DATEVALUE(A529),"")))</f>
        <v/>
      </c>
      <c r="I529" s="0" t="str">
        <f aca="false">IF(H529="","",INT((H529-SAT1)/7)+1)</f>
        <v/>
      </c>
      <c r="J529" s="0" t="str">
        <f aca="false">IF(I529="","",IF(OR(I529&lt;1,I529&gt;NW),"",INDEX(WMON,I529)))</f>
        <v/>
      </c>
    </row>
    <row r="530" customFormat="false" ht="15" hidden="false" customHeight="false" outlineLevel="0" collapsed="false">
      <c r="A530" s="57"/>
      <c r="B530" s="30"/>
      <c r="C530" s="59"/>
      <c r="D530" s="58"/>
      <c r="E530" s="59"/>
      <c r="G530" s="0" t="str">
        <f aca="false">IF(AND(B530&lt;&gt;"",COUNTIF(B$6:B530,B530)=1),MAX(G$5:G529)+1,"")</f>
        <v/>
      </c>
      <c r="H530" s="0" t="str">
        <f aca="false">IF(A530="","",IF(ISNUMBER(A530),IF(A530&gt;=36526,A530,""),IFERROR(DATEVALUE(A530),"")))</f>
        <v/>
      </c>
      <c r="I530" s="0" t="str">
        <f aca="false">IF(H530="","",INT((H530-SAT1)/7)+1)</f>
        <v/>
      </c>
      <c r="J530" s="0" t="str">
        <f aca="false">IF(I530="","",IF(OR(I530&lt;1,I530&gt;NW),"",INDEX(WMON,I530)))</f>
        <v/>
      </c>
    </row>
    <row r="531" customFormat="false" ht="15" hidden="false" customHeight="false" outlineLevel="0" collapsed="false">
      <c r="A531" s="57"/>
      <c r="B531" s="30"/>
      <c r="C531" s="59"/>
      <c r="D531" s="58"/>
      <c r="E531" s="59"/>
      <c r="G531" s="0" t="str">
        <f aca="false">IF(AND(B531&lt;&gt;"",COUNTIF(B$6:B531,B531)=1),MAX(G$5:G530)+1,"")</f>
        <v/>
      </c>
      <c r="H531" s="0" t="str">
        <f aca="false">IF(A531="","",IF(ISNUMBER(A531),IF(A531&gt;=36526,A531,""),IFERROR(DATEVALUE(A531),"")))</f>
        <v/>
      </c>
      <c r="I531" s="0" t="str">
        <f aca="false">IF(H531="","",INT((H531-SAT1)/7)+1)</f>
        <v/>
      </c>
      <c r="J531" s="0" t="str">
        <f aca="false">IF(I531="","",IF(OR(I531&lt;1,I531&gt;NW),"",INDEX(WMON,I531)))</f>
        <v/>
      </c>
    </row>
    <row r="532" customFormat="false" ht="15" hidden="false" customHeight="false" outlineLevel="0" collapsed="false">
      <c r="A532" s="57"/>
      <c r="B532" s="30"/>
      <c r="C532" s="59"/>
      <c r="D532" s="58"/>
      <c r="E532" s="59"/>
      <c r="G532" s="0" t="str">
        <f aca="false">IF(AND(B532&lt;&gt;"",COUNTIF(B$6:B532,B532)=1),MAX(G$5:G531)+1,"")</f>
        <v/>
      </c>
      <c r="H532" s="0" t="str">
        <f aca="false">IF(A532="","",IF(ISNUMBER(A532),IF(A532&gt;=36526,A532,""),IFERROR(DATEVALUE(A532),"")))</f>
        <v/>
      </c>
      <c r="I532" s="0" t="str">
        <f aca="false">IF(H532="","",INT((H532-SAT1)/7)+1)</f>
        <v/>
      </c>
      <c r="J532" s="0" t="str">
        <f aca="false">IF(I532="","",IF(OR(I532&lt;1,I532&gt;NW),"",INDEX(WMON,I532)))</f>
        <v/>
      </c>
    </row>
    <row r="533" customFormat="false" ht="15" hidden="false" customHeight="false" outlineLevel="0" collapsed="false">
      <c r="A533" s="57"/>
      <c r="B533" s="30"/>
      <c r="C533" s="59"/>
      <c r="D533" s="58"/>
      <c r="E533" s="59"/>
      <c r="G533" s="0" t="str">
        <f aca="false">IF(AND(B533&lt;&gt;"",COUNTIF(B$6:B533,B533)=1),MAX(G$5:G532)+1,"")</f>
        <v/>
      </c>
      <c r="H533" s="0" t="str">
        <f aca="false">IF(A533="","",IF(ISNUMBER(A533),IF(A533&gt;=36526,A533,""),IFERROR(DATEVALUE(A533),"")))</f>
        <v/>
      </c>
      <c r="I533" s="0" t="str">
        <f aca="false">IF(H533="","",INT((H533-SAT1)/7)+1)</f>
        <v/>
      </c>
      <c r="J533" s="0" t="str">
        <f aca="false">IF(I533="","",IF(OR(I533&lt;1,I533&gt;NW),"",INDEX(WMON,I533)))</f>
        <v/>
      </c>
    </row>
    <row r="534" customFormat="false" ht="15" hidden="false" customHeight="false" outlineLevel="0" collapsed="false">
      <c r="A534" s="57"/>
      <c r="B534" s="30"/>
      <c r="C534" s="59"/>
      <c r="D534" s="58"/>
      <c r="E534" s="59"/>
      <c r="G534" s="0" t="str">
        <f aca="false">IF(AND(B534&lt;&gt;"",COUNTIF(B$6:B534,B534)=1),MAX(G$5:G533)+1,"")</f>
        <v/>
      </c>
      <c r="H534" s="0" t="str">
        <f aca="false">IF(A534="","",IF(ISNUMBER(A534),IF(A534&gt;=36526,A534,""),IFERROR(DATEVALUE(A534),"")))</f>
        <v/>
      </c>
      <c r="I534" s="0" t="str">
        <f aca="false">IF(H534="","",INT((H534-SAT1)/7)+1)</f>
        <v/>
      </c>
      <c r="J534" s="0" t="str">
        <f aca="false">IF(I534="","",IF(OR(I534&lt;1,I534&gt;NW),"",INDEX(WMON,I534)))</f>
        <v/>
      </c>
    </row>
    <row r="535" customFormat="false" ht="15" hidden="false" customHeight="false" outlineLevel="0" collapsed="false">
      <c r="A535" s="57"/>
      <c r="B535" s="30"/>
      <c r="C535" s="59"/>
      <c r="D535" s="58"/>
      <c r="E535" s="59"/>
      <c r="G535" s="0" t="str">
        <f aca="false">IF(AND(B535&lt;&gt;"",COUNTIF(B$6:B535,B535)=1),MAX(G$5:G534)+1,"")</f>
        <v/>
      </c>
      <c r="H535" s="0" t="str">
        <f aca="false">IF(A535="","",IF(ISNUMBER(A535),IF(A535&gt;=36526,A535,""),IFERROR(DATEVALUE(A535),"")))</f>
        <v/>
      </c>
      <c r="I535" s="0" t="str">
        <f aca="false">IF(H535="","",INT((H535-SAT1)/7)+1)</f>
        <v/>
      </c>
      <c r="J535" s="0" t="str">
        <f aca="false">IF(I535="","",IF(OR(I535&lt;1,I535&gt;NW),"",INDEX(WMON,I535)))</f>
        <v/>
      </c>
    </row>
    <row r="536" customFormat="false" ht="15" hidden="false" customHeight="false" outlineLevel="0" collapsed="false">
      <c r="A536" s="57"/>
      <c r="B536" s="30"/>
      <c r="C536" s="59"/>
      <c r="D536" s="58"/>
      <c r="E536" s="59"/>
      <c r="G536" s="0" t="str">
        <f aca="false">IF(AND(B536&lt;&gt;"",COUNTIF(B$6:B536,B536)=1),MAX(G$5:G535)+1,"")</f>
        <v/>
      </c>
      <c r="H536" s="0" t="str">
        <f aca="false">IF(A536="","",IF(ISNUMBER(A536),IF(A536&gt;=36526,A536,""),IFERROR(DATEVALUE(A536),"")))</f>
        <v/>
      </c>
      <c r="I536" s="0" t="str">
        <f aca="false">IF(H536="","",INT((H536-SAT1)/7)+1)</f>
        <v/>
      </c>
      <c r="J536" s="0" t="str">
        <f aca="false">IF(I536="","",IF(OR(I536&lt;1,I536&gt;NW),"",INDEX(WMON,I536)))</f>
        <v/>
      </c>
    </row>
    <row r="537" customFormat="false" ht="15" hidden="false" customHeight="false" outlineLevel="0" collapsed="false">
      <c r="A537" s="57"/>
      <c r="B537" s="30"/>
      <c r="C537" s="59"/>
      <c r="D537" s="58"/>
      <c r="E537" s="59"/>
      <c r="G537" s="0" t="str">
        <f aca="false">IF(AND(B537&lt;&gt;"",COUNTIF(B$6:B537,B537)=1),MAX(G$5:G536)+1,"")</f>
        <v/>
      </c>
      <c r="H537" s="0" t="str">
        <f aca="false">IF(A537="","",IF(ISNUMBER(A537),IF(A537&gt;=36526,A537,""),IFERROR(DATEVALUE(A537),"")))</f>
        <v/>
      </c>
      <c r="I537" s="0" t="str">
        <f aca="false">IF(H537="","",INT((H537-SAT1)/7)+1)</f>
        <v/>
      </c>
      <c r="J537" s="0" t="str">
        <f aca="false">IF(I537="","",IF(OR(I537&lt;1,I537&gt;NW),"",INDEX(WMON,I537)))</f>
        <v/>
      </c>
    </row>
    <row r="538" customFormat="false" ht="15" hidden="false" customHeight="false" outlineLevel="0" collapsed="false">
      <c r="A538" s="57"/>
      <c r="B538" s="30"/>
      <c r="C538" s="59"/>
      <c r="D538" s="58"/>
      <c r="E538" s="59"/>
      <c r="G538" s="0" t="str">
        <f aca="false">IF(AND(B538&lt;&gt;"",COUNTIF(B$6:B538,B538)=1),MAX(G$5:G537)+1,"")</f>
        <v/>
      </c>
      <c r="H538" s="0" t="str">
        <f aca="false">IF(A538="","",IF(ISNUMBER(A538),IF(A538&gt;=36526,A538,""),IFERROR(DATEVALUE(A538),"")))</f>
        <v/>
      </c>
      <c r="I538" s="0" t="str">
        <f aca="false">IF(H538="","",INT((H538-SAT1)/7)+1)</f>
        <v/>
      </c>
      <c r="J538" s="0" t="str">
        <f aca="false">IF(I538="","",IF(OR(I538&lt;1,I538&gt;NW),"",INDEX(WMON,I538)))</f>
        <v/>
      </c>
    </row>
    <row r="539" customFormat="false" ht="15" hidden="false" customHeight="false" outlineLevel="0" collapsed="false">
      <c r="A539" s="57"/>
      <c r="B539" s="30"/>
      <c r="C539" s="59"/>
      <c r="D539" s="58"/>
      <c r="E539" s="59"/>
      <c r="G539" s="0" t="str">
        <f aca="false">IF(AND(B539&lt;&gt;"",COUNTIF(B$6:B539,B539)=1),MAX(G$5:G538)+1,"")</f>
        <v/>
      </c>
      <c r="H539" s="0" t="str">
        <f aca="false">IF(A539="","",IF(ISNUMBER(A539),IF(A539&gt;=36526,A539,""),IFERROR(DATEVALUE(A539),"")))</f>
        <v/>
      </c>
      <c r="I539" s="0" t="str">
        <f aca="false">IF(H539="","",INT((H539-SAT1)/7)+1)</f>
        <v/>
      </c>
      <c r="J539" s="0" t="str">
        <f aca="false">IF(I539="","",IF(OR(I539&lt;1,I539&gt;NW),"",INDEX(WMON,I539)))</f>
        <v/>
      </c>
    </row>
    <row r="540" customFormat="false" ht="15" hidden="false" customHeight="false" outlineLevel="0" collapsed="false">
      <c r="A540" s="57"/>
      <c r="B540" s="30"/>
      <c r="C540" s="59"/>
      <c r="D540" s="58"/>
      <c r="E540" s="59"/>
      <c r="G540" s="0" t="str">
        <f aca="false">IF(AND(B540&lt;&gt;"",COUNTIF(B$6:B540,B540)=1),MAX(G$5:G539)+1,"")</f>
        <v/>
      </c>
      <c r="H540" s="0" t="str">
        <f aca="false">IF(A540="","",IF(ISNUMBER(A540),IF(A540&gt;=36526,A540,""),IFERROR(DATEVALUE(A540),"")))</f>
        <v/>
      </c>
      <c r="I540" s="0" t="str">
        <f aca="false">IF(H540="","",INT((H540-SAT1)/7)+1)</f>
        <v/>
      </c>
      <c r="J540" s="0" t="str">
        <f aca="false">IF(I540="","",IF(OR(I540&lt;1,I540&gt;NW),"",INDEX(WMON,I540)))</f>
        <v/>
      </c>
    </row>
    <row r="541" customFormat="false" ht="15" hidden="false" customHeight="false" outlineLevel="0" collapsed="false">
      <c r="A541" s="57"/>
      <c r="B541" s="30"/>
      <c r="C541" s="59"/>
      <c r="D541" s="58"/>
      <c r="E541" s="59"/>
      <c r="G541" s="0" t="str">
        <f aca="false">IF(AND(B541&lt;&gt;"",COUNTIF(B$6:B541,B541)=1),MAX(G$5:G540)+1,"")</f>
        <v/>
      </c>
      <c r="H541" s="0" t="str">
        <f aca="false">IF(A541="","",IF(ISNUMBER(A541),IF(A541&gt;=36526,A541,""),IFERROR(DATEVALUE(A541),"")))</f>
        <v/>
      </c>
      <c r="I541" s="0" t="str">
        <f aca="false">IF(H541="","",INT((H541-SAT1)/7)+1)</f>
        <v/>
      </c>
      <c r="J541" s="0" t="str">
        <f aca="false">IF(I541="","",IF(OR(I541&lt;1,I541&gt;NW),"",INDEX(WMON,I541)))</f>
        <v/>
      </c>
    </row>
    <row r="542" customFormat="false" ht="15" hidden="false" customHeight="false" outlineLevel="0" collapsed="false">
      <c r="A542" s="57"/>
      <c r="B542" s="30"/>
      <c r="C542" s="59"/>
      <c r="D542" s="58"/>
      <c r="E542" s="59"/>
      <c r="G542" s="0" t="str">
        <f aca="false">IF(AND(B542&lt;&gt;"",COUNTIF(B$6:B542,B542)=1),MAX(G$5:G541)+1,"")</f>
        <v/>
      </c>
      <c r="H542" s="0" t="str">
        <f aca="false">IF(A542="","",IF(ISNUMBER(A542),IF(A542&gt;=36526,A542,""),IFERROR(DATEVALUE(A542),"")))</f>
        <v/>
      </c>
      <c r="I542" s="0" t="str">
        <f aca="false">IF(H542="","",INT((H542-SAT1)/7)+1)</f>
        <v/>
      </c>
      <c r="J542" s="0" t="str">
        <f aca="false">IF(I542="","",IF(OR(I542&lt;1,I542&gt;NW),"",INDEX(WMON,I542)))</f>
        <v/>
      </c>
    </row>
    <row r="543" customFormat="false" ht="15" hidden="false" customHeight="false" outlineLevel="0" collapsed="false">
      <c r="A543" s="57"/>
      <c r="B543" s="30"/>
      <c r="C543" s="59"/>
      <c r="D543" s="58"/>
      <c r="E543" s="59"/>
      <c r="G543" s="0" t="str">
        <f aca="false">IF(AND(B543&lt;&gt;"",COUNTIF(B$6:B543,B543)=1),MAX(G$5:G542)+1,"")</f>
        <v/>
      </c>
      <c r="H543" s="0" t="str">
        <f aca="false">IF(A543="","",IF(ISNUMBER(A543),IF(A543&gt;=36526,A543,""),IFERROR(DATEVALUE(A543),"")))</f>
        <v/>
      </c>
      <c r="I543" s="0" t="str">
        <f aca="false">IF(H543="","",INT((H543-SAT1)/7)+1)</f>
        <v/>
      </c>
      <c r="J543" s="0" t="str">
        <f aca="false">IF(I543="","",IF(OR(I543&lt;1,I543&gt;NW),"",INDEX(WMON,I543)))</f>
        <v/>
      </c>
    </row>
    <row r="544" customFormat="false" ht="15" hidden="false" customHeight="false" outlineLevel="0" collapsed="false">
      <c r="A544" s="57"/>
      <c r="B544" s="30"/>
      <c r="C544" s="59"/>
      <c r="D544" s="58"/>
      <c r="E544" s="59"/>
      <c r="G544" s="0" t="str">
        <f aca="false">IF(AND(B544&lt;&gt;"",COUNTIF(B$6:B544,B544)=1),MAX(G$5:G543)+1,"")</f>
        <v/>
      </c>
      <c r="H544" s="0" t="str">
        <f aca="false">IF(A544="","",IF(ISNUMBER(A544),IF(A544&gt;=36526,A544,""),IFERROR(DATEVALUE(A544),"")))</f>
        <v/>
      </c>
      <c r="I544" s="0" t="str">
        <f aca="false">IF(H544="","",INT((H544-SAT1)/7)+1)</f>
        <v/>
      </c>
      <c r="J544" s="0" t="str">
        <f aca="false">IF(I544="","",IF(OR(I544&lt;1,I544&gt;NW),"",INDEX(WMON,I544)))</f>
        <v/>
      </c>
    </row>
    <row r="545" customFormat="false" ht="15" hidden="false" customHeight="false" outlineLevel="0" collapsed="false">
      <c r="A545" s="57"/>
      <c r="B545" s="30"/>
      <c r="C545" s="59"/>
      <c r="D545" s="58"/>
      <c r="E545" s="59"/>
      <c r="G545" s="0" t="str">
        <f aca="false">IF(AND(B545&lt;&gt;"",COUNTIF(B$6:B545,B545)=1),MAX(G$5:G544)+1,"")</f>
        <v/>
      </c>
      <c r="H545" s="0" t="str">
        <f aca="false">IF(A545="","",IF(ISNUMBER(A545),IF(A545&gt;=36526,A545,""),IFERROR(DATEVALUE(A545),"")))</f>
        <v/>
      </c>
      <c r="I545" s="0" t="str">
        <f aca="false">IF(H545="","",INT((H545-SAT1)/7)+1)</f>
        <v/>
      </c>
      <c r="J545" s="0" t="str">
        <f aca="false">IF(I545="","",IF(OR(I545&lt;1,I545&gt;NW),"",INDEX(WMON,I545)))</f>
        <v/>
      </c>
    </row>
    <row r="546" customFormat="false" ht="15" hidden="false" customHeight="false" outlineLevel="0" collapsed="false">
      <c r="A546" s="57"/>
      <c r="B546" s="30"/>
      <c r="C546" s="59"/>
      <c r="D546" s="58"/>
      <c r="E546" s="59"/>
      <c r="G546" s="0" t="str">
        <f aca="false">IF(AND(B546&lt;&gt;"",COUNTIF(B$6:B546,B546)=1),MAX(G$5:G545)+1,"")</f>
        <v/>
      </c>
      <c r="H546" s="0" t="str">
        <f aca="false">IF(A546="","",IF(ISNUMBER(A546),IF(A546&gt;=36526,A546,""),IFERROR(DATEVALUE(A546),"")))</f>
        <v/>
      </c>
      <c r="I546" s="0" t="str">
        <f aca="false">IF(H546="","",INT((H546-SAT1)/7)+1)</f>
        <v/>
      </c>
      <c r="J546" s="0" t="str">
        <f aca="false">IF(I546="","",IF(OR(I546&lt;1,I546&gt;NW),"",INDEX(WMON,I546)))</f>
        <v/>
      </c>
    </row>
    <row r="547" customFormat="false" ht="15" hidden="false" customHeight="false" outlineLevel="0" collapsed="false">
      <c r="A547" s="57"/>
      <c r="B547" s="30"/>
      <c r="C547" s="59"/>
      <c r="D547" s="58"/>
      <c r="E547" s="59"/>
      <c r="G547" s="0" t="str">
        <f aca="false">IF(AND(B547&lt;&gt;"",COUNTIF(B$6:B547,B547)=1),MAX(G$5:G546)+1,"")</f>
        <v/>
      </c>
      <c r="H547" s="0" t="str">
        <f aca="false">IF(A547="","",IF(ISNUMBER(A547),IF(A547&gt;=36526,A547,""),IFERROR(DATEVALUE(A547),"")))</f>
        <v/>
      </c>
      <c r="I547" s="0" t="str">
        <f aca="false">IF(H547="","",INT((H547-SAT1)/7)+1)</f>
        <v/>
      </c>
      <c r="J547" s="0" t="str">
        <f aca="false">IF(I547="","",IF(OR(I547&lt;1,I547&gt;NW),"",INDEX(WMON,I547)))</f>
        <v/>
      </c>
    </row>
    <row r="548" customFormat="false" ht="15" hidden="false" customHeight="false" outlineLevel="0" collapsed="false">
      <c r="A548" s="57"/>
      <c r="B548" s="30"/>
      <c r="C548" s="59"/>
      <c r="D548" s="58"/>
      <c r="E548" s="59"/>
      <c r="G548" s="0" t="str">
        <f aca="false">IF(AND(B548&lt;&gt;"",COUNTIF(B$6:B548,B548)=1),MAX(G$5:G547)+1,"")</f>
        <v/>
      </c>
      <c r="H548" s="0" t="str">
        <f aca="false">IF(A548="","",IF(ISNUMBER(A548),IF(A548&gt;=36526,A548,""),IFERROR(DATEVALUE(A548),"")))</f>
        <v/>
      </c>
      <c r="I548" s="0" t="str">
        <f aca="false">IF(H548="","",INT((H548-SAT1)/7)+1)</f>
        <v/>
      </c>
      <c r="J548" s="0" t="str">
        <f aca="false">IF(I548="","",IF(OR(I548&lt;1,I548&gt;NW),"",INDEX(WMON,I548)))</f>
        <v/>
      </c>
    </row>
    <row r="549" customFormat="false" ht="15" hidden="false" customHeight="false" outlineLevel="0" collapsed="false">
      <c r="A549" s="57"/>
      <c r="B549" s="30"/>
      <c r="C549" s="59"/>
      <c r="D549" s="58"/>
      <c r="E549" s="59"/>
      <c r="G549" s="0" t="str">
        <f aca="false">IF(AND(B549&lt;&gt;"",COUNTIF(B$6:B549,B549)=1),MAX(G$5:G548)+1,"")</f>
        <v/>
      </c>
      <c r="H549" s="0" t="str">
        <f aca="false">IF(A549="","",IF(ISNUMBER(A549),IF(A549&gt;=36526,A549,""),IFERROR(DATEVALUE(A549),"")))</f>
        <v/>
      </c>
      <c r="I549" s="0" t="str">
        <f aca="false">IF(H549="","",INT((H549-SAT1)/7)+1)</f>
        <v/>
      </c>
      <c r="J549" s="0" t="str">
        <f aca="false">IF(I549="","",IF(OR(I549&lt;1,I549&gt;NW),"",INDEX(WMON,I549)))</f>
        <v/>
      </c>
    </row>
    <row r="550" customFormat="false" ht="15" hidden="false" customHeight="false" outlineLevel="0" collapsed="false">
      <c r="A550" s="57"/>
      <c r="B550" s="30"/>
      <c r="C550" s="59"/>
      <c r="D550" s="58"/>
      <c r="E550" s="59"/>
      <c r="G550" s="0" t="str">
        <f aca="false">IF(AND(B550&lt;&gt;"",COUNTIF(B$6:B550,B550)=1),MAX(G$5:G549)+1,"")</f>
        <v/>
      </c>
      <c r="H550" s="0" t="str">
        <f aca="false">IF(A550="","",IF(ISNUMBER(A550),IF(A550&gt;=36526,A550,""),IFERROR(DATEVALUE(A550),"")))</f>
        <v/>
      </c>
      <c r="I550" s="0" t="str">
        <f aca="false">IF(H550="","",INT((H550-SAT1)/7)+1)</f>
        <v/>
      </c>
      <c r="J550" s="0" t="str">
        <f aca="false">IF(I550="","",IF(OR(I550&lt;1,I550&gt;NW),"",INDEX(WMON,I550)))</f>
        <v/>
      </c>
    </row>
    <row r="551" customFormat="false" ht="15" hidden="false" customHeight="false" outlineLevel="0" collapsed="false">
      <c r="A551" s="57"/>
      <c r="B551" s="30"/>
      <c r="C551" s="59"/>
      <c r="D551" s="58"/>
      <c r="E551" s="59"/>
      <c r="G551" s="0" t="str">
        <f aca="false">IF(AND(B551&lt;&gt;"",COUNTIF(B$6:B551,B551)=1),MAX(G$5:G550)+1,"")</f>
        <v/>
      </c>
      <c r="H551" s="0" t="str">
        <f aca="false">IF(A551="","",IF(ISNUMBER(A551),IF(A551&gt;=36526,A551,""),IFERROR(DATEVALUE(A551),"")))</f>
        <v/>
      </c>
      <c r="I551" s="0" t="str">
        <f aca="false">IF(H551="","",INT((H551-SAT1)/7)+1)</f>
        <v/>
      </c>
      <c r="J551" s="0" t="str">
        <f aca="false">IF(I551="","",IF(OR(I551&lt;1,I551&gt;NW),"",INDEX(WMON,I551)))</f>
        <v/>
      </c>
    </row>
    <row r="552" customFormat="false" ht="15" hidden="false" customHeight="false" outlineLevel="0" collapsed="false">
      <c r="A552" s="57"/>
      <c r="B552" s="30"/>
      <c r="C552" s="59"/>
      <c r="D552" s="58"/>
      <c r="E552" s="59"/>
      <c r="G552" s="0" t="str">
        <f aca="false">IF(AND(B552&lt;&gt;"",COUNTIF(B$6:B552,B552)=1),MAX(G$5:G551)+1,"")</f>
        <v/>
      </c>
      <c r="H552" s="0" t="str">
        <f aca="false">IF(A552="","",IF(ISNUMBER(A552),IF(A552&gt;=36526,A552,""),IFERROR(DATEVALUE(A552),"")))</f>
        <v/>
      </c>
      <c r="I552" s="0" t="str">
        <f aca="false">IF(H552="","",INT((H552-SAT1)/7)+1)</f>
        <v/>
      </c>
      <c r="J552" s="0" t="str">
        <f aca="false">IF(I552="","",IF(OR(I552&lt;1,I552&gt;NW),"",INDEX(WMON,I552)))</f>
        <v/>
      </c>
    </row>
    <row r="553" customFormat="false" ht="15" hidden="false" customHeight="false" outlineLevel="0" collapsed="false">
      <c r="A553" s="57"/>
      <c r="B553" s="30"/>
      <c r="C553" s="59"/>
      <c r="D553" s="58"/>
      <c r="E553" s="59"/>
      <c r="G553" s="0" t="str">
        <f aca="false">IF(AND(B553&lt;&gt;"",COUNTIF(B$6:B553,B553)=1),MAX(G$5:G552)+1,"")</f>
        <v/>
      </c>
      <c r="H553" s="0" t="str">
        <f aca="false">IF(A553="","",IF(ISNUMBER(A553),IF(A553&gt;=36526,A553,""),IFERROR(DATEVALUE(A553),"")))</f>
        <v/>
      </c>
      <c r="I553" s="0" t="str">
        <f aca="false">IF(H553="","",INT((H553-SAT1)/7)+1)</f>
        <v/>
      </c>
      <c r="J553" s="0" t="str">
        <f aca="false">IF(I553="","",IF(OR(I553&lt;1,I553&gt;NW),"",INDEX(WMON,I553)))</f>
        <v/>
      </c>
    </row>
    <row r="554" customFormat="false" ht="15" hidden="false" customHeight="false" outlineLevel="0" collapsed="false">
      <c r="A554" s="57"/>
      <c r="B554" s="30"/>
      <c r="C554" s="59"/>
      <c r="D554" s="58"/>
      <c r="E554" s="59"/>
      <c r="G554" s="0" t="str">
        <f aca="false">IF(AND(B554&lt;&gt;"",COUNTIF(B$6:B554,B554)=1),MAX(G$5:G553)+1,"")</f>
        <v/>
      </c>
      <c r="H554" s="0" t="str">
        <f aca="false">IF(A554="","",IF(ISNUMBER(A554),IF(A554&gt;=36526,A554,""),IFERROR(DATEVALUE(A554),"")))</f>
        <v/>
      </c>
      <c r="I554" s="0" t="str">
        <f aca="false">IF(H554="","",INT((H554-SAT1)/7)+1)</f>
        <v/>
      </c>
      <c r="J554" s="0" t="str">
        <f aca="false">IF(I554="","",IF(OR(I554&lt;1,I554&gt;NW),"",INDEX(WMON,I554)))</f>
        <v/>
      </c>
    </row>
    <row r="555" customFormat="false" ht="15" hidden="false" customHeight="false" outlineLevel="0" collapsed="false">
      <c r="A555" s="57"/>
      <c r="B555" s="30"/>
      <c r="C555" s="59"/>
      <c r="D555" s="58"/>
      <c r="E555" s="59"/>
      <c r="G555" s="0" t="str">
        <f aca="false">IF(AND(B555&lt;&gt;"",COUNTIF(B$6:B555,B555)=1),MAX(G$5:G554)+1,"")</f>
        <v/>
      </c>
      <c r="H555" s="0" t="str">
        <f aca="false">IF(A555="","",IF(ISNUMBER(A555),IF(A555&gt;=36526,A555,""),IFERROR(DATEVALUE(A555),"")))</f>
        <v/>
      </c>
      <c r="I555" s="0" t="str">
        <f aca="false">IF(H555="","",INT((H555-SAT1)/7)+1)</f>
        <v/>
      </c>
      <c r="J555" s="0" t="str">
        <f aca="false">IF(I555="","",IF(OR(I555&lt;1,I555&gt;NW),"",INDEX(WMON,I555)))</f>
        <v/>
      </c>
    </row>
    <row r="556" customFormat="false" ht="15" hidden="false" customHeight="false" outlineLevel="0" collapsed="false">
      <c r="A556" s="57"/>
      <c r="B556" s="30"/>
      <c r="C556" s="59"/>
      <c r="D556" s="58"/>
      <c r="E556" s="59"/>
      <c r="G556" s="0" t="str">
        <f aca="false">IF(AND(B556&lt;&gt;"",COUNTIF(B$6:B556,B556)=1),MAX(G$5:G555)+1,"")</f>
        <v/>
      </c>
      <c r="H556" s="0" t="str">
        <f aca="false">IF(A556="","",IF(ISNUMBER(A556),IF(A556&gt;=36526,A556,""),IFERROR(DATEVALUE(A556),"")))</f>
        <v/>
      </c>
      <c r="I556" s="0" t="str">
        <f aca="false">IF(H556="","",INT((H556-SAT1)/7)+1)</f>
        <v/>
      </c>
      <c r="J556" s="0" t="str">
        <f aca="false">IF(I556="","",IF(OR(I556&lt;1,I556&gt;NW),"",INDEX(WMON,I556)))</f>
        <v/>
      </c>
    </row>
    <row r="557" customFormat="false" ht="15" hidden="false" customHeight="false" outlineLevel="0" collapsed="false">
      <c r="A557" s="57"/>
      <c r="B557" s="30"/>
      <c r="C557" s="59"/>
      <c r="D557" s="58"/>
      <c r="E557" s="59"/>
      <c r="G557" s="0" t="str">
        <f aca="false">IF(AND(B557&lt;&gt;"",COUNTIF(B$6:B557,B557)=1),MAX(G$5:G556)+1,"")</f>
        <v/>
      </c>
      <c r="H557" s="0" t="str">
        <f aca="false">IF(A557="","",IF(ISNUMBER(A557),IF(A557&gt;=36526,A557,""),IFERROR(DATEVALUE(A557),"")))</f>
        <v/>
      </c>
      <c r="I557" s="0" t="str">
        <f aca="false">IF(H557="","",INT((H557-SAT1)/7)+1)</f>
        <v/>
      </c>
      <c r="J557" s="0" t="str">
        <f aca="false">IF(I557="","",IF(OR(I557&lt;1,I557&gt;NW),"",INDEX(WMON,I557)))</f>
        <v/>
      </c>
    </row>
    <row r="558" customFormat="false" ht="15" hidden="false" customHeight="false" outlineLevel="0" collapsed="false">
      <c r="A558" s="57"/>
      <c r="B558" s="30"/>
      <c r="C558" s="59"/>
      <c r="D558" s="58"/>
      <c r="E558" s="59"/>
      <c r="G558" s="0" t="str">
        <f aca="false">IF(AND(B558&lt;&gt;"",COUNTIF(B$6:B558,B558)=1),MAX(G$5:G557)+1,"")</f>
        <v/>
      </c>
      <c r="H558" s="0" t="str">
        <f aca="false">IF(A558="","",IF(ISNUMBER(A558),IF(A558&gt;=36526,A558,""),IFERROR(DATEVALUE(A558),"")))</f>
        <v/>
      </c>
      <c r="I558" s="0" t="str">
        <f aca="false">IF(H558="","",INT((H558-SAT1)/7)+1)</f>
        <v/>
      </c>
      <c r="J558" s="0" t="str">
        <f aca="false">IF(I558="","",IF(OR(I558&lt;1,I558&gt;NW),"",INDEX(WMON,I558)))</f>
        <v/>
      </c>
    </row>
    <row r="559" customFormat="false" ht="15" hidden="false" customHeight="false" outlineLevel="0" collapsed="false">
      <c r="A559" s="57"/>
      <c r="B559" s="30"/>
      <c r="C559" s="59"/>
      <c r="D559" s="58"/>
      <c r="E559" s="59"/>
      <c r="G559" s="0" t="str">
        <f aca="false">IF(AND(B559&lt;&gt;"",COUNTIF(B$6:B559,B559)=1),MAX(G$5:G558)+1,"")</f>
        <v/>
      </c>
      <c r="H559" s="0" t="str">
        <f aca="false">IF(A559="","",IF(ISNUMBER(A559),IF(A559&gt;=36526,A559,""),IFERROR(DATEVALUE(A559),"")))</f>
        <v/>
      </c>
      <c r="I559" s="0" t="str">
        <f aca="false">IF(H559="","",INT((H559-SAT1)/7)+1)</f>
        <v/>
      </c>
      <c r="J559" s="0" t="str">
        <f aca="false">IF(I559="","",IF(OR(I559&lt;1,I559&gt;NW),"",INDEX(WMON,I559)))</f>
        <v/>
      </c>
    </row>
    <row r="560" customFormat="false" ht="15" hidden="false" customHeight="false" outlineLevel="0" collapsed="false">
      <c r="A560" s="57"/>
      <c r="B560" s="30"/>
      <c r="C560" s="59"/>
      <c r="D560" s="58"/>
      <c r="E560" s="59"/>
      <c r="G560" s="0" t="str">
        <f aca="false">IF(AND(B560&lt;&gt;"",COUNTIF(B$6:B560,B560)=1),MAX(G$5:G559)+1,"")</f>
        <v/>
      </c>
      <c r="H560" s="0" t="str">
        <f aca="false">IF(A560="","",IF(ISNUMBER(A560),IF(A560&gt;=36526,A560,""),IFERROR(DATEVALUE(A560),"")))</f>
        <v/>
      </c>
      <c r="I560" s="0" t="str">
        <f aca="false">IF(H560="","",INT((H560-SAT1)/7)+1)</f>
        <v/>
      </c>
      <c r="J560" s="0" t="str">
        <f aca="false">IF(I560="","",IF(OR(I560&lt;1,I560&gt;NW),"",INDEX(WMON,I560)))</f>
        <v/>
      </c>
    </row>
    <row r="561" customFormat="false" ht="15" hidden="false" customHeight="false" outlineLevel="0" collapsed="false">
      <c r="A561" s="57"/>
      <c r="B561" s="30"/>
      <c r="C561" s="59"/>
      <c r="D561" s="58"/>
      <c r="E561" s="59"/>
      <c r="G561" s="0" t="str">
        <f aca="false">IF(AND(B561&lt;&gt;"",COUNTIF(B$6:B561,B561)=1),MAX(G$5:G560)+1,"")</f>
        <v/>
      </c>
      <c r="H561" s="0" t="str">
        <f aca="false">IF(A561="","",IF(ISNUMBER(A561),IF(A561&gt;=36526,A561,""),IFERROR(DATEVALUE(A561),"")))</f>
        <v/>
      </c>
      <c r="I561" s="0" t="str">
        <f aca="false">IF(H561="","",INT((H561-SAT1)/7)+1)</f>
        <v/>
      </c>
      <c r="J561" s="0" t="str">
        <f aca="false">IF(I561="","",IF(OR(I561&lt;1,I561&gt;NW),"",INDEX(WMON,I561)))</f>
        <v/>
      </c>
    </row>
    <row r="562" customFormat="false" ht="15" hidden="false" customHeight="false" outlineLevel="0" collapsed="false">
      <c r="A562" s="57"/>
      <c r="B562" s="30"/>
      <c r="C562" s="59"/>
      <c r="D562" s="58"/>
      <c r="E562" s="59"/>
      <c r="G562" s="0" t="str">
        <f aca="false">IF(AND(B562&lt;&gt;"",COUNTIF(B$6:B562,B562)=1),MAX(G$5:G561)+1,"")</f>
        <v/>
      </c>
      <c r="H562" s="0" t="str">
        <f aca="false">IF(A562="","",IF(ISNUMBER(A562),IF(A562&gt;=36526,A562,""),IFERROR(DATEVALUE(A562),"")))</f>
        <v/>
      </c>
      <c r="I562" s="0" t="str">
        <f aca="false">IF(H562="","",INT((H562-SAT1)/7)+1)</f>
        <v/>
      </c>
      <c r="J562" s="0" t="str">
        <f aca="false">IF(I562="","",IF(OR(I562&lt;1,I562&gt;NW),"",INDEX(WMON,I562)))</f>
        <v/>
      </c>
    </row>
    <row r="563" customFormat="false" ht="15" hidden="false" customHeight="false" outlineLevel="0" collapsed="false">
      <c r="A563" s="57"/>
      <c r="B563" s="30"/>
      <c r="C563" s="59"/>
      <c r="D563" s="58"/>
      <c r="E563" s="59"/>
      <c r="G563" s="0" t="str">
        <f aca="false">IF(AND(B563&lt;&gt;"",COUNTIF(B$6:B563,B563)=1),MAX(G$5:G562)+1,"")</f>
        <v/>
      </c>
      <c r="H563" s="0" t="str">
        <f aca="false">IF(A563="","",IF(ISNUMBER(A563),IF(A563&gt;=36526,A563,""),IFERROR(DATEVALUE(A563),"")))</f>
        <v/>
      </c>
      <c r="I563" s="0" t="str">
        <f aca="false">IF(H563="","",INT((H563-SAT1)/7)+1)</f>
        <v/>
      </c>
      <c r="J563" s="0" t="str">
        <f aca="false">IF(I563="","",IF(OR(I563&lt;1,I563&gt;NW),"",INDEX(WMON,I563)))</f>
        <v/>
      </c>
    </row>
    <row r="564" customFormat="false" ht="15" hidden="false" customHeight="false" outlineLevel="0" collapsed="false">
      <c r="A564" s="57"/>
      <c r="B564" s="30"/>
      <c r="C564" s="59"/>
      <c r="D564" s="58"/>
      <c r="E564" s="59"/>
      <c r="G564" s="0" t="str">
        <f aca="false">IF(AND(B564&lt;&gt;"",COUNTIF(B$6:B564,B564)=1),MAX(G$5:G563)+1,"")</f>
        <v/>
      </c>
      <c r="H564" s="0" t="str">
        <f aca="false">IF(A564="","",IF(ISNUMBER(A564),IF(A564&gt;=36526,A564,""),IFERROR(DATEVALUE(A564),"")))</f>
        <v/>
      </c>
      <c r="I564" s="0" t="str">
        <f aca="false">IF(H564="","",INT((H564-SAT1)/7)+1)</f>
        <v/>
      </c>
      <c r="J564" s="0" t="str">
        <f aca="false">IF(I564="","",IF(OR(I564&lt;1,I564&gt;NW),"",INDEX(WMON,I564)))</f>
        <v/>
      </c>
    </row>
    <row r="565" customFormat="false" ht="15" hidden="false" customHeight="false" outlineLevel="0" collapsed="false">
      <c r="A565" s="57"/>
      <c r="B565" s="30"/>
      <c r="C565" s="59"/>
      <c r="D565" s="58"/>
      <c r="E565" s="59"/>
      <c r="G565" s="0" t="str">
        <f aca="false">IF(AND(B565&lt;&gt;"",COUNTIF(B$6:B565,B565)=1),MAX(G$5:G564)+1,"")</f>
        <v/>
      </c>
      <c r="H565" s="0" t="str">
        <f aca="false">IF(A565="","",IF(ISNUMBER(A565),IF(A565&gt;=36526,A565,""),IFERROR(DATEVALUE(A565),"")))</f>
        <v/>
      </c>
      <c r="I565" s="0" t="str">
        <f aca="false">IF(H565="","",INT((H565-SAT1)/7)+1)</f>
        <v/>
      </c>
      <c r="J565" s="0" t="str">
        <f aca="false">IF(I565="","",IF(OR(I565&lt;1,I565&gt;NW),"",INDEX(WMON,I565)))</f>
        <v/>
      </c>
    </row>
    <row r="566" customFormat="false" ht="15" hidden="false" customHeight="false" outlineLevel="0" collapsed="false">
      <c r="A566" s="57"/>
      <c r="B566" s="30"/>
      <c r="C566" s="59"/>
      <c r="D566" s="58"/>
      <c r="E566" s="59"/>
      <c r="G566" s="0" t="str">
        <f aca="false">IF(AND(B566&lt;&gt;"",COUNTIF(B$6:B566,B566)=1),MAX(G$5:G565)+1,"")</f>
        <v/>
      </c>
      <c r="H566" s="0" t="str">
        <f aca="false">IF(A566="","",IF(ISNUMBER(A566),IF(A566&gt;=36526,A566,""),IFERROR(DATEVALUE(A566),"")))</f>
        <v/>
      </c>
      <c r="I566" s="0" t="str">
        <f aca="false">IF(H566="","",INT((H566-SAT1)/7)+1)</f>
        <v/>
      </c>
      <c r="J566" s="0" t="str">
        <f aca="false">IF(I566="","",IF(OR(I566&lt;1,I566&gt;NW),"",INDEX(WMON,I566)))</f>
        <v/>
      </c>
    </row>
    <row r="567" customFormat="false" ht="15" hidden="false" customHeight="false" outlineLevel="0" collapsed="false">
      <c r="A567" s="57"/>
      <c r="B567" s="30"/>
      <c r="C567" s="59"/>
      <c r="D567" s="58"/>
      <c r="E567" s="59"/>
      <c r="G567" s="0" t="str">
        <f aca="false">IF(AND(B567&lt;&gt;"",COUNTIF(B$6:B567,B567)=1),MAX(G$5:G566)+1,"")</f>
        <v/>
      </c>
      <c r="H567" s="0" t="str">
        <f aca="false">IF(A567="","",IF(ISNUMBER(A567),IF(A567&gt;=36526,A567,""),IFERROR(DATEVALUE(A567),"")))</f>
        <v/>
      </c>
      <c r="I567" s="0" t="str">
        <f aca="false">IF(H567="","",INT((H567-SAT1)/7)+1)</f>
        <v/>
      </c>
      <c r="J567" s="0" t="str">
        <f aca="false">IF(I567="","",IF(OR(I567&lt;1,I567&gt;NW),"",INDEX(WMON,I567)))</f>
        <v/>
      </c>
    </row>
    <row r="568" customFormat="false" ht="15" hidden="false" customHeight="false" outlineLevel="0" collapsed="false">
      <c r="A568" s="57"/>
      <c r="B568" s="30"/>
      <c r="C568" s="59"/>
      <c r="D568" s="58"/>
      <c r="E568" s="59"/>
      <c r="G568" s="0" t="str">
        <f aca="false">IF(AND(B568&lt;&gt;"",COUNTIF(B$6:B568,B568)=1),MAX(G$5:G567)+1,"")</f>
        <v/>
      </c>
      <c r="H568" s="0" t="str">
        <f aca="false">IF(A568="","",IF(ISNUMBER(A568),IF(A568&gt;=36526,A568,""),IFERROR(DATEVALUE(A568),"")))</f>
        <v/>
      </c>
      <c r="I568" s="0" t="str">
        <f aca="false">IF(H568="","",INT((H568-SAT1)/7)+1)</f>
        <v/>
      </c>
      <c r="J568" s="0" t="str">
        <f aca="false">IF(I568="","",IF(OR(I568&lt;1,I568&gt;NW),"",INDEX(WMON,I568)))</f>
        <v/>
      </c>
    </row>
    <row r="569" customFormat="false" ht="15" hidden="false" customHeight="false" outlineLevel="0" collapsed="false">
      <c r="A569" s="57"/>
      <c r="B569" s="30"/>
      <c r="C569" s="59"/>
      <c r="D569" s="58"/>
      <c r="E569" s="59"/>
      <c r="G569" s="0" t="str">
        <f aca="false">IF(AND(B569&lt;&gt;"",COUNTIF(B$6:B569,B569)=1),MAX(G$5:G568)+1,"")</f>
        <v/>
      </c>
      <c r="H569" s="0" t="str">
        <f aca="false">IF(A569="","",IF(ISNUMBER(A569),IF(A569&gt;=36526,A569,""),IFERROR(DATEVALUE(A569),"")))</f>
        <v/>
      </c>
      <c r="I569" s="0" t="str">
        <f aca="false">IF(H569="","",INT((H569-SAT1)/7)+1)</f>
        <v/>
      </c>
      <c r="J569" s="0" t="str">
        <f aca="false">IF(I569="","",IF(OR(I569&lt;1,I569&gt;NW),"",INDEX(WMON,I569)))</f>
        <v/>
      </c>
    </row>
    <row r="570" customFormat="false" ht="15" hidden="false" customHeight="false" outlineLevel="0" collapsed="false">
      <c r="A570" s="57"/>
      <c r="B570" s="30"/>
      <c r="C570" s="59"/>
      <c r="D570" s="58"/>
      <c r="E570" s="59"/>
      <c r="G570" s="0" t="str">
        <f aca="false">IF(AND(B570&lt;&gt;"",COUNTIF(B$6:B570,B570)=1),MAX(G$5:G569)+1,"")</f>
        <v/>
      </c>
      <c r="H570" s="0" t="str">
        <f aca="false">IF(A570="","",IF(ISNUMBER(A570),IF(A570&gt;=36526,A570,""),IFERROR(DATEVALUE(A570),"")))</f>
        <v/>
      </c>
      <c r="I570" s="0" t="str">
        <f aca="false">IF(H570="","",INT((H570-SAT1)/7)+1)</f>
        <v/>
      </c>
      <c r="J570" s="0" t="str">
        <f aca="false">IF(I570="","",IF(OR(I570&lt;1,I570&gt;NW),"",INDEX(WMON,I570)))</f>
        <v/>
      </c>
    </row>
    <row r="571" customFormat="false" ht="15" hidden="false" customHeight="false" outlineLevel="0" collapsed="false">
      <c r="A571" s="57"/>
      <c r="B571" s="30"/>
      <c r="C571" s="59"/>
      <c r="D571" s="58"/>
      <c r="E571" s="59"/>
      <c r="G571" s="0" t="str">
        <f aca="false">IF(AND(B571&lt;&gt;"",COUNTIF(B$6:B571,B571)=1),MAX(G$5:G570)+1,"")</f>
        <v/>
      </c>
      <c r="H571" s="0" t="str">
        <f aca="false">IF(A571="","",IF(ISNUMBER(A571),IF(A571&gt;=36526,A571,""),IFERROR(DATEVALUE(A571),"")))</f>
        <v/>
      </c>
      <c r="I571" s="0" t="str">
        <f aca="false">IF(H571="","",INT((H571-SAT1)/7)+1)</f>
        <v/>
      </c>
      <c r="J571" s="0" t="str">
        <f aca="false">IF(I571="","",IF(OR(I571&lt;1,I571&gt;NW),"",INDEX(WMON,I571)))</f>
        <v/>
      </c>
    </row>
    <row r="572" customFormat="false" ht="15" hidden="false" customHeight="false" outlineLevel="0" collapsed="false">
      <c r="A572" s="57"/>
      <c r="B572" s="30"/>
      <c r="C572" s="59"/>
      <c r="D572" s="58"/>
      <c r="E572" s="59"/>
      <c r="G572" s="0" t="str">
        <f aca="false">IF(AND(B572&lt;&gt;"",COUNTIF(B$6:B572,B572)=1),MAX(G$5:G571)+1,"")</f>
        <v/>
      </c>
      <c r="H572" s="0" t="str">
        <f aca="false">IF(A572="","",IF(ISNUMBER(A572),IF(A572&gt;=36526,A572,""),IFERROR(DATEVALUE(A572),"")))</f>
        <v/>
      </c>
      <c r="I572" s="0" t="str">
        <f aca="false">IF(H572="","",INT((H572-SAT1)/7)+1)</f>
        <v/>
      </c>
      <c r="J572" s="0" t="str">
        <f aca="false">IF(I572="","",IF(OR(I572&lt;1,I572&gt;NW),"",INDEX(WMON,I572)))</f>
        <v/>
      </c>
    </row>
    <row r="573" customFormat="false" ht="15" hidden="false" customHeight="false" outlineLevel="0" collapsed="false">
      <c r="A573" s="57"/>
      <c r="B573" s="30"/>
      <c r="C573" s="59"/>
      <c r="D573" s="58"/>
      <c r="E573" s="59"/>
      <c r="G573" s="0" t="str">
        <f aca="false">IF(AND(B573&lt;&gt;"",COUNTIF(B$6:B573,B573)=1),MAX(G$5:G572)+1,"")</f>
        <v/>
      </c>
      <c r="H573" s="0" t="str">
        <f aca="false">IF(A573="","",IF(ISNUMBER(A573),IF(A573&gt;=36526,A573,""),IFERROR(DATEVALUE(A573),"")))</f>
        <v/>
      </c>
      <c r="I573" s="0" t="str">
        <f aca="false">IF(H573="","",INT((H573-SAT1)/7)+1)</f>
        <v/>
      </c>
      <c r="J573" s="0" t="str">
        <f aca="false">IF(I573="","",IF(OR(I573&lt;1,I573&gt;NW),"",INDEX(WMON,I573)))</f>
        <v/>
      </c>
    </row>
    <row r="574" customFormat="false" ht="15" hidden="false" customHeight="false" outlineLevel="0" collapsed="false">
      <c r="A574" s="57"/>
      <c r="B574" s="30"/>
      <c r="C574" s="59"/>
      <c r="D574" s="58"/>
      <c r="E574" s="59"/>
      <c r="G574" s="0" t="str">
        <f aca="false">IF(AND(B574&lt;&gt;"",COUNTIF(B$6:B574,B574)=1),MAX(G$5:G573)+1,"")</f>
        <v/>
      </c>
      <c r="H574" s="0" t="str">
        <f aca="false">IF(A574="","",IF(ISNUMBER(A574),IF(A574&gt;=36526,A574,""),IFERROR(DATEVALUE(A574),"")))</f>
        <v/>
      </c>
      <c r="I574" s="0" t="str">
        <f aca="false">IF(H574="","",INT((H574-SAT1)/7)+1)</f>
        <v/>
      </c>
      <c r="J574" s="0" t="str">
        <f aca="false">IF(I574="","",IF(OR(I574&lt;1,I574&gt;NW),"",INDEX(WMON,I574)))</f>
        <v/>
      </c>
    </row>
    <row r="575" customFormat="false" ht="15" hidden="false" customHeight="false" outlineLevel="0" collapsed="false">
      <c r="A575" s="57"/>
      <c r="B575" s="30"/>
      <c r="C575" s="59"/>
      <c r="D575" s="58"/>
      <c r="E575" s="59"/>
      <c r="G575" s="0" t="str">
        <f aca="false">IF(AND(B575&lt;&gt;"",COUNTIF(B$6:B575,B575)=1),MAX(G$5:G574)+1,"")</f>
        <v/>
      </c>
      <c r="H575" s="0" t="str">
        <f aca="false">IF(A575="","",IF(ISNUMBER(A575),IF(A575&gt;=36526,A575,""),IFERROR(DATEVALUE(A575),"")))</f>
        <v/>
      </c>
      <c r="I575" s="0" t="str">
        <f aca="false">IF(H575="","",INT((H575-SAT1)/7)+1)</f>
        <v/>
      </c>
      <c r="J575" s="0" t="str">
        <f aca="false">IF(I575="","",IF(OR(I575&lt;1,I575&gt;NW),"",INDEX(WMON,I575)))</f>
        <v/>
      </c>
    </row>
    <row r="576" customFormat="false" ht="15" hidden="false" customHeight="false" outlineLevel="0" collapsed="false">
      <c r="A576" s="57"/>
      <c r="B576" s="30"/>
      <c r="C576" s="59"/>
      <c r="D576" s="58"/>
      <c r="E576" s="59"/>
      <c r="G576" s="0" t="str">
        <f aca="false">IF(AND(B576&lt;&gt;"",COUNTIF(B$6:B576,B576)=1),MAX(G$5:G575)+1,"")</f>
        <v/>
      </c>
      <c r="H576" s="0" t="str">
        <f aca="false">IF(A576="","",IF(ISNUMBER(A576),IF(A576&gt;=36526,A576,""),IFERROR(DATEVALUE(A576),"")))</f>
        <v/>
      </c>
      <c r="I576" s="0" t="str">
        <f aca="false">IF(H576="","",INT((H576-SAT1)/7)+1)</f>
        <v/>
      </c>
      <c r="J576" s="0" t="str">
        <f aca="false">IF(I576="","",IF(OR(I576&lt;1,I576&gt;NW),"",INDEX(WMON,I576)))</f>
        <v/>
      </c>
    </row>
    <row r="577" customFormat="false" ht="15" hidden="false" customHeight="false" outlineLevel="0" collapsed="false">
      <c r="A577" s="57"/>
      <c r="B577" s="30"/>
      <c r="C577" s="59"/>
      <c r="D577" s="58"/>
      <c r="E577" s="59"/>
      <c r="G577" s="0" t="str">
        <f aca="false">IF(AND(B577&lt;&gt;"",COUNTIF(B$6:B577,B577)=1),MAX(G$5:G576)+1,"")</f>
        <v/>
      </c>
      <c r="H577" s="0" t="str">
        <f aca="false">IF(A577="","",IF(ISNUMBER(A577),IF(A577&gt;=36526,A577,""),IFERROR(DATEVALUE(A577),"")))</f>
        <v/>
      </c>
      <c r="I577" s="0" t="str">
        <f aca="false">IF(H577="","",INT((H577-SAT1)/7)+1)</f>
        <v/>
      </c>
      <c r="J577" s="0" t="str">
        <f aca="false">IF(I577="","",IF(OR(I577&lt;1,I577&gt;NW),"",INDEX(WMON,I577)))</f>
        <v/>
      </c>
    </row>
    <row r="578" customFormat="false" ht="15" hidden="false" customHeight="false" outlineLevel="0" collapsed="false">
      <c r="A578" s="57"/>
      <c r="B578" s="30"/>
      <c r="C578" s="59"/>
      <c r="D578" s="58"/>
      <c r="E578" s="59"/>
      <c r="G578" s="0" t="str">
        <f aca="false">IF(AND(B578&lt;&gt;"",COUNTIF(B$6:B578,B578)=1),MAX(G$5:G577)+1,"")</f>
        <v/>
      </c>
      <c r="H578" s="0" t="str">
        <f aca="false">IF(A578="","",IF(ISNUMBER(A578),IF(A578&gt;=36526,A578,""),IFERROR(DATEVALUE(A578),"")))</f>
        <v/>
      </c>
      <c r="I578" s="0" t="str">
        <f aca="false">IF(H578="","",INT((H578-SAT1)/7)+1)</f>
        <v/>
      </c>
      <c r="J578" s="0" t="str">
        <f aca="false">IF(I578="","",IF(OR(I578&lt;1,I578&gt;NW),"",INDEX(WMON,I578)))</f>
        <v/>
      </c>
    </row>
    <row r="579" customFormat="false" ht="15" hidden="false" customHeight="false" outlineLevel="0" collapsed="false">
      <c r="A579" s="57"/>
      <c r="B579" s="30"/>
      <c r="C579" s="59"/>
      <c r="D579" s="58"/>
      <c r="E579" s="59"/>
      <c r="G579" s="0" t="str">
        <f aca="false">IF(AND(B579&lt;&gt;"",COUNTIF(B$6:B579,B579)=1),MAX(G$5:G578)+1,"")</f>
        <v/>
      </c>
      <c r="H579" s="0" t="str">
        <f aca="false">IF(A579="","",IF(ISNUMBER(A579),IF(A579&gt;=36526,A579,""),IFERROR(DATEVALUE(A579),"")))</f>
        <v/>
      </c>
      <c r="I579" s="0" t="str">
        <f aca="false">IF(H579="","",INT((H579-SAT1)/7)+1)</f>
        <v/>
      </c>
      <c r="J579" s="0" t="str">
        <f aca="false">IF(I579="","",IF(OR(I579&lt;1,I579&gt;NW),"",INDEX(WMON,I579)))</f>
        <v/>
      </c>
    </row>
    <row r="580" customFormat="false" ht="15" hidden="false" customHeight="false" outlineLevel="0" collapsed="false">
      <c r="A580" s="57"/>
      <c r="B580" s="30"/>
      <c r="C580" s="59"/>
      <c r="D580" s="58"/>
      <c r="E580" s="59"/>
      <c r="G580" s="0" t="str">
        <f aca="false">IF(AND(B580&lt;&gt;"",COUNTIF(B$6:B580,B580)=1),MAX(G$5:G579)+1,"")</f>
        <v/>
      </c>
      <c r="H580" s="0" t="str">
        <f aca="false">IF(A580="","",IF(ISNUMBER(A580),IF(A580&gt;=36526,A580,""),IFERROR(DATEVALUE(A580),"")))</f>
        <v/>
      </c>
      <c r="I580" s="0" t="str">
        <f aca="false">IF(H580="","",INT((H580-SAT1)/7)+1)</f>
        <v/>
      </c>
      <c r="J580" s="0" t="str">
        <f aca="false">IF(I580="","",IF(OR(I580&lt;1,I580&gt;NW),"",INDEX(WMON,I580)))</f>
        <v/>
      </c>
    </row>
    <row r="581" customFormat="false" ht="15" hidden="false" customHeight="false" outlineLevel="0" collapsed="false">
      <c r="A581" s="57"/>
      <c r="B581" s="30"/>
      <c r="C581" s="59"/>
      <c r="D581" s="58"/>
      <c r="E581" s="59"/>
      <c r="G581" s="0" t="str">
        <f aca="false">IF(AND(B581&lt;&gt;"",COUNTIF(B$6:B581,B581)=1),MAX(G$5:G580)+1,"")</f>
        <v/>
      </c>
      <c r="H581" s="0" t="str">
        <f aca="false">IF(A581="","",IF(ISNUMBER(A581),IF(A581&gt;=36526,A581,""),IFERROR(DATEVALUE(A581),"")))</f>
        <v/>
      </c>
      <c r="I581" s="0" t="str">
        <f aca="false">IF(H581="","",INT((H581-SAT1)/7)+1)</f>
        <v/>
      </c>
      <c r="J581" s="0" t="str">
        <f aca="false">IF(I581="","",IF(OR(I581&lt;1,I581&gt;NW),"",INDEX(WMON,I581)))</f>
        <v/>
      </c>
    </row>
    <row r="582" customFormat="false" ht="15" hidden="false" customHeight="false" outlineLevel="0" collapsed="false">
      <c r="A582" s="57"/>
      <c r="B582" s="30"/>
      <c r="C582" s="59"/>
      <c r="D582" s="58"/>
      <c r="E582" s="59"/>
      <c r="G582" s="0" t="str">
        <f aca="false">IF(AND(B582&lt;&gt;"",COUNTIF(B$6:B582,B582)=1),MAX(G$5:G581)+1,"")</f>
        <v/>
      </c>
      <c r="H582" s="0" t="str">
        <f aca="false">IF(A582="","",IF(ISNUMBER(A582),IF(A582&gt;=36526,A582,""),IFERROR(DATEVALUE(A582),"")))</f>
        <v/>
      </c>
      <c r="I582" s="0" t="str">
        <f aca="false">IF(H582="","",INT((H582-SAT1)/7)+1)</f>
        <v/>
      </c>
      <c r="J582" s="0" t="str">
        <f aca="false">IF(I582="","",IF(OR(I582&lt;1,I582&gt;NW),"",INDEX(WMON,I582)))</f>
        <v/>
      </c>
    </row>
    <row r="583" customFormat="false" ht="15" hidden="false" customHeight="false" outlineLevel="0" collapsed="false">
      <c r="A583" s="57"/>
      <c r="B583" s="30"/>
      <c r="C583" s="59"/>
      <c r="D583" s="58"/>
      <c r="E583" s="59"/>
      <c r="G583" s="0" t="str">
        <f aca="false">IF(AND(B583&lt;&gt;"",COUNTIF(B$6:B583,B583)=1),MAX(G$5:G582)+1,"")</f>
        <v/>
      </c>
      <c r="H583" s="0" t="str">
        <f aca="false">IF(A583="","",IF(ISNUMBER(A583),IF(A583&gt;=36526,A583,""),IFERROR(DATEVALUE(A583),"")))</f>
        <v/>
      </c>
      <c r="I583" s="0" t="str">
        <f aca="false">IF(H583="","",INT((H583-SAT1)/7)+1)</f>
        <v/>
      </c>
      <c r="J583" s="0" t="str">
        <f aca="false">IF(I583="","",IF(OR(I583&lt;1,I583&gt;NW),"",INDEX(WMON,I583)))</f>
        <v/>
      </c>
    </row>
    <row r="584" customFormat="false" ht="15" hidden="false" customHeight="false" outlineLevel="0" collapsed="false">
      <c r="A584" s="57"/>
      <c r="B584" s="30"/>
      <c r="C584" s="59"/>
      <c r="D584" s="58"/>
      <c r="E584" s="59"/>
      <c r="G584" s="0" t="str">
        <f aca="false">IF(AND(B584&lt;&gt;"",COUNTIF(B$6:B584,B584)=1),MAX(G$5:G583)+1,"")</f>
        <v/>
      </c>
      <c r="H584" s="0" t="str">
        <f aca="false">IF(A584="","",IF(ISNUMBER(A584),IF(A584&gt;=36526,A584,""),IFERROR(DATEVALUE(A584),"")))</f>
        <v/>
      </c>
      <c r="I584" s="0" t="str">
        <f aca="false">IF(H584="","",INT((H584-SAT1)/7)+1)</f>
        <v/>
      </c>
      <c r="J584" s="0" t="str">
        <f aca="false">IF(I584="","",IF(OR(I584&lt;1,I584&gt;NW),"",INDEX(WMON,I584)))</f>
        <v/>
      </c>
    </row>
    <row r="585" customFormat="false" ht="15" hidden="false" customHeight="false" outlineLevel="0" collapsed="false">
      <c r="A585" s="57"/>
      <c r="B585" s="30"/>
      <c r="C585" s="59"/>
      <c r="D585" s="58"/>
      <c r="E585" s="59"/>
      <c r="G585" s="0" t="str">
        <f aca="false">IF(AND(B585&lt;&gt;"",COUNTIF(B$6:B585,B585)=1),MAX(G$5:G584)+1,"")</f>
        <v/>
      </c>
      <c r="H585" s="0" t="str">
        <f aca="false">IF(A585="","",IF(ISNUMBER(A585),IF(A585&gt;=36526,A585,""),IFERROR(DATEVALUE(A585),"")))</f>
        <v/>
      </c>
      <c r="I585" s="0" t="str">
        <f aca="false">IF(H585="","",INT((H585-SAT1)/7)+1)</f>
        <v/>
      </c>
      <c r="J585" s="0" t="str">
        <f aca="false">IF(I585="","",IF(OR(I585&lt;1,I585&gt;NW),"",INDEX(WMON,I585)))</f>
        <v/>
      </c>
    </row>
    <row r="586" customFormat="false" ht="15" hidden="false" customHeight="false" outlineLevel="0" collapsed="false">
      <c r="A586" s="57"/>
      <c r="B586" s="30"/>
      <c r="C586" s="59"/>
      <c r="D586" s="58"/>
      <c r="E586" s="59"/>
      <c r="G586" s="0" t="str">
        <f aca="false">IF(AND(B586&lt;&gt;"",COUNTIF(B$6:B586,B586)=1),MAX(G$5:G585)+1,"")</f>
        <v/>
      </c>
      <c r="H586" s="0" t="str">
        <f aca="false">IF(A586="","",IF(ISNUMBER(A586),IF(A586&gt;=36526,A586,""),IFERROR(DATEVALUE(A586),"")))</f>
        <v/>
      </c>
      <c r="I586" s="0" t="str">
        <f aca="false">IF(H586="","",INT((H586-SAT1)/7)+1)</f>
        <v/>
      </c>
      <c r="J586" s="0" t="str">
        <f aca="false">IF(I586="","",IF(OR(I586&lt;1,I586&gt;NW),"",INDEX(WMON,I586)))</f>
        <v/>
      </c>
    </row>
    <row r="587" customFormat="false" ht="15" hidden="false" customHeight="false" outlineLevel="0" collapsed="false">
      <c r="A587" s="57"/>
      <c r="B587" s="30"/>
      <c r="C587" s="59"/>
      <c r="D587" s="58"/>
      <c r="E587" s="59"/>
      <c r="G587" s="0" t="str">
        <f aca="false">IF(AND(B587&lt;&gt;"",COUNTIF(B$6:B587,B587)=1),MAX(G$5:G586)+1,"")</f>
        <v/>
      </c>
      <c r="H587" s="0" t="str">
        <f aca="false">IF(A587="","",IF(ISNUMBER(A587),IF(A587&gt;=36526,A587,""),IFERROR(DATEVALUE(A587),"")))</f>
        <v/>
      </c>
      <c r="I587" s="0" t="str">
        <f aca="false">IF(H587="","",INT((H587-SAT1)/7)+1)</f>
        <v/>
      </c>
      <c r="J587" s="0" t="str">
        <f aca="false">IF(I587="","",IF(OR(I587&lt;1,I587&gt;NW),"",INDEX(WMON,I587)))</f>
        <v/>
      </c>
    </row>
    <row r="588" customFormat="false" ht="15" hidden="false" customHeight="false" outlineLevel="0" collapsed="false">
      <c r="A588" s="57"/>
      <c r="B588" s="30"/>
      <c r="C588" s="59"/>
      <c r="D588" s="58"/>
      <c r="E588" s="59"/>
      <c r="G588" s="0" t="str">
        <f aca="false">IF(AND(B588&lt;&gt;"",COUNTIF(B$6:B588,B588)=1),MAX(G$5:G587)+1,"")</f>
        <v/>
      </c>
      <c r="H588" s="0" t="str">
        <f aca="false">IF(A588="","",IF(ISNUMBER(A588),IF(A588&gt;=36526,A588,""),IFERROR(DATEVALUE(A588),"")))</f>
        <v/>
      </c>
      <c r="I588" s="0" t="str">
        <f aca="false">IF(H588="","",INT((H588-SAT1)/7)+1)</f>
        <v/>
      </c>
      <c r="J588" s="0" t="str">
        <f aca="false">IF(I588="","",IF(OR(I588&lt;1,I588&gt;NW),"",INDEX(WMON,I588)))</f>
        <v/>
      </c>
    </row>
    <row r="589" customFormat="false" ht="15" hidden="false" customHeight="false" outlineLevel="0" collapsed="false">
      <c r="A589" s="57"/>
      <c r="B589" s="30"/>
      <c r="C589" s="59"/>
      <c r="D589" s="58"/>
      <c r="E589" s="59"/>
      <c r="G589" s="0" t="str">
        <f aca="false">IF(AND(B589&lt;&gt;"",COUNTIF(B$6:B589,B589)=1),MAX(G$5:G588)+1,"")</f>
        <v/>
      </c>
      <c r="H589" s="0" t="str">
        <f aca="false">IF(A589="","",IF(ISNUMBER(A589),IF(A589&gt;=36526,A589,""),IFERROR(DATEVALUE(A589),"")))</f>
        <v/>
      </c>
      <c r="I589" s="0" t="str">
        <f aca="false">IF(H589="","",INT((H589-SAT1)/7)+1)</f>
        <v/>
      </c>
      <c r="J589" s="0" t="str">
        <f aca="false">IF(I589="","",IF(OR(I589&lt;1,I589&gt;NW),"",INDEX(WMON,I589)))</f>
        <v/>
      </c>
    </row>
    <row r="590" customFormat="false" ht="15" hidden="false" customHeight="false" outlineLevel="0" collapsed="false">
      <c r="A590" s="57"/>
      <c r="B590" s="30"/>
      <c r="C590" s="59"/>
      <c r="D590" s="58"/>
      <c r="E590" s="59"/>
      <c r="G590" s="0" t="str">
        <f aca="false">IF(AND(B590&lt;&gt;"",COUNTIF(B$6:B590,B590)=1),MAX(G$5:G589)+1,"")</f>
        <v/>
      </c>
      <c r="H590" s="0" t="str">
        <f aca="false">IF(A590="","",IF(ISNUMBER(A590),IF(A590&gt;=36526,A590,""),IFERROR(DATEVALUE(A590),"")))</f>
        <v/>
      </c>
      <c r="I590" s="0" t="str">
        <f aca="false">IF(H590="","",INT((H590-SAT1)/7)+1)</f>
        <v/>
      </c>
      <c r="J590" s="0" t="str">
        <f aca="false">IF(I590="","",IF(OR(I590&lt;1,I590&gt;NW),"",INDEX(WMON,I590)))</f>
        <v/>
      </c>
    </row>
    <row r="591" customFormat="false" ht="15" hidden="false" customHeight="false" outlineLevel="0" collapsed="false">
      <c r="A591" s="57"/>
      <c r="B591" s="30"/>
      <c r="C591" s="59"/>
      <c r="D591" s="58"/>
      <c r="E591" s="59"/>
      <c r="G591" s="0" t="str">
        <f aca="false">IF(AND(B591&lt;&gt;"",COUNTIF(B$6:B591,B591)=1),MAX(G$5:G590)+1,"")</f>
        <v/>
      </c>
      <c r="H591" s="0" t="str">
        <f aca="false">IF(A591="","",IF(ISNUMBER(A591),IF(A591&gt;=36526,A591,""),IFERROR(DATEVALUE(A591),"")))</f>
        <v/>
      </c>
      <c r="I591" s="0" t="str">
        <f aca="false">IF(H591="","",INT((H591-SAT1)/7)+1)</f>
        <v/>
      </c>
      <c r="J591" s="0" t="str">
        <f aca="false">IF(I591="","",IF(OR(I591&lt;1,I591&gt;NW),"",INDEX(WMON,I591)))</f>
        <v/>
      </c>
    </row>
    <row r="592" customFormat="false" ht="15" hidden="false" customHeight="false" outlineLevel="0" collapsed="false">
      <c r="A592" s="57"/>
      <c r="B592" s="30"/>
      <c r="C592" s="59"/>
      <c r="D592" s="58"/>
      <c r="E592" s="59"/>
      <c r="G592" s="0" t="str">
        <f aca="false">IF(AND(B592&lt;&gt;"",COUNTIF(B$6:B592,B592)=1),MAX(G$5:G591)+1,"")</f>
        <v/>
      </c>
      <c r="H592" s="0" t="str">
        <f aca="false">IF(A592="","",IF(ISNUMBER(A592),IF(A592&gt;=36526,A592,""),IFERROR(DATEVALUE(A592),"")))</f>
        <v/>
      </c>
      <c r="I592" s="0" t="str">
        <f aca="false">IF(H592="","",INT((H592-SAT1)/7)+1)</f>
        <v/>
      </c>
      <c r="J592" s="0" t="str">
        <f aca="false">IF(I592="","",IF(OR(I592&lt;1,I592&gt;NW),"",INDEX(WMON,I592)))</f>
        <v/>
      </c>
    </row>
    <row r="593" customFormat="false" ht="15" hidden="false" customHeight="false" outlineLevel="0" collapsed="false">
      <c r="A593" s="57"/>
      <c r="B593" s="30"/>
      <c r="C593" s="59"/>
      <c r="D593" s="58"/>
      <c r="E593" s="59"/>
      <c r="G593" s="0" t="str">
        <f aca="false">IF(AND(B593&lt;&gt;"",COUNTIF(B$6:B593,B593)=1),MAX(G$5:G592)+1,"")</f>
        <v/>
      </c>
      <c r="H593" s="0" t="str">
        <f aca="false">IF(A593="","",IF(ISNUMBER(A593),IF(A593&gt;=36526,A593,""),IFERROR(DATEVALUE(A593),"")))</f>
        <v/>
      </c>
      <c r="I593" s="0" t="str">
        <f aca="false">IF(H593="","",INT((H593-SAT1)/7)+1)</f>
        <v/>
      </c>
      <c r="J593" s="0" t="str">
        <f aca="false">IF(I593="","",IF(OR(I593&lt;1,I593&gt;NW),"",INDEX(WMON,I593)))</f>
        <v/>
      </c>
    </row>
    <row r="594" customFormat="false" ht="15" hidden="false" customHeight="false" outlineLevel="0" collapsed="false">
      <c r="A594" s="57"/>
      <c r="B594" s="30"/>
      <c r="C594" s="59"/>
      <c r="D594" s="58"/>
      <c r="E594" s="59"/>
      <c r="G594" s="0" t="str">
        <f aca="false">IF(AND(B594&lt;&gt;"",COUNTIF(B$6:B594,B594)=1),MAX(G$5:G593)+1,"")</f>
        <v/>
      </c>
      <c r="H594" s="0" t="str">
        <f aca="false">IF(A594="","",IF(ISNUMBER(A594),IF(A594&gt;=36526,A594,""),IFERROR(DATEVALUE(A594),"")))</f>
        <v/>
      </c>
      <c r="I594" s="0" t="str">
        <f aca="false">IF(H594="","",INT((H594-SAT1)/7)+1)</f>
        <v/>
      </c>
      <c r="J594" s="0" t="str">
        <f aca="false">IF(I594="","",IF(OR(I594&lt;1,I594&gt;NW),"",INDEX(WMON,I594)))</f>
        <v/>
      </c>
    </row>
    <row r="595" customFormat="false" ht="15" hidden="false" customHeight="false" outlineLevel="0" collapsed="false">
      <c r="A595" s="57"/>
      <c r="B595" s="30"/>
      <c r="C595" s="59"/>
      <c r="D595" s="58"/>
      <c r="E595" s="59"/>
      <c r="G595" s="0" t="str">
        <f aca="false">IF(AND(B595&lt;&gt;"",COUNTIF(B$6:B595,B595)=1),MAX(G$5:G594)+1,"")</f>
        <v/>
      </c>
      <c r="H595" s="0" t="str">
        <f aca="false">IF(A595="","",IF(ISNUMBER(A595),IF(A595&gt;=36526,A595,""),IFERROR(DATEVALUE(A595),"")))</f>
        <v/>
      </c>
      <c r="I595" s="0" t="str">
        <f aca="false">IF(H595="","",INT((H595-SAT1)/7)+1)</f>
        <v/>
      </c>
      <c r="J595" s="0" t="str">
        <f aca="false">IF(I595="","",IF(OR(I595&lt;1,I595&gt;NW),"",INDEX(WMON,I595)))</f>
        <v/>
      </c>
    </row>
    <row r="596" customFormat="false" ht="15" hidden="false" customHeight="false" outlineLevel="0" collapsed="false">
      <c r="A596" s="57"/>
      <c r="B596" s="30"/>
      <c r="C596" s="59"/>
      <c r="D596" s="58"/>
      <c r="E596" s="59"/>
      <c r="G596" s="0" t="str">
        <f aca="false">IF(AND(B596&lt;&gt;"",COUNTIF(B$6:B596,B596)=1),MAX(G$5:G595)+1,"")</f>
        <v/>
      </c>
      <c r="H596" s="0" t="str">
        <f aca="false">IF(A596="","",IF(ISNUMBER(A596),IF(A596&gt;=36526,A596,""),IFERROR(DATEVALUE(A596),"")))</f>
        <v/>
      </c>
      <c r="I596" s="0" t="str">
        <f aca="false">IF(H596="","",INT((H596-SAT1)/7)+1)</f>
        <v/>
      </c>
      <c r="J596" s="0" t="str">
        <f aca="false">IF(I596="","",IF(OR(I596&lt;1,I596&gt;NW),"",INDEX(WMON,I596)))</f>
        <v/>
      </c>
    </row>
    <row r="597" customFormat="false" ht="15" hidden="false" customHeight="false" outlineLevel="0" collapsed="false">
      <c r="A597" s="57"/>
      <c r="B597" s="30"/>
      <c r="C597" s="59"/>
      <c r="D597" s="58"/>
      <c r="E597" s="59"/>
      <c r="G597" s="0" t="str">
        <f aca="false">IF(AND(B597&lt;&gt;"",COUNTIF(B$6:B597,B597)=1),MAX(G$5:G596)+1,"")</f>
        <v/>
      </c>
      <c r="H597" s="0" t="str">
        <f aca="false">IF(A597="","",IF(ISNUMBER(A597),IF(A597&gt;=36526,A597,""),IFERROR(DATEVALUE(A597),"")))</f>
        <v/>
      </c>
      <c r="I597" s="0" t="str">
        <f aca="false">IF(H597="","",INT((H597-SAT1)/7)+1)</f>
        <v/>
      </c>
      <c r="J597" s="0" t="str">
        <f aca="false">IF(I597="","",IF(OR(I597&lt;1,I597&gt;NW),"",INDEX(WMON,I597)))</f>
        <v/>
      </c>
    </row>
    <row r="598" customFormat="false" ht="15" hidden="false" customHeight="false" outlineLevel="0" collapsed="false">
      <c r="A598" s="57"/>
      <c r="B598" s="30"/>
      <c r="C598" s="59"/>
      <c r="D598" s="58"/>
      <c r="E598" s="59"/>
      <c r="G598" s="0" t="str">
        <f aca="false">IF(AND(B598&lt;&gt;"",COUNTIF(B$6:B598,B598)=1),MAX(G$5:G597)+1,"")</f>
        <v/>
      </c>
      <c r="H598" s="0" t="str">
        <f aca="false">IF(A598="","",IF(ISNUMBER(A598),IF(A598&gt;=36526,A598,""),IFERROR(DATEVALUE(A598),"")))</f>
        <v/>
      </c>
      <c r="I598" s="0" t="str">
        <f aca="false">IF(H598="","",INT((H598-SAT1)/7)+1)</f>
        <v/>
      </c>
      <c r="J598" s="0" t="str">
        <f aca="false">IF(I598="","",IF(OR(I598&lt;1,I598&gt;NW),"",INDEX(WMON,I598)))</f>
        <v/>
      </c>
    </row>
    <row r="599" customFormat="false" ht="15" hidden="false" customHeight="false" outlineLevel="0" collapsed="false">
      <c r="A599" s="57"/>
      <c r="B599" s="30"/>
      <c r="C599" s="59"/>
      <c r="D599" s="58"/>
      <c r="E599" s="59"/>
      <c r="G599" s="0" t="str">
        <f aca="false">IF(AND(B599&lt;&gt;"",COUNTIF(B$6:B599,B599)=1),MAX(G$5:G598)+1,"")</f>
        <v/>
      </c>
      <c r="H599" s="0" t="str">
        <f aca="false">IF(A599="","",IF(ISNUMBER(A599),IF(A599&gt;=36526,A599,""),IFERROR(DATEVALUE(A599),"")))</f>
        <v/>
      </c>
      <c r="I599" s="0" t="str">
        <f aca="false">IF(H599="","",INT((H599-SAT1)/7)+1)</f>
        <v/>
      </c>
      <c r="J599" s="0" t="str">
        <f aca="false">IF(I599="","",IF(OR(I599&lt;1,I599&gt;NW),"",INDEX(WMON,I599)))</f>
        <v/>
      </c>
    </row>
    <row r="600" customFormat="false" ht="15" hidden="false" customHeight="false" outlineLevel="0" collapsed="false">
      <c r="A600" s="57"/>
      <c r="B600" s="30"/>
      <c r="C600" s="59"/>
      <c r="D600" s="58"/>
      <c r="E600" s="59"/>
      <c r="G600" s="0" t="str">
        <f aca="false">IF(AND(B600&lt;&gt;"",COUNTIF(B$6:B600,B600)=1),MAX(G$5:G599)+1,"")</f>
        <v/>
      </c>
      <c r="H600" s="0" t="str">
        <f aca="false">IF(A600="","",IF(ISNUMBER(A600),IF(A600&gt;=36526,A600,""),IFERROR(DATEVALUE(A600),"")))</f>
        <v/>
      </c>
      <c r="I600" s="0" t="str">
        <f aca="false">IF(H600="","",INT((H600-SAT1)/7)+1)</f>
        <v/>
      </c>
      <c r="J600" s="0" t="str">
        <f aca="false">IF(I600="","",IF(OR(I600&lt;1,I600&gt;NW),"",INDEX(WMON,I600)))</f>
        <v/>
      </c>
    </row>
    <row r="601" customFormat="false" ht="15" hidden="false" customHeight="false" outlineLevel="0" collapsed="false">
      <c r="A601" s="57"/>
      <c r="B601" s="30"/>
      <c r="C601" s="59"/>
      <c r="D601" s="58"/>
      <c r="E601" s="59"/>
      <c r="G601" s="0" t="str">
        <f aca="false">IF(AND(B601&lt;&gt;"",COUNTIF(B$6:B601,B601)=1),MAX(G$5:G600)+1,"")</f>
        <v/>
      </c>
      <c r="H601" s="0" t="str">
        <f aca="false">IF(A601="","",IF(ISNUMBER(A601),IF(A601&gt;=36526,A601,""),IFERROR(DATEVALUE(A601),"")))</f>
        <v/>
      </c>
      <c r="I601" s="0" t="str">
        <f aca="false">IF(H601="","",INT((H601-SAT1)/7)+1)</f>
        <v/>
      </c>
      <c r="J601" s="0" t="str">
        <f aca="false">IF(I601="","",IF(OR(I601&lt;1,I601&gt;NW),"",INDEX(WMON,I601)))</f>
        <v/>
      </c>
    </row>
    <row r="602" customFormat="false" ht="15" hidden="false" customHeight="false" outlineLevel="0" collapsed="false">
      <c r="A602" s="57"/>
      <c r="B602" s="30"/>
      <c r="C602" s="59"/>
      <c r="D602" s="58"/>
      <c r="E602" s="59"/>
      <c r="G602" s="0" t="str">
        <f aca="false">IF(AND(B602&lt;&gt;"",COUNTIF(B$6:B602,B602)=1),MAX(G$5:G601)+1,"")</f>
        <v/>
      </c>
      <c r="H602" s="0" t="str">
        <f aca="false">IF(A602="","",IF(ISNUMBER(A602),IF(A602&gt;=36526,A602,""),IFERROR(DATEVALUE(A602),"")))</f>
        <v/>
      </c>
      <c r="I602" s="0" t="str">
        <f aca="false">IF(H602="","",INT((H602-SAT1)/7)+1)</f>
        <v/>
      </c>
      <c r="J602" s="0" t="str">
        <f aca="false">IF(I602="","",IF(OR(I602&lt;1,I602&gt;NW),"",INDEX(WMON,I602)))</f>
        <v/>
      </c>
    </row>
    <row r="603" customFormat="false" ht="15" hidden="false" customHeight="false" outlineLevel="0" collapsed="false">
      <c r="A603" s="57"/>
      <c r="B603" s="30"/>
      <c r="C603" s="59"/>
      <c r="D603" s="58"/>
      <c r="E603" s="59"/>
      <c r="G603" s="0" t="str">
        <f aca="false">IF(AND(B603&lt;&gt;"",COUNTIF(B$6:B603,B603)=1),MAX(G$5:G602)+1,"")</f>
        <v/>
      </c>
      <c r="H603" s="0" t="str">
        <f aca="false">IF(A603="","",IF(ISNUMBER(A603),IF(A603&gt;=36526,A603,""),IFERROR(DATEVALUE(A603),"")))</f>
        <v/>
      </c>
      <c r="I603" s="0" t="str">
        <f aca="false">IF(H603="","",INT((H603-SAT1)/7)+1)</f>
        <v/>
      </c>
      <c r="J603" s="0" t="str">
        <f aca="false">IF(I603="","",IF(OR(I603&lt;1,I603&gt;NW),"",INDEX(WMON,I603)))</f>
        <v/>
      </c>
    </row>
    <row r="604" customFormat="false" ht="15" hidden="false" customHeight="false" outlineLevel="0" collapsed="false">
      <c r="A604" s="57"/>
      <c r="B604" s="30"/>
      <c r="C604" s="59"/>
      <c r="D604" s="58"/>
      <c r="E604" s="59"/>
      <c r="G604" s="0" t="str">
        <f aca="false">IF(AND(B604&lt;&gt;"",COUNTIF(B$6:B604,B604)=1),MAX(G$5:G603)+1,"")</f>
        <v/>
      </c>
      <c r="H604" s="0" t="str">
        <f aca="false">IF(A604="","",IF(ISNUMBER(A604),IF(A604&gt;=36526,A604,""),IFERROR(DATEVALUE(A604),"")))</f>
        <v/>
      </c>
      <c r="I604" s="0" t="str">
        <f aca="false">IF(H604="","",INT((H604-SAT1)/7)+1)</f>
        <v/>
      </c>
      <c r="J604" s="0" t="str">
        <f aca="false">IF(I604="","",IF(OR(I604&lt;1,I604&gt;NW),"",INDEX(WMON,I604)))</f>
        <v/>
      </c>
    </row>
    <row r="605" customFormat="false" ht="15" hidden="false" customHeight="false" outlineLevel="0" collapsed="false">
      <c r="A605" s="57"/>
      <c r="B605" s="30"/>
      <c r="C605" s="59"/>
      <c r="D605" s="58"/>
      <c r="E605" s="59"/>
      <c r="G605" s="0" t="str">
        <f aca="false">IF(AND(B605&lt;&gt;"",COUNTIF(B$6:B605,B605)=1),MAX(G$5:G604)+1,"")</f>
        <v/>
      </c>
      <c r="H605" s="0" t="str">
        <f aca="false">IF(A605="","",IF(ISNUMBER(A605),IF(A605&gt;=36526,A605,""),IFERROR(DATEVALUE(A605),"")))</f>
        <v/>
      </c>
      <c r="I605" s="0" t="str">
        <f aca="false">IF(H605="","",INT((H605-SAT1)/7)+1)</f>
        <v/>
      </c>
      <c r="J605" s="0" t="str">
        <f aca="false">IF(I605="","",IF(OR(I605&lt;1,I605&gt;NW),"",INDEX(WMON,I605)))</f>
        <v/>
      </c>
    </row>
    <row r="606" customFormat="false" ht="15" hidden="false" customHeight="false" outlineLevel="0" collapsed="false">
      <c r="C606" s="36" t="s">
        <v>61</v>
      </c>
      <c r="D606" s="68" t="n">
        <f aca="false">SUM(D6:D605)</f>
        <v>0</v>
      </c>
    </row>
    <row r="608" customFormat="false" ht="15" hidden="false" customHeight="true" outlineLevel="0" collapsed="false">
      <c r="A608" s="61" t="str">
        <f aca="false">"ضل "&amp;COUNTBLANK(A6:A605)&amp;" سطر فاضي"</f>
        <v>ضل 600 سطر فاضي</v>
      </c>
      <c r="B608" s="21" t="s">
        <v>62</v>
      </c>
      <c r="C608" s="21"/>
      <c r="D608" s="21"/>
      <c r="E608" s="21"/>
    </row>
  </sheetData>
  <sheetProtection sheet="true" formatColumns="false" formatRows="false"/>
  <mergeCells count="4">
    <mergeCell ref="A1:F1"/>
    <mergeCell ref="A2:F2"/>
    <mergeCell ref="A3:E3"/>
    <mergeCell ref="B608:E608"/>
  </mergeCells>
  <conditionalFormatting sqref="A6:E605">
    <cfRule type="expression" priority="2" aboveAverage="0" equalAverage="0" bottom="0" percent="0" rank="0" text="" dxfId="6">
      <formula>AND($A6&lt;&gt;"",$H6="")</formula>
    </cfRule>
  </conditionalFormatting>
  <dataValidations count="1">
    <dataValidation allowBlank="true" errorStyle="stop" operator="between" prompt="اختار من آخر 14 يوم، أو اكتب التاريخ كامل مثل 05/10/2026" promptTitle="التاريخ" showDropDown="false" showErrorMessage="false" showInputMessage="true" sqref="A6:A605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4" min="2" style="0" width="13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7"/>
  </cols>
  <sheetData>
    <row r="1" customFormat="false" ht="31.5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1.75" hidden="false" customHeight="true" outlineLevel="0" collapsed="false">
      <c r="A2" s="20" t="str">
        <f aca="false">"سنة "&amp;YR&amp;"   (السنة بتنختار من ورقة «السنة»)"</f>
        <v>سنة 2026   (السنة بتنختار من ورقة «السنة»)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customFormat="false" ht="27.75" hidden="false" customHeight="true" outlineLevel="0" collapsed="false">
      <c r="A3" s="19" t="s">
        <v>64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customFormat="false" ht="21.75" hidden="false" customHeight="true" outlineLevel="0" collapsed="false">
      <c r="A4" s="8" t="s">
        <v>4</v>
      </c>
      <c r="B4" s="9" t="s">
        <v>5</v>
      </c>
      <c r="C4" s="10" t="s">
        <v>6</v>
      </c>
    </row>
    <row r="6" customFormat="false" ht="16.15" hidden="false" customHeight="true" outlineLevel="0" collapsed="false">
      <c r="A6" s="69" t="s">
        <v>15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</row>
    <row r="7" customFormat="false" ht="30" hidden="false" customHeight="true" outlineLevel="0" collapsed="false">
      <c r="A7" s="27" t="s">
        <v>2</v>
      </c>
      <c r="B7" s="27" t="s">
        <v>65</v>
      </c>
      <c r="C7" s="27" t="s">
        <v>66</v>
      </c>
      <c r="D7" s="27" t="s">
        <v>8</v>
      </c>
      <c r="E7" s="27" t="s">
        <v>9</v>
      </c>
      <c r="F7" s="27" t="s">
        <v>10</v>
      </c>
      <c r="G7" s="27" t="s">
        <v>11</v>
      </c>
      <c r="H7" s="27" t="s">
        <v>12</v>
      </c>
      <c r="I7" s="27" t="s">
        <v>13</v>
      </c>
      <c r="J7" s="27" t="s">
        <v>14</v>
      </c>
      <c r="K7" s="27"/>
      <c r="L7" s="27" t="s">
        <v>67</v>
      </c>
    </row>
    <row r="8" customFormat="false" ht="15" hidden="false" customHeight="false" outlineLevel="0" collapsed="false">
      <c r="A8" s="70" t="n">
        <f aca="false">IF(1&lt;=NW,1,"")</f>
        <v>1</v>
      </c>
      <c r="B8" s="28" t="n">
        <f aca="false">IF(1&lt;=NW,SAT1+0,"")</f>
        <v>46018</v>
      </c>
      <c r="C8" s="28" t="n">
        <f aca="false">IF(1&lt;=NW,SAT1+6,"")</f>
        <v>46024</v>
      </c>
      <c r="D8" s="71" t="str">
        <f aca="false">IF('ساعات عمر'!$M$7=1,N('ساعات عمر'!H17),"")</f>
        <v/>
      </c>
      <c r="E8" s="71" t="str">
        <f aca="false">IF('ساعات عمر'!$M$7=1,SUMIFS(ADV_AMT,ADV_E,"عمر المصري",ADV_W,1),"")</f>
        <v/>
      </c>
      <c r="F8" s="71" t="str">
        <f aca="false">IF('ساعات عمر'!$M$7=1,IF(N(D8)=0,0,MAX(0,FLOOR(MIN(IF(SUMPRODUCT(MAX((LG_E="عمر المصري")*(LG_INST&lt;&gt;"")*(LG_D&lt;=C8)*LG_IDX))=0,السنة!$E$6,INDEX(LG_INST,SUMPRODUCT(MAX((LG_E="عمر المصري")*(LG_INST&lt;&gt;"")*(LG_D&lt;=C8)*LG_IDX)))),السنة!$D$6+SUMIFS(LG_DEBT,LG_E,"عمر المصري",LG_D,"&lt;="&amp;C8)-SUMIFS(LG_REP,LG_E,"عمر المصري",LG_D,"&lt;="&amp;C8)-0,INST_CAP*N(D8),N(D8)-N(E8)-N(K8)-NET_FLOOR*N(D8)),0.25))),"")</f>
        <v/>
      </c>
      <c r="G8" s="72" t="str">
        <f aca="false">IF('ساعات عمر'!$M$7=1,IF(1=START_O,السنة!$C$6,0)+N(D8)-N(E8)-N(F8)-N(K8),"")</f>
        <v/>
      </c>
      <c r="H8" s="71" t="str">
        <f aca="false">IF('ساعات عمر'!$M$7=1,N('ساعات عمر'!G18),"")</f>
        <v/>
      </c>
      <c r="I8" s="71" t="str">
        <f aca="false">IF('ساعات عمر'!$M$7=1,G8-H8,"")</f>
        <v/>
      </c>
      <c r="J8" s="73" t="str">
        <f aca="false">IF('ساعات عمر'!$M$7=1,MAX(0,السنة!$D$6+SUMIFS(LG_DEBT,LG_E,"عمر المصري",LG_D,"&lt;="&amp;C8)-SUMIFS(LG_REP,LG_E,"عمر المصري",LG_D,"&lt;="&amp;C8)-SUM(F8:F8)),"")</f>
        <v/>
      </c>
      <c r="K8" s="74" t="n">
        <f aca="false">0</f>
        <v>0</v>
      </c>
      <c r="L8" s="70" t="n">
        <f aca="false">IF(C8="","",MONTH(C8))</f>
        <v>1</v>
      </c>
    </row>
    <row r="9" customFormat="false" ht="15" hidden="false" customHeight="false" outlineLevel="0" collapsed="false">
      <c r="A9" s="70" t="n">
        <f aca="false">IF(2&lt;=NW,2,"")</f>
        <v>2</v>
      </c>
      <c r="B9" s="28" t="n">
        <f aca="false">IF(2&lt;=NW,SAT1+7,"")</f>
        <v>46025</v>
      </c>
      <c r="C9" s="28" t="n">
        <f aca="false">IF(2&lt;=NW,SAT1+13,"")</f>
        <v>46031</v>
      </c>
      <c r="D9" s="71" t="str">
        <f aca="false">IF('ساعات عمر'!$M$19=1,N('ساعات عمر'!H29),"")</f>
        <v/>
      </c>
      <c r="E9" s="71" t="str">
        <f aca="false">IF('ساعات عمر'!$M$19=1,SUMIFS(ADV_AMT,ADV_E,"عمر المصري",ADV_W,2),"")</f>
        <v/>
      </c>
      <c r="F9" s="71" t="str">
        <f aca="false">IF('ساعات عمر'!$M$19=1,IF(N(D9)=0,0,MAX(0,FLOOR(MIN(IF(SUMPRODUCT(MAX((LG_E="عمر المصري")*(LG_INST&lt;&gt;"")*(LG_D&lt;=C9)*LG_IDX))=0,السنة!$E$6,INDEX(LG_INST,SUMPRODUCT(MAX((LG_E="عمر المصري")*(LG_INST&lt;&gt;"")*(LG_D&lt;=C9)*LG_IDX)))),السنة!$D$6+SUMIFS(LG_DEBT,LG_E,"عمر المصري",LG_D,"&lt;="&amp;C9)-SUMIFS(LG_REP,LG_E,"عمر المصري",LG_D,"&lt;="&amp;C9)-SUM(F8:F8),INST_CAP*N(D9),N(D9)-N(E9)-N(K9)-NET_FLOOR*N(D9)),0.25))),"")</f>
        <v/>
      </c>
      <c r="G9" s="72" t="str">
        <f aca="false">IF('ساعات عمر'!$M$19=1,IF(2=START_O,السنة!$C$6,N(I8))+N(D9)-N(E9)-N(F9)-N(K9),"")</f>
        <v/>
      </c>
      <c r="H9" s="71" t="str">
        <f aca="false">IF('ساعات عمر'!$M$19=1,N('ساعات عمر'!G30),"")</f>
        <v/>
      </c>
      <c r="I9" s="71" t="str">
        <f aca="false">IF('ساعات عمر'!$M$19=1,G9-H9,"")</f>
        <v/>
      </c>
      <c r="J9" s="73" t="str">
        <f aca="false">IF('ساعات عمر'!$M$19=1,MAX(0,السنة!$D$6+SUMIFS(LG_DEBT,LG_E,"عمر المصري",LG_D,"&lt;="&amp;C9)-SUMIFS(LG_REP,LG_E,"عمر المصري",LG_D,"&lt;="&amp;C9)-SUM(F8:F9)),"")</f>
        <v/>
      </c>
      <c r="K9" s="74" t="n">
        <f aca="false">0</f>
        <v>0</v>
      </c>
      <c r="L9" s="70" t="n">
        <f aca="false">IF(C9="","",MONTH(C9))</f>
        <v>1</v>
      </c>
    </row>
    <row r="10" customFormat="false" ht="15" hidden="false" customHeight="false" outlineLevel="0" collapsed="false">
      <c r="A10" s="70" t="n">
        <f aca="false">IF(3&lt;=NW,3,"")</f>
        <v>3</v>
      </c>
      <c r="B10" s="28" t="n">
        <f aca="false">IF(3&lt;=NW,SAT1+14,"")</f>
        <v>46032</v>
      </c>
      <c r="C10" s="28" t="n">
        <f aca="false">IF(3&lt;=NW,SAT1+20,"")</f>
        <v>46038</v>
      </c>
      <c r="D10" s="71" t="str">
        <f aca="false">IF('ساعات عمر'!$M$31=1,N('ساعات عمر'!H41),"")</f>
        <v/>
      </c>
      <c r="E10" s="71" t="str">
        <f aca="false">IF('ساعات عمر'!$M$31=1,SUMIFS(ADV_AMT,ADV_E,"عمر المصري",ADV_W,3),"")</f>
        <v/>
      </c>
      <c r="F10" s="71" t="str">
        <f aca="false">IF('ساعات عمر'!$M$31=1,IF(N(D10)=0,0,MAX(0,FLOOR(MIN(IF(SUMPRODUCT(MAX((LG_E="عمر المصري")*(LG_INST&lt;&gt;"")*(LG_D&lt;=C10)*LG_IDX))=0,السنة!$E$6,INDEX(LG_INST,SUMPRODUCT(MAX((LG_E="عمر المصري")*(LG_INST&lt;&gt;"")*(LG_D&lt;=C10)*LG_IDX)))),السنة!$D$6+SUMIFS(LG_DEBT,LG_E,"عمر المصري",LG_D,"&lt;="&amp;C10)-SUMIFS(LG_REP,LG_E,"عمر المصري",LG_D,"&lt;="&amp;C10)-SUM(F8:F9),INST_CAP*N(D10),N(D10)-N(E10)-N(K10)-NET_FLOOR*N(D10)),0.25))),"")</f>
        <v/>
      </c>
      <c r="G10" s="72" t="str">
        <f aca="false">IF('ساعات عمر'!$M$31=1,IF(3=START_O,السنة!$C$6,N(I9))+N(D10)-N(E10)-N(F10)-N(K10),"")</f>
        <v/>
      </c>
      <c r="H10" s="71" t="str">
        <f aca="false">IF('ساعات عمر'!$M$31=1,N('ساعات عمر'!G42),"")</f>
        <v/>
      </c>
      <c r="I10" s="71" t="str">
        <f aca="false">IF('ساعات عمر'!$M$31=1,G10-H10,"")</f>
        <v/>
      </c>
      <c r="J10" s="73" t="str">
        <f aca="false">IF('ساعات عمر'!$M$31=1,MAX(0,السنة!$D$6+SUMIFS(LG_DEBT,LG_E,"عمر المصري",LG_D,"&lt;="&amp;C10)-SUMIFS(LG_REP,LG_E,"عمر المصري",LG_D,"&lt;="&amp;C10)-SUM(F8:F10)),"")</f>
        <v/>
      </c>
      <c r="K10" s="74" t="n">
        <f aca="false">0</f>
        <v>0</v>
      </c>
      <c r="L10" s="70" t="n">
        <f aca="false">IF(C10="","",MONTH(C10))</f>
        <v>1</v>
      </c>
    </row>
    <row r="11" customFormat="false" ht="15" hidden="false" customHeight="false" outlineLevel="0" collapsed="false">
      <c r="A11" s="70" t="n">
        <f aca="false">IF(4&lt;=NW,4,"")</f>
        <v>4</v>
      </c>
      <c r="B11" s="28" t="n">
        <f aca="false">IF(4&lt;=NW,SAT1+21,"")</f>
        <v>46039</v>
      </c>
      <c r="C11" s="28" t="n">
        <f aca="false">IF(4&lt;=NW,SAT1+27,"")</f>
        <v>46045</v>
      </c>
      <c r="D11" s="71" t="str">
        <f aca="false">IF('ساعات عمر'!$M$43=1,N('ساعات عمر'!H53),"")</f>
        <v/>
      </c>
      <c r="E11" s="71" t="str">
        <f aca="false">IF('ساعات عمر'!$M$43=1,SUMIFS(ADV_AMT,ADV_E,"عمر المصري",ADV_W,4),"")</f>
        <v/>
      </c>
      <c r="F11" s="71" t="str">
        <f aca="false">IF('ساعات عمر'!$M$43=1,IF(N(D11)=0,0,MAX(0,FLOOR(MIN(IF(SUMPRODUCT(MAX((LG_E="عمر المصري")*(LG_INST&lt;&gt;"")*(LG_D&lt;=C11)*LG_IDX))=0,السنة!$E$6,INDEX(LG_INST,SUMPRODUCT(MAX((LG_E="عمر المصري")*(LG_INST&lt;&gt;"")*(LG_D&lt;=C11)*LG_IDX)))),السنة!$D$6+SUMIFS(LG_DEBT,LG_E,"عمر المصري",LG_D,"&lt;="&amp;C11)-SUMIFS(LG_REP,LG_E,"عمر المصري",LG_D,"&lt;="&amp;C11)-SUM(F8:F10),INST_CAP*N(D11),N(D11)-N(E11)-N(K11)-NET_FLOOR*N(D11)),0.25))),"")</f>
        <v/>
      </c>
      <c r="G11" s="72" t="str">
        <f aca="false">IF('ساعات عمر'!$M$43=1,IF(4=START_O,السنة!$C$6,N(I10))+N(D11)-N(E11)-N(F11)-N(K11),"")</f>
        <v/>
      </c>
      <c r="H11" s="71" t="str">
        <f aca="false">IF('ساعات عمر'!$M$43=1,N('ساعات عمر'!G54),"")</f>
        <v/>
      </c>
      <c r="I11" s="71" t="str">
        <f aca="false">IF('ساعات عمر'!$M$43=1,G11-H11,"")</f>
        <v/>
      </c>
      <c r="J11" s="73" t="str">
        <f aca="false">IF('ساعات عمر'!$M$43=1,MAX(0,السنة!$D$6+SUMIFS(LG_DEBT,LG_E,"عمر المصري",LG_D,"&lt;="&amp;C11)-SUMIFS(LG_REP,LG_E,"عمر المصري",LG_D,"&lt;="&amp;C11)-SUM(F8:F11)),"")</f>
        <v/>
      </c>
      <c r="K11" s="74" t="n">
        <f aca="false">0</f>
        <v>0</v>
      </c>
      <c r="L11" s="70" t="n">
        <f aca="false">IF(C11="","",MONTH(C11))</f>
        <v>1</v>
      </c>
    </row>
    <row r="12" customFormat="false" ht="15" hidden="false" customHeight="false" outlineLevel="0" collapsed="false">
      <c r="A12" s="70" t="n">
        <f aca="false">IF(5&lt;=NW,5,"")</f>
        <v>5</v>
      </c>
      <c r="B12" s="28" t="n">
        <f aca="false">IF(5&lt;=NW,SAT1+28,"")</f>
        <v>46046</v>
      </c>
      <c r="C12" s="28" t="n">
        <f aca="false">IF(5&lt;=NW,SAT1+34,"")</f>
        <v>46052</v>
      </c>
      <c r="D12" s="71" t="str">
        <f aca="false">IF('ساعات عمر'!$M$55=1,N('ساعات عمر'!H65),"")</f>
        <v/>
      </c>
      <c r="E12" s="71" t="str">
        <f aca="false">IF('ساعات عمر'!$M$55=1,SUMIFS(ADV_AMT,ADV_E,"عمر المصري",ADV_W,5),"")</f>
        <v/>
      </c>
      <c r="F12" s="71" t="str">
        <f aca="false">IF('ساعات عمر'!$M$55=1,IF(N(D12)=0,0,MAX(0,FLOOR(MIN(IF(SUMPRODUCT(MAX((LG_E="عمر المصري")*(LG_INST&lt;&gt;"")*(LG_D&lt;=C12)*LG_IDX))=0,السنة!$E$6,INDEX(LG_INST,SUMPRODUCT(MAX((LG_E="عمر المصري")*(LG_INST&lt;&gt;"")*(LG_D&lt;=C12)*LG_IDX)))),السنة!$D$6+SUMIFS(LG_DEBT,LG_E,"عمر المصري",LG_D,"&lt;="&amp;C12)-SUMIFS(LG_REP,LG_E,"عمر المصري",LG_D,"&lt;="&amp;C12)-SUM(F8:F11),INST_CAP*N(D12),N(D12)-N(E12)-N(K12)-NET_FLOOR*N(D12)),0.25))),"")</f>
        <v/>
      </c>
      <c r="G12" s="72" t="str">
        <f aca="false">IF('ساعات عمر'!$M$55=1,IF(5=START_O,السنة!$C$6,N(I11))+N(D12)-N(E12)-N(F12)-N(K12),"")</f>
        <v/>
      </c>
      <c r="H12" s="71" t="str">
        <f aca="false">IF('ساعات عمر'!$M$55=1,N('ساعات عمر'!G66),"")</f>
        <v/>
      </c>
      <c r="I12" s="71" t="str">
        <f aca="false">IF('ساعات عمر'!$M$55=1,G12-H12,"")</f>
        <v/>
      </c>
      <c r="J12" s="73" t="str">
        <f aca="false">IF('ساعات عمر'!$M$55=1,MAX(0,السنة!$D$6+SUMIFS(LG_DEBT,LG_E,"عمر المصري",LG_D,"&lt;="&amp;C12)-SUMIFS(LG_REP,LG_E,"عمر المصري",LG_D,"&lt;="&amp;C12)-SUM(F8:F12)),"")</f>
        <v/>
      </c>
      <c r="K12" s="74" t="n">
        <f aca="false">0</f>
        <v>0</v>
      </c>
      <c r="L12" s="70" t="n">
        <f aca="false">IF(C12="","",MONTH(C12))</f>
        <v>1</v>
      </c>
    </row>
    <row r="13" customFormat="false" ht="15" hidden="false" customHeight="false" outlineLevel="0" collapsed="false">
      <c r="A13" s="70" t="n">
        <f aca="false">IF(6&lt;=NW,6,"")</f>
        <v>6</v>
      </c>
      <c r="B13" s="28" t="n">
        <f aca="false">IF(6&lt;=NW,SAT1+35,"")</f>
        <v>46053</v>
      </c>
      <c r="C13" s="28" t="n">
        <f aca="false">IF(6&lt;=NW,SAT1+41,"")</f>
        <v>46059</v>
      </c>
      <c r="D13" s="71" t="str">
        <f aca="false">IF('ساعات عمر'!$M$67=1,N('ساعات عمر'!H77),"")</f>
        <v/>
      </c>
      <c r="E13" s="71" t="str">
        <f aca="false">IF('ساعات عمر'!$M$67=1,SUMIFS(ADV_AMT,ADV_E,"عمر المصري",ADV_W,6),"")</f>
        <v/>
      </c>
      <c r="F13" s="71" t="str">
        <f aca="false">IF('ساعات عمر'!$M$67=1,IF(N(D13)=0,0,MAX(0,FLOOR(MIN(IF(SUMPRODUCT(MAX((LG_E="عمر المصري")*(LG_INST&lt;&gt;"")*(LG_D&lt;=C13)*LG_IDX))=0,السنة!$E$6,INDEX(LG_INST,SUMPRODUCT(MAX((LG_E="عمر المصري")*(LG_INST&lt;&gt;"")*(LG_D&lt;=C13)*LG_IDX)))),السنة!$D$6+SUMIFS(LG_DEBT,LG_E,"عمر المصري",LG_D,"&lt;="&amp;C13)-SUMIFS(LG_REP,LG_E,"عمر المصري",LG_D,"&lt;="&amp;C13)-SUM(F8:F12),INST_CAP*N(D13),N(D13)-N(E13)-N(K13)-NET_FLOOR*N(D13)),0.25))),"")</f>
        <v/>
      </c>
      <c r="G13" s="72" t="str">
        <f aca="false">IF('ساعات عمر'!$M$67=1,IF(6=START_O,السنة!$C$6,N(I12))+N(D13)-N(E13)-N(F13)-N(K13),"")</f>
        <v/>
      </c>
      <c r="H13" s="71" t="str">
        <f aca="false">IF('ساعات عمر'!$M$67=1,N('ساعات عمر'!G78),"")</f>
        <v/>
      </c>
      <c r="I13" s="71" t="str">
        <f aca="false">IF('ساعات عمر'!$M$67=1,G13-H13,"")</f>
        <v/>
      </c>
      <c r="J13" s="73" t="str">
        <f aca="false">IF('ساعات عمر'!$M$67=1,MAX(0,السنة!$D$6+SUMIFS(LG_DEBT,LG_E,"عمر المصري",LG_D,"&lt;="&amp;C13)-SUMIFS(LG_REP,LG_E,"عمر المصري",LG_D,"&lt;="&amp;C13)-SUM(F8:F13)),"")</f>
        <v/>
      </c>
      <c r="K13" s="74" t="n">
        <f aca="false">0</f>
        <v>0</v>
      </c>
      <c r="L13" s="70" t="n">
        <f aca="false">IF(C13="","",MONTH(C13))</f>
        <v>2</v>
      </c>
    </row>
    <row r="14" customFormat="false" ht="15" hidden="false" customHeight="false" outlineLevel="0" collapsed="false">
      <c r="A14" s="70" t="n">
        <f aca="false">IF(7&lt;=NW,7,"")</f>
        <v>7</v>
      </c>
      <c r="B14" s="28" t="n">
        <f aca="false">IF(7&lt;=NW,SAT1+42,"")</f>
        <v>46060</v>
      </c>
      <c r="C14" s="28" t="n">
        <f aca="false">IF(7&lt;=NW,SAT1+48,"")</f>
        <v>46066</v>
      </c>
      <c r="D14" s="71" t="str">
        <f aca="false">IF('ساعات عمر'!$M$79=1,N('ساعات عمر'!H89),"")</f>
        <v/>
      </c>
      <c r="E14" s="71" t="str">
        <f aca="false">IF('ساعات عمر'!$M$79=1,SUMIFS(ADV_AMT,ADV_E,"عمر المصري",ADV_W,7),"")</f>
        <v/>
      </c>
      <c r="F14" s="71" t="str">
        <f aca="false">IF('ساعات عمر'!$M$79=1,IF(N(D14)=0,0,MAX(0,FLOOR(MIN(IF(SUMPRODUCT(MAX((LG_E="عمر المصري")*(LG_INST&lt;&gt;"")*(LG_D&lt;=C14)*LG_IDX))=0,السنة!$E$6,INDEX(LG_INST,SUMPRODUCT(MAX((LG_E="عمر المصري")*(LG_INST&lt;&gt;"")*(LG_D&lt;=C14)*LG_IDX)))),السنة!$D$6+SUMIFS(LG_DEBT,LG_E,"عمر المصري",LG_D,"&lt;="&amp;C14)-SUMIFS(LG_REP,LG_E,"عمر المصري",LG_D,"&lt;="&amp;C14)-SUM(F8:F13),INST_CAP*N(D14),N(D14)-N(E14)-N(K14)-NET_FLOOR*N(D14)),0.25))),"")</f>
        <v/>
      </c>
      <c r="G14" s="72" t="str">
        <f aca="false">IF('ساعات عمر'!$M$79=1,IF(7=START_O,السنة!$C$6,N(I13))+N(D14)-N(E14)-N(F14)-N(K14),"")</f>
        <v/>
      </c>
      <c r="H14" s="71" t="str">
        <f aca="false">IF('ساعات عمر'!$M$79=1,N('ساعات عمر'!G90),"")</f>
        <v/>
      </c>
      <c r="I14" s="71" t="str">
        <f aca="false">IF('ساعات عمر'!$M$79=1,G14-H14,"")</f>
        <v/>
      </c>
      <c r="J14" s="73" t="str">
        <f aca="false">IF('ساعات عمر'!$M$79=1,MAX(0,السنة!$D$6+SUMIFS(LG_DEBT,LG_E,"عمر المصري",LG_D,"&lt;="&amp;C14)-SUMIFS(LG_REP,LG_E,"عمر المصري",LG_D,"&lt;="&amp;C14)-SUM(F8:F14)),"")</f>
        <v/>
      </c>
      <c r="K14" s="74" t="n">
        <f aca="false">0</f>
        <v>0</v>
      </c>
      <c r="L14" s="70" t="n">
        <f aca="false">IF(C14="","",MONTH(C14))</f>
        <v>2</v>
      </c>
    </row>
    <row r="15" customFormat="false" ht="15" hidden="false" customHeight="false" outlineLevel="0" collapsed="false">
      <c r="A15" s="70" t="n">
        <f aca="false">IF(8&lt;=NW,8,"")</f>
        <v>8</v>
      </c>
      <c r="B15" s="28" t="n">
        <f aca="false">IF(8&lt;=NW,SAT1+49,"")</f>
        <v>46067</v>
      </c>
      <c r="C15" s="28" t="n">
        <f aca="false">IF(8&lt;=NW,SAT1+55,"")</f>
        <v>46073</v>
      </c>
      <c r="D15" s="71" t="str">
        <f aca="false">IF('ساعات عمر'!$M$91=1,N('ساعات عمر'!H101),"")</f>
        <v/>
      </c>
      <c r="E15" s="71" t="str">
        <f aca="false">IF('ساعات عمر'!$M$91=1,SUMIFS(ADV_AMT,ADV_E,"عمر المصري",ADV_W,8),"")</f>
        <v/>
      </c>
      <c r="F15" s="71" t="str">
        <f aca="false">IF('ساعات عمر'!$M$91=1,IF(N(D15)=0,0,MAX(0,FLOOR(MIN(IF(SUMPRODUCT(MAX((LG_E="عمر المصري")*(LG_INST&lt;&gt;"")*(LG_D&lt;=C15)*LG_IDX))=0,السنة!$E$6,INDEX(LG_INST,SUMPRODUCT(MAX((LG_E="عمر المصري")*(LG_INST&lt;&gt;"")*(LG_D&lt;=C15)*LG_IDX)))),السنة!$D$6+SUMIFS(LG_DEBT,LG_E,"عمر المصري",LG_D,"&lt;="&amp;C15)-SUMIFS(LG_REP,LG_E,"عمر المصري",LG_D,"&lt;="&amp;C15)-SUM(F8:F14),INST_CAP*N(D15),N(D15)-N(E15)-N(K15)-NET_FLOOR*N(D15)),0.25))),"")</f>
        <v/>
      </c>
      <c r="G15" s="72" t="str">
        <f aca="false">IF('ساعات عمر'!$M$91=1,IF(8=START_O,السنة!$C$6,N(I14))+N(D15)-N(E15)-N(F15)-N(K15),"")</f>
        <v/>
      </c>
      <c r="H15" s="71" t="str">
        <f aca="false">IF('ساعات عمر'!$M$91=1,N('ساعات عمر'!G102),"")</f>
        <v/>
      </c>
      <c r="I15" s="71" t="str">
        <f aca="false">IF('ساعات عمر'!$M$91=1,G15-H15,"")</f>
        <v/>
      </c>
      <c r="J15" s="73" t="str">
        <f aca="false">IF('ساعات عمر'!$M$91=1,MAX(0,السنة!$D$6+SUMIFS(LG_DEBT,LG_E,"عمر المصري",LG_D,"&lt;="&amp;C15)-SUMIFS(LG_REP,LG_E,"عمر المصري",LG_D,"&lt;="&amp;C15)-SUM(F8:F15)),"")</f>
        <v/>
      </c>
      <c r="K15" s="74" t="n">
        <f aca="false">0</f>
        <v>0</v>
      </c>
      <c r="L15" s="70" t="n">
        <f aca="false">IF(C15="","",MONTH(C15))</f>
        <v>2</v>
      </c>
    </row>
    <row r="16" customFormat="false" ht="15" hidden="false" customHeight="false" outlineLevel="0" collapsed="false">
      <c r="A16" s="70" t="n">
        <f aca="false">IF(9&lt;=NW,9,"")</f>
        <v>9</v>
      </c>
      <c r="B16" s="28" t="n">
        <f aca="false">IF(9&lt;=NW,SAT1+56,"")</f>
        <v>46074</v>
      </c>
      <c r="C16" s="28" t="n">
        <f aca="false">IF(9&lt;=NW,SAT1+62,"")</f>
        <v>46080</v>
      </c>
      <c r="D16" s="71" t="str">
        <f aca="false">IF('ساعات عمر'!$M$103=1,N('ساعات عمر'!H113),"")</f>
        <v/>
      </c>
      <c r="E16" s="71" t="str">
        <f aca="false">IF('ساعات عمر'!$M$103=1,SUMIFS(ADV_AMT,ADV_E,"عمر المصري",ADV_W,9),"")</f>
        <v/>
      </c>
      <c r="F16" s="71" t="str">
        <f aca="false">IF('ساعات عمر'!$M$103=1,IF(N(D16)=0,0,MAX(0,FLOOR(MIN(IF(SUMPRODUCT(MAX((LG_E="عمر المصري")*(LG_INST&lt;&gt;"")*(LG_D&lt;=C16)*LG_IDX))=0,السنة!$E$6,INDEX(LG_INST,SUMPRODUCT(MAX((LG_E="عمر المصري")*(LG_INST&lt;&gt;"")*(LG_D&lt;=C16)*LG_IDX)))),السنة!$D$6+SUMIFS(LG_DEBT,LG_E,"عمر المصري",LG_D,"&lt;="&amp;C16)-SUMIFS(LG_REP,LG_E,"عمر المصري",LG_D,"&lt;="&amp;C16)-SUM(F8:F15),INST_CAP*N(D16),N(D16)-N(E16)-N(K16)-NET_FLOOR*N(D16)),0.25))),"")</f>
        <v/>
      </c>
      <c r="G16" s="72" t="str">
        <f aca="false">IF('ساعات عمر'!$M$103=1,IF(9=START_O,السنة!$C$6,N(I15))+N(D16)-N(E16)-N(F16)-N(K16),"")</f>
        <v/>
      </c>
      <c r="H16" s="71" t="str">
        <f aca="false">IF('ساعات عمر'!$M$103=1,N('ساعات عمر'!G114),"")</f>
        <v/>
      </c>
      <c r="I16" s="71" t="str">
        <f aca="false">IF('ساعات عمر'!$M$103=1,G16-H16,"")</f>
        <v/>
      </c>
      <c r="J16" s="73" t="str">
        <f aca="false">IF('ساعات عمر'!$M$103=1,MAX(0,السنة!$D$6+SUMIFS(LG_DEBT,LG_E,"عمر المصري",LG_D,"&lt;="&amp;C16)-SUMIFS(LG_REP,LG_E,"عمر المصري",LG_D,"&lt;="&amp;C16)-SUM(F8:F16)),"")</f>
        <v/>
      </c>
      <c r="K16" s="74" t="n">
        <f aca="false">0</f>
        <v>0</v>
      </c>
      <c r="L16" s="70" t="n">
        <f aca="false">IF(C16="","",MONTH(C16))</f>
        <v>2</v>
      </c>
    </row>
    <row r="17" customFormat="false" ht="15" hidden="false" customHeight="false" outlineLevel="0" collapsed="false">
      <c r="A17" s="70" t="n">
        <f aca="false">IF(10&lt;=NW,10,"")</f>
        <v>10</v>
      </c>
      <c r="B17" s="28" t="n">
        <f aca="false">IF(10&lt;=NW,SAT1+63,"")</f>
        <v>46081</v>
      </c>
      <c r="C17" s="28" t="n">
        <f aca="false">IF(10&lt;=NW,SAT1+69,"")</f>
        <v>46087</v>
      </c>
      <c r="D17" s="71" t="str">
        <f aca="false">IF('ساعات عمر'!$M$115=1,N('ساعات عمر'!H125),"")</f>
        <v/>
      </c>
      <c r="E17" s="71" t="str">
        <f aca="false">IF('ساعات عمر'!$M$115=1,SUMIFS(ADV_AMT,ADV_E,"عمر المصري",ADV_W,10),"")</f>
        <v/>
      </c>
      <c r="F17" s="71" t="str">
        <f aca="false">IF('ساعات عمر'!$M$115=1,IF(N(D17)=0,0,MAX(0,FLOOR(MIN(IF(SUMPRODUCT(MAX((LG_E="عمر المصري")*(LG_INST&lt;&gt;"")*(LG_D&lt;=C17)*LG_IDX))=0,السنة!$E$6,INDEX(LG_INST,SUMPRODUCT(MAX((LG_E="عمر المصري")*(LG_INST&lt;&gt;"")*(LG_D&lt;=C17)*LG_IDX)))),السنة!$D$6+SUMIFS(LG_DEBT,LG_E,"عمر المصري",LG_D,"&lt;="&amp;C17)-SUMIFS(LG_REP,LG_E,"عمر المصري",LG_D,"&lt;="&amp;C17)-SUM(F8:F16),INST_CAP*N(D17),N(D17)-N(E17)-N(K17)-NET_FLOOR*N(D17)),0.25))),"")</f>
        <v/>
      </c>
      <c r="G17" s="72" t="str">
        <f aca="false">IF('ساعات عمر'!$M$115=1,IF(10=START_O,السنة!$C$6,N(I16))+N(D17)-N(E17)-N(F17)-N(K17),"")</f>
        <v/>
      </c>
      <c r="H17" s="71" t="str">
        <f aca="false">IF('ساعات عمر'!$M$115=1,N('ساعات عمر'!G126),"")</f>
        <v/>
      </c>
      <c r="I17" s="71" t="str">
        <f aca="false">IF('ساعات عمر'!$M$115=1,G17-H17,"")</f>
        <v/>
      </c>
      <c r="J17" s="73" t="str">
        <f aca="false">IF('ساعات عمر'!$M$115=1,MAX(0,السنة!$D$6+SUMIFS(LG_DEBT,LG_E,"عمر المصري",LG_D,"&lt;="&amp;C17)-SUMIFS(LG_REP,LG_E,"عمر المصري",LG_D,"&lt;="&amp;C17)-SUM(F8:F17)),"")</f>
        <v/>
      </c>
      <c r="K17" s="74" t="n">
        <f aca="false">0</f>
        <v>0</v>
      </c>
      <c r="L17" s="70" t="n">
        <f aca="false">IF(C17="","",MONTH(C17))</f>
        <v>3</v>
      </c>
    </row>
    <row r="18" customFormat="false" ht="15" hidden="false" customHeight="false" outlineLevel="0" collapsed="false">
      <c r="A18" s="70" t="n">
        <f aca="false">IF(11&lt;=NW,11,"")</f>
        <v>11</v>
      </c>
      <c r="B18" s="28" t="n">
        <f aca="false">IF(11&lt;=NW,SAT1+70,"")</f>
        <v>46088</v>
      </c>
      <c r="C18" s="28" t="n">
        <f aca="false">IF(11&lt;=NW,SAT1+76,"")</f>
        <v>46094</v>
      </c>
      <c r="D18" s="71" t="str">
        <f aca="false">IF('ساعات عمر'!$M$127=1,N('ساعات عمر'!H137),"")</f>
        <v/>
      </c>
      <c r="E18" s="71" t="str">
        <f aca="false">IF('ساعات عمر'!$M$127=1,SUMIFS(ADV_AMT,ADV_E,"عمر المصري",ADV_W,11),"")</f>
        <v/>
      </c>
      <c r="F18" s="71" t="str">
        <f aca="false">IF('ساعات عمر'!$M$127=1,IF(N(D18)=0,0,MAX(0,FLOOR(MIN(IF(SUMPRODUCT(MAX((LG_E="عمر المصري")*(LG_INST&lt;&gt;"")*(LG_D&lt;=C18)*LG_IDX))=0,السنة!$E$6,INDEX(LG_INST,SUMPRODUCT(MAX((LG_E="عمر المصري")*(LG_INST&lt;&gt;"")*(LG_D&lt;=C18)*LG_IDX)))),السنة!$D$6+SUMIFS(LG_DEBT,LG_E,"عمر المصري",LG_D,"&lt;="&amp;C18)-SUMIFS(LG_REP,LG_E,"عمر المصري",LG_D,"&lt;="&amp;C18)-SUM(F8:F17),INST_CAP*N(D18),N(D18)-N(E18)-N(K18)-NET_FLOOR*N(D18)),0.25))),"")</f>
        <v/>
      </c>
      <c r="G18" s="72" t="str">
        <f aca="false">IF('ساعات عمر'!$M$127=1,IF(11=START_O,السنة!$C$6,N(I17))+N(D18)-N(E18)-N(F18)-N(K18),"")</f>
        <v/>
      </c>
      <c r="H18" s="71" t="str">
        <f aca="false">IF('ساعات عمر'!$M$127=1,N('ساعات عمر'!G138),"")</f>
        <v/>
      </c>
      <c r="I18" s="71" t="str">
        <f aca="false">IF('ساعات عمر'!$M$127=1,G18-H18,"")</f>
        <v/>
      </c>
      <c r="J18" s="73" t="str">
        <f aca="false">IF('ساعات عمر'!$M$127=1,MAX(0,السنة!$D$6+SUMIFS(LG_DEBT,LG_E,"عمر المصري",LG_D,"&lt;="&amp;C18)-SUMIFS(LG_REP,LG_E,"عمر المصري",LG_D,"&lt;="&amp;C18)-SUM(F8:F18)),"")</f>
        <v/>
      </c>
      <c r="K18" s="74" t="n">
        <f aca="false">0</f>
        <v>0</v>
      </c>
      <c r="L18" s="70" t="n">
        <f aca="false">IF(C18="","",MONTH(C18))</f>
        <v>3</v>
      </c>
    </row>
    <row r="19" customFormat="false" ht="15" hidden="false" customHeight="false" outlineLevel="0" collapsed="false">
      <c r="A19" s="70" t="n">
        <f aca="false">IF(12&lt;=NW,12,"")</f>
        <v>12</v>
      </c>
      <c r="B19" s="28" t="n">
        <f aca="false">IF(12&lt;=NW,SAT1+77,"")</f>
        <v>46095</v>
      </c>
      <c r="C19" s="28" t="n">
        <f aca="false">IF(12&lt;=NW,SAT1+83,"")</f>
        <v>46101</v>
      </c>
      <c r="D19" s="71" t="str">
        <f aca="false">IF('ساعات عمر'!$M$139=1,N('ساعات عمر'!H149),"")</f>
        <v/>
      </c>
      <c r="E19" s="71" t="str">
        <f aca="false">IF('ساعات عمر'!$M$139=1,SUMIFS(ADV_AMT,ADV_E,"عمر المصري",ADV_W,12),"")</f>
        <v/>
      </c>
      <c r="F19" s="71" t="str">
        <f aca="false">IF('ساعات عمر'!$M$139=1,IF(N(D19)=0,0,MAX(0,FLOOR(MIN(IF(SUMPRODUCT(MAX((LG_E="عمر المصري")*(LG_INST&lt;&gt;"")*(LG_D&lt;=C19)*LG_IDX))=0,السنة!$E$6,INDEX(LG_INST,SUMPRODUCT(MAX((LG_E="عمر المصري")*(LG_INST&lt;&gt;"")*(LG_D&lt;=C19)*LG_IDX)))),السنة!$D$6+SUMIFS(LG_DEBT,LG_E,"عمر المصري",LG_D,"&lt;="&amp;C19)-SUMIFS(LG_REP,LG_E,"عمر المصري",LG_D,"&lt;="&amp;C19)-SUM(F8:F18),INST_CAP*N(D19),N(D19)-N(E19)-N(K19)-NET_FLOOR*N(D19)),0.25))),"")</f>
        <v/>
      </c>
      <c r="G19" s="72" t="str">
        <f aca="false">IF('ساعات عمر'!$M$139=1,IF(12=START_O,السنة!$C$6,N(I18))+N(D19)-N(E19)-N(F19)-N(K19),"")</f>
        <v/>
      </c>
      <c r="H19" s="71" t="str">
        <f aca="false">IF('ساعات عمر'!$M$139=1,N('ساعات عمر'!G150),"")</f>
        <v/>
      </c>
      <c r="I19" s="71" t="str">
        <f aca="false">IF('ساعات عمر'!$M$139=1,G19-H19,"")</f>
        <v/>
      </c>
      <c r="J19" s="73" t="str">
        <f aca="false">IF('ساعات عمر'!$M$139=1,MAX(0,السنة!$D$6+SUMIFS(LG_DEBT,LG_E,"عمر المصري",LG_D,"&lt;="&amp;C19)-SUMIFS(LG_REP,LG_E,"عمر المصري",LG_D,"&lt;="&amp;C19)-SUM(F8:F19)),"")</f>
        <v/>
      </c>
      <c r="K19" s="74" t="n">
        <f aca="false">0</f>
        <v>0</v>
      </c>
      <c r="L19" s="70" t="n">
        <f aca="false">IF(C19="","",MONTH(C19))</f>
        <v>3</v>
      </c>
    </row>
    <row r="20" customFormat="false" ht="15" hidden="false" customHeight="false" outlineLevel="0" collapsed="false">
      <c r="A20" s="70" t="n">
        <f aca="false">IF(13&lt;=NW,13,"")</f>
        <v>13</v>
      </c>
      <c r="B20" s="28" t="n">
        <f aca="false">IF(13&lt;=NW,SAT1+84,"")</f>
        <v>46102</v>
      </c>
      <c r="C20" s="28" t="n">
        <f aca="false">IF(13&lt;=NW,SAT1+90,"")</f>
        <v>46108</v>
      </c>
      <c r="D20" s="71" t="str">
        <f aca="false">IF('ساعات عمر'!$M$151=1,N('ساعات عمر'!H161),"")</f>
        <v/>
      </c>
      <c r="E20" s="71" t="str">
        <f aca="false">IF('ساعات عمر'!$M$151=1,SUMIFS(ADV_AMT,ADV_E,"عمر المصري",ADV_W,13),"")</f>
        <v/>
      </c>
      <c r="F20" s="71" t="str">
        <f aca="false">IF('ساعات عمر'!$M$151=1,IF(N(D20)=0,0,MAX(0,FLOOR(MIN(IF(SUMPRODUCT(MAX((LG_E="عمر المصري")*(LG_INST&lt;&gt;"")*(LG_D&lt;=C20)*LG_IDX))=0,السنة!$E$6,INDEX(LG_INST,SUMPRODUCT(MAX((LG_E="عمر المصري")*(LG_INST&lt;&gt;"")*(LG_D&lt;=C20)*LG_IDX)))),السنة!$D$6+SUMIFS(LG_DEBT,LG_E,"عمر المصري",LG_D,"&lt;="&amp;C20)-SUMIFS(LG_REP,LG_E,"عمر المصري",LG_D,"&lt;="&amp;C20)-SUM(F8:F19),INST_CAP*N(D20),N(D20)-N(E20)-N(K20)-NET_FLOOR*N(D20)),0.25))),"")</f>
        <v/>
      </c>
      <c r="G20" s="72" t="str">
        <f aca="false">IF('ساعات عمر'!$M$151=1,IF(13=START_O,السنة!$C$6,N(I19))+N(D20)-N(E20)-N(F20)-N(K20),"")</f>
        <v/>
      </c>
      <c r="H20" s="71" t="str">
        <f aca="false">IF('ساعات عمر'!$M$151=1,N('ساعات عمر'!G162),"")</f>
        <v/>
      </c>
      <c r="I20" s="71" t="str">
        <f aca="false">IF('ساعات عمر'!$M$151=1,G20-H20,"")</f>
        <v/>
      </c>
      <c r="J20" s="73" t="str">
        <f aca="false">IF('ساعات عمر'!$M$151=1,MAX(0,السنة!$D$6+SUMIFS(LG_DEBT,LG_E,"عمر المصري",LG_D,"&lt;="&amp;C20)-SUMIFS(LG_REP,LG_E,"عمر المصري",LG_D,"&lt;="&amp;C20)-SUM(F8:F20)),"")</f>
        <v/>
      </c>
      <c r="K20" s="74" t="n">
        <f aca="false">0</f>
        <v>0</v>
      </c>
      <c r="L20" s="70" t="n">
        <f aca="false">IF(C20="","",MONTH(C20))</f>
        <v>3</v>
      </c>
    </row>
    <row r="21" customFormat="false" ht="15" hidden="false" customHeight="false" outlineLevel="0" collapsed="false">
      <c r="A21" s="70" t="n">
        <f aca="false">IF(14&lt;=NW,14,"")</f>
        <v>14</v>
      </c>
      <c r="B21" s="28" t="n">
        <f aca="false">IF(14&lt;=NW,SAT1+91,"")</f>
        <v>46109</v>
      </c>
      <c r="C21" s="28" t="n">
        <f aca="false">IF(14&lt;=NW,SAT1+97,"")</f>
        <v>46115</v>
      </c>
      <c r="D21" s="71" t="str">
        <f aca="false">IF('ساعات عمر'!$M$163=1,N('ساعات عمر'!H173),"")</f>
        <v/>
      </c>
      <c r="E21" s="71" t="str">
        <f aca="false">IF('ساعات عمر'!$M$163=1,SUMIFS(ADV_AMT,ADV_E,"عمر المصري",ADV_W,14),"")</f>
        <v/>
      </c>
      <c r="F21" s="71" t="str">
        <f aca="false">IF('ساعات عمر'!$M$163=1,IF(N(D21)=0,0,MAX(0,FLOOR(MIN(IF(SUMPRODUCT(MAX((LG_E="عمر المصري")*(LG_INST&lt;&gt;"")*(LG_D&lt;=C21)*LG_IDX))=0,السنة!$E$6,INDEX(LG_INST,SUMPRODUCT(MAX((LG_E="عمر المصري")*(LG_INST&lt;&gt;"")*(LG_D&lt;=C21)*LG_IDX)))),السنة!$D$6+SUMIFS(LG_DEBT,LG_E,"عمر المصري",LG_D,"&lt;="&amp;C21)-SUMIFS(LG_REP,LG_E,"عمر المصري",LG_D,"&lt;="&amp;C21)-SUM(F8:F20),INST_CAP*N(D21),N(D21)-N(E21)-N(K21)-NET_FLOOR*N(D21)),0.25))),"")</f>
        <v/>
      </c>
      <c r="G21" s="72" t="str">
        <f aca="false">IF('ساعات عمر'!$M$163=1,IF(14=START_O,السنة!$C$6,N(I20))+N(D21)-N(E21)-N(F21)-N(K21),"")</f>
        <v/>
      </c>
      <c r="H21" s="71" t="str">
        <f aca="false">IF('ساعات عمر'!$M$163=1,N('ساعات عمر'!G174),"")</f>
        <v/>
      </c>
      <c r="I21" s="71" t="str">
        <f aca="false">IF('ساعات عمر'!$M$163=1,G21-H21,"")</f>
        <v/>
      </c>
      <c r="J21" s="73" t="str">
        <f aca="false">IF('ساعات عمر'!$M$163=1,MAX(0,السنة!$D$6+SUMIFS(LG_DEBT,LG_E,"عمر المصري",LG_D,"&lt;="&amp;C21)-SUMIFS(LG_REP,LG_E,"عمر المصري",LG_D,"&lt;="&amp;C21)-SUM(F8:F21)),"")</f>
        <v/>
      </c>
      <c r="K21" s="74" t="n">
        <f aca="false">0</f>
        <v>0</v>
      </c>
      <c r="L21" s="70" t="n">
        <f aca="false">IF(C21="","",MONTH(C21))</f>
        <v>4</v>
      </c>
    </row>
    <row r="22" customFormat="false" ht="15" hidden="false" customHeight="false" outlineLevel="0" collapsed="false">
      <c r="A22" s="70" t="n">
        <f aca="false">IF(15&lt;=NW,15,"")</f>
        <v>15</v>
      </c>
      <c r="B22" s="28" t="n">
        <f aca="false">IF(15&lt;=NW,SAT1+98,"")</f>
        <v>46116</v>
      </c>
      <c r="C22" s="28" t="n">
        <f aca="false">IF(15&lt;=NW,SAT1+104,"")</f>
        <v>46122</v>
      </c>
      <c r="D22" s="71" t="str">
        <f aca="false">IF('ساعات عمر'!$M$175=1,N('ساعات عمر'!H185),"")</f>
        <v/>
      </c>
      <c r="E22" s="71" t="str">
        <f aca="false">IF('ساعات عمر'!$M$175=1,SUMIFS(ADV_AMT,ADV_E,"عمر المصري",ADV_W,15),"")</f>
        <v/>
      </c>
      <c r="F22" s="71" t="str">
        <f aca="false">IF('ساعات عمر'!$M$175=1,IF(N(D22)=0,0,MAX(0,FLOOR(MIN(IF(SUMPRODUCT(MAX((LG_E="عمر المصري")*(LG_INST&lt;&gt;"")*(LG_D&lt;=C22)*LG_IDX))=0,السنة!$E$6,INDEX(LG_INST,SUMPRODUCT(MAX((LG_E="عمر المصري")*(LG_INST&lt;&gt;"")*(LG_D&lt;=C22)*LG_IDX)))),السنة!$D$6+SUMIFS(LG_DEBT,LG_E,"عمر المصري",LG_D,"&lt;="&amp;C22)-SUMIFS(LG_REP,LG_E,"عمر المصري",LG_D,"&lt;="&amp;C22)-SUM(F8:F21),INST_CAP*N(D22),N(D22)-N(E22)-N(K22)-NET_FLOOR*N(D22)),0.25))),"")</f>
        <v/>
      </c>
      <c r="G22" s="72" t="str">
        <f aca="false">IF('ساعات عمر'!$M$175=1,IF(15=START_O,السنة!$C$6,N(I21))+N(D22)-N(E22)-N(F22)-N(K22),"")</f>
        <v/>
      </c>
      <c r="H22" s="71" t="str">
        <f aca="false">IF('ساعات عمر'!$M$175=1,N('ساعات عمر'!G186),"")</f>
        <v/>
      </c>
      <c r="I22" s="71" t="str">
        <f aca="false">IF('ساعات عمر'!$M$175=1,G22-H22,"")</f>
        <v/>
      </c>
      <c r="J22" s="73" t="str">
        <f aca="false">IF('ساعات عمر'!$M$175=1,MAX(0,السنة!$D$6+SUMIFS(LG_DEBT,LG_E,"عمر المصري",LG_D,"&lt;="&amp;C22)-SUMIFS(LG_REP,LG_E,"عمر المصري",LG_D,"&lt;="&amp;C22)-SUM(F8:F22)),"")</f>
        <v/>
      </c>
      <c r="K22" s="74" t="n">
        <f aca="false">0</f>
        <v>0</v>
      </c>
      <c r="L22" s="70" t="n">
        <f aca="false">IF(C22="","",MONTH(C22))</f>
        <v>4</v>
      </c>
    </row>
    <row r="23" customFormat="false" ht="15" hidden="false" customHeight="false" outlineLevel="0" collapsed="false">
      <c r="A23" s="70" t="n">
        <f aca="false">IF(16&lt;=NW,16,"")</f>
        <v>16</v>
      </c>
      <c r="B23" s="28" t="n">
        <f aca="false">IF(16&lt;=NW,SAT1+105,"")</f>
        <v>46123</v>
      </c>
      <c r="C23" s="28" t="n">
        <f aca="false">IF(16&lt;=NW,SAT1+111,"")</f>
        <v>46129</v>
      </c>
      <c r="D23" s="71" t="str">
        <f aca="false">IF('ساعات عمر'!$M$187=1,N('ساعات عمر'!H197),"")</f>
        <v/>
      </c>
      <c r="E23" s="71" t="str">
        <f aca="false">IF('ساعات عمر'!$M$187=1,SUMIFS(ADV_AMT,ADV_E,"عمر المصري",ADV_W,16),"")</f>
        <v/>
      </c>
      <c r="F23" s="71" t="str">
        <f aca="false">IF('ساعات عمر'!$M$187=1,IF(N(D23)=0,0,MAX(0,FLOOR(MIN(IF(SUMPRODUCT(MAX((LG_E="عمر المصري")*(LG_INST&lt;&gt;"")*(LG_D&lt;=C23)*LG_IDX))=0,السنة!$E$6,INDEX(LG_INST,SUMPRODUCT(MAX((LG_E="عمر المصري")*(LG_INST&lt;&gt;"")*(LG_D&lt;=C23)*LG_IDX)))),السنة!$D$6+SUMIFS(LG_DEBT,LG_E,"عمر المصري",LG_D,"&lt;="&amp;C23)-SUMIFS(LG_REP,LG_E,"عمر المصري",LG_D,"&lt;="&amp;C23)-SUM(F8:F22),INST_CAP*N(D23),N(D23)-N(E23)-N(K23)-NET_FLOOR*N(D23)),0.25))),"")</f>
        <v/>
      </c>
      <c r="G23" s="72" t="str">
        <f aca="false">IF('ساعات عمر'!$M$187=1,IF(16=START_O,السنة!$C$6,N(I22))+N(D23)-N(E23)-N(F23)-N(K23),"")</f>
        <v/>
      </c>
      <c r="H23" s="71" t="str">
        <f aca="false">IF('ساعات عمر'!$M$187=1,N('ساعات عمر'!G198),"")</f>
        <v/>
      </c>
      <c r="I23" s="71" t="str">
        <f aca="false">IF('ساعات عمر'!$M$187=1,G23-H23,"")</f>
        <v/>
      </c>
      <c r="J23" s="73" t="str">
        <f aca="false">IF('ساعات عمر'!$M$187=1,MAX(0,السنة!$D$6+SUMIFS(LG_DEBT,LG_E,"عمر المصري",LG_D,"&lt;="&amp;C23)-SUMIFS(LG_REP,LG_E,"عمر المصري",LG_D,"&lt;="&amp;C23)-SUM(F8:F23)),"")</f>
        <v/>
      </c>
      <c r="K23" s="74" t="n">
        <f aca="false">0</f>
        <v>0</v>
      </c>
      <c r="L23" s="70" t="n">
        <f aca="false">IF(C23="","",MONTH(C23))</f>
        <v>4</v>
      </c>
    </row>
    <row r="24" customFormat="false" ht="15" hidden="false" customHeight="false" outlineLevel="0" collapsed="false">
      <c r="A24" s="70" t="n">
        <f aca="false">IF(17&lt;=NW,17,"")</f>
        <v>17</v>
      </c>
      <c r="B24" s="28" t="n">
        <f aca="false">IF(17&lt;=NW,SAT1+112,"")</f>
        <v>46130</v>
      </c>
      <c r="C24" s="28" t="n">
        <f aca="false">IF(17&lt;=NW,SAT1+118,"")</f>
        <v>46136</v>
      </c>
      <c r="D24" s="71" t="str">
        <f aca="false">IF('ساعات عمر'!$M$199=1,N('ساعات عمر'!H209),"")</f>
        <v/>
      </c>
      <c r="E24" s="71" t="str">
        <f aca="false">IF('ساعات عمر'!$M$199=1,SUMIFS(ADV_AMT,ADV_E,"عمر المصري",ADV_W,17),"")</f>
        <v/>
      </c>
      <c r="F24" s="71" t="str">
        <f aca="false">IF('ساعات عمر'!$M$199=1,IF(N(D24)=0,0,MAX(0,FLOOR(MIN(IF(SUMPRODUCT(MAX((LG_E="عمر المصري")*(LG_INST&lt;&gt;"")*(LG_D&lt;=C24)*LG_IDX))=0,السنة!$E$6,INDEX(LG_INST,SUMPRODUCT(MAX((LG_E="عمر المصري")*(LG_INST&lt;&gt;"")*(LG_D&lt;=C24)*LG_IDX)))),السنة!$D$6+SUMIFS(LG_DEBT,LG_E,"عمر المصري",LG_D,"&lt;="&amp;C24)-SUMIFS(LG_REP,LG_E,"عمر المصري",LG_D,"&lt;="&amp;C24)-SUM(F8:F23),INST_CAP*N(D24),N(D24)-N(E24)-N(K24)-NET_FLOOR*N(D24)),0.25))),"")</f>
        <v/>
      </c>
      <c r="G24" s="72" t="str">
        <f aca="false">IF('ساعات عمر'!$M$199=1,IF(17=START_O,السنة!$C$6,N(I23))+N(D24)-N(E24)-N(F24)-N(K24),"")</f>
        <v/>
      </c>
      <c r="H24" s="71" t="str">
        <f aca="false">IF('ساعات عمر'!$M$199=1,N('ساعات عمر'!G210),"")</f>
        <v/>
      </c>
      <c r="I24" s="71" t="str">
        <f aca="false">IF('ساعات عمر'!$M$199=1,G24-H24,"")</f>
        <v/>
      </c>
      <c r="J24" s="73" t="str">
        <f aca="false">IF('ساعات عمر'!$M$199=1,MAX(0,السنة!$D$6+SUMIFS(LG_DEBT,LG_E,"عمر المصري",LG_D,"&lt;="&amp;C24)-SUMIFS(LG_REP,LG_E,"عمر المصري",LG_D,"&lt;="&amp;C24)-SUM(F8:F24)),"")</f>
        <v/>
      </c>
      <c r="K24" s="74" t="n">
        <f aca="false">0</f>
        <v>0</v>
      </c>
      <c r="L24" s="70" t="n">
        <f aca="false">IF(C24="","",MONTH(C24))</f>
        <v>4</v>
      </c>
    </row>
    <row r="25" customFormat="false" ht="15" hidden="false" customHeight="false" outlineLevel="0" collapsed="false">
      <c r="A25" s="70" t="n">
        <f aca="false">IF(18&lt;=NW,18,"")</f>
        <v>18</v>
      </c>
      <c r="B25" s="28" t="n">
        <f aca="false">IF(18&lt;=NW,SAT1+119,"")</f>
        <v>46137</v>
      </c>
      <c r="C25" s="28" t="n">
        <f aca="false">IF(18&lt;=NW,SAT1+125,"")</f>
        <v>46143</v>
      </c>
      <c r="D25" s="71" t="str">
        <f aca="false">IF('ساعات عمر'!$M$211=1,N('ساعات عمر'!H221),"")</f>
        <v/>
      </c>
      <c r="E25" s="71" t="str">
        <f aca="false">IF('ساعات عمر'!$M$211=1,SUMIFS(ADV_AMT,ADV_E,"عمر المصري",ADV_W,18),"")</f>
        <v/>
      </c>
      <c r="F25" s="71" t="str">
        <f aca="false">IF('ساعات عمر'!$M$211=1,IF(N(D25)=0,0,MAX(0,FLOOR(MIN(IF(SUMPRODUCT(MAX((LG_E="عمر المصري")*(LG_INST&lt;&gt;"")*(LG_D&lt;=C25)*LG_IDX))=0,السنة!$E$6,INDEX(LG_INST,SUMPRODUCT(MAX((LG_E="عمر المصري")*(LG_INST&lt;&gt;"")*(LG_D&lt;=C25)*LG_IDX)))),السنة!$D$6+SUMIFS(LG_DEBT,LG_E,"عمر المصري",LG_D,"&lt;="&amp;C25)-SUMIFS(LG_REP,LG_E,"عمر المصري",LG_D,"&lt;="&amp;C25)-SUM(F8:F24),INST_CAP*N(D25),N(D25)-N(E25)-N(K25)-NET_FLOOR*N(D25)),0.25))),"")</f>
        <v/>
      </c>
      <c r="G25" s="72" t="str">
        <f aca="false">IF('ساعات عمر'!$M$211=1,IF(18=START_O,السنة!$C$6,N(I24))+N(D25)-N(E25)-N(F25)-N(K25),"")</f>
        <v/>
      </c>
      <c r="H25" s="71" t="str">
        <f aca="false">IF('ساعات عمر'!$M$211=1,N('ساعات عمر'!G222),"")</f>
        <v/>
      </c>
      <c r="I25" s="71" t="str">
        <f aca="false">IF('ساعات عمر'!$M$211=1,G25-H25,"")</f>
        <v/>
      </c>
      <c r="J25" s="73" t="str">
        <f aca="false">IF('ساعات عمر'!$M$211=1,MAX(0,السنة!$D$6+SUMIFS(LG_DEBT,LG_E,"عمر المصري",LG_D,"&lt;="&amp;C25)-SUMIFS(LG_REP,LG_E,"عمر المصري",LG_D,"&lt;="&amp;C25)-SUM(F8:F25)),"")</f>
        <v/>
      </c>
      <c r="K25" s="74" t="n">
        <f aca="false">0</f>
        <v>0</v>
      </c>
      <c r="L25" s="70" t="n">
        <f aca="false">IF(C25="","",MONTH(C25))</f>
        <v>5</v>
      </c>
    </row>
    <row r="26" customFormat="false" ht="15" hidden="false" customHeight="false" outlineLevel="0" collapsed="false">
      <c r="A26" s="70" t="n">
        <f aca="false">IF(19&lt;=NW,19,"")</f>
        <v>19</v>
      </c>
      <c r="B26" s="28" t="n">
        <f aca="false">IF(19&lt;=NW,SAT1+126,"")</f>
        <v>46144</v>
      </c>
      <c r="C26" s="28" t="n">
        <f aca="false">IF(19&lt;=NW,SAT1+132,"")</f>
        <v>46150</v>
      </c>
      <c r="D26" s="71" t="str">
        <f aca="false">IF('ساعات عمر'!$M$223=1,N('ساعات عمر'!H233),"")</f>
        <v/>
      </c>
      <c r="E26" s="71" t="str">
        <f aca="false">IF('ساعات عمر'!$M$223=1,SUMIFS(ADV_AMT,ADV_E,"عمر المصري",ADV_W,19),"")</f>
        <v/>
      </c>
      <c r="F26" s="71" t="str">
        <f aca="false">IF('ساعات عمر'!$M$223=1,IF(N(D26)=0,0,MAX(0,FLOOR(MIN(IF(SUMPRODUCT(MAX((LG_E="عمر المصري")*(LG_INST&lt;&gt;"")*(LG_D&lt;=C26)*LG_IDX))=0,السنة!$E$6,INDEX(LG_INST,SUMPRODUCT(MAX((LG_E="عمر المصري")*(LG_INST&lt;&gt;"")*(LG_D&lt;=C26)*LG_IDX)))),السنة!$D$6+SUMIFS(LG_DEBT,LG_E,"عمر المصري",LG_D,"&lt;="&amp;C26)-SUMIFS(LG_REP,LG_E,"عمر المصري",LG_D,"&lt;="&amp;C26)-SUM(F8:F25),INST_CAP*N(D26),N(D26)-N(E26)-N(K26)-NET_FLOOR*N(D26)),0.25))),"")</f>
        <v/>
      </c>
      <c r="G26" s="72" t="str">
        <f aca="false">IF('ساعات عمر'!$M$223=1,IF(19=START_O,السنة!$C$6,N(I25))+N(D26)-N(E26)-N(F26)-N(K26),"")</f>
        <v/>
      </c>
      <c r="H26" s="71" t="str">
        <f aca="false">IF('ساعات عمر'!$M$223=1,N('ساعات عمر'!G234),"")</f>
        <v/>
      </c>
      <c r="I26" s="71" t="str">
        <f aca="false">IF('ساعات عمر'!$M$223=1,G26-H26,"")</f>
        <v/>
      </c>
      <c r="J26" s="73" t="str">
        <f aca="false">IF('ساعات عمر'!$M$223=1,MAX(0,السنة!$D$6+SUMIFS(LG_DEBT,LG_E,"عمر المصري",LG_D,"&lt;="&amp;C26)-SUMIFS(LG_REP,LG_E,"عمر المصري",LG_D,"&lt;="&amp;C26)-SUM(F8:F26)),"")</f>
        <v/>
      </c>
      <c r="K26" s="74" t="n">
        <f aca="false">0</f>
        <v>0</v>
      </c>
      <c r="L26" s="70" t="n">
        <f aca="false">IF(C26="","",MONTH(C26))</f>
        <v>5</v>
      </c>
    </row>
    <row r="27" customFormat="false" ht="15" hidden="false" customHeight="false" outlineLevel="0" collapsed="false">
      <c r="A27" s="70" t="n">
        <f aca="false">IF(20&lt;=NW,20,"")</f>
        <v>20</v>
      </c>
      <c r="B27" s="28" t="n">
        <f aca="false">IF(20&lt;=NW,SAT1+133,"")</f>
        <v>46151</v>
      </c>
      <c r="C27" s="28" t="n">
        <f aca="false">IF(20&lt;=NW,SAT1+139,"")</f>
        <v>46157</v>
      </c>
      <c r="D27" s="71" t="str">
        <f aca="false">IF('ساعات عمر'!$M$235=1,N('ساعات عمر'!H245),"")</f>
        <v/>
      </c>
      <c r="E27" s="71" t="str">
        <f aca="false">IF('ساعات عمر'!$M$235=1,SUMIFS(ADV_AMT,ADV_E,"عمر المصري",ADV_W,20),"")</f>
        <v/>
      </c>
      <c r="F27" s="71" t="str">
        <f aca="false">IF('ساعات عمر'!$M$235=1,IF(N(D27)=0,0,MAX(0,FLOOR(MIN(IF(SUMPRODUCT(MAX((LG_E="عمر المصري")*(LG_INST&lt;&gt;"")*(LG_D&lt;=C27)*LG_IDX))=0,السنة!$E$6,INDEX(LG_INST,SUMPRODUCT(MAX((LG_E="عمر المصري")*(LG_INST&lt;&gt;"")*(LG_D&lt;=C27)*LG_IDX)))),السنة!$D$6+SUMIFS(LG_DEBT,LG_E,"عمر المصري",LG_D,"&lt;="&amp;C27)-SUMIFS(LG_REP,LG_E,"عمر المصري",LG_D,"&lt;="&amp;C27)-SUM(F8:F26),INST_CAP*N(D27),N(D27)-N(E27)-N(K27)-NET_FLOOR*N(D27)),0.25))),"")</f>
        <v/>
      </c>
      <c r="G27" s="72" t="str">
        <f aca="false">IF('ساعات عمر'!$M$235=1,IF(20=START_O,السنة!$C$6,N(I26))+N(D27)-N(E27)-N(F27)-N(K27),"")</f>
        <v/>
      </c>
      <c r="H27" s="71" t="str">
        <f aca="false">IF('ساعات عمر'!$M$235=1,N('ساعات عمر'!G246),"")</f>
        <v/>
      </c>
      <c r="I27" s="71" t="str">
        <f aca="false">IF('ساعات عمر'!$M$235=1,G27-H27,"")</f>
        <v/>
      </c>
      <c r="J27" s="73" t="str">
        <f aca="false">IF('ساعات عمر'!$M$235=1,MAX(0,السنة!$D$6+SUMIFS(LG_DEBT,LG_E,"عمر المصري",LG_D,"&lt;="&amp;C27)-SUMIFS(LG_REP,LG_E,"عمر المصري",LG_D,"&lt;="&amp;C27)-SUM(F8:F27)),"")</f>
        <v/>
      </c>
      <c r="K27" s="74" t="n">
        <f aca="false">0</f>
        <v>0</v>
      </c>
      <c r="L27" s="70" t="n">
        <f aca="false">IF(C27="","",MONTH(C27))</f>
        <v>5</v>
      </c>
    </row>
    <row r="28" customFormat="false" ht="15" hidden="false" customHeight="false" outlineLevel="0" collapsed="false">
      <c r="A28" s="70" t="n">
        <f aca="false">IF(21&lt;=NW,21,"")</f>
        <v>21</v>
      </c>
      <c r="B28" s="28" t="n">
        <f aca="false">IF(21&lt;=NW,SAT1+140,"")</f>
        <v>46158</v>
      </c>
      <c r="C28" s="28" t="n">
        <f aca="false">IF(21&lt;=NW,SAT1+146,"")</f>
        <v>46164</v>
      </c>
      <c r="D28" s="71" t="str">
        <f aca="false">IF('ساعات عمر'!$M$247=1,N('ساعات عمر'!H257),"")</f>
        <v/>
      </c>
      <c r="E28" s="71" t="str">
        <f aca="false">IF('ساعات عمر'!$M$247=1,SUMIFS(ADV_AMT,ADV_E,"عمر المصري",ADV_W,21),"")</f>
        <v/>
      </c>
      <c r="F28" s="71" t="str">
        <f aca="false">IF('ساعات عمر'!$M$247=1,IF(N(D28)=0,0,MAX(0,FLOOR(MIN(IF(SUMPRODUCT(MAX((LG_E="عمر المصري")*(LG_INST&lt;&gt;"")*(LG_D&lt;=C28)*LG_IDX))=0,السنة!$E$6,INDEX(LG_INST,SUMPRODUCT(MAX((LG_E="عمر المصري")*(LG_INST&lt;&gt;"")*(LG_D&lt;=C28)*LG_IDX)))),السنة!$D$6+SUMIFS(LG_DEBT,LG_E,"عمر المصري",LG_D,"&lt;="&amp;C28)-SUMIFS(LG_REP,LG_E,"عمر المصري",LG_D,"&lt;="&amp;C28)-SUM(F8:F27),INST_CAP*N(D28),N(D28)-N(E28)-N(K28)-NET_FLOOR*N(D28)),0.25))),"")</f>
        <v/>
      </c>
      <c r="G28" s="72" t="str">
        <f aca="false">IF('ساعات عمر'!$M$247=1,IF(21=START_O,السنة!$C$6,N(I27))+N(D28)-N(E28)-N(F28)-N(K28),"")</f>
        <v/>
      </c>
      <c r="H28" s="71" t="str">
        <f aca="false">IF('ساعات عمر'!$M$247=1,N('ساعات عمر'!G258),"")</f>
        <v/>
      </c>
      <c r="I28" s="71" t="str">
        <f aca="false">IF('ساعات عمر'!$M$247=1,G28-H28,"")</f>
        <v/>
      </c>
      <c r="J28" s="73" t="str">
        <f aca="false">IF('ساعات عمر'!$M$247=1,MAX(0,السنة!$D$6+SUMIFS(LG_DEBT,LG_E,"عمر المصري",LG_D,"&lt;="&amp;C28)-SUMIFS(LG_REP,LG_E,"عمر المصري",LG_D,"&lt;="&amp;C28)-SUM(F8:F28)),"")</f>
        <v/>
      </c>
      <c r="K28" s="74" t="n">
        <f aca="false">0</f>
        <v>0</v>
      </c>
      <c r="L28" s="70" t="n">
        <f aca="false">IF(C28="","",MONTH(C28))</f>
        <v>5</v>
      </c>
    </row>
    <row r="29" customFormat="false" ht="15" hidden="false" customHeight="false" outlineLevel="0" collapsed="false">
      <c r="A29" s="70" t="n">
        <f aca="false">IF(22&lt;=NW,22,"")</f>
        <v>22</v>
      </c>
      <c r="B29" s="28" t="n">
        <f aca="false">IF(22&lt;=NW,SAT1+147,"")</f>
        <v>46165</v>
      </c>
      <c r="C29" s="28" t="n">
        <f aca="false">IF(22&lt;=NW,SAT1+153,"")</f>
        <v>46171</v>
      </c>
      <c r="D29" s="71" t="str">
        <f aca="false">IF('ساعات عمر'!$M$259=1,N('ساعات عمر'!H269),"")</f>
        <v/>
      </c>
      <c r="E29" s="71" t="str">
        <f aca="false">IF('ساعات عمر'!$M$259=1,SUMIFS(ADV_AMT,ADV_E,"عمر المصري",ADV_W,22),"")</f>
        <v/>
      </c>
      <c r="F29" s="71" t="str">
        <f aca="false">IF('ساعات عمر'!$M$259=1,IF(N(D29)=0,0,MAX(0,FLOOR(MIN(IF(SUMPRODUCT(MAX((LG_E="عمر المصري")*(LG_INST&lt;&gt;"")*(LG_D&lt;=C29)*LG_IDX))=0,السنة!$E$6,INDEX(LG_INST,SUMPRODUCT(MAX((LG_E="عمر المصري")*(LG_INST&lt;&gt;"")*(LG_D&lt;=C29)*LG_IDX)))),السنة!$D$6+SUMIFS(LG_DEBT,LG_E,"عمر المصري",LG_D,"&lt;="&amp;C29)-SUMIFS(LG_REP,LG_E,"عمر المصري",LG_D,"&lt;="&amp;C29)-SUM(F8:F28),INST_CAP*N(D29),N(D29)-N(E29)-N(K29)-NET_FLOOR*N(D29)),0.25))),"")</f>
        <v/>
      </c>
      <c r="G29" s="72" t="str">
        <f aca="false">IF('ساعات عمر'!$M$259=1,IF(22=START_O,السنة!$C$6,N(I28))+N(D29)-N(E29)-N(F29)-N(K29),"")</f>
        <v/>
      </c>
      <c r="H29" s="71" t="str">
        <f aca="false">IF('ساعات عمر'!$M$259=1,N('ساعات عمر'!G270),"")</f>
        <v/>
      </c>
      <c r="I29" s="71" t="str">
        <f aca="false">IF('ساعات عمر'!$M$259=1,G29-H29,"")</f>
        <v/>
      </c>
      <c r="J29" s="73" t="str">
        <f aca="false">IF('ساعات عمر'!$M$259=1,MAX(0,السنة!$D$6+SUMIFS(LG_DEBT,LG_E,"عمر المصري",LG_D,"&lt;="&amp;C29)-SUMIFS(LG_REP,LG_E,"عمر المصري",LG_D,"&lt;="&amp;C29)-SUM(F8:F29)),"")</f>
        <v/>
      </c>
      <c r="K29" s="74" t="n">
        <f aca="false">0</f>
        <v>0</v>
      </c>
      <c r="L29" s="70" t="n">
        <f aca="false">IF(C29="","",MONTH(C29))</f>
        <v>5</v>
      </c>
    </row>
    <row r="30" customFormat="false" ht="15" hidden="false" customHeight="false" outlineLevel="0" collapsed="false">
      <c r="A30" s="70" t="n">
        <f aca="false">IF(23&lt;=NW,23,"")</f>
        <v>23</v>
      </c>
      <c r="B30" s="28" t="n">
        <f aca="false">IF(23&lt;=NW,SAT1+154,"")</f>
        <v>46172</v>
      </c>
      <c r="C30" s="28" t="n">
        <f aca="false">IF(23&lt;=NW,SAT1+160,"")</f>
        <v>46178</v>
      </c>
      <c r="D30" s="71" t="str">
        <f aca="false">IF('ساعات عمر'!$M$271=1,N('ساعات عمر'!H281),"")</f>
        <v/>
      </c>
      <c r="E30" s="71" t="str">
        <f aca="false">IF('ساعات عمر'!$M$271=1,SUMIFS(ADV_AMT,ADV_E,"عمر المصري",ADV_W,23),"")</f>
        <v/>
      </c>
      <c r="F30" s="71" t="str">
        <f aca="false">IF('ساعات عمر'!$M$271=1,IF(N(D30)=0,0,MAX(0,FLOOR(MIN(IF(SUMPRODUCT(MAX((LG_E="عمر المصري")*(LG_INST&lt;&gt;"")*(LG_D&lt;=C30)*LG_IDX))=0,السنة!$E$6,INDEX(LG_INST,SUMPRODUCT(MAX((LG_E="عمر المصري")*(LG_INST&lt;&gt;"")*(LG_D&lt;=C30)*LG_IDX)))),السنة!$D$6+SUMIFS(LG_DEBT,LG_E,"عمر المصري",LG_D,"&lt;="&amp;C30)-SUMIFS(LG_REP,LG_E,"عمر المصري",LG_D,"&lt;="&amp;C30)-SUM(F8:F29),INST_CAP*N(D30),N(D30)-N(E30)-N(K30)-NET_FLOOR*N(D30)),0.25))),"")</f>
        <v/>
      </c>
      <c r="G30" s="72" t="str">
        <f aca="false">IF('ساعات عمر'!$M$271=1,IF(23=START_O,السنة!$C$6,N(I29))+N(D30)-N(E30)-N(F30)-N(K30),"")</f>
        <v/>
      </c>
      <c r="H30" s="71" t="str">
        <f aca="false">IF('ساعات عمر'!$M$271=1,N('ساعات عمر'!G282),"")</f>
        <v/>
      </c>
      <c r="I30" s="71" t="str">
        <f aca="false">IF('ساعات عمر'!$M$271=1,G30-H30,"")</f>
        <v/>
      </c>
      <c r="J30" s="73" t="str">
        <f aca="false">IF('ساعات عمر'!$M$271=1,MAX(0,السنة!$D$6+SUMIFS(LG_DEBT,LG_E,"عمر المصري",LG_D,"&lt;="&amp;C30)-SUMIFS(LG_REP,LG_E,"عمر المصري",LG_D,"&lt;="&amp;C30)-SUM(F8:F30)),"")</f>
        <v/>
      </c>
      <c r="K30" s="74" t="n">
        <f aca="false">0</f>
        <v>0</v>
      </c>
      <c r="L30" s="70" t="n">
        <f aca="false">IF(C30="","",MONTH(C30))</f>
        <v>6</v>
      </c>
    </row>
    <row r="31" customFormat="false" ht="15" hidden="false" customHeight="false" outlineLevel="0" collapsed="false">
      <c r="A31" s="70" t="n">
        <f aca="false">IF(24&lt;=NW,24,"")</f>
        <v>24</v>
      </c>
      <c r="B31" s="28" t="n">
        <f aca="false">IF(24&lt;=NW,SAT1+161,"")</f>
        <v>46179</v>
      </c>
      <c r="C31" s="28" t="n">
        <f aca="false">IF(24&lt;=NW,SAT1+167,"")</f>
        <v>46185</v>
      </c>
      <c r="D31" s="71" t="str">
        <f aca="false">IF('ساعات عمر'!$M$283=1,N('ساعات عمر'!H293),"")</f>
        <v/>
      </c>
      <c r="E31" s="71" t="str">
        <f aca="false">IF('ساعات عمر'!$M$283=1,SUMIFS(ADV_AMT,ADV_E,"عمر المصري",ADV_W,24),"")</f>
        <v/>
      </c>
      <c r="F31" s="71" t="str">
        <f aca="false">IF('ساعات عمر'!$M$283=1,IF(N(D31)=0,0,MAX(0,FLOOR(MIN(IF(SUMPRODUCT(MAX((LG_E="عمر المصري")*(LG_INST&lt;&gt;"")*(LG_D&lt;=C31)*LG_IDX))=0,السنة!$E$6,INDEX(LG_INST,SUMPRODUCT(MAX((LG_E="عمر المصري")*(LG_INST&lt;&gt;"")*(LG_D&lt;=C31)*LG_IDX)))),السنة!$D$6+SUMIFS(LG_DEBT,LG_E,"عمر المصري",LG_D,"&lt;="&amp;C31)-SUMIFS(LG_REP,LG_E,"عمر المصري",LG_D,"&lt;="&amp;C31)-SUM(F8:F30),INST_CAP*N(D31),N(D31)-N(E31)-N(K31)-NET_FLOOR*N(D31)),0.25))),"")</f>
        <v/>
      </c>
      <c r="G31" s="72" t="str">
        <f aca="false">IF('ساعات عمر'!$M$283=1,IF(24=START_O,السنة!$C$6,N(I30))+N(D31)-N(E31)-N(F31)-N(K31),"")</f>
        <v/>
      </c>
      <c r="H31" s="71" t="str">
        <f aca="false">IF('ساعات عمر'!$M$283=1,N('ساعات عمر'!G294),"")</f>
        <v/>
      </c>
      <c r="I31" s="71" t="str">
        <f aca="false">IF('ساعات عمر'!$M$283=1,G31-H31,"")</f>
        <v/>
      </c>
      <c r="J31" s="73" t="str">
        <f aca="false">IF('ساعات عمر'!$M$283=1,MAX(0,السنة!$D$6+SUMIFS(LG_DEBT,LG_E,"عمر المصري",LG_D,"&lt;="&amp;C31)-SUMIFS(LG_REP,LG_E,"عمر المصري",LG_D,"&lt;="&amp;C31)-SUM(F8:F31)),"")</f>
        <v/>
      </c>
      <c r="K31" s="74" t="n">
        <f aca="false">0</f>
        <v>0</v>
      </c>
      <c r="L31" s="70" t="n">
        <f aca="false">IF(C31="","",MONTH(C31))</f>
        <v>6</v>
      </c>
    </row>
    <row r="32" customFormat="false" ht="15" hidden="false" customHeight="false" outlineLevel="0" collapsed="false">
      <c r="A32" s="70" t="n">
        <f aca="false">IF(25&lt;=NW,25,"")</f>
        <v>25</v>
      </c>
      <c r="B32" s="28" t="n">
        <f aca="false">IF(25&lt;=NW,SAT1+168,"")</f>
        <v>46186</v>
      </c>
      <c r="C32" s="28" t="n">
        <f aca="false">IF(25&lt;=NW,SAT1+174,"")</f>
        <v>46192</v>
      </c>
      <c r="D32" s="71" t="str">
        <f aca="false">IF('ساعات عمر'!$M$295=1,N('ساعات عمر'!H305),"")</f>
        <v/>
      </c>
      <c r="E32" s="71" t="str">
        <f aca="false">IF('ساعات عمر'!$M$295=1,SUMIFS(ADV_AMT,ADV_E,"عمر المصري",ADV_W,25),"")</f>
        <v/>
      </c>
      <c r="F32" s="71" t="str">
        <f aca="false">IF('ساعات عمر'!$M$295=1,IF(N(D32)=0,0,MAX(0,FLOOR(MIN(IF(SUMPRODUCT(MAX((LG_E="عمر المصري")*(LG_INST&lt;&gt;"")*(LG_D&lt;=C32)*LG_IDX))=0,السنة!$E$6,INDEX(LG_INST,SUMPRODUCT(MAX((LG_E="عمر المصري")*(LG_INST&lt;&gt;"")*(LG_D&lt;=C32)*LG_IDX)))),السنة!$D$6+SUMIFS(LG_DEBT,LG_E,"عمر المصري",LG_D,"&lt;="&amp;C32)-SUMIFS(LG_REP,LG_E,"عمر المصري",LG_D,"&lt;="&amp;C32)-SUM(F8:F31),INST_CAP*N(D32),N(D32)-N(E32)-N(K32)-NET_FLOOR*N(D32)),0.25))),"")</f>
        <v/>
      </c>
      <c r="G32" s="72" t="str">
        <f aca="false">IF('ساعات عمر'!$M$295=1,IF(25=START_O,السنة!$C$6,N(I31))+N(D32)-N(E32)-N(F32)-N(K32),"")</f>
        <v/>
      </c>
      <c r="H32" s="71" t="str">
        <f aca="false">IF('ساعات عمر'!$M$295=1,N('ساعات عمر'!G306),"")</f>
        <v/>
      </c>
      <c r="I32" s="71" t="str">
        <f aca="false">IF('ساعات عمر'!$M$295=1,G32-H32,"")</f>
        <v/>
      </c>
      <c r="J32" s="73" t="str">
        <f aca="false">IF('ساعات عمر'!$M$295=1,MAX(0,السنة!$D$6+SUMIFS(LG_DEBT,LG_E,"عمر المصري",LG_D,"&lt;="&amp;C32)-SUMIFS(LG_REP,LG_E,"عمر المصري",LG_D,"&lt;="&amp;C32)-SUM(F8:F32)),"")</f>
        <v/>
      </c>
      <c r="K32" s="74" t="n">
        <f aca="false">0</f>
        <v>0</v>
      </c>
      <c r="L32" s="70" t="n">
        <f aca="false">IF(C32="","",MONTH(C32))</f>
        <v>6</v>
      </c>
    </row>
    <row r="33" customFormat="false" ht="15" hidden="false" customHeight="false" outlineLevel="0" collapsed="false">
      <c r="A33" s="70" t="n">
        <f aca="false">IF(26&lt;=NW,26,"")</f>
        <v>26</v>
      </c>
      <c r="B33" s="28" t="n">
        <f aca="false">IF(26&lt;=NW,SAT1+175,"")</f>
        <v>46193</v>
      </c>
      <c r="C33" s="28" t="n">
        <f aca="false">IF(26&lt;=NW,SAT1+181,"")</f>
        <v>46199</v>
      </c>
      <c r="D33" s="71" t="str">
        <f aca="false">IF('ساعات عمر'!$M$307=1,N('ساعات عمر'!H317),"")</f>
        <v/>
      </c>
      <c r="E33" s="71" t="str">
        <f aca="false">IF('ساعات عمر'!$M$307=1,SUMIFS(ADV_AMT,ADV_E,"عمر المصري",ADV_W,26),"")</f>
        <v/>
      </c>
      <c r="F33" s="71" t="str">
        <f aca="false">IF('ساعات عمر'!$M$307=1,IF(N(D33)=0,0,MAX(0,FLOOR(MIN(IF(SUMPRODUCT(MAX((LG_E="عمر المصري")*(LG_INST&lt;&gt;"")*(LG_D&lt;=C33)*LG_IDX))=0,السنة!$E$6,INDEX(LG_INST,SUMPRODUCT(MAX((LG_E="عمر المصري")*(LG_INST&lt;&gt;"")*(LG_D&lt;=C33)*LG_IDX)))),السنة!$D$6+SUMIFS(LG_DEBT,LG_E,"عمر المصري",LG_D,"&lt;="&amp;C33)-SUMIFS(LG_REP,LG_E,"عمر المصري",LG_D,"&lt;="&amp;C33)-SUM(F8:F32),INST_CAP*N(D33),N(D33)-N(E33)-N(K33)-NET_FLOOR*N(D33)),0.25))),"")</f>
        <v/>
      </c>
      <c r="G33" s="72" t="str">
        <f aca="false">IF('ساعات عمر'!$M$307=1,IF(26=START_O,السنة!$C$6,N(I32))+N(D33)-N(E33)-N(F33)-N(K33),"")</f>
        <v/>
      </c>
      <c r="H33" s="71" t="str">
        <f aca="false">IF('ساعات عمر'!$M$307=1,N('ساعات عمر'!G318),"")</f>
        <v/>
      </c>
      <c r="I33" s="71" t="str">
        <f aca="false">IF('ساعات عمر'!$M$307=1,G33-H33,"")</f>
        <v/>
      </c>
      <c r="J33" s="73" t="str">
        <f aca="false">IF('ساعات عمر'!$M$307=1,MAX(0,السنة!$D$6+SUMIFS(LG_DEBT,LG_E,"عمر المصري",LG_D,"&lt;="&amp;C33)-SUMIFS(LG_REP,LG_E,"عمر المصري",LG_D,"&lt;="&amp;C33)-SUM(F8:F33)),"")</f>
        <v/>
      </c>
      <c r="K33" s="74" t="n">
        <f aca="false">0</f>
        <v>0</v>
      </c>
      <c r="L33" s="70" t="n">
        <f aca="false">IF(C33="","",MONTH(C33))</f>
        <v>6</v>
      </c>
    </row>
    <row r="34" customFormat="false" ht="15" hidden="false" customHeight="false" outlineLevel="0" collapsed="false">
      <c r="A34" s="70" t="n">
        <f aca="false">IF(27&lt;=NW,27,"")</f>
        <v>27</v>
      </c>
      <c r="B34" s="28" t="n">
        <f aca="false">IF(27&lt;=NW,SAT1+182,"")</f>
        <v>46200</v>
      </c>
      <c r="C34" s="28" t="n">
        <f aca="false">IF(27&lt;=NW,SAT1+188,"")</f>
        <v>46206</v>
      </c>
      <c r="D34" s="71" t="str">
        <f aca="false">IF('ساعات عمر'!$M$319=1,N('ساعات عمر'!H329),"")</f>
        <v/>
      </c>
      <c r="E34" s="71" t="str">
        <f aca="false">IF('ساعات عمر'!$M$319=1,SUMIFS(ADV_AMT,ADV_E,"عمر المصري",ADV_W,27),"")</f>
        <v/>
      </c>
      <c r="F34" s="71" t="str">
        <f aca="false">IF('ساعات عمر'!$M$319=1,IF(N(D34)=0,0,MAX(0,FLOOR(MIN(IF(SUMPRODUCT(MAX((LG_E="عمر المصري")*(LG_INST&lt;&gt;"")*(LG_D&lt;=C34)*LG_IDX))=0,السنة!$E$6,INDEX(LG_INST,SUMPRODUCT(MAX((LG_E="عمر المصري")*(LG_INST&lt;&gt;"")*(LG_D&lt;=C34)*LG_IDX)))),السنة!$D$6+SUMIFS(LG_DEBT,LG_E,"عمر المصري",LG_D,"&lt;="&amp;C34)-SUMIFS(LG_REP,LG_E,"عمر المصري",LG_D,"&lt;="&amp;C34)-SUM(F8:F33),INST_CAP*N(D34),N(D34)-N(E34)-N(K34)-NET_FLOOR*N(D34)),0.25))),"")</f>
        <v/>
      </c>
      <c r="G34" s="72" t="str">
        <f aca="false">IF('ساعات عمر'!$M$319=1,IF(27=START_O,السنة!$C$6,N(I33))+N(D34)-N(E34)-N(F34)-N(K34),"")</f>
        <v/>
      </c>
      <c r="H34" s="71" t="str">
        <f aca="false">IF('ساعات عمر'!$M$319=1,N('ساعات عمر'!G330),"")</f>
        <v/>
      </c>
      <c r="I34" s="71" t="str">
        <f aca="false">IF('ساعات عمر'!$M$319=1,G34-H34,"")</f>
        <v/>
      </c>
      <c r="J34" s="73" t="str">
        <f aca="false">IF('ساعات عمر'!$M$319=1,MAX(0,السنة!$D$6+SUMIFS(LG_DEBT,LG_E,"عمر المصري",LG_D,"&lt;="&amp;C34)-SUMIFS(LG_REP,LG_E,"عمر المصري",LG_D,"&lt;="&amp;C34)-SUM(F8:F34)),"")</f>
        <v/>
      </c>
      <c r="K34" s="74" t="n">
        <f aca="false">0</f>
        <v>0</v>
      </c>
      <c r="L34" s="70" t="n">
        <f aca="false">IF(C34="","",MONTH(C34))</f>
        <v>7</v>
      </c>
    </row>
    <row r="35" customFormat="false" ht="15" hidden="false" customHeight="false" outlineLevel="0" collapsed="false">
      <c r="A35" s="70" t="n">
        <f aca="false">IF(28&lt;=NW,28,"")</f>
        <v>28</v>
      </c>
      <c r="B35" s="28" t="n">
        <f aca="false">IF(28&lt;=NW,SAT1+189,"")</f>
        <v>46207</v>
      </c>
      <c r="C35" s="28" t="n">
        <f aca="false">IF(28&lt;=NW,SAT1+195,"")</f>
        <v>46213</v>
      </c>
      <c r="D35" s="71" t="str">
        <f aca="false">IF('ساعات عمر'!$M$331=1,N('ساعات عمر'!H341),"")</f>
        <v/>
      </c>
      <c r="E35" s="71" t="str">
        <f aca="false">IF('ساعات عمر'!$M$331=1,SUMIFS(ADV_AMT,ADV_E,"عمر المصري",ADV_W,28),"")</f>
        <v/>
      </c>
      <c r="F35" s="71" t="str">
        <f aca="false">IF('ساعات عمر'!$M$331=1,IF(N(D35)=0,0,MAX(0,FLOOR(MIN(IF(SUMPRODUCT(MAX((LG_E="عمر المصري")*(LG_INST&lt;&gt;"")*(LG_D&lt;=C35)*LG_IDX))=0,السنة!$E$6,INDEX(LG_INST,SUMPRODUCT(MAX((LG_E="عمر المصري")*(LG_INST&lt;&gt;"")*(LG_D&lt;=C35)*LG_IDX)))),السنة!$D$6+SUMIFS(LG_DEBT,LG_E,"عمر المصري",LG_D,"&lt;="&amp;C35)-SUMIFS(LG_REP,LG_E,"عمر المصري",LG_D,"&lt;="&amp;C35)-SUM(F8:F34),INST_CAP*N(D35),N(D35)-N(E35)-N(K35)-NET_FLOOR*N(D35)),0.25))),"")</f>
        <v/>
      </c>
      <c r="G35" s="72" t="str">
        <f aca="false">IF('ساعات عمر'!$M$331=1,IF(28=START_O,السنة!$C$6,N(I34))+N(D35)-N(E35)-N(F35)-N(K35),"")</f>
        <v/>
      </c>
      <c r="H35" s="71" t="str">
        <f aca="false">IF('ساعات عمر'!$M$331=1,N('ساعات عمر'!G342),"")</f>
        <v/>
      </c>
      <c r="I35" s="71" t="str">
        <f aca="false">IF('ساعات عمر'!$M$331=1,G35-H35,"")</f>
        <v/>
      </c>
      <c r="J35" s="73" t="str">
        <f aca="false">IF('ساعات عمر'!$M$331=1,MAX(0,السنة!$D$6+SUMIFS(LG_DEBT,LG_E,"عمر المصري",LG_D,"&lt;="&amp;C35)-SUMIFS(LG_REP,LG_E,"عمر المصري",LG_D,"&lt;="&amp;C35)-SUM(F8:F35)),"")</f>
        <v/>
      </c>
      <c r="K35" s="74" t="n">
        <f aca="false">0</f>
        <v>0</v>
      </c>
      <c r="L35" s="70" t="n">
        <f aca="false">IF(C35="","",MONTH(C35))</f>
        <v>7</v>
      </c>
    </row>
    <row r="36" customFormat="false" ht="15" hidden="false" customHeight="false" outlineLevel="0" collapsed="false">
      <c r="A36" s="70" t="n">
        <f aca="false">IF(29&lt;=NW,29,"")</f>
        <v>29</v>
      </c>
      <c r="B36" s="28" t="n">
        <f aca="false">IF(29&lt;=NW,SAT1+196,"")</f>
        <v>46214</v>
      </c>
      <c r="C36" s="28" t="n">
        <f aca="false">IF(29&lt;=NW,SAT1+202,"")</f>
        <v>46220</v>
      </c>
      <c r="D36" s="71" t="str">
        <f aca="false">IF('ساعات عمر'!$M$343=1,N('ساعات عمر'!H353),"")</f>
        <v/>
      </c>
      <c r="E36" s="71" t="str">
        <f aca="false">IF('ساعات عمر'!$M$343=1,SUMIFS(ADV_AMT,ADV_E,"عمر المصري",ADV_W,29),"")</f>
        <v/>
      </c>
      <c r="F36" s="71" t="str">
        <f aca="false">IF('ساعات عمر'!$M$343=1,IF(N(D36)=0,0,MAX(0,FLOOR(MIN(IF(SUMPRODUCT(MAX((LG_E="عمر المصري")*(LG_INST&lt;&gt;"")*(LG_D&lt;=C36)*LG_IDX))=0,السنة!$E$6,INDEX(LG_INST,SUMPRODUCT(MAX((LG_E="عمر المصري")*(LG_INST&lt;&gt;"")*(LG_D&lt;=C36)*LG_IDX)))),السنة!$D$6+SUMIFS(LG_DEBT,LG_E,"عمر المصري",LG_D,"&lt;="&amp;C36)-SUMIFS(LG_REP,LG_E,"عمر المصري",LG_D,"&lt;="&amp;C36)-SUM(F8:F35),INST_CAP*N(D36),N(D36)-N(E36)-N(K36)-NET_FLOOR*N(D36)),0.25))),"")</f>
        <v/>
      </c>
      <c r="G36" s="72" t="str">
        <f aca="false">IF('ساعات عمر'!$M$343=1,IF(29=START_O,السنة!$C$6,N(I35))+N(D36)-N(E36)-N(F36)-N(K36),"")</f>
        <v/>
      </c>
      <c r="H36" s="71" t="str">
        <f aca="false">IF('ساعات عمر'!$M$343=1,N('ساعات عمر'!G354),"")</f>
        <v/>
      </c>
      <c r="I36" s="71" t="str">
        <f aca="false">IF('ساعات عمر'!$M$343=1,G36-H36,"")</f>
        <v/>
      </c>
      <c r="J36" s="73" t="str">
        <f aca="false">IF('ساعات عمر'!$M$343=1,MAX(0,السنة!$D$6+SUMIFS(LG_DEBT,LG_E,"عمر المصري",LG_D,"&lt;="&amp;C36)-SUMIFS(LG_REP,LG_E,"عمر المصري",LG_D,"&lt;="&amp;C36)-SUM(F8:F36)),"")</f>
        <v/>
      </c>
      <c r="K36" s="74" t="n">
        <f aca="false">0</f>
        <v>0</v>
      </c>
      <c r="L36" s="70" t="n">
        <f aca="false">IF(C36="","",MONTH(C36))</f>
        <v>7</v>
      </c>
    </row>
    <row r="37" customFormat="false" ht="15" hidden="false" customHeight="false" outlineLevel="0" collapsed="false">
      <c r="A37" s="70" t="n">
        <f aca="false">IF(30&lt;=NW,30,"")</f>
        <v>30</v>
      </c>
      <c r="B37" s="28" t="n">
        <f aca="false">IF(30&lt;=NW,SAT1+203,"")</f>
        <v>46221</v>
      </c>
      <c r="C37" s="28" t="n">
        <f aca="false">IF(30&lt;=NW,SAT1+209,"")</f>
        <v>46227</v>
      </c>
      <c r="D37" s="71" t="str">
        <f aca="false">IF('ساعات عمر'!$M$355=1,N('ساعات عمر'!H365),"")</f>
        <v/>
      </c>
      <c r="E37" s="71" t="str">
        <f aca="false">IF('ساعات عمر'!$M$355=1,SUMIFS(ADV_AMT,ADV_E,"عمر المصري",ADV_W,30),"")</f>
        <v/>
      </c>
      <c r="F37" s="71" t="str">
        <f aca="false">IF('ساعات عمر'!$M$355=1,IF(N(D37)=0,0,MAX(0,FLOOR(MIN(IF(SUMPRODUCT(MAX((LG_E="عمر المصري")*(LG_INST&lt;&gt;"")*(LG_D&lt;=C37)*LG_IDX))=0,السنة!$E$6,INDEX(LG_INST,SUMPRODUCT(MAX((LG_E="عمر المصري")*(LG_INST&lt;&gt;"")*(LG_D&lt;=C37)*LG_IDX)))),السنة!$D$6+SUMIFS(LG_DEBT,LG_E,"عمر المصري",LG_D,"&lt;="&amp;C37)-SUMIFS(LG_REP,LG_E,"عمر المصري",LG_D,"&lt;="&amp;C37)-SUM(F8:F36),INST_CAP*N(D37),N(D37)-N(E37)-N(K37)-NET_FLOOR*N(D37)),0.25))),"")</f>
        <v/>
      </c>
      <c r="G37" s="72" t="str">
        <f aca="false">IF('ساعات عمر'!$M$355=1,IF(30=START_O,السنة!$C$6,N(I36))+N(D37)-N(E37)-N(F37)-N(K37),"")</f>
        <v/>
      </c>
      <c r="H37" s="71" t="str">
        <f aca="false">IF('ساعات عمر'!$M$355=1,N('ساعات عمر'!G366),"")</f>
        <v/>
      </c>
      <c r="I37" s="71" t="str">
        <f aca="false">IF('ساعات عمر'!$M$355=1,G37-H37,"")</f>
        <v/>
      </c>
      <c r="J37" s="73" t="str">
        <f aca="false">IF('ساعات عمر'!$M$355=1,MAX(0,السنة!$D$6+SUMIFS(LG_DEBT,LG_E,"عمر المصري",LG_D,"&lt;="&amp;C37)-SUMIFS(LG_REP,LG_E,"عمر المصري",LG_D,"&lt;="&amp;C37)-SUM(F8:F37)),"")</f>
        <v/>
      </c>
      <c r="K37" s="74" t="n">
        <f aca="false">0</f>
        <v>0</v>
      </c>
      <c r="L37" s="70" t="n">
        <f aca="false">IF(C37="","",MONTH(C37))</f>
        <v>7</v>
      </c>
    </row>
    <row r="38" customFormat="false" ht="15" hidden="false" customHeight="false" outlineLevel="0" collapsed="false">
      <c r="A38" s="70" t="n">
        <f aca="false">IF(31&lt;=NW,31,"")</f>
        <v>31</v>
      </c>
      <c r="B38" s="28" t="n">
        <f aca="false">IF(31&lt;=NW,SAT1+210,"")</f>
        <v>46228</v>
      </c>
      <c r="C38" s="28" t="n">
        <f aca="false">IF(31&lt;=NW,SAT1+216,"")</f>
        <v>46234</v>
      </c>
      <c r="D38" s="71" t="str">
        <f aca="false">IF('ساعات عمر'!$M$367=1,N('ساعات عمر'!H377),"")</f>
        <v/>
      </c>
      <c r="E38" s="71" t="str">
        <f aca="false">IF('ساعات عمر'!$M$367=1,SUMIFS(ADV_AMT,ADV_E,"عمر المصري",ADV_W,31),"")</f>
        <v/>
      </c>
      <c r="F38" s="71" t="str">
        <f aca="false">IF('ساعات عمر'!$M$367=1,IF(N(D38)=0,0,MAX(0,FLOOR(MIN(IF(SUMPRODUCT(MAX((LG_E="عمر المصري")*(LG_INST&lt;&gt;"")*(LG_D&lt;=C38)*LG_IDX))=0,السنة!$E$6,INDEX(LG_INST,SUMPRODUCT(MAX((LG_E="عمر المصري")*(LG_INST&lt;&gt;"")*(LG_D&lt;=C38)*LG_IDX)))),السنة!$D$6+SUMIFS(LG_DEBT,LG_E,"عمر المصري",LG_D,"&lt;="&amp;C38)-SUMIFS(LG_REP,LG_E,"عمر المصري",LG_D,"&lt;="&amp;C38)-SUM(F8:F37),INST_CAP*N(D38),N(D38)-N(E38)-N(K38)-NET_FLOOR*N(D38)),0.25))),"")</f>
        <v/>
      </c>
      <c r="G38" s="72" t="str">
        <f aca="false">IF('ساعات عمر'!$M$367=1,IF(31=START_O,السنة!$C$6,N(I37))+N(D38)-N(E38)-N(F38)-N(K38),"")</f>
        <v/>
      </c>
      <c r="H38" s="71" t="str">
        <f aca="false">IF('ساعات عمر'!$M$367=1,N('ساعات عمر'!G378),"")</f>
        <v/>
      </c>
      <c r="I38" s="71" t="str">
        <f aca="false">IF('ساعات عمر'!$M$367=1,G38-H38,"")</f>
        <v/>
      </c>
      <c r="J38" s="73" t="str">
        <f aca="false">IF('ساعات عمر'!$M$367=1,MAX(0,السنة!$D$6+SUMIFS(LG_DEBT,LG_E,"عمر المصري",LG_D,"&lt;="&amp;C38)-SUMIFS(LG_REP,LG_E,"عمر المصري",LG_D,"&lt;="&amp;C38)-SUM(F8:F38)),"")</f>
        <v/>
      </c>
      <c r="K38" s="74" t="n">
        <f aca="false">0</f>
        <v>0</v>
      </c>
      <c r="L38" s="70" t="n">
        <f aca="false">IF(C38="","",MONTH(C38))</f>
        <v>7</v>
      </c>
    </row>
    <row r="39" customFormat="false" ht="15" hidden="false" customHeight="false" outlineLevel="0" collapsed="false">
      <c r="A39" s="70" t="n">
        <f aca="false">IF(32&lt;=NW,32,"")</f>
        <v>32</v>
      </c>
      <c r="B39" s="28" t="n">
        <f aca="false">IF(32&lt;=NW,SAT1+217,"")</f>
        <v>46235</v>
      </c>
      <c r="C39" s="28" t="n">
        <f aca="false">IF(32&lt;=NW,SAT1+223,"")</f>
        <v>46241</v>
      </c>
      <c r="D39" s="71" t="str">
        <f aca="false">IF('ساعات عمر'!$M$379=1,N('ساعات عمر'!H389),"")</f>
        <v/>
      </c>
      <c r="E39" s="71" t="str">
        <f aca="false">IF('ساعات عمر'!$M$379=1,SUMIFS(ADV_AMT,ADV_E,"عمر المصري",ADV_W,32),"")</f>
        <v/>
      </c>
      <c r="F39" s="71" t="str">
        <f aca="false">IF('ساعات عمر'!$M$379=1,IF(N(D39)=0,0,MAX(0,FLOOR(MIN(IF(SUMPRODUCT(MAX((LG_E="عمر المصري")*(LG_INST&lt;&gt;"")*(LG_D&lt;=C39)*LG_IDX))=0,السنة!$E$6,INDEX(LG_INST,SUMPRODUCT(MAX((LG_E="عمر المصري")*(LG_INST&lt;&gt;"")*(LG_D&lt;=C39)*LG_IDX)))),السنة!$D$6+SUMIFS(LG_DEBT,LG_E,"عمر المصري",LG_D,"&lt;="&amp;C39)-SUMIFS(LG_REP,LG_E,"عمر المصري",LG_D,"&lt;="&amp;C39)-SUM(F8:F38),INST_CAP*N(D39),N(D39)-N(E39)-N(K39)-NET_FLOOR*N(D39)),0.25))),"")</f>
        <v/>
      </c>
      <c r="G39" s="72" t="str">
        <f aca="false">IF('ساعات عمر'!$M$379=1,IF(32=START_O,السنة!$C$6,N(I38))+N(D39)-N(E39)-N(F39)-N(K39),"")</f>
        <v/>
      </c>
      <c r="H39" s="71" t="str">
        <f aca="false">IF('ساعات عمر'!$M$379=1,N('ساعات عمر'!G390),"")</f>
        <v/>
      </c>
      <c r="I39" s="71" t="str">
        <f aca="false">IF('ساعات عمر'!$M$379=1,G39-H39,"")</f>
        <v/>
      </c>
      <c r="J39" s="73" t="str">
        <f aca="false">IF('ساعات عمر'!$M$379=1,MAX(0,السنة!$D$6+SUMIFS(LG_DEBT,LG_E,"عمر المصري",LG_D,"&lt;="&amp;C39)-SUMIFS(LG_REP,LG_E,"عمر المصري",LG_D,"&lt;="&amp;C39)-SUM(F8:F39)),"")</f>
        <v/>
      </c>
      <c r="K39" s="74" t="n">
        <f aca="false">0</f>
        <v>0</v>
      </c>
      <c r="L39" s="70" t="n">
        <f aca="false">IF(C39="","",MONTH(C39))</f>
        <v>8</v>
      </c>
    </row>
    <row r="40" customFormat="false" ht="15" hidden="false" customHeight="false" outlineLevel="0" collapsed="false">
      <c r="A40" s="70" t="n">
        <f aca="false">IF(33&lt;=NW,33,"")</f>
        <v>33</v>
      </c>
      <c r="B40" s="28" t="n">
        <f aca="false">IF(33&lt;=NW,SAT1+224,"")</f>
        <v>46242</v>
      </c>
      <c r="C40" s="28" t="n">
        <f aca="false">IF(33&lt;=NW,SAT1+230,"")</f>
        <v>46248</v>
      </c>
      <c r="D40" s="71" t="str">
        <f aca="false">IF('ساعات عمر'!$M$391=1,N('ساعات عمر'!H401),"")</f>
        <v/>
      </c>
      <c r="E40" s="71" t="str">
        <f aca="false">IF('ساعات عمر'!$M$391=1,SUMIFS(ADV_AMT,ADV_E,"عمر المصري",ADV_W,33),"")</f>
        <v/>
      </c>
      <c r="F40" s="71" t="str">
        <f aca="false">IF('ساعات عمر'!$M$391=1,IF(N(D40)=0,0,MAX(0,FLOOR(MIN(IF(SUMPRODUCT(MAX((LG_E="عمر المصري")*(LG_INST&lt;&gt;"")*(LG_D&lt;=C40)*LG_IDX))=0,السنة!$E$6,INDEX(LG_INST,SUMPRODUCT(MAX((LG_E="عمر المصري")*(LG_INST&lt;&gt;"")*(LG_D&lt;=C40)*LG_IDX)))),السنة!$D$6+SUMIFS(LG_DEBT,LG_E,"عمر المصري",LG_D,"&lt;="&amp;C40)-SUMIFS(LG_REP,LG_E,"عمر المصري",LG_D,"&lt;="&amp;C40)-SUM(F8:F39),INST_CAP*N(D40),N(D40)-N(E40)-N(K40)-NET_FLOOR*N(D40)),0.25))),"")</f>
        <v/>
      </c>
      <c r="G40" s="72" t="str">
        <f aca="false">IF('ساعات عمر'!$M$391=1,IF(33=START_O,السنة!$C$6,N(I39))+N(D40)-N(E40)-N(F40)-N(K40),"")</f>
        <v/>
      </c>
      <c r="H40" s="71" t="str">
        <f aca="false">IF('ساعات عمر'!$M$391=1,N('ساعات عمر'!G402),"")</f>
        <v/>
      </c>
      <c r="I40" s="71" t="str">
        <f aca="false">IF('ساعات عمر'!$M$391=1,G40-H40,"")</f>
        <v/>
      </c>
      <c r="J40" s="73" t="str">
        <f aca="false">IF('ساعات عمر'!$M$391=1,MAX(0,السنة!$D$6+SUMIFS(LG_DEBT,LG_E,"عمر المصري",LG_D,"&lt;="&amp;C40)-SUMIFS(LG_REP,LG_E,"عمر المصري",LG_D,"&lt;="&amp;C40)-SUM(F8:F40)),"")</f>
        <v/>
      </c>
      <c r="K40" s="74" t="n">
        <f aca="false">0</f>
        <v>0</v>
      </c>
      <c r="L40" s="70" t="n">
        <f aca="false">IF(C40="","",MONTH(C40))</f>
        <v>8</v>
      </c>
    </row>
    <row r="41" customFormat="false" ht="15" hidden="false" customHeight="false" outlineLevel="0" collapsed="false">
      <c r="A41" s="70" t="n">
        <f aca="false">IF(34&lt;=NW,34,"")</f>
        <v>34</v>
      </c>
      <c r="B41" s="28" t="n">
        <f aca="false">IF(34&lt;=NW,SAT1+231,"")</f>
        <v>46249</v>
      </c>
      <c r="C41" s="28" t="n">
        <f aca="false">IF(34&lt;=NW,SAT1+237,"")</f>
        <v>46255</v>
      </c>
      <c r="D41" s="71" t="str">
        <f aca="false">IF('ساعات عمر'!$M$403=1,N('ساعات عمر'!H413),"")</f>
        <v/>
      </c>
      <c r="E41" s="71" t="str">
        <f aca="false">IF('ساعات عمر'!$M$403=1,SUMIFS(ADV_AMT,ADV_E,"عمر المصري",ADV_W,34),"")</f>
        <v/>
      </c>
      <c r="F41" s="71" t="str">
        <f aca="false">IF('ساعات عمر'!$M$403=1,IF(N(D41)=0,0,MAX(0,FLOOR(MIN(IF(SUMPRODUCT(MAX((LG_E="عمر المصري")*(LG_INST&lt;&gt;"")*(LG_D&lt;=C41)*LG_IDX))=0,السنة!$E$6,INDEX(LG_INST,SUMPRODUCT(MAX((LG_E="عمر المصري")*(LG_INST&lt;&gt;"")*(LG_D&lt;=C41)*LG_IDX)))),السنة!$D$6+SUMIFS(LG_DEBT,LG_E,"عمر المصري",LG_D,"&lt;="&amp;C41)-SUMIFS(LG_REP,LG_E,"عمر المصري",LG_D,"&lt;="&amp;C41)-SUM(F8:F40),INST_CAP*N(D41),N(D41)-N(E41)-N(K41)-NET_FLOOR*N(D41)),0.25))),"")</f>
        <v/>
      </c>
      <c r="G41" s="72" t="str">
        <f aca="false">IF('ساعات عمر'!$M$403=1,IF(34=START_O,السنة!$C$6,N(I40))+N(D41)-N(E41)-N(F41)-N(K41),"")</f>
        <v/>
      </c>
      <c r="H41" s="71" t="str">
        <f aca="false">IF('ساعات عمر'!$M$403=1,N('ساعات عمر'!G414),"")</f>
        <v/>
      </c>
      <c r="I41" s="71" t="str">
        <f aca="false">IF('ساعات عمر'!$M$403=1,G41-H41,"")</f>
        <v/>
      </c>
      <c r="J41" s="73" t="str">
        <f aca="false">IF('ساعات عمر'!$M$403=1,MAX(0,السنة!$D$6+SUMIFS(LG_DEBT,LG_E,"عمر المصري",LG_D,"&lt;="&amp;C41)-SUMIFS(LG_REP,LG_E,"عمر المصري",LG_D,"&lt;="&amp;C41)-SUM(F8:F41)),"")</f>
        <v/>
      </c>
      <c r="K41" s="74" t="n">
        <f aca="false">0</f>
        <v>0</v>
      </c>
      <c r="L41" s="70" t="n">
        <f aca="false">IF(C41="","",MONTH(C41))</f>
        <v>8</v>
      </c>
    </row>
    <row r="42" customFormat="false" ht="15" hidden="false" customHeight="false" outlineLevel="0" collapsed="false">
      <c r="A42" s="70" t="n">
        <f aca="false">IF(35&lt;=NW,35,"")</f>
        <v>35</v>
      </c>
      <c r="B42" s="28" t="n">
        <f aca="false">IF(35&lt;=NW,SAT1+238,"")</f>
        <v>46256</v>
      </c>
      <c r="C42" s="28" t="n">
        <f aca="false">IF(35&lt;=NW,SAT1+244,"")</f>
        <v>46262</v>
      </c>
      <c r="D42" s="71" t="str">
        <f aca="false">IF('ساعات عمر'!$M$415=1,N('ساعات عمر'!H425),"")</f>
        <v/>
      </c>
      <c r="E42" s="71" t="str">
        <f aca="false">IF('ساعات عمر'!$M$415=1,SUMIFS(ADV_AMT,ADV_E,"عمر المصري",ADV_W,35),"")</f>
        <v/>
      </c>
      <c r="F42" s="71" t="str">
        <f aca="false">IF('ساعات عمر'!$M$415=1,IF(N(D42)=0,0,MAX(0,FLOOR(MIN(IF(SUMPRODUCT(MAX((LG_E="عمر المصري")*(LG_INST&lt;&gt;"")*(LG_D&lt;=C42)*LG_IDX))=0,السنة!$E$6,INDEX(LG_INST,SUMPRODUCT(MAX((LG_E="عمر المصري")*(LG_INST&lt;&gt;"")*(LG_D&lt;=C42)*LG_IDX)))),السنة!$D$6+SUMIFS(LG_DEBT,LG_E,"عمر المصري",LG_D,"&lt;="&amp;C42)-SUMIFS(LG_REP,LG_E,"عمر المصري",LG_D,"&lt;="&amp;C42)-SUM(F8:F41),INST_CAP*N(D42),N(D42)-N(E42)-N(K42)-NET_FLOOR*N(D42)),0.25))),"")</f>
        <v/>
      </c>
      <c r="G42" s="72" t="str">
        <f aca="false">IF('ساعات عمر'!$M$415=1,IF(35=START_O,السنة!$C$6,N(I41))+N(D42)-N(E42)-N(F42)-N(K42),"")</f>
        <v/>
      </c>
      <c r="H42" s="71" t="str">
        <f aca="false">IF('ساعات عمر'!$M$415=1,N('ساعات عمر'!G426),"")</f>
        <v/>
      </c>
      <c r="I42" s="71" t="str">
        <f aca="false">IF('ساعات عمر'!$M$415=1,G42-H42,"")</f>
        <v/>
      </c>
      <c r="J42" s="73" t="str">
        <f aca="false">IF('ساعات عمر'!$M$415=1,MAX(0,السنة!$D$6+SUMIFS(LG_DEBT,LG_E,"عمر المصري",LG_D,"&lt;="&amp;C42)-SUMIFS(LG_REP,LG_E,"عمر المصري",LG_D,"&lt;="&amp;C42)-SUM(F8:F42)),"")</f>
        <v/>
      </c>
      <c r="K42" s="74" t="n">
        <f aca="false">0</f>
        <v>0</v>
      </c>
      <c r="L42" s="70" t="n">
        <f aca="false">IF(C42="","",MONTH(C42))</f>
        <v>8</v>
      </c>
    </row>
    <row r="43" customFormat="false" ht="15" hidden="false" customHeight="false" outlineLevel="0" collapsed="false">
      <c r="A43" s="70" t="n">
        <f aca="false">IF(36&lt;=NW,36,"")</f>
        <v>36</v>
      </c>
      <c r="B43" s="28" t="n">
        <f aca="false">IF(36&lt;=NW,SAT1+245,"")</f>
        <v>46263</v>
      </c>
      <c r="C43" s="28" t="n">
        <f aca="false">IF(36&lt;=NW,SAT1+251,"")</f>
        <v>46269</v>
      </c>
      <c r="D43" s="71" t="str">
        <f aca="false">IF('ساعات عمر'!$M$427=1,N('ساعات عمر'!H437),"")</f>
        <v/>
      </c>
      <c r="E43" s="71" t="str">
        <f aca="false">IF('ساعات عمر'!$M$427=1,SUMIFS(ADV_AMT,ADV_E,"عمر المصري",ADV_W,36),"")</f>
        <v/>
      </c>
      <c r="F43" s="71" t="str">
        <f aca="false">IF('ساعات عمر'!$M$427=1,IF(N(D43)=0,0,MAX(0,FLOOR(MIN(IF(SUMPRODUCT(MAX((LG_E="عمر المصري")*(LG_INST&lt;&gt;"")*(LG_D&lt;=C43)*LG_IDX))=0,السنة!$E$6,INDEX(LG_INST,SUMPRODUCT(MAX((LG_E="عمر المصري")*(LG_INST&lt;&gt;"")*(LG_D&lt;=C43)*LG_IDX)))),السنة!$D$6+SUMIFS(LG_DEBT,LG_E,"عمر المصري",LG_D,"&lt;="&amp;C43)-SUMIFS(LG_REP,LG_E,"عمر المصري",LG_D,"&lt;="&amp;C43)-SUM(F8:F42),INST_CAP*N(D43),N(D43)-N(E43)-N(K43)-NET_FLOOR*N(D43)),0.25))),"")</f>
        <v/>
      </c>
      <c r="G43" s="72" t="str">
        <f aca="false">IF('ساعات عمر'!$M$427=1,IF(36=START_O,السنة!$C$6,N(I42))+N(D43)-N(E43)-N(F43)-N(K43),"")</f>
        <v/>
      </c>
      <c r="H43" s="71" t="str">
        <f aca="false">IF('ساعات عمر'!$M$427=1,N('ساعات عمر'!G438),"")</f>
        <v/>
      </c>
      <c r="I43" s="71" t="str">
        <f aca="false">IF('ساعات عمر'!$M$427=1,G43-H43,"")</f>
        <v/>
      </c>
      <c r="J43" s="73" t="str">
        <f aca="false">IF('ساعات عمر'!$M$427=1,MAX(0,السنة!$D$6+SUMIFS(LG_DEBT,LG_E,"عمر المصري",LG_D,"&lt;="&amp;C43)-SUMIFS(LG_REP,LG_E,"عمر المصري",LG_D,"&lt;="&amp;C43)-SUM(F8:F43)),"")</f>
        <v/>
      </c>
      <c r="K43" s="74" t="n">
        <f aca="false">0</f>
        <v>0</v>
      </c>
      <c r="L43" s="70" t="n">
        <f aca="false">IF(C43="","",MONTH(C43))</f>
        <v>9</v>
      </c>
    </row>
    <row r="44" customFormat="false" ht="15" hidden="false" customHeight="false" outlineLevel="0" collapsed="false">
      <c r="A44" s="70" t="n">
        <f aca="false">IF(37&lt;=NW,37,"")</f>
        <v>37</v>
      </c>
      <c r="B44" s="28" t="n">
        <f aca="false">IF(37&lt;=NW,SAT1+252,"")</f>
        <v>46270</v>
      </c>
      <c r="C44" s="28" t="n">
        <f aca="false">IF(37&lt;=NW,SAT1+258,"")</f>
        <v>46276</v>
      </c>
      <c r="D44" s="71" t="str">
        <f aca="false">IF('ساعات عمر'!$M$439=1,N('ساعات عمر'!H449),"")</f>
        <v/>
      </c>
      <c r="E44" s="71" t="str">
        <f aca="false">IF('ساعات عمر'!$M$439=1,SUMIFS(ADV_AMT,ADV_E,"عمر المصري",ADV_W,37),"")</f>
        <v/>
      </c>
      <c r="F44" s="71" t="str">
        <f aca="false">IF('ساعات عمر'!$M$439=1,IF(N(D44)=0,0,MAX(0,FLOOR(MIN(IF(SUMPRODUCT(MAX((LG_E="عمر المصري")*(LG_INST&lt;&gt;"")*(LG_D&lt;=C44)*LG_IDX))=0,السنة!$E$6,INDEX(LG_INST,SUMPRODUCT(MAX((LG_E="عمر المصري")*(LG_INST&lt;&gt;"")*(LG_D&lt;=C44)*LG_IDX)))),السنة!$D$6+SUMIFS(LG_DEBT,LG_E,"عمر المصري",LG_D,"&lt;="&amp;C44)-SUMIFS(LG_REP,LG_E,"عمر المصري",LG_D,"&lt;="&amp;C44)-SUM(F8:F43),INST_CAP*N(D44),N(D44)-N(E44)-N(K44)-NET_FLOOR*N(D44)),0.25))),"")</f>
        <v/>
      </c>
      <c r="G44" s="72" t="str">
        <f aca="false">IF('ساعات عمر'!$M$439=1,IF(37=START_O,السنة!$C$6,N(I43))+N(D44)-N(E44)-N(F44)-N(K44),"")</f>
        <v/>
      </c>
      <c r="H44" s="71" t="str">
        <f aca="false">IF('ساعات عمر'!$M$439=1,N('ساعات عمر'!G450),"")</f>
        <v/>
      </c>
      <c r="I44" s="71" t="str">
        <f aca="false">IF('ساعات عمر'!$M$439=1,G44-H44,"")</f>
        <v/>
      </c>
      <c r="J44" s="73" t="str">
        <f aca="false">IF('ساعات عمر'!$M$439=1,MAX(0,السنة!$D$6+SUMIFS(LG_DEBT,LG_E,"عمر المصري",LG_D,"&lt;="&amp;C44)-SUMIFS(LG_REP,LG_E,"عمر المصري",LG_D,"&lt;="&amp;C44)-SUM(F8:F44)),"")</f>
        <v/>
      </c>
      <c r="K44" s="74" t="n">
        <f aca="false">0</f>
        <v>0</v>
      </c>
      <c r="L44" s="70" t="n">
        <f aca="false">IF(C44="","",MONTH(C44))</f>
        <v>9</v>
      </c>
    </row>
    <row r="45" customFormat="false" ht="15" hidden="false" customHeight="false" outlineLevel="0" collapsed="false">
      <c r="A45" s="70" t="n">
        <f aca="false">IF(38&lt;=NW,38,"")</f>
        <v>38</v>
      </c>
      <c r="B45" s="28" t="n">
        <f aca="false">IF(38&lt;=NW,SAT1+259,"")</f>
        <v>46277</v>
      </c>
      <c r="C45" s="28" t="n">
        <f aca="false">IF(38&lt;=NW,SAT1+265,"")</f>
        <v>46283</v>
      </c>
      <c r="D45" s="71" t="str">
        <f aca="false">IF('ساعات عمر'!$M$451=1,N('ساعات عمر'!H461),"")</f>
        <v/>
      </c>
      <c r="E45" s="71" t="str">
        <f aca="false">IF('ساعات عمر'!$M$451=1,SUMIFS(ADV_AMT,ADV_E,"عمر المصري",ADV_W,38),"")</f>
        <v/>
      </c>
      <c r="F45" s="71" t="str">
        <f aca="false">IF('ساعات عمر'!$M$451=1,IF(N(D45)=0,0,MAX(0,FLOOR(MIN(IF(SUMPRODUCT(MAX((LG_E="عمر المصري")*(LG_INST&lt;&gt;"")*(LG_D&lt;=C45)*LG_IDX))=0,السنة!$E$6,INDEX(LG_INST,SUMPRODUCT(MAX((LG_E="عمر المصري")*(LG_INST&lt;&gt;"")*(LG_D&lt;=C45)*LG_IDX)))),السنة!$D$6+SUMIFS(LG_DEBT,LG_E,"عمر المصري",LG_D,"&lt;="&amp;C45)-SUMIFS(LG_REP,LG_E,"عمر المصري",LG_D,"&lt;="&amp;C45)-SUM(F8:F44),INST_CAP*N(D45),N(D45)-N(E45)-N(K45)-NET_FLOOR*N(D45)),0.25))),"")</f>
        <v/>
      </c>
      <c r="G45" s="72" t="str">
        <f aca="false">IF('ساعات عمر'!$M$451=1,IF(38=START_O,السنة!$C$6,N(I44))+N(D45)-N(E45)-N(F45)-N(K45),"")</f>
        <v/>
      </c>
      <c r="H45" s="71" t="str">
        <f aca="false">IF('ساعات عمر'!$M$451=1,N('ساعات عمر'!G462),"")</f>
        <v/>
      </c>
      <c r="I45" s="71" t="str">
        <f aca="false">IF('ساعات عمر'!$M$451=1,G45-H45,"")</f>
        <v/>
      </c>
      <c r="J45" s="73" t="str">
        <f aca="false">IF('ساعات عمر'!$M$451=1,MAX(0,السنة!$D$6+SUMIFS(LG_DEBT,LG_E,"عمر المصري",LG_D,"&lt;="&amp;C45)-SUMIFS(LG_REP,LG_E,"عمر المصري",LG_D,"&lt;="&amp;C45)-SUM(F8:F45)),"")</f>
        <v/>
      </c>
      <c r="K45" s="74" t="n">
        <f aca="false">0</f>
        <v>0</v>
      </c>
      <c r="L45" s="70" t="n">
        <f aca="false">IF(C45="","",MONTH(C45))</f>
        <v>9</v>
      </c>
    </row>
    <row r="46" customFormat="false" ht="15" hidden="false" customHeight="false" outlineLevel="0" collapsed="false">
      <c r="A46" s="70" t="n">
        <f aca="false">IF(39&lt;=NW,39,"")</f>
        <v>39</v>
      </c>
      <c r="B46" s="28" t="n">
        <f aca="false">IF(39&lt;=NW,SAT1+266,"")</f>
        <v>46284</v>
      </c>
      <c r="C46" s="28" t="n">
        <f aca="false">IF(39&lt;=NW,SAT1+272,"")</f>
        <v>46290</v>
      </c>
      <c r="D46" s="71" t="str">
        <f aca="false">IF('ساعات عمر'!$M$463=1,N('ساعات عمر'!H473),"")</f>
        <v/>
      </c>
      <c r="E46" s="71" t="str">
        <f aca="false">IF('ساعات عمر'!$M$463=1,SUMIFS(ADV_AMT,ADV_E,"عمر المصري",ADV_W,39),"")</f>
        <v/>
      </c>
      <c r="F46" s="71" t="str">
        <f aca="false">IF('ساعات عمر'!$M$463=1,IF(N(D46)=0,0,MAX(0,FLOOR(MIN(IF(SUMPRODUCT(MAX((LG_E="عمر المصري")*(LG_INST&lt;&gt;"")*(LG_D&lt;=C46)*LG_IDX))=0,السنة!$E$6,INDEX(LG_INST,SUMPRODUCT(MAX((LG_E="عمر المصري")*(LG_INST&lt;&gt;"")*(LG_D&lt;=C46)*LG_IDX)))),السنة!$D$6+SUMIFS(LG_DEBT,LG_E,"عمر المصري",LG_D,"&lt;="&amp;C46)-SUMIFS(LG_REP,LG_E,"عمر المصري",LG_D,"&lt;="&amp;C46)-SUM(F8:F45),INST_CAP*N(D46),N(D46)-N(E46)-N(K46)-NET_FLOOR*N(D46)),0.25))),"")</f>
        <v/>
      </c>
      <c r="G46" s="72" t="str">
        <f aca="false">IF('ساعات عمر'!$M$463=1,IF(39=START_O,السنة!$C$6,N(I45))+N(D46)-N(E46)-N(F46)-N(K46),"")</f>
        <v/>
      </c>
      <c r="H46" s="71" t="str">
        <f aca="false">IF('ساعات عمر'!$M$463=1,N('ساعات عمر'!G474),"")</f>
        <v/>
      </c>
      <c r="I46" s="71" t="str">
        <f aca="false">IF('ساعات عمر'!$M$463=1,G46-H46,"")</f>
        <v/>
      </c>
      <c r="J46" s="73" t="str">
        <f aca="false">IF('ساعات عمر'!$M$463=1,MAX(0,السنة!$D$6+SUMIFS(LG_DEBT,LG_E,"عمر المصري",LG_D,"&lt;="&amp;C46)-SUMIFS(LG_REP,LG_E,"عمر المصري",LG_D,"&lt;="&amp;C46)-SUM(F8:F46)),"")</f>
        <v/>
      </c>
      <c r="K46" s="74" t="n">
        <f aca="false">0</f>
        <v>0</v>
      </c>
      <c r="L46" s="70" t="n">
        <f aca="false">IF(C46="","",MONTH(C46))</f>
        <v>9</v>
      </c>
    </row>
    <row r="47" customFormat="false" ht="15" hidden="false" customHeight="false" outlineLevel="0" collapsed="false">
      <c r="A47" s="70" t="n">
        <f aca="false">IF(40&lt;=NW,40,"")</f>
        <v>40</v>
      </c>
      <c r="B47" s="28" t="n">
        <f aca="false">IF(40&lt;=NW,SAT1+273,"")</f>
        <v>46291</v>
      </c>
      <c r="C47" s="28" t="n">
        <f aca="false">IF(40&lt;=NW,SAT1+279,"")</f>
        <v>46297</v>
      </c>
      <c r="D47" s="71" t="n">
        <f aca="false">IF('ساعات عمر'!$M$475=1,N('ساعات عمر'!H485),"")</f>
        <v>0</v>
      </c>
      <c r="E47" s="71" t="n">
        <f aca="false">IF('ساعات عمر'!$M$475=1,SUMIFS(ADV_AMT,ADV_E,"عمر المصري",ADV_W,40),"")</f>
        <v>0</v>
      </c>
      <c r="F47" s="71" t="n">
        <f aca="false">IF('ساعات عمر'!$M$475=1,IF(N(D47)=0,0,MAX(0,FLOOR(MIN(IF(SUMPRODUCT(MAX((LG_E="عمر المصري")*(LG_INST&lt;&gt;"")*(LG_D&lt;=C47)*LG_IDX))=0,السنة!$E$6,INDEX(LG_INST,SUMPRODUCT(MAX((LG_E="عمر المصري")*(LG_INST&lt;&gt;"")*(LG_D&lt;=C47)*LG_IDX)))),السنة!$D$6+SUMIFS(LG_DEBT,LG_E,"عمر المصري",LG_D,"&lt;="&amp;C47)-SUMIFS(LG_REP,LG_E,"عمر المصري",LG_D,"&lt;="&amp;C47)-SUM(F8:F46),INST_CAP*N(D47),N(D47)-N(E47)-N(K47)-NET_FLOOR*N(D47)),0.25))),"")</f>
        <v>0</v>
      </c>
      <c r="G47" s="72" t="n">
        <f aca="false">IF('ساعات عمر'!$M$475=1,IF(40=START_O,السنة!$C$6,N(I46))+N(D47)-N(E47)-N(F47)-N(K47),"")</f>
        <v>0</v>
      </c>
      <c r="H47" s="71" t="n">
        <f aca="false">IF('ساعات عمر'!$M$475=1,N('ساعات عمر'!G486),"")</f>
        <v>0</v>
      </c>
      <c r="I47" s="71" t="n">
        <f aca="false">IF('ساعات عمر'!$M$475=1,G47-H47,"")</f>
        <v>0</v>
      </c>
      <c r="J47" s="73" t="n">
        <f aca="false">IF('ساعات عمر'!$M$475=1,MAX(0,السنة!$D$6+SUMIFS(LG_DEBT,LG_E,"عمر المصري",LG_D,"&lt;="&amp;C47)-SUMIFS(LG_REP,LG_E,"عمر المصري",LG_D,"&lt;="&amp;C47)-SUM(F8:F47)),"")</f>
        <v>0</v>
      </c>
      <c r="K47" s="74" t="n">
        <f aca="false">0</f>
        <v>0</v>
      </c>
      <c r="L47" s="70" t="n">
        <f aca="false">IF(C47="","",MONTH(C47))</f>
        <v>10</v>
      </c>
    </row>
    <row r="48" customFormat="false" ht="15" hidden="false" customHeight="false" outlineLevel="0" collapsed="false">
      <c r="A48" s="70" t="n">
        <f aca="false">IF(41&lt;=NW,41,"")</f>
        <v>41</v>
      </c>
      <c r="B48" s="28" t="n">
        <f aca="false">IF(41&lt;=NW,SAT1+280,"")</f>
        <v>46298</v>
      </c>
      <c r="C48" s="28" t="n">
        <f aca="false">IF(41&lt;=NW,SAT1+286,"")</f>
        <v>46304</v>
      </c>
      <c r="D48" s="71" t="n">
        <f aca="false">IF('ساعات عمر'!$M$487=1,N('ساعات عمر'!H497),"")</f>
        <v>0</v>
      </c>
      <c r="E48" s="71" t="n">
        <f aca="false">IF('ساعات عمر'!$M$487=1,SUMIFS(ADV_AMT,ADV_E,"عمر المصري",ADV_W,41),"")</f>
        <v>0</v>
      </c>
      <c r="F48" s="71" t="n">
        <f aca="false">IF('ساعات عمر'!$M$487=1,IF(N(D48)=0,0,MAX(0,FLOOR(MIN(IF(SUMPRODUCT(MAX((LG_E="عمر المصري")*(LG_INST&lt;&gt;"")*(LG_D&lt;=C48)*LG_IDX))=0,السنة!$E$6,INDEX(LG_INST,SUMPRODUCT(MAX((LG_E="عمر المصري")*(LG_INST&lt;&gt;"")*(LG_D&lt;=C48)*LG_IDX)))),السنة!$D$6+SUMIFS(LG_DEBT,LG_E,"عمر المصري",LG_D,"&lt;="&amp;C48)-SUMIFS(LG_REP,LG_E,"عمر المصري",LG_D,"&lt;="&amp;C48)-SUM(F8:F47),INST_CAP*N(D48),N(D48)-N(E48)-N(K48)-NET_FLOOR*N(D48)),0.25))),"")</f>
        <v>0</v>
      </c>
      <c r="G48" s="72" t="n">
        <f aca="false">IF('ساعات عمر'!$M$487=1,IF(41=START_O,السنة!$C$6,N(I47))+N(D48)-N(E48)-N(F48)-N(K48),"")</f>
        <v>0</v>
      </c>
      <c r="H48" s="71" t="n">
        <f aca="false">IF('ساعات عمر'!$M$487=1,N('ساعات عمر'!G498),"")</f>
        <v>0</v>
      </c>
      <c r="I48" s="71" t="n">
        <f aca="false">IF('ساعات عمر'!$M$487=1,G48-H48,"")</f>
        <v>0</v>
      </c>
      <c r="J48" s="73" t="n">
        <f aca="false">IF('ساعات عمر'!$M$487=1,MAX(0,السنة!$D$6+SUMIFS(LG_DEBT,LG_E,"عمر المصري",LG_D,"&lt;="&amp;C48)-SUMIFS(LG_REP,LG_E,"عمر المصري",LG_D,"&lt;="&amp;C48)-SUM(F8:F48)),"")</f>
        <v>0</v>
      </c>
      <c r="K48" s="74" t="n">
        <f aca="false">0</f>
        <v>0</v>
      </c>
      <c r="L48" s="70" t="n">
        <f aca="false">IF(C48="","",MONTH(C48))</f>
        <v>10</v>
      </c>
    </row>
    <row r="49" customFormat="false" ht="15" hidden="false" customHeight="false" outlineLevel="0" collapsed="false">
      <c r="A49" s="70" t="n">
        <f aca="false">IF(42&lt;=NW,42,"")</f>
        <v>42</v>
      </c>
      <c r="B49" s="28" t="n">
        <f aca="false">IF(42&lt;=NW,SAT1+287,"")</f>
        <v>46305</v>
      </c>
      <c r="C49" s="28" t="n">
        <f aca="false">IF(42&lt;=NW,SAT1+293,"")</f>
        <v>46311</v>
      </c>
      <c r="D49" s="71" t="n">
        <f aca="false">IF('ساعات عمر'!$M$499=1,N('ساعات عمر'!H509),"")</f>
        <v>0</v>
      </c>
      <c r="E49" s="71" t="n">
        <f aca="false">IF('ساعات عمر'!$M$499=1,SUMIFS(ADV_AMT,ADV_E,"عمر المصري",ADV_W,42),"")</f>
        <v>0</v>
      </c>
      <c r="F49" s="71" t="n">
        <f aca="false">IF('ساعات عمر'!$M$499=1,IF(N(D49)=0,0,MAX(0,FLOOR(MIN(IF(SUMPRODUCT(MAX((LG_E="عمر المصري")*(LG_INST&lt;&gt;"")*(LG_D&lt;=C49)*LG_IDX))=0,السنة!$E$6,INDEX(LG_INST,SUMPRODUCT(MAX((LG_E="عمر المصري")*(LG_INST&lt;&gt;"")*(LG_D&lt;=C49)*LG_IDX)))),السنة!$D$6+SUMIFS(LG_DEBT,LG_E,"عمر المصري",LG_D,"&lt;="&amp;C49)-SUMIFS(LG_REP,LG_E,"عمر المصري",LG_D,"&lt;="&amp;C49)-SUM(F8:F48),INST_CAP*N(D49),N(D49)-N(E49)-N(K49)-NET_FLOOR*N(D49)),0.25))),"")</f>
        <v>0</v>
      </c>
      <c r="G49" s="72" t="n">
        <f aca="false">IF('ساعات عمر'!$M$499=1,IF(42=START_O,السنة!$C$6,N(I48))+N(D49)-N(E49)-N(F49)-N(K49),"")</f>
        <v>0</v>
      </c>
      <c r="H49" s="71" t="n">
        <f aca="false">IF('ساعات عمر'!$M$499=1,N('ساعات عمر'!G510),"")</f>
        <v>0</v>
      </c>
      <c r="I49" s="71" t="n">
        <f aca="false">IF('ساعات عمر'!$M$499=1,G49-H49,"")</f>
        <v>0</v>
      </c>
      <c r="J49" s="73" t="n">
        <f aca="false">IF('ساعات عمر'!$M$499=1,MAX(0,السنة!$D$6+SUMIFS(LG_DEBT,LG_E,"عمر المصري",LG_D,"&lt;="&amp;C49)-SUMIFS(LG_REP,LG_E,"عمر المصري",LG_D,"&lt;="&amp;C49)-SUM(F8:F49)),"")</f>
        <v>0</v>
      </c>
      <c r="K49" s="74" t="n">
        <f aca="false">0</f>
        <v>0</v>
      </c>
      <c r="L49" s="70" t="n">
        <f aca="false">IF(C49="","",MONTH(C49))</f>
        <v>10</v>
      </c>
    </row>
    <row r="50" customFormat="false" ht="15" hidden="false" customHeight="false" outlineLevel="0" collapsed="false">
      <c r="A50" s="70" t="n">
        <f aca="false">IF(43&lt;=NW,43,"")</f>
        <v>43</v>
      </c>
      <c r="B50" s="28" t="n">
        <f aca="false">IF(43&lt;=NW,SAT1+294,"")</f>
        <v>46312</v>
      </c>
      <c r="C50" s="28" t="n">
        <f aca="false">IF(43&lt;=NW,SAT1+300,"")</f>
        <v>46318</v>
      </c>
      <c r="D50" s="71" t="n">
        <f aca="false">IF('ساعات عمر'!$M$511=1,N('ساعات عمر'!H521),"")</f>
        <v>0</v>
      </c>
      <c r="E50" s="71" t="n">
        <f aca="false">IF('ساعات عمر'!$M$511=1,SUMIFS(ADV_AMT,ADV_E,"عمر المصري",ADV_W,43),"")</f>
        <v>0</v>
      </c>
      <c r="F50" s="71" t="n">
        <f aca="false">IF('ساعات عمر'!$M$511=1,IF(N(D50)=0,0,MAX(0,FLOOR(MIN(IF(SUMPRODUCT(MAX((LG_E="عمر المصري")*(LG_INST&lt;&gt;"")*(LG_D&lt;=C50)*LG_IDX))=0,السنة!$E$6,INDEX(LG_INST,SUMPRODUCT(MAX((LG_E="عمر المصري")*(LG_INST&lt;&gt;"")*(LG_D&lt;=C50)*LG_IDX)))),السنة!$D$6+SUMIFS(LG_DEBT,LG_E,"عمر المصري",LG_D,"&lt;="&amp;C50)-SUMIFS(LG_REP,LG_E,"عمر المصري",LG_D,"&lt;="&amp;C50)-SUM(F8:F49),INST_CAP*N(D50),N(D50)-N(E50)-N(K50)-NET_FLOOR*N(D50)),0.25))),"")</f>
        <v>0</v>
      </c>
      <c r="G50" s="72" t="n">
        <f aca="false">IF('ساعات عمر'!$M$511=1,IF(43=START_O,السنة!$C$6,N(I49))+N(D50)-N(E50)-N(F50)-N(K50),"")</f>
        <v>0</v>
      </c>
      <c r="H50" s="71" t="n">
        <f aca="false">IF('ساعات عمر'!$M$511=1,N('ساعات عمر'!G522),"")</f>
        <v>0</v>
      </c>
      <c r="I50" s="71" t="n">
        <f aca="false">IF('ساعات عمر'!$M$511=1,G50-H50,"")</f>
        <v>0</v>
      </c>
      <c r="J50" s="73" t="n">
        <f aca="false">IF('ساعات عمر'!$M$511=1,MAX(0,السنة!$D$6+SUMIFS(LG_DEBT,LG_E,"عمر المصري",LG_D,"&lt;="&amp;C50)-SUMIFS(LG_REP,LG_E,"عمر المصري",LG_D,"&lt;="&amp;C50)-SUM(F8:F50)),"")</f>
        <v>0</v>
      </c>
      <c r="K50" s="74" t="n">
        <f aca="false">0</f>
        <v>0</v>
      </c>
      <c r="L50" s="70" t="n">
        <f aca="false">IF(C50="","",MONTH(C50))</f>
        <v>10</v>
      </c>
    </row>
    <row r="51" customFormat="false" ht="15" hidden="false" customHeight="false" outlineLevel="0" collapsed="false">
      <c r="A51" s="70" t="n">
        <f aca="false">IF(44&lt;=NW,44,"")</f>
        <v>44</v>
      </c>
      <c r="B51" s="28" t="n">
        <f aca="false">IF(44&lt;=NW,SAT1+301,"")</f>
        <v>46319</v>
      </c>
      <c r="C51" s="28" t="n">
        <f aca="false">IF(44&lt;=NW,SAT1+307,"")</f>
        <v>46325</v>
      </c>
      <c r="D51" s="71" t="n">
        <f aca="false">IF('ساعات عمر'!$M$523=1,N('ساعات عمر'!H533),"")</f>
        <v>0</v>
      </c>
      <c r="E51" s="71" t="n">
        <f aca="false">IF('ساعات عمر'!$M$523=1,SUMIFS(ADV_AMT,ADV_E,"عمر المصري",ADV_W,44),"")</f>
        <v>0</v>
      </c>
      <c r="F51" s="71" t="n">
        <f aca="false">IF('ساعات عمر'!$M$523=1,IF(N(D51)=0,0,MAX(0,FLOOR(MIN(IF(SUMPRODUCT(MAX((LG_E="عمر المصري")*(LG_INST&lt;&gt;"")*(LG_D&lt;=C51)*LG_IDX))=0,السنة!$E$6,INDEX(LG_INST,SUMPRODUCT(MAX((LG_E="عمر المصري")*(LG_INST&lt;&gt;"")*(LG_D&lt;=C51)*LG_IDX)))),السنة!$D$6+SUMIFS(LG_DEBT,LG_E,"عمر المصري",LG_D,"&lt;="&amp;C51)-SUMIFS(LG_REP,LG_E,"عمر المصري",LG_D,"&lt;="&amp;C51)-SUM(F8:F50),INST_CAP*N(D51),N(D51)-N(E51)-N(K51)-NET_FLOOR*N(D51)),0.25))),"")</f>
        <v>0</v>
      </c>
      <c r="G51" s="72" t="n">
        <f aca="false">IF('ساعات عمر'!$M$523=1,IF(44=START_O,السنة!$C$6,N(I50))+N(D51)-N(E51)-N(F51)-N(K51),"")</f>
        <v>0</v>
      </c>
      <c r="H51" s="71" t="n">
        <f aca="false">IF('ساعات عمر'!$M$523=1,N('ساعات عمر'!G534),"")</f>
        <v>0</v>
      </c>
      <c r="I51" s="71" t="n">
        <f aca="false">IF('ساعات عمر'!$M$523=1,G51-H51,"")</f>
        <v>0</v>
      </c>
      <c r="J51" s="73" t="n">
        <f aca="false">IF('ساعات عمر'!$M$523=1,MAX(0,السنة!$D$6+SUMIFS(LG_DEBT,LG_E,"عمر المصري",LG_D,"&lt;="&amp;C51)-SUMIFS(LG_REP,LG_E,"عمر المصري",LG_D,"&lt;="&amp;C51)-SUM(F8:F51)),"")</f>
        <v>0</v>
      </c>
      <c r="K51" s="74" t="n">
        <f aca="false">0</f>
        <v>0</v>
      </c>
      <c r="L51" s="70" t="n">
        <f aca="false">IF(C51="","",MONTH(C51))</f>
        <v>10</v>
      </c>
    </row>
    <row r="52" customFormat="false" ht="15" hidden="false" customHeight="false" outlineLevel="0" collapsed="false">
      <c r="A52" s="70" t="n">
        <f aca="false">IF(45&lt;=NW,45,"")</f>
        <v>45</v>
      </c>
      <c r="B52" s="28" t="n">
        <f aca="false">IF(45&lt;=NW,SAT1+308,"")</f>
        <v>46326</v>
      </c>
      <c r="C52" s="28" t="n">
        <f aca="false">IF(45&lt;=NW,SAT1+314,"")</f>
        <v>46332</v>
      </c>
      <c r="D52" s="71" t="n">
        <f aca="false">IF('ساعات عمر'!$M$535=1,N('ساعات عمر'!H545),"")</f>
        <v>0</v>
      </c>
      <c r="E52" s="71" t="n">
        <f aca="false">IF('ساعات عمر'!$M$535=1,SUMIFS(ADV_AMT,ADV_E,"عمر المصري",ADV_W,45),"")</f>
        <v>0</v>
      </c>
      <c r="F52" s="71" t="n">
        <f aca="false">IF('ساعات عمر'!$M$535=1,IF(N(D52)=0,0,MAX(0,FLOOR(MIN(IF(SUMPRODUCT(MAX((LG_E="عمر المصري")*(LG_INST&lt;&gt;"")*(LG_D&lt;=C52)*LG_IDX))=0,السنة!$E$6,INDEX(LG_INST,SUMPRODUCT(MAX((LG_E="عمر المصري")*(LG_INST&lt;&gt;"")*(LG_D&lt;=C52)*LG_IDX)))),السنة!$D$6+SUMIFS(LG_DEBT,LG_E,"عمر المصري",LG_D,"&lt;="&amp;C52)-SUMIFS(LG_REP,LG_E,"عمر المصري",LG_D,"&lt;="&amp;C52)-SUM(F8:F51),INST_CAP*N(D52),N(D52)-N(E52)-N(K52)-NET_FLOOR*N(D52)),0.25))),"")</f>
        <v>0</v>
      </c>
      <c r="G52" s="72" t="n">
        <f aca="false">IF('ساعات عمر'!$M$535=1,IF(45=START_O,السنة!$C$6,N(I51))+N(D52)-N(E52)-N(F52)-N(K52),"")</f>
        <v>0</v>
      </c>
      <c r="H52" s="71" t="n">
        <f aca="false">IF('ساعات عمر'!$M$535=1,N('ساعات عمر'!G546),"")</f>
        <v>0</v>
      </c>
      <c r="I52" s="71" t="n">
        <f aca="false">IF('ساعات عمر'!$M$535=1,G52-H52,"")</f>
        <v>0</v>
      </c>
      <c r="J52" s="73" t="n">
        <f aca="false">IF('ساعات عمر'!$M$535=1,MAX(0,السنة!$D$6+SUMIFS(LG_DEBT,LG_E,"عمر المصري",LG_D,"&lt;="&amp;C52)-SUMIFS(LG_REP,LG_E,"عمر المصري",LG_D,"&lt;="&amp;C52)-SUM(F8:F52)),"")</f>
        <v>0</v>
      </c>
      <c r="K52" s="74" t="n">
        <f aca="false">0</f>
        <v>0</v>
      </c>
      <c r="L52" s="70" t="n">
        <f aca="false">IF(C52="","",MONTH(C52))</f>
        <v>11</v>
      </c>
    </row>
    <row r="53" customFormat="false" ht="15" hidden="false" customHeight="false" outlineLevel="0" collapsed="false">
      <c r="A53" s="70" t="n">
        <f aca="false">IF(46&lt;=NW,46,"")</f>
        <v>46</v>
      </c>
      <c r="B53" s="28" t="n">
        <f aca="false">IF(46&lt;=NW,SAT1+315,"")</f>
        <v>46333</v>
      </c>
      <c r="C53" s="28" t="n">
        <f aca="false">IF(46&lt;=NW,SAT1+321,"")</f>
        <v>46339</v>
      </c>
      <c r="D53" s="71" t="n">
        <f aca="false">IF('ساعات عمر'!$M$547=1,N('ساعات عمر'!H557),"")</f>
        <v>0</v>
      </c>
      <c r="E53" s="71" t="n">
        <f aca="false">IF('ساعات عمر'!$M$547=1,SUMIFS(ADV_AMT,ADV_E,"عمر المصري",ADV_W,46),"")</f>
        <v>0</v>
      </c>
      <c r="F53" s="71" t="n">
        <f aca="false">IF('ساعات عمر'!$M$547=1,IF(N(D53)=0,0,MAX(0,FLOOR(MIN(IF(SUMPRODUCT(MAX((LG_E="عمر المصري")*(LG_INST&lt;&gt;"")*(LG_D&lt;=C53)*LG_IDX))=0,السنة!$E$6,INDEX(LG_INST,SUMPRODUCT(MAX((LG_E="عمر المصري")*(LG_INST&lt;&gt;"")*(LG_D&lt;=C53)*LG_IDX)))),السنة!$D$6+SUMIFS(LG_DEBT,LG_E,"عمر المصري",LG_D,"&lt;="&amp;C53)-SUMIFS(LG_REP,LG_E,"عمر المصري",LG_D,"&lt;="&amp;C53)-SUM(F8:F52),INST_CAP*N(D53),N(D53)-N(E53)-N(K53)-NET_FLOOR*N(D53)),0.25))),"")</f>
        <v>0</v>
      </c>
      <c r="G53" s="72" t="n">
        <f aca="false">IF('ساعات عمر'!$M$547=1,IF(46=START_O,السنة!$C$6,N(I52))+N(D53)-N(E53)-N(F53)-N(K53),"")</f>
        <v>0</v>
      </c>
      <c r="H53" s="71" t="n">
        <f aca="false">IF('ساعات عمر'!$M$547=1,N('ساعات عمر'!G558),"")</f>
        <v>0</v>
      </c>
      <c r="I53" s="71" t="n">
        <f aca="false">IF('ساعات عمر'!$M$547=1,G53-H53,"")</f>
        <v>0</v>
      </c>
      <c r="J53" s="73" t="n">
        <f aca="false">IF('ساعات عمر'!$M$547=1,MAX(0,السنة!$D$6+SUMIFS(LG_DEBT,LG_E,"عمر المصري",LG_D,"&lt;="&amp;C53)-SUMIFS(LG_REP,LG_E,"عمر المصري",LG_D,"&lt;="&amp;C53)-SUM(F8:F53)),"")</f>
        <v>0</v>
      </c>
      <c r="K53" s="74" t="n">
        <f aca="false">0</f>
        <v>0</v>
      </c>
      <c r="L53" s="70" t="n">
        <f aca="false">IF(C53="","",MONTH(C53))</f>
        <v>11</v>
      </c>
    </row>
    <row r="54" customFormat="false" ht="15" hidden="false" customHeight="false" outlineLevel="0" collapsed="false">
      <c r="A54" s="70" t="n">
        <f aca="false">IF(47&lt;=NW,47,"")</f>
        <v>47</v>
      </c>
      <c r="B54" s="28" t="n">
        <f aca="false">IF(47&lt;=NW,SAT1+322,"")</f>
        <v>46340</v>
      </c>
      <c r="C54" s="28" t="n">
        <f aca="false">IF(47&lt;=NW,SAT1+328,"")</f>
        <v>46346</v>
      </c>
      <c r="D54" s="71" t="n">
        <f aca="false">IF('ساعات عمر'!$M$559=1,N('ساعات عمر'!H569),"")</f>
        <v>0</v>
      </c>
      <c r="E54" s="71" t="n">
        <f aca="false">IF('ساعات عمر'!$M$559=1,SUMIFS(ADV_AMT,ADV_E,"عمر المصري",ADV_W,47),"")</f>
        <v>0</v>
      </c>
      <c r="F54" s="71" t="n">
        <f aca="false">IF('ساعات عمر'!$M$559=1,IF(N(D54)=0,0,MAX(0,FLOOR(MIN(IF(SUMPRODUCT(MAX((LG_E="عمر المصري")*(LG_INST&lt;&gt;"")*(LG_D&lt;=C54)*LG_IDX))=0,السنة!$E$6,INDEX(LG_INST,SUMPRODUCT(MAX((LG_E="عمر المصري")*(LG_INST&lt;&gt;"")*(LG_D&lt;=C54)*LG_IDX)))),السنة!$D$6+SUMIFS(LG_DEBT,LG_E,"عمر المصري",LG_D,"&lt;="&amp;C54)-SUMIFS(LG_REP,LG_E,"عمر المصري",LG_D,"&lt;="&amp;C54)-SUM(F8:F53),INST_CAP*N(D54),N(D54)-N(E54)-N(K54)-NET_FLOOR*N(D54)),0.25))),"")</f>
        <v>0</v>
      </c>
      <c r="G54" s="72" t="n">
        <f aca="false">IF('ساعات عمر'!$M$559=1,IF(47=START_O,السنة!$C$6,N(I53))+N(D54)-N(E54)-N(F54)-N(K54),"")</f>
        <v>0</v>
      </c>
      <c r="H54" s="71" t="n">
        <f aca="false">IF('ساعات عمر'!$M$559=1,N('ساعات عمر'!G570),"")</f>
        <v>0</v>
      </c>
      <c r="I54" s="71" t="n">
        <f aca="false">IF('ساعات عمر'!$M$559=1,G54-H54,"")</f>
        <v>0</v>
      </c>
      <c r="J54" s="73" t="n">
        <f aca="false">IF('ساعات عمر'!$M$559=1,MAX(0,السنة!$D$6+SUMIFS(LG_DEBT,LG_E,"عمر المصري",LG_D,"&lt;="&amp;C54)-SUMIFS(LG_REP,LG_E,"عمر المصري",LG_D,"&lt;="&amp;C54)-SUM(F8:F54)),"")</f>
        <v>0</v>
      </c>
      <c r="K54" s="74" t="n">
        <f aca="false">0</f>
        <v>0</v>
      </c>
      <c r="L54" s="70" t="n">
        <f aca="false">IF(C54="","",MONTH(C54))</f>
        <v>11</v>
      </c>
    </row>
    <row r="55" customFormat="false" ht="15" hidden="false" customHeight="false" outlineLevel="0" collapsed="false">
      <c r="A55" s="70" t="n">
        <f aca="false">IF(48&lt;=NW,48,"")</f>
        <v>48</v>
      </c>
      <c r="B55" s="28" t="n">
        <f aca="false">IF(48&lt;=NW,SAT1+329,"")</f>
        <v>46347</v>
      </c>
      <c r="C55" s="28" t="n">
        <f aca="false">IF(48&lt;=NW,SAT1+335,"")</f>
        <v>46353</v>
      </c>
      <c r="D55" s="71" t="n">
        <f aca="false">IF('ساعات عمر'!$M$571=1,N('ساعات عمر'!H581),"")</f>
        <v>0</v>
      </c>
      <c r="E55" s="71" t="n">
        <f aca="false">IF('ساعات عمر'!$M$571=1,SUMIFS(ADV_AMT,ADV_E,"عمر المصري",ADV_W,48),"")</f>
        <v>0</v>
      </c>
      <c r="F55" s="71" t="n">
        <f aca="false">IF('ساعات عمر'!$M$571=1,IF(N(D55)=0,0,MAX(0,FLOOR(MIN(IF(SUMPRODUCT(MAX((LG_E="عمر المصري")*(LG_INST&lt;&gt;"")*(LG_D&lt;=C55)*LG_IDX))=0,السنة!$E$6,INDEX(LG_INST,SUMPRODUCT(MAX((LG_E="عمر المصري")*(LG_INST&lt;&gt;"")*(LG_D&lt;=C55)*LG_IDX)))),السنة!$D$6+SUMIFS(LG_DEBT,LG_E,"عمر المصري",LG_D,"&lt;="&amp;C55)-SUMIFS(LG_REP,LG_E,"عمر المصري",LG_D,"&lt;="&amp;C55)-SUM(F8:F54),INST_CAP*N(D55),N(D55)-N(E55)-N(K55)-NET_FLOOR*N(D55)),0.25))),"")</f>
        <v>0</v>
      </c>
      <c r="G55" s="72" t="n">
        <f aca="false">IF('ساعات عمر'!$M$571=1,IF(48=START_O,السنة!$C$6,N(I54))+N(D55)-N(E55)-N(F55)-N(K55),"")</f>
        <v>0</v>
      </c>
      <c r="H55" s="71" t="n">
        <f aca="false">IF('ساعات عمر'!$M$571=1,N('ساعات عمر'!G582),"")</f>
        <v>0</v>
      </c>
      <c r="I55" s="71" t="n">
        <f aca="false">IF('ساعات عمر'!$M$571=1,G55-H55,"")</f>
        <v>0</v>
      </c>
      <c r="J55" s="73" t="n">
        <f aca="false">IF('ساعات عمر'!$M$571=1,MAX(0,السنة!$D$6+SUMIFS(LG_DEBT,LG_E,"عمر المصري",LG_D,"&lt;="&amp;C55)-SUMIFS(LG_REP,LG_E,"عمر المصري",LG_D,"&lt;="&amp;C55)-SUM(F8:F55)),"")</f>
        <v>0</v>
      </c>
      <c r="K55" s="74" t="n">
        <f aca="false">0</f>
        <v>0</v>
      </c>
      <c r="L55" s="70" t="n">
        <f aca="false">IF(C55="","",MONTH(C55))</f>
        <v>11</v>
      </c>
    </row>
    <row r="56" customFormat="false" ht="15" hidden="false" customHeight="false" outlineLevel="0" collapsed="false">
      <c r="A56" s="70" t="n">
        <f aca="false">IF(49&lt;=NW,49,"")</f>
        <v>49</v>
      </c>
      <c r="B56" s="28" t="n">
        <f aca="false">IF(49&lt;=NW,SAT1+336,"")</f>
        <v>46354</v>
      </c>
      <c r="C56" s="28" t="n">
        <f aca="false">IF(49&lt;=NW,SAT1+342,"")</f>
        <v>46360</v>
      </c>
      <c r="D56" s="71" t="n">
        <f aca="false">IF('ساعات عمر'!$M$583=1,N('ساعات عمر'!H593),"")</f>
        <v>0</v>
      </c>
      <c r="E56" s="71" t="n">
        <f aca="false">IF('ساعات عمر'!$M$583=1,SUMIFS(ADV_AMT,ADV_E,"عمر المصري",ADV_W,49),"")</f>
        <v>0</v>
      </c>
      <c r="F56" s="71" t="n">
        <f aca="false">IF('ساعات عمر'!$M$583=1,IF(N(D56)=0,0,MAX(0,FLOOR(MIN(IF(SUMPRODUCT(MAX((LG_E="عمر المصري")*(LG_INST&lt;&gt;"")*(LG_D&lt;=C56)*LG_IDX))=0,السنة!$E$6,INDEX(LG_INST,SUMPRODUCT(MAX((LG_E="عمر المصري")*(LG_INST&lt;&gt;"")*(LG_D&lt;=C56)*LG_IDX)))),السنة!$D$6+SUMIFS(LG_DEBT,LG_E,"عمر المصري",LG_D,"&lt;="&amp;C56)-SUMIFS(LG_REP,LG_E,"عمر المصري",LG_D,"&lt;="&amp;C56)-SUM(F8:F55),INST_CAP*N(D56),N(D56)-N(E56)-N(K56)-NET_FLOOR*N(D56)),0.25))),"")</f>
        <v>0</v>
      </c>
      <c r="G56" s="72" t="n">
        <f aca="false">IF('ساعات عمر'!$M$583=1,IF(49=START_O,السنة!$C$6,N(I55))+N(D56)-N(E56)-N(F56)-N(K56),"")</f>
        <v>0</v>
      </c>
      <c r="H56" s="71" t="n">
        <f aca="false">IF('ساعات عمر'!$M$583=1,N('ساعات عمر'!G594),"")</f>
        <v>0</v>
      </c>
      <c r="I56" s="71" t="n">
        <f aca="false">IF('ساعات عمر'!$M$583=1,G56-H56,"")</f>
        <v>0</v>
      </c>
      <c r="J56" s="73" t="n">
        <f aca="false">IF('ساعات عمر'!$M$583=1,MAX(0,السنة!$D$6+SUMIFS(LG_DEBT,LG_E,"عمر المصري",LG_D,"&lt;="&amp;C56)-SUMIFS(LG_REP,LG_E,"عمر المصري",LG_D,"&lt;="&amp;C56)-SUM(F8:F56)),"")</f>
        <v>0</v>
      </c>
      <c r="K56" s="74" t="n">
        <f aca="false">0</f>
        <v>0</v>
      </c>
      <c r="L56" s="70" t="n">
        <f aca="false">IF(C56="","",MONTH(C56))</f>
        <v>12</v>
      </c>
    </row>
    <row r="57" customFormat="false" ht="15" hidden="false" customHeight="false" outlineLevel="0" collapsed="false">
      <c r="A57" s="70" t="n">
        <f aca="false">IF(50&lt;=NW,50,"")</f>
        <v>50</v>
      </c>
      <c r="B57" s="28" t="n">
        <f aca="false">IF(50&lt;=NW,SAT1+343,"")</f>
        <v>46361</v>
      </c>
      <c r="C57" s="28" t="n">
        <f aca="false">IF(50&lt;=NW,SAT1+349,"")</f>
        <v>46367</v>
      </c>
      <c r="D57" s="71" t="n">
        <f aca="false">IF('ساعات عمر'!$M$595=1,N('ساعات عمر'!H605),"")</f>
        <v>0</v>
      </c>
      <c r="E57" s="71" t="n">
        <f aca="false">IF('ساعات عمر'!$M$595=1,SUMIFS(ADV_AMT,ADV_E,"عمر المصري",ADV_W,50),"")</f>
        <v>0</v>
      </c>
      <c r="F57" s="71" t="n">
        <f aca="false">IF('ساعات عمر'!$M$595=1,IF(N(D57)=0,0,MAX(0,FLOOR(MIN(IF(SUMPRODUCT(MAX((LG_E="عمر المصري")*(LG_INST&lt;&gt;"")*(LG_D&lt;=C57)*LG_IDX))=0,السنة!$E$6,INDEX(LG_INST,SUMPRODUCT(MAX((LG_E="عمر المصري")*(LG_INST&lt;&gt;"")*(LG_D&lt;=C57)*LG_IDX)))),السنة!$D$6+SUMIFS(LG_DEBT,LG_E,"عمر المصري",LG_D,"&lt;="&amp;C57)-SUMIFS(LG_REP,LG_E,"عمر المصري",LG_D,"&lt;="&amp;C57)-SUM(F8:F56),INST_CAP*N(D57),N(D57)-N(E57)-N(K57)-NET_FLOOR*N(D57)),0.25))),"")</f>
        <v>0</v>
      </c>
      <c r="G57" s="72" t="n">
        <f aca="false">IF('ساعات عمر'!$M$595=1,IF(50=START_O,السنة!$C$6,N(I56))+N(D57)-N(E57)-N(F57)-N(K57),"")</f>
        <v>0</v>
      </c>
      <c r="H57" s="71" t="n">
        <f aca="false">IF('ساعات عمر'!$M$595=1,N('ساعات عمر'!G606),"")</f>
        <v>0</v>
      </c>
      <c r="I57" s="71" t="n">
        <f aca="false">IF('ساعات عمر'!$M$595=1,G57-H57,"")</f>
        <v>0</v>
      </c>
      <c r="J57" s="73" t="n">
        <f aca="false">IF('ساعات عمر'!$M$595=1,MAX(0,السنة!$D$6+SUMIFS(LG_DEBT,LG_E,"عمر المصري",LG_D,"&lt;="&amp;C57)-SUMIFS(LG_REP,LG_E,"عمر المصري",LG_D,"&lt;="&amp;C57)-SUM(F8:F57)),"")</f>
        <v>0</v>
      </c>
      <c r="K57" s="74" t="n">
        <f aca="false">0</f>
        <v>0</v>
      </c>
      <c r="L57" s="70" t="n">
        <f aca="false">IF(C57="","",MONTH(C57))</f>
        <v>12</v>
      </c>
    </row>
    <row r="58" customFormat="false" ht="15" hidden="false" customHeight="false" outlineLevel="0" collapsed="false">
      <c r="A58" s="70" t="n">
        <f aca="false">IF(51&lt;=NW,51,"")</f>
        <v>51</v>
      </c>
      <c r="B58" s="28" t="n">
        <f aca="false">IF(51&lt;=NW,SAT1+350,"")</f>
        <v>46368</v>
      </c>
      <c r="C58" s="28" t="n">
        <f aca="false">IF(51&lt;=NW,SAT1+356,"")</f>
        <v>46374</v>
      </c>
      <c r="D58" s="71" t="n">
        <f aca="false">IF('ساعات عمر'!$M$607=1,N('ساعات عمر'!H617),"")</f>
        <v>0</v>
      </c>
      <c r="E58" s="71" t="n">
        <f aca="false">IF('ساعات عمر'!$M$607=1,SUMIFS(ADV_AMT,ADV_E,"عمر المصري",ADV_W,51),"")</f>
        <v>0</v>
      </c>
      <c r="F58" s="71" t="n">
        <f aca="false">IF('ساعات عمر'!$M$607=1,IF(N(D58)=0,0,MAX(0,FLOOR(MIN(IF(SUMPRODUCT(MAX((LG_E="عمر المصري")*(LG_INST&lt;&gt;"")*(LG_D&lt;=C58)*LG_IDX))=0,السنة!$E$6,INDEX(LG_INST,SUMPRODUCT(MAX((LG_E="عمر المصري")*(LG_INST&lt;&gt;"")*(LG_D&lt;=C58)*LG_IDX)))),السنة!$D$6+SUMIFS(LG_DEBT,LG_E,"عمر المصري",LG_D,"&lt;="&amp;C58)-SUMIFS(LG_REP,LG_E,"عمر المصري",LG_D,"&lt;="&amp;C58)-SUM(F8:F57),INST_CAP*N(D58),N(D58)-N(E58)-N(K58)-NET_FLOOR*N(D58)),0.25))),"")</f>
        <v>0</v>
      </c>
      <c r="G58" s="72" t="n">
        <f aca="false">IF('ساعات عمر'!$M$607=1,IF(51=START_O,السنة!$C$6,N(I57))+N(D58)-N(E58)-N(F58)-N(K58),"")</f>
        <v>0</v>
      </c>
      <c r="H58" s="71" t="n">
        <f aca="false">IF('ساعات عمر'!$M$607=1,N('ساعات عمر'!G618),"")</f>
        <v>0</v>
      </c>
      <c r="I58" s="71" t="n">
        <f aca="false">IF('ساعات عمر'!$M$607=1,G58-H58,"")</f>
        <v>0</v>
      </c>
      <c r="J58" s="73" t="n">
        <f aca="false">IF('ساعات عمر'!$M$607=1,MAX(0,السنة!$D$6+SUMIFS(LG_DEBT,LG_E,"عمر المصري",LG_D,"&lt;="&amp;C58)-SUMIFS(LG_REP,LG_E,"عمر المصري",LG_D,"&lt;="&amp;C58)-SUM(F8:F58)),"")</f>
        <v>0</v>
      </c>
      <c r="K58" s="74" t="n">
        <f aca="false">0</f>
        <v>0</v>
      </c>
      <c r="L58" s="70" t="n">
        <f aca="false">IF(C58="","",MONTH(C58))</f>
        <v>12</v>
      </c>
    </row>
    <row r="59" customFormat="false" ht="15" hidden="false" customHeight="false" outlineLevel="0" collapsed="false">
      <c r="A59" s="70" t="n">
        <f aca="false">IF(52&lt;=NW,52,"")</f>
        <v>52</v>
      </c>
      <c r="B59" s="28" t="n">
        <f aca="false">IF(52&lt;=NW,SAT1+357,"")</f>
        <v>46375</v>
      </c>
      <c r="C59" s="28" t="n">
        <f aca="false">IF(52&lt;=NW,SAT1+363,"")</f>
        <v>46381</v>
      </c>
      <c r="D59" s="71" t="n">
        <f aca="false">IF('ساعات عمر'!$M$619=1,N('ساعات عمر'!H629),"")</f>
        <v>0</v>
      </c>
      <c r="E59" s="71" t="n">
        <f aca="false">IF('ساعات عمر'!$M$619=1,SUMIFS(ADV_AMT,ADV_E,"عمر المصري",ADV_W,52),"")</f>
        <v>0</v>
      </c>
      <c r="F59" s="71" t="n">
        <f aca="false">IF('ساعات عمر'!$M$619=1,IF(N(D59)=0,0,MAX(0,FLOOR(MIN(IF(SUMPRODUCT(MAX((LG_E="عمر المصري")*(LG_INST&lt;&gt;"")*(LG_D&lt;=C59)*LG_IDX))=0,السنة!$E$6,INDEX(LG_INST,SUMPRODUCT(MAX((LG_E="عمر المصري")*(LG_INST&lt;&gt;"")*(LG_D&lt;=C59)*LG_IDX)))),السنة!$D$6+SUMIFS(LG_DEBT,LG_E,"عمر المصري",LG_D,"&lt;="&amp;C59)-SUMIFS(LG_REP,LG_E,"عمر المصري",LG_D,"&lt;="&amp;C59)-SUM(F8:F58),INST_CAP*N(D59),N(D59)-N(E59)-N(K59)-NET_FLOOR*N(D59)),0.25))),"")</f>
        <v>0</v>
      </c>
      <c r="G59" s="72" t="n">
        <f aca="false">IF('ساعات عمر'!$M$619=1,IF(52=START_O,السنة!$C$6,N(I58))+N(D59)-N(E59)-N(F59)-N(K59),"")</f>
        <v>0</v>
      </c>
      <c r="H59" s="71" t="n">
        <f aca="false">IF('ساعات عمر'!$M$619=1,N('ساعات عمر'!G630),"")</f>
        <v>0</v>
      </c>
      <c r="I59" s="71" t="n">
        <f aca="false">IF('ساعات عمر'!$M$619=1,G59-H59,"")</f>
        <v>0</v>
      </c>
      <c r="J59" s="73" t="n">
        <f aca="false">IF('ساعات عمر'!$M$619=1,MAX(0,السنة!$D$6+SUMIFS(LG_DEBT,LG_E,"عمر المصري",LG_D,"&lt;="&amp;C59)-SUMIFS(LG_REP,LG_E,"عمر المصري",LG_D,"&lt;="&amp;C59)-SUM(F8:F59)),"")</f>
        <v>0</v>
      </c>
      <c r="K59" s="74" t="n">
        <f aca="false">0</f>
        <v>0</v>
      </c>
      <c r="L59" s="70" t="n">
        <f aca="false">IF(C59="","",MONTH(C59))</f>
        <v>12</v>
      </c>
    </row>
    <row r="60" customFormat="false" ht="15" hidden="false" customHeight="false" outlineLevel="0" collapsed="false">
      <c r="A60" s="70" t="str">
        <f aca="false">IF(53&lt;=NW,53,"")</f>
        <v/>
      </c>
      <c r="B60" s="28" t="str">
        <f aca="false">IF(53&lt;=NW,SAT1+364,"")</f>
        <v/>
      </c>
      <c r="C60" s="28" t="str">
        <f aca="false">IF(53&lt;=NW,SAT1+370,"")</f>
        <v/>
      </c>
      <c r="D60" s="71" t="str">
        <f aca="false">IF('ساعات عمر'!$M$631=1,N('ساعات عمر'!H641),"")</f>
        <v/>
      </c>
      <c r="E60" s="71" t="str">
        <f aca="false">IF('ساعات عمر'!$M$631=1,SUMIFS(ADV_AMT,ADV_E,"عمر المصري",ADV_W,53),"")</f>
        <v/>
      </c>
      <c r="F60" s="71" t="str">
        <f aca="false">IF('ساعات عمر'!$M$631=1,IF(N(D60)=0,0,MAX(0,FLOOR(MIN(IF(SUMPRODUCT(MAX((LG_E="عمر المصري")*(LG_INST&lt;&gt;"")*(LG_D&lt;=C60)*LG_IDX))=0,السنة!$E$6,INDEX(LG_INST,SUMPRODUCT(MAX((LG_E="عمر المصري")*(LG_INST&lt;&gt;"")*(LG_D&lt;=C60)*LG_IDX)))),السنة!$D$6+SUMIFS(LG_DEBT,LG_E,"عمر المصري",LG_D,"&lt;="&amp;C60)-SUMIFS(LG_REP,LG_E,"عمر المصري",LG_D,"&lt;="&amp;C60)-SUM(F8:F59),INST_CAP*N(D60),N(D60)-N(E60)-N(K60)-NET_FLOOR*N(D60)),0.25))),"")</f>
        <v/>
      </c>
      <c r="G60" s="72" t="str">
        <f aca="false">IF('ساعات عمر'!$M$631=1,IF(53=START_O,السنة!$C$6,N(I59))+N(D60)-N(E60)-N(F60)-N(K60),"")</f>
        <v/>
      </c>
      <c r="H60" s="71" t="str">
        <f aca="false">IF('ساعات عمر'!$M$631=1,N('ساعات عمر'!G642),"")</f>
        <v/>
      </c>
      <c r="I60" s="71" t="str">
        <f aca="false">IF('ساعات عمر'!$M$631=1,G60-H60,"")</f>
        <v/>
      </c>
      <c r="J60" s="73" t="str">
        <f aca="false">IF('ساعات عمر'!$M$631=1,MAX(0,السنة!$D$6+SUMIFS(LG_DEBT,LG_E,"عمر المصري",LG_D,"&lt;="&amp;C60)-SUMIFS(LG_REP,LG_E,"عمر المصري",LG_D,"&lt;="&amp;C60)-SUM(F8:F60)),"")</f>
        <v/>
      </c>
      <c r="K60" s="74" t="n">
        <f aca="false">0</f>
        <v>0</v>
      </c>
      <c r="L60" s="70" t="str">
        <f aca="false">IF(C60="","",MONTH(C60))</f>
        <v/>
      </c>
    </row>
    <row r="61" customFormat="false" ht="15" hidden="false" customHeight="true" outlineLevel="0" collapsed="false">
      <c r="A61" s="75" t="s">
        <v>61</v>
      </c>
      <c r="B61" s="75"/>
      <c r="C61" s="75"/>
      <c r="D61" s="75" t="n">
        <f aca="false">SUM(D8:D60)</f>
        <v>0</v>
      </c>
      <c r="E61" s="75" t="n">
        <f aca="false">SUM(E8:E60)</f>
        <v>0</v>
      </c>
      <c r="F61" s="75" t="n">
        <f aca="false">SUM(F8:F60)</f>
        <v>0</v>
      </c>
      <c r="G61" s="75" t="n">
        <f aca="false">SUM(G8:G60)</f>
        <v>0</v>
      </c>
      <c r="H61" s="75" t="n">
        <f aca="false">SUM(H8:H60)</f>
        <v>0</v>
      </c>
      <c r="I61" s="75"/>
      <c r="J61" s="75"/>
      <c r="K61" s="75" t="n">
        <f aca="false">SUM(K8:K60)</f>
        <v>0</v>
      </c>
      <c r="L61" s="75"/>
    </row>
    <row r="64" customFormat="false" ht="16.15" hidden="false" customHeight="true" outlineLevel="0" collapsed="false">
      <c r="A64" s="76" t="s">
        <v>16</v>
      </c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</row>
    <row r="65" customFormat="false" ht="30" hidden="false" customHeight="true" outlineLevel="0" collapsed="false">
      <c r="A65" s="49" t="s">
        <v>2</v>
      </c>
      <c r="B65" s="49" t="s">
        <v>65</v>
      </c>
      <c r="C65" s="49" t="s">
        <v>66</v>
      </c>
      <c r="D65" s="49" t="s">
        <v>8</v>
      </c>
      <c r="E65" s="49" t="s">
        <v>9</v>
      </c>
      <c r="F65" s="49" t="s">
        <v>10</v>
      </c>
      <c r="G65" s="49" t="s">
        <v>11</v>
      </c>
      <c r="H65" s="49" t="s">
        <v>12</v>
      </c>
      <c r="I65" s="49" t="s">
        <v>13</v>
      </c>
      <c r="J65" s="49" t="s">
        <v>14</v>
      </c>
      <c r="K65" s="49" t="s">
        <v>68</v>
      </c>
      <c r="L65" s="49" t="s">
        <v>67</v>
      </c>
    </row>
    <row r="66" customFormat="false" ht="15" hidden="false" customHeight="false" outlineLevel="0" collapsed="false">
      <c r="A66" s="70" t="n">
        <f aca="false">IF(1&lt;=NW,1,"")</f>
        <v>1</v>
      </c>
      <c r="B66" s="28" t="n">
        <f aca="false">IF(1&lt;=NW,SAT1+0,"")</f>
        <v>46018</v>
      </c>
      <c r="C66" s="28" t="n">
        <f aca="false">IF(1&lt;=NW,SAT1+6,"")</f>
        <v>46024</v>
      </c>
      <c r="D66" s="71" t="str">
        <f aca="false">IF('ساعات عبدالعزيز'!$M$7=1,N('ساعات عبدالعزيز'!F17),"")</f>
        <v/>
      </c>
      <c r="E66" s="71" t="str">
        <f aca="false">IF('ساعات عبدالعزيز'!$M$7=1,SUMIFS(ADV_AMT,ADV_E,"عبدالعزيز",ADV_W,1),"")</f>
        <v/>
      </c>
      <c r="F66" s="71" t="str">
        <f aca="false">IF('ساعات عبدالعزيز'!$M$7=1,IF(N(D66)=0,0,MAX(0,FLOOR(MIN(IF(SUMPRODUCT(MAX((LG_E="عبدالعزيز")*(LG_INST&lt;&gt;"")*(LG_D&lt;=C66)*LG_IDX))=0,السنة!$E$7,INDEX(LG_INST,SUMPRODUCT(MAX((LG_E="عبدالعزيز")*(LG_INST&lt;&gt;"")*(LG_D&lt;=C66)*LG_IDX)))),السنة!$D$7+SUMIFS(LG_DEBT,LG_E,"عبدالعزيز",LG_D,"&lt;="&amp;C66)-SUMIFS(LG_REP,LG_E,"عبدالعزيز",LG_D,"&lt;="&amp;C66)-0,INST_CAP*N(D66),N(D66)-N(E66)-N(K66)-NET_FLOOR*N(D66)),0.25))),"")</f>
        <v/>
      </c>
      <c r="G66" s="72" t="str">
        <f aca="false">IF('ساعات عبدالعزيز'!$M$7=1,IF(1=START_Z,السنة!$C$7,0)+N(D66)-N(E66)-N(F66)-N(K66),"")</f>
        <v/>
      </c>
      <c r="H66" s="71" t="str">
        <f aca="false">IF('ساعات عبدالعزيز'!$M$7=1,N('ساعات عبدالعزيز'!F18),"")</f>
        <v/>
      </c>
      <c r="I66" s="71" t="str">
        <f aca="false">IF('ساعات عبدالعزيز'!$M$7=1,G66-H66,"")</f>
        <v/>
      </c>
      <c r="J66" s="73" t="str">
        <f aca="false">IF('ساعات عبدالعزيز'!$M$7=1,MAX(0,السنة!$D$7+SUMIFS(LG_DEBT,LG_E,"عبدالعزيز",LG_D,"&lt;="&amp;C66)-SUMIFS(LG_REP,LG_E,"عبدالعزيز",LG_D,"&lt;="&amp;C66)-SUM(F66:F66)),"")</f>
        <v/>
      </c>
      <c r="K66" s="71" t="str">
        <f aca="false">IF('ساعات عبدالعزيز'!$M$7=1,N('ساعات عبدالعزيز'!G16),"")</f>
        <v/>
      </c>
      <c r="L66" s="70" t="n">
        <f aca="false">IF(C66="","",MONTH(C66))</f>
        <v>1</v>
      </c>
    </row>
    <row r="67" customFormat="false" ht="15" hidden="false" customHeight="false" outlineLevel="0" collapsed="false">
      <c r="A67" s="70" t="n">
        <f aca="false">IF(2&lt;=NW,2,"")</f>
        <v>2</v>
      </c>
      <c r="B67" s="28" t="n">
        <f aca="false">IF(2&lt;=NW,SAT1+7,"")</f>
        <v>46025</v>
      </c>
      <c r="C67" s="28" t="n">
        <f aca="false">IF(2&lt;=NW,SAT1+13,"")</f>
        <v>46031</v>
      </c>
      <c r="D67" s="71" t="str">
        <f aca="false">IF('ساعات عبدالعزيز'!$M$19=1,N('ساعات عبدالعزيز'!F29),"")</f>
        <v/>
      </c>
      <c r="E67" s="71" t="str">
        <f aca="false">IF('ساعات عبدالعزيز'!$M$19=1,SUMIFS(ADV_AMT,ADV_E,"عبدالعزيز",ADV_W,2),"")</f>
        <v/>
      </c>
      <c r="F67" s="71" t="str">
        <f aca="false">IF('ساعات عبدالعزيز'!$M$19=1,IF(N(D67)=0,0,MAX(0,FLOOR(MIN(IF(SUMPRODUCT(MAX((LG_E="عبدالعزيز")*(LG_INST&lt;&gt;"")*(LG_D&lt;=C67)*LG_IDX))=0,السنة!$E$7,INDEX(LG_INST,SUMPRODUCT(MAX((LG_E="عبدالعزيز")*(LG_INST&lt;&gt;"")*(LG_D&lt;=C67)*LG_IDX)))),السنة!$D$7+SUMIFS(LG_DEBT,LG_E,"عبدالعزيز",LG_D,"&lt;="&amp;C67)-SUMIFS(LG_REP,LG_E,"عبدالعزيز",LG_D,"&lt;="&amp;C67)-SUM(F66:F66),INST_CAP*N(D67),N(D67)-N(E67)-N(K67)-NET_FLOOR*N(D67)),0.25))),"")</f>
        <v/>
      </c>
      <c r="G67" s="72" t="str">
        <f aca="false">IF('ساعات عبدالعزيز'!$M$19=1,IF(2=START_Z,السنة!$C$7,N(I66))+N(D67)-N(E67)-N(F67)-N(K67),"")</f>
        <v/>
      </c>
      <c r="H67" s="71" t="str">
        <f aca="false">IF('ساعات عبدالعزيز'!$M$19=1,N('ساعات عبدالعزيز'!F30),"")</f>
        <v/>
      </c>
      <c r="I67" s="71" t="str">
        <f aca="false">IF('ساعات عبدالعزيز'!$M$19=1,G67-H67,"")</f>
        <v/>
      </c>
      <c r="J67" s="73" t="str">
        <f aca="false">IF('ساعات عبدالعزيز'!$M$19=1,MAX(0,السنة!$D$7+SUMIFS(LG_DEBT,LG_E,"عبدالعزيز",LG_D,"&lt;="&amp;C67)-SUMIFS(LG_REP,LG_E,"عبدالعزيز",LG_D,"&lt;="&amp;C67)-SUM(F66:F67)),"")</f>
        <v/>
      </c>
      <c r="K67" s="71" t="str">
        <f aca="false">IF('ساعات عبدالعزيز'!$M$19=1,N('ساعات عبدالعزيز'!G28),"")</f>
        <v/>
      </c>
      <c r="L67" s="70" t="n">
        <f aca="false">IF(C67="","",MONTH(C67))</f>
        <v>1</v>
      </c>
    </row>
    <row r="68" customFormat="false" ht="15" hidden="false" customHeight="false" outlineLevel="0" collapsed="false">
      <c r="A68" s="70" t="n">
        <f aca="false">IF(3&lt;=NW,3,"")</f>
        <v>3</v>
      </c>
      <c r="B68" s="28" t="n">
        <f aca="false">IF(3&lt;=NW,SAT1+14,"")</f>
        <v>46032</v>
      </c>
      <c r="C68" s="28" t="n">
        <f aca="false">IF(3&lt;=NW,SAT1+20,"")</f>
        <v>46038</v>
      </c>
      <c r="D68" s="71" t="str">
        <f aca="false">IF('ساعات عبدالعزيز'!$M$31=1,N('ساعات عبدالعزيز'!F41),"")</f>
        <v/>
      </c>
      <c r="E68" s="71" t="str">
        <f aca="false">IF('ساعات عبدالعزيز'!$M$31=1,SUMIFS(ADV_AMT,ADV_E,"عبدالعزيز",ADV_W,3),"")</f>
        <v/>
      </c>
      <c r="F68" s="71" t="str">
        <f aca="false">IF('ساعات عبدالعزيز'!$M$31=1,IF(N(D68)=0,0,MAX(0,FLOOR(MIN(IF(SUMPRODUCT(MAX((LG_E="عبدالعزيز")*(LG_INST&lt;&gt;"")*(LG_D&lt;=C68)*LG_IDX))=0,السنة!$E$7,INDEX(LG_INST,SUMPRODUCT(MAX((LG_E="عبدالعزيز")*(LG_INST&lt;&gt;"")*(LG_D&lt;=C68)*LG_IDX)))),السنة!$D$7+SUMIFS(LG_DEBT,LG_E,"عبدالعزيز",LG_D,"&lt;="&amp;C68)-SUMIFS(LG_REP,LG_E,"عبدالعزيز",LG_D,"&lt;="&amp;C68)-SUM(F66:F67),INST_CAP*N(D68),N(D68)-N(E68)-N(K68)-NET_FLOOR*N(D68)),0.25))),"")</f>
        <v/>
      </c>
      <c r="G68" s="72" t="str">
        <f aca="false">IF('ساعات عبدالعزيز'!$M$31=1,IF(3=START_Z,السنة!$C$7,N(I67))+N(D68)-N(E68)-N(F68)-N(K68),"")</f>
        <v/>
      </c>
      <c r="H68" s="71" t="str">
        <f aca="false">IF('ساعات عبدالعزيز'!$M$31=1,N('ساعات عبدالعزيز'!F42),"")</f>
        <v/>
      </c>
      <c r="I68" s="71" t="str">
        <f aca="false">IF('ساعات عبدالعزيز'!$M$31=1,G68-H68,"")</f>
        <v/>
      </c>
      <c r="J68" s="73" t="str">
        <f aca="false">IF('ساعات عبدالعزيز'!$M$31=1,MAX(0,السنة!$D$7+SUMIFS(LG_DEBT,LG_E,"عبدالعزيز",LG_D,"&lt;="&amp;C68)-SUMIFS(LG_REP,LG_E,"عبدالعزيز",LG_D,"&lt;="&amp;C68)-SUM(F66:F68)),"")</f>
        <v/>
      </c>
      <c r="K68" s="71" t="str">
        <f aca="false">IF('ساعات عبدالعزيز'!$M$31=1,N('ساعات عبدالعزيز'!G40),"")</f>
        <v/>
      </c>
      <c r="L68" s="70" t="n">
        <f aca="false">IF(C68="","",MONTH(C68))</f>
        <v>1</v>
      </c>
    </row>
    <row r="69" customFormat="false" ht="15" hidden="false" customHeight="false" outlineLevel="0" collapsed="false">
      <c r="A69" s="70" t="n">
        <f aca="false">IF(4&lt;=NW,4,"")</f>
        <v>4</v>
      </c>
      <c r="B69" s="28" t="n">
        <f aca="false">IF(4&lt;=NW,SAT1+21,"")</f>
        <v>46039</v>
      </c>
      <c r="C69" s="28" t="n">
        <f aca="false">IF(4&lt;=NW,SAT1+27,"")</f>
        <v>46045</v>
      </c>
      <c r="D69" s="71" t="str">
        <f aca="false">IF('ساعات عبدالعزيز'!$M$43=1,N('ساعات عبدالعزيز'!F53),"")</f>
        <v/>
      </c>
      <c r="E69" s="71" t="str">
        <f aca="false">IF('ساعات عبدالعزيز'!$M$43=1,SUMIFS(ADV_AMT,ADV_E,"عبدالعزيز",ADV_W,4),"")</f>
        <v/>
      </c>
      <c r="F69" s="71" t="str">
        <f aca="false">IF('ساعات عبدالعزيز'!$M$43=1,IF(N(D69)=0,0,MAX(0,FLOOR(MIN(IF(SUMPRODUCT(MAX((LG_E="عبدالعزيز")*(LG_INST&lt;&gt;"")*(LG_D&lt;=C69)*LG_IDX))=0,السنة!$E$7,INDEX(LG_INST,SUMPRODUCT(MAX((LG_E="عبدالعزيز")*(LG_INST&lt;&gt;"")*(LG_D&lt;=C69)*LG_IDX)))),السنة!$D$7+SUMIFS(LG_DEBT,LG_E,"عبدالعزيز",LG_D,"&lt;="&amp;C69)-SUMIFS(LG_REP,LG_E,"عبدالعزيز",LG_D,"&lt;="&amp;C69)-SUM(F66:F68),INST_CAP*N(D69),N(D69)-N(E69)-N(K69)-NET_FLOOR*N(D69)),0.25))),"")</f>
        <v/>
      </c>
      <c r="G69" s="72" t="str">
        <f aca="false">IF('ساعات عبدالعزيز'!$M$43=1,IF(4=START_Z,السنة!$C$7,N(I68))+N(D69)-N(E69)-N(F69)-N(K69),"")</f>
        <v/>
      </c>
      <c r="H69" s="71" t="str">
        <f aca="false">IF('ساعات عبدالعزيز'!$M$43=1,N('ساعات عبدالعزيز'!F54),"")</f>
        <v/>
      </c>
      <c r="I69" s="71" t="str">
        <f aca="false">IF('ساعات عبدالعزيز'!$M$43=1,G69-H69,"")</f>
        <v/>
      </c>
      <c r="J69" s="73" t="str">
        <f aca="false">IF('ساعات عبدالعزيز'!$M$43=1,MAX(0,السنة!$D$7+SUMIFS(LG_DEBT,LG_E,"عبدالعزيز",LG_D,"&lt;="&amp;C69)-SUMIFS(LG_REP,LG_E,"عبدالعزيز",LG_D,"&lt;="&amp;C69)-SUM(F66:F69)),"")</f>
        <v/>
      </c>
      <c r="K69" s="71" t="str">
        <f aca="false">IF('ساعات عبدالعزيز'!$M$43=1,N('ساعات عبدالعزيز'!G52),"")</f>
        <v/>
      </c>
      <c r="L69" s="70" t="n">
        <f aca="false">IF(C69="","",MONTH(C69))</f>
        <v>1</v>
      </c>
    </row>
    <row r="70" customFormat="false" ht="15" hidden="false" customHeight="false" outlineLevel="0" collapsed="false">
      <c r="A70" s="70" t="n">
        <f aca="false">IF(5&lt;=NW,5,"")</f>
        <v>5</v>
      </c>
      <c r="B70" s="28" t="n">
        <f aca="false">IF(5&lt;=NW,SAT1+28,"")</f>
        <v>46046</v>
      </c>
      <c r="C70" s="28" t="n">
        <f aca="false">IF(5&lt;=NW,SAT1+34,"")</f>
        <v>46052</v>
      </c>
      <c r="D70" s="71" t="str">
        <f aca="false">IF('ساعات عبدالعزيز'!$M$55=1,N('ساعات عبدالعزيز'!F65),"")</f>
        <v/>
      </c>
      <c r="E70" s="71" t="str">
        <f aca="false">IF('ساعات عبدالعزيز'!$M$55=1,SUMIFS(ADV_AMT,ADV_E,"عبدالعزيز",ADV_W,5),"")</f>
        <v/>
      </c>
      <c r="F70" s="71" t="str">
        <f aca="false">IF('ساعات عبدالعزيز'!$M$55=1,IF(N(D70)=0,0,MAX(0,FLOOR(MIN(IF(SUMPRODUCT(MAX((LG_E="عبدالعزيز")*(LG_INST&lt;&gt;"")*(LG_D&lt;=C70)*LG_IDX))=0,السنة!$E$7,INDEX(LG_INST,SUMPRODUCT(MAX((LG_E="عبدالعزيز")*(LG_INST&lt;&gt;"")*(LG_D&lt;=C70)*LG_IDX)))),السنة!$D$7+SUMIFS(LG_DEBT,LG_E,"عبدالعزيز",LG_D,"&lt;="&amp;C70)-SUMIFS(LG_REP,LG_E,"عبدالعزيز",LG_D,"&lt;="&amp;C70)-SUM(F66:F69),INST_CAP*N(D70),N(D70)-N(E70)-N(K70)-NET_FLOOR*N(D70)),0.25))),"")</f>
        <v/>
      </c>
      <c r="G70" s="72" t="str">
        <f aca="false">IF('ساعات عبدالعزيز'!$M$55=1,IF(5=START_Z,السنة!$C$7,N(I69))+N(D70)-N(E70)-N(F70)-N(K70),"")</f>
        <v/>
      </c>
      <c r="H70" s="71" t="str">
        <f aca="false">IF('ساعات عبدالعزيز'!$M$55=1,N('ساعات عبدالعزيز'!F66),"")</f>
        <v/>
      </c>
      <c r="I70" s="71" t="str">
        <f aca="false">IF('ساعات عبدالعزيز'!$M$55=1,G70-H70,"")</f>
        <v/>
      </c>
      <c r="J70" s="73" t="str">
        <f aca="false">IF('ساعات عبدالعزيز'!$M$55=1,MAX(0,السنة!$D$7+SUMIFS(LG_DEBT,LG_E,"عبدالعزيز",LG_D,"&lt;="&amp;C70)-SUMIFS(LG_REP,LG_E,"عبدالعزيز",LG_D,"&lt;="&amp;C70)-SUM(F66:F70)),"")</f>
        <v/>
      </c>
      <c r="K70" s="71" t="str">
        <f aca="false">IF('ساعات عبدالعزيز'!$M$55=1,N('ساعات عبدالعزيز'!G64),"")</f>
        <v/>
      </c>
      <c r="L70" s="70" t="n">
        <f aca="false">IF(C70="","",MONTH(C70))</f>
        <v>1</v>
      </c>
    </row>
    <row r="71" customFormat="false" ht="15" hidden="false" customHeight="false" outlineLevel="0" collapsed="false">
      <c r="A71" s="70" t="n">
        <f aca="false">IF(6&lt;=NW,6,"")</f>
        <v>6</v>
      </c>
      <c r="B71" s="28" t="n">
        <f aca="false">IF(6&lt;=NW,SAT1+35,"")</f>
        <v>46053</v>
      </c>
      <c r="C71" s="28" t="n">
        <f aca="false">IF(6&lt;=NW,SAT1+41,"")</f>
        <v>46059</v>
      </c>
      <c r="D71" s="71" t="str">
        <f aca="false">IF('ساعات عبدالعزيز'!$M$67=1,N('ساعات عبدالعزيز'!F77),"")</f>
        <v/>
      </c>
      <c r="E71" s="71" t="str">
        <f aca="false">IF('ساعات عبدالعزيز'!$M$67=1,SUMIFS(ADV_AMT,ADV_E,"عبدالعزيز",ADV_W,6),"")</f>
        <v/>
      </c>
      <c r="F71" s="71" t="str">
        <f aca="false">IF('ساعات عبدالعزيز'!$M$67=1,IF(N(D71)=0,0,MAX(0,FLOOR(MIN(IF(SUMPRODUCT(MAX((LG_E="عبدالعزيز")*(LG_INST&lt;&gt;"")*(LG_D&lt;=C71)*LG_IDX))=0,السنة!$E$7,INDEX(LG_INST,SUMPRODUCT(MAX((LG_E="عبدالعزيز")*(LG_INST&lt;&gt;"")*(LG_D&lt;=C71)*LG_IDX)))),السنة!$D$7+SUMIFS(LG_DEBT,LG_E,"عبدالعزيز",LG_D,"&lt;="&amp;C71)-SUMIFS(LG_REP,LG_E,"عبدالعزيز",LG_D,"&lt;="&amp;C71)-SUM(F66:F70),INST_CAP*N(D71),N(D71)-N(E71)-N(K71)-NET_FLOOR*N(D71)),0.25))),"")</f>
        <v/>
      </c>
      <c r="G71" s="72" t="str">
        <f aca="false">IF('ساعات عبدالعزيز'!$M$67=1,IF(6=START_Z,السنة!$C$7,N(I70))+N(D71)-N(E71)-N(F71)-N(K71),"")</f>
        <v/>
      </c>
      <c r="H71" s="71" t="str">
        <f aca="false">IF('ساعات عبدالعزيز'!$M$67=1,N('ساعات عبدالعزيز'!F78),"")</f>
        <v/>
      </c>
      <c r="I71" s="71" t="str">
        <f aca="false">IF('ساعات عبدالعزيز'!$M$67=1,G71-H71,"")</f>
        <v/>
      </c>
      <c r="J71" s="73" t="str">
        <f aca="false">IF('ساعات عبدالعزيز'!$M$67=1,MAX(0,السنة!$D$7+SUMIFS(LG_DEBT,LG_E,"عبدالعزيز",LG_D,"&lt;="&amp;C71)-SUMIFS(LG_REP,LG_E,"عبدالعزيز",LG_D,"&lt;="&amp;C71)-SUM(F66:F71)),"")</f>
        <v/>
      </c>
      <c r="K71" s="71" t="str">
        <f aca="false">IF('ساعات عبدالعزيز'!$M$67=1,N('ساعات عبدالعزيز'!G76),"")</f>
        <v/>
      </c>
      <c r="L71" s="70" t="n">
        <f aca="false">IF(C71="","",MONTH(C71))</f>
        <v>2</v>
      </c>
    </row>
    <row r="72" customFormat="false" ht="15" hidden="false" customHeight="false" outlineLevel="0" collapsed="false">
      <c r="A72" s="70" t="n">
        <f aca="false">IF(7&lt;=NW,7,"")</f>
        <v>7</v>
      </c>
      <c r="B72" s="28" t="n">
        <f aca="false">IF(7&lt;=NW,SAT1+42,"")</f>
        <v>46060</v>
      </c>
      <c r="C72" s="28" t="n">
        <f aca="false">IF(7&lt;=NW,SAT1+48,"")</f>
        <v>46066</v>
      </c>
      <c r="D72" s="71" t="str">
        <f aca="false">IF('ساعات عبدالعزيز'!$M$79=1,N('ساعات عبدالعزيز'!F89),"")</f>
        <v/>
      </c>
      <c r="E72" s="71" t="str">
        <f aca="false">IF('ساعات عبدالعزيز'!$M$79=1,SUMIFS(ADV_AMT,ADV_E,"عبدالعزيز",ADV_W,7),"")</f>
        <v/>
      </c>
      <c r="F72" s="71" t="str">
        <f aca="false">IF('ساعات عبدالعزيز'!$M$79=1,IF(N(D72)=0,0,MAX(0,FLOOR(MIN(IF(SUMPRODUCT(MAX((LG_E="عبدالعزيز")*(LG_INST&lt;&gt;"")*(LG_D&lt;=C72)*LG_IDX))=0,السنة!$E$7,INDEX(LG_INST,SUMPRODUCT(MAX((LG_E="عبدالعزيز")*(LG_INST&lt;&gt;"")*(LG_D&lt;=C72)*LG_IDX)))),السنة!$D$7+SUMIFS(LG_DEBT,LG_E,"عبدالعزيز",LG_D,"&lt;="&amp;C72)-SUMIFS(LG_REP,LG_E,"عبدالعزيز",LG_D,"&lt;="&amp;C72)-SUM(F66:F71),INST_CAP*N(D72),N(D72)-N(E72)-N(K72)-NET_FLOOR*N(D72)),0.25))),"")</f>
        <v/>
      </c>
      <c r="G72" s="72" t="str">
        <f aca="false">IF('ساعات عبدالعزيز'!$M$79=1,IF(7=START_Z,السنة!$C$7,N(I71))+N(D72)-N(E72)-N(F72)-N(K72),"")</f>
        <v/>
      </c>
      <c r="H72" s="71" t="str">
        <f aca="false">IF('ساعات عبدالعزيز'!$M$79=1,N('ساعات عبدالعزيز'!F90),"")</f>
        <v/>
      </c>
      <c r="I72" s="71" t="str">
        <f aca="false">IF('ساعات عبدالعزيز'!$M$79=1,G72-H72,"")</f>
        <v/>
      </c>
      <c r="J72" s="73" t="str">
        <f aca="false">IF('ساعات عبدالعزيز'!$M$79=1,MAX(0,السنة!$D$7+SUMIFS(LG_DEBT,LG_E,"عبدالعزيز",LG_D,"&lt;="&amp;C72)-SUMIFS(LG_REP,LG_E,"عبدالعزيز",LG_D,"&lt;="&amp;C72)-SUM(F66:F72)),"")</f>
        <v/>
      </c>
      <c r="K72" s="71" t="str">
        <f aca="false">IF('ساعات عبدالعزيز'!$M$79=1,N('ساعات عبدالعزيز'!G88),"")</f>
        <v/>
      </c>
      <c r="L72" s="70" t="n">
        <f aca="false">IF(C72="","",MONTH(C72))</f>
        <v>2</v>
      </c>
    </row>
    <row r="73" customFormat="false" ht="15" hidden="false" customHeight="false" outlineLevel="0" collapsed="false">
      <c r="A73" s="70" t="n">
        <f aca="false">IF(8&lt;=NW,8,"")</f>
        <v>8</v>
      </c>
      <c r="B73" s="28" t="n">
        <f aca="false">IF(8&lt;=NW,SAT1+49,"")</f>
        <v>46067</v>
      </c>
      <c r="C73" s="28" t="n">
        <f aca="false">IF(8&lt;=NW,SAT1+55,"")</f>
        <v>46073</v>
      </c>
      <c r="D73" s="71" t="str">
        <f aca="false">IF('ساعات عبدالعزيز'!$M$91=1,N('ساعات عبدالعزيز'!F101),"")</f>
        <v/>
      </c>
      <c r="E73" s="71" t="str">
        <f aca="false">IF('ساعات عبدالعزيز'!$M$91=1,SUMIFS(ADV_AMT,ADV_E,"عبدالعزيز",ADV_W,8),"")</f>
        <v/>
      </c>
      <c r="F73" s="71" t="str">
        <f aca="false">IF('ساعات عبدالعزيز'!$M$91=1,IF(N(D73)=0,0,MAX(0,FLOOR(MIN(IF(SUMPRODUCT(MAX((LG_E="عبدالعزيز")*(LG_INST&lt;&gt;"")*(LG_D&lt;=C73)*LG_IDX))=0,السنة!$E$7,INDEX(LG_INST,SUMPRODUCT(MAX((LG_E="عبدالعزيز")*(LG_INST&lt;&gt;"")*(LG_D&lt;=C73)*LG_IDX)))),السنة!$D$7+SUMIFS(LG_DEBT,LG_E,"عبدالعزيز",LG_D,"&lt;="&amp;C73)-SUMIFS(LG_REP,LG_E,"عبدالعزيز",LG_D,"&lt;="&amp;C73)-SUM(F66:F72),INST_CAP*N(D73),N(D73)-N(E73)-N(K73)-NET_FLOOR*N(D73)),0.25))),"")</f>
        <v/>
      </c>
      <c r="G73" s="72" t="str">
        <f aca="false">IF('ساعات عبدالعزيز'!$M$91=1,IF(8=START_Z,السنة!$C$7,N(I72))+N(D73)-N(E73)-N(F73)-N(K73),"")</f>
        <v/>
      </c>
      <c r="H73" s="71" t="str">
        <f aca="false">IF('ساعات عبدالعزيز'!$M$91=1,N('ساعات عبدالعزيز'!F102),"")</f>
        <v/>
      </c>
      <c r="I73" s="71" t="str">
        <f aca="false">IF('ساعات عبدالعزيز'!$M$91=1,G73-H73,"")</f>
        <v/>
      </c>
      <c r="J73" s="73" t="str">
        <f aca="false">IF('ساعات عبدالعزيز'!$M$91=1,MAX(0,السنة!$D$7+SUMIFS(LG_DEBT,LG_E,"عبدالعزيز",LG_D,"&lt;="&amp;C73)-SUMIFS(LG_REP,LG_E,"عبدالعزيز",LG_D,"&lt;="&amp;C73)-SUM(F66:F73)),"")</f>
        <v/>
      </c>
      <c r="K73" s="71" t="str">
        <f aca="false">IF('ساعات عبدالعزيز'!$M$91=1,N('ساعات عبدالعزيز'!G100),"")</f>
        <v/>
      </c>
      <c r="L73" s="70" t="n">
        <f aca="false">IF(C73="","",MONTH(C73))</f>
        <v>2</v>
      </c>
    </row>
    <row r="74" customFormat="false" ht="15" hidden="false" customHeight="false" outlineLevel="0" collapsed="false">
      <c r="A74" s="70" t="n">
        <f aca="false">IF(9&lt;=NW,9,"")</f>
        <v>9</v>
      </c>
      <c r="B74" s="28" t="n">
        <f aca="false">IF(9&lt;=NW,SAT1+56,"")</f>
        <v>46074</v>
      </c>
      <c r="C74" s="28" t="n">
        <f aca="false">IF(9&lt;=NW,SAT1+62,"")</f>
        <v>46080</v>
      </c>
      <c r="D74" s="71" t="str">
        <f aca="false">IF('ساعات عبدالعزيز'!$M$103=1,N('ساعات عبدالعزيز'!F113),"")</f>
        <v/>
      </c>
      <c r="E74" s="71" t="str">
        <f aca="false">IF('ساعات عبدالعزيز'!$M$103=1,SUMIFS(ADV_AMT,ADV_E,"عبدالعزيز",ADV_W,9),"")</f>
        <v/>
      </c>
      <c r="F74" s="71" t="str">
        <f aca="false">IF('ساعات عبدالعزيز'!$M$103=1,IF(N(D74)=0,0,MAX(0,FLOOR(MIN(IF(SUMPRODUCT(MAX((LG_E="عبدالعزيز")*(LG_INST&lt;&gt;"")*(LG_D&lt;=C74)*LG_IDX))=0,السنة!$E$7,INDEX(LG_INST,SUMPRODUCT(MAX((LG_E="عبدالعزيز")*(LG_INST&lt;&gt;"")*(LG_D&lt;=C74)*LG_IDX)))),السنة!$D$7+SUMIFS(LG_DEBT,LG_E,"عبدالعزيز",LG_D,"&lt;="&amp;C74)-SUMIFS(LG_REP,LG_E,"عبدالعزيز",LG_D,"&lt;="&amp;C74)-SUM(F66:F73),INST_CAP*N(D74),N(D74)-N(E74)-N(K74)-NET_FLOOR*N(D74)),0.25))),"")</f>
        <v/>
      </c>
      <c r="G74" s="72" t="str">
        <f aca="false">IF('ساعات عبدالعزيز'!$M$103=1,IF(9=START_Z,السنة!$C$7,N(I73))+N(D74)-N(E74)-N(F74)-N(K74),"")</f>
        <v/>
      </c>
      <c r="H74" s="71" t="str">
        <f aca="false">IF('ساعات عبدالعزيز'!$M$103=1,N('ساعات عبدالعزيز'!F114),"")</f>
        <v/>
      </c>
      <c r="I74" s="71" t="str">
        <f aca="false">IF('ساعات عبدالعزيز'!$M$103=1,G74-H74,"")</f>
        <v/>
      </c>
      <c r="J74" s="73" t="str">
        <f aca="false">IF('ساعات عبدالعزيز'!$M$103=1,MAX(0,السنة!$D$7+SUMIFS(LG_DEBT,LG_E,"عبدالعزيز",LG_D,"&lt;="&amp;C74)-SUMIFS(LG_REP,LG_E,"عبدالعزيز",LG_D,"&lt;="&amp;C74)-SUM(F66:F74)),"")</f>
        <v/>
      </c>
      <c r="K74" s="71" t="str">
        <f aca="false">IF('ساعات عبدالعزيز'!$M$103=1,N('ساعات عبدالعزيز'!G112),"")</f>
        <v/>
      </c>
      <c r="L74" s="70" t="n">
        <f aca="false">IF(C74="","",MONTH(C74))</f>
        <v>2</v>
      </c>
    </row>
    <row r="75" customFormat="false" ht="15" hidden="false" customHeight="false" outlineLevel="0" collapsed="false">
      <c r="A75" s="70" t="n">
        <f aca="false">IF(10&lt;=NW,10,"")</f>
        <v>10</v>
      </c>
      <c r="B75" s="28" t="n">
        <f aca="false">IF(10&lt;=NW,SAT1+63,"")</f>
        <v>46081</v>
      </c>
      <c r="C75" s="28" t="n">
        <f aca="false">IF(10&lt;=NW,SAT1+69,"")</f>
        <v>46087</v>
      </c>
      <c r="D75" s="71" t="str">
        <f aca="false">IF('ساعات عبدالعزيز'!$M$115=1,N('ساعات عبدالعزيز'!F125),"")</f>
        <v/>
      </c>
      <c r="E75" s="71" t="str">
        <f aca="false">IF('ساعات عبدالعزيز'!$M$115=1,SUMIFS(ADV_AMT,ADV_E,"عبدالعزيز",ADV_W,10),"")</f>
        <v/>
      </c>
      <c r="F75" s="71" t="str">
        <f aca="false">IF('ساعات عبدالعزيز'!$M$115=1,IF(N(D75)=0,0,MAX(0,FLOOR(MIN(IF(SUMPRODUCT(MAX((LG_E="عبدالعزيز")*(LG_INST&lt;&gt;"")*(LG_D&lt;=C75)*LG_IDX))=0,السنة!$E$7,INDEX(LG_INST,SUMPRODUCT(MAX((LG_E="عبدالعزيز")*(LG_INST&lt;&gt;"")*(LG_D&lt;=C75)*LG_IDX)))),السنة!$D$7+SUMIFS(LG_DEBT,LG_E,"عبدالعزيز",LG_D,"&lt;="&amp;C75)-SUMIFS(LG_REP,LG_E,"عبدالعزيز",LG_D,"&lt;="&amp;C75)-SUM(F66:F74),INST_CAP*N(D75),N(D75)-N(E75)-N(K75)-NET_FLOOR*N(D75)),0.25))),"")</f>
        <v/>
      </c>
      <c r="G75" s="72" t="str">
        <f aca="false">IF('ساعات عبدالعزيز'!$M$115=1,IF(10=START_Z,السنة!$C$7,N(I74))+N(D75)-N(E75)-N(F75)-N(K75),"")</f>
        <v/>
      </c>
      <c r="H75" s="71" t="str">
        <f aca="false">IF('ساعات عبدالعزيز'!$M$115=1,N('ساعات عبدالعزيز'!F126),"")</f>
        <v/>
      </c>
      <c r="I75" s="71" t="str">
        <f aca="false">IF('ساعات عبدالعزيز'!$M$115=1,G75-H75,"")</f>
        <v/>
      </c>
      <c r="J75" s="73" t="str">
        <f aca="false">IF('ساعات عبدالعزيز'!$M$115=1,MAX(0,السنة!$D$7+SUMIFS(LG_DEBT,LG_E,"عبدالعزيز",LG_D,"&lt;="&amp;C75)-SUMIFS(LG_REP,LG_E,"عبدالعزيز",LG_D,"&lt;="&amp;C75)-SUM(F66:F75)),"")</f>
        <v/>
      </c>
      <c r="K75" s="71" t="str">
        <f aca="false">IF('ساعات عبدالعزيز'!$M$115=1,N('ساعات عبدالعزيز'!G124),"")</f>
        <v/>
      </c>
      <c r="L75" s="70" t="n">
        <f aca="false">IF(C75="","",MONTH(C75))</f>
        <v>3</v>
      </c>
    </row>
    <row r="76" customFormat="false" ht="15" hidden="false" customHeight="false" outlineLevel="0" collapsed="false">
      <c r="A76" s="70" t="n">
        <f aca="false">IF(11&lt;=NW,11,"")</f>
        <v>11</v>
      </c>
      <c r="B76" s="28" t="n">
        <f aca="false">IF(11&lt;=NW,SAT1+70,"")</f>
        <v>46088</v>
      </c>
      <c r="C76" s="28" t="n">
        <f aca="false">IF(11&lt;=NW,SAT1+76,"")</f>
        <v>46094</v>
      </c>
      <c r="D76" s="71" t="str">
        <f aca="false">IF('ساعات عبدالعزيز'!$M$127=1,N('ساعات عبدالعزيز'!F137),"")</f>
        <v/>
      </c>
      <c r="E76" s="71" t="str">
        <f aca="false">IF('ساعات عبدالعزيز'!$M$127=1,SUMIFS(ADV_AMT,ADV_E,"عبدالعزيز",ADV_W,11),"")</f>
        <v/>
      </c>
      <c r="F76" s="71" t="str">
        <f aca="false">IF('ساعات عبدالعزيز'!$M$127=1,IF(N(D76)=0,0,MAX(0,FLOOR(MIN(IF(SUMPRODUCT(MAX((LG_E="عبدالعزيز")*(LG_INST&lt;&gt;"")*(LG_D&lt;=C76)*LG_IDX))=0,السنة!$E$7,INDEX(LG_INST,SUMPRODUCT(MAX((LG_E="عبدالعزيز")*(LG_INST&lt;&gt;"")*(LG_D&lt;=C76)*LG_IDX)))),السنة!$D$7+SUMIFS(LG_DEBT,LG_E,"عبدالعزيز",LG_D,"&lt;="&amp;C76)-SUMIFS(LG_REP,LG_E,"عبدالعزيز",LG_D,"&lt;="&amp;C76)-SUM(F66:F75),INST_CAP*N(D76),N(D76)-N(E76)-N(K76)-NET_FLOOR*N(D76)),0.25))),"")</f>
        <v/>
      </c>
      <c r="G76" s="72" t="str">
        <f aca="false">IF('ساعات عبدالعزيز'!$M$127=1,IF(11=START_Z,السنة!$C$7,N(I75))+N(D76)-N(E76)-N(F76)-N(K76),"")</f>
        <v/>
      </c>
      <c r="H76" s="71" t="str">
        <f aca="false">IF('ساعات عبدالعزيز'!$M$127=1,N('ساعات عبدالعزيز'!F138),"")</f>
        <v/>
      </c>
      <c r="I76" s="71" t="str">
        <f aca="false">IF('ساعات عبدالعزيز'!$M$127=1,G76-H76,"")</f>
        <v/>
      </c>
      <c r="J76" s="73" t="str">
        <f aca="false">IF('ساعات عبدالعزيز'!$M$127=1,MAX(0,السنة!$D$7+SUMIFS(LG_DEBT,LG_E,"عبدالعزيز",LG_D,"&lt;="&amp;C76)-SUMIFS(LG_REP,LG_E,"عبدالعزيز",LG_D,"&lt;="&amp;C76)-SUM(F66:F76)),"")</f>
        <v/>
      </c>
      <c r="K76" s="71" t="str">
        <f aca="false">IF('ساعات عبدالعزيز'!$M$127=1,N('ساعات عبدالعزيز'!G136),"")</f>
        <v/>
      </c>
      <c r="L76" s="70" t="n">
        <f aca="false">IF(C76="","",MONTH(C76))</f>
        <v>3</v>
      </c>
    </row>
    <row r="77" customFormat="false" ht="15" hidden="false" customHeight="false" outlineLevel="0" collapsed="false">
      <c r="A77" s="70" t="n">
        <f aca="false">IF(12&lt;=NW,12,"")</f>
        <v>12</v>
      </c>
      <c r="B77" s="28" t="n">
        <f aca="false">IF(12&lt;=NW,SAT1+77,"")</f>
        <v>46095</v>
      </c>
      <c r="C77" s="28" t="n">
        <f aca="false">IF(12&lt;=NW,SAT1+83,"")</f>
        <v>46101</v>
      </c>
      <c r="D77" s="71" t="str">
        <f aca="false">IF('ساعات عبدالعزيز'!$M$139=1,N('ساعات عبدالعزيز'!F149),"")</f>
        <v/>
      </c>
      <c r="E77" s="71" t="str">
        <f aca="false">IF('ساعات عبدالعزيز'!$M$139=1,SUMIFS(ADV_AMT,ADV_E,"عبدالعزيز",ADV_W,12),"")</f>
        <v/>
      </c>
      <c r="F77" s="71" t="str">
        <f aca="false">IF('ساعات عبدالعزيز'!$M$139=1,IF(N(D77)=0,0,MAX(0,FLOOR(MIN(IF(SUMPRODUCT(MAX((LG_E="عبدالعزيز")*(LG_INST&lt;&gt;"")*(LG_D&lt;=C77)*LG_IDX))=0,السنة!$E$7,INDEX(LG_INST,SUMPRODUCT(MAX((LG_E="عبدالعزيز")*(LG_INST&lt;&gt;"")*(LG_D&lt;=C77)*LG_IDX)))),السنة!$D$7+SUMIFS(LG_DEBT,LG_E,"عبدالعزيز",LG_D,"&lt;="&amp;C77)-SUMIFS(LG_REP,LG_E,"عبدالعزيز",LG_D,"&lt;="&amp;C77)-SUM(F66:F76),INST_CAP*N(D77),N(D77)-N(E77)-N(K77)-NET_FLOOR*N(D77)),0.25))),"")</f>
        <v/>
      </c>
      <c r="G77" s="72" t="str">
        <f aca="false">IF('ساعات عبدالعزيز'!$M$139=1,IF(12=START_Z,السنة!$C$7,N(I76))+N(D77)-N(E77)-N(F77)-N(K77),"")</f>
        <v/>
      </c>
      <c r="H77" s="71" t="str">
        <f aca="false">IF('ساعات عبدالعزيز'!$M$139=1,N('ساعات عبدالعزيز'!F150),"")</f>
        <v/>
      </c>
      <c r="I77" s="71" t="str">
        <f aca="false">IF('ساعات عبدالعزيز'!$M$139=1,G77-H77,"")</f>
        <v/>
      </c>
      <c r="J77" s="73" t="str">
        <f aca="false">IF('ساعات عبدالعزيز'!$M$139=1,MAX(0,السنة!$D$7+SUMIFS(LG_DEBT,LG_E,"عبدالعزيز",LG_D,"&lt;="&amp;C77)-SUMIFS(LG_REP,LG_E,"عبدالعزيز",LG_D,"&lt;="&amp;C77)-SUM(F66:F77)),"")</f>
        <v/>
      </c>
      <c r="K77" s="71" t="str">
        <f aca="false">IF('ساعات عبدالعزيز'!$M$139=1,N('ساعات عبدالعزيز'!G148),"")</f>
        <v/>
      </c>
      <c r="L77" s="70" t="n">
        <f aca="false">IF(C77="","",MONTH(C77))</f>
        <v>3</v>
      </c>
    </row>
    <row r="78" customFormat="false" ht="15" hidden="false" customHeight="false" outlineLevel="0" collapsed="false">
      <c r="A78" s="70" t="n">
        <f aca="false">IF(13&lt;=NW,13,"")</f>
        <v>13</v>
      </c>
      <c r="B78" s="28" t="n">
        <f aca="false">IF(13&lt;=NW,SAT1+84,"")</f>
        <v>46102</v>
      </c>
      <c r="C78" s="28" t="n">
        <f aca="false">IF(13&lt;=NW,SAT1+90,"")</f>
        <v>46108</v>
      </c>
      <c r="D78" s="71" t="str">
        <f aca="false">IF('ساعات عبدالعزيز'!$M$151=1,N('ساعات عبدالعزيز'!F161),"")</f>
        <v/>
      </c>
      <c r="E78" s="71" t="str">
        <f aca="false">IF('ساعات عبدالعزيز'!$M$151=1,SUMIFS(ADV_AMT,ADV_E,"عبدالعزيز",ADV_W,13),"")</f>
        <v/>
      </c>
      <c r="F78" s="71" t="str">
        <f aca="false">IF('ساعات عبدالعزيز'!$M$151=1,IF(N(D78)=0,0,MAX(0,FLOOR(MIN(IF(SUMPRODUCT(MAX((LG_E="عبدالعزيز")*(LG_INST&lt;&gt;"")*(LG_D&lt;=C78)*LG_IDX))=0,السنة!$E$7,INDEX(LG_INST,SUMPRODUCT(MAX((LG_E="عبدالعزيز")*(LG_INST&lt;&gt;"")*(LG_D&lt;=C78)*LG_IDX)))),السنة!$D$7+SUMIFS(LG_DEBT,LG_E,"عبدالعزيز",LG_D,"&lt;="&amp;C78)-SUMIFS(LG_REP,LG_E,"عبدالعزيز",LG_D,"&lt;="&amp;C78)-SUM(F66:F77),INST_CAP*N(D78),N(D78)-N(E78)-N(K78)-NET_FLOOR*N(D78)),0.25))),"")</f>
        <v/>
      </c>
      <c r="G78" s="72" t="str">
        <f aca="false">IF('ساعات عبدالعزيز'!$M$151=1,IF(13=START_Z,السنة!$C$7,N(I77))+N(D78)-N(E78)-N(F78)-N(K78),"")</f>
        <v/>
      </c>
      <c r="H78" s="71" t="str">
        <f aca="false">IF('ساعات عبدالعزيز'!$M$151=1,N('ساعات عبدالعزيز'!F162),"")</f>
        <v/>
      </c>
      <c r="I78" s="71" t="str">
        <f aca="false">IF('ساعات عبدالعزيز'!$M$151=1,G78-H78,"")</f>
        <v/>
      </c>
      <c r="J78" s="73" t="str">
        <f aca="false">IF('ساعات عبدالعزيز'!$M$151=1,MAX(0,السنة!$D$7+SUMIFS(LG_DEBT,LG_E,"عبدالعزيز",LG_D,"&lt;="&amp;C78)-SUMIFS(LG_REP,LG_E,"عبدالعزيز",LG_D,"&lt;="&amp;C78)-SUM(F66:F78)),"")</f>
        <v/>
      </c>
      <c r="K78" s="71" t="str">
        <f aca="false">IF('ساعات عبدالعزيز'!$M$151=1,N('ساعات عبدالعزيز'!G160),"")</f>
        <v/>
      </c>
      <c r="L78" s="70" t="n">
        <f aca="false">IF(C78="","",MONTH(C78))</f>
        <v>3</v>
      </c>
    </row>
    <row r="79" customFormat="false" ht="15" hidden="false" customHeight="false" outlineLevel="0" collapsed="false">
      <c r="A79" s="70" t="n">
        <f aca="false">IF(14&lt;=NW,14,"")</f>
        <v>14</v>
      </c>
      <c r="B79" s="28" t="n">
        <f aca="false">IF(14&lt;=NW,SAT1+91,"")</f>
        <v>46109</v>
      </c>
      <c r="C79" s="28" t="n">
        <f aca="false">IF(14&lt;=NW,SAT1+97,"")</f>
        <v>46115</v>
      </c>
      <c r="D79" s="71" t="str">
        <f aca="false">IF('ساعات عبدالعزيز'!$M$163=1,N('ساعات عبدالعزيز'!F173),"")</f>
        <v/>
      </c>
      <c r="E79" s="71" t="str">
        <f aca="false">IF('ساعات عبدالعزيز'!$M$163=1,SUMIFS(ADV_AMT,ADV_E,"عبدالعزيز",ADV_W,14),"")</f>
        <v/>
      </c>
      <c r="F79" s="71" t="str">
        <f aca="false">IF('ساعات عبدالعزيز'!$M$163=1,IF(N(D79)=0,0,MAX(0,FLOOR(MIN(IF(SUMPRODUCT(MAX((LG_E="عبدالعزيز")*(LG_INST&lt;&gt;"")*(LG_D&lt;=C79)*LG_IDX))=0,السنة!$E$7,INDEX(LG_INST,SUMPRODUCT(MAX((LG_E="عبدالعزيز")*(LG_INST&lt;&gt;"")*(LG_D&lt;=C79)*LG_IDX)))),السنة!$D$7+SUMIFS(LG_DEBT,LG_E,"عبدالعزيز",LG_D,"&lt;="&amp;C79)-SUMIFS(LG_REP,LG_E,"عبدالعزيز",LG_D,"&lt;="&amp;C79)-SUM(F66:F78),INST_CAP*N(D79),N(D79)-N(E79)-N(K79)-NET_FLOOR*N(D79)),0.25))),"")</f>
        <v/>
      </c>
      <c r="G79" s="72" t="str">
        <f aca="false">IF('ساعات عبدالعزيز'!$M$163=1,IF(14=START_Z,السنة!$C$7,N(I78))+N(D79)-N(E79)-N(F79)-N(K79),"")</f>
        <v/>
      </c>
      <c r="H79" s="71" t="str">
        <f aca="false">IF('ساعات عبدالعزيز'!$M$163=1,N('ساعات عبدالعزيز'!F174),"")</f>
        <v/>
      </c>
      <c r="I79" s="71" t="str">
        <f aca="false">IF('ساعات عبدالعزيز'!$M$163=1,G79-H79,"")</f>
        <v/>
      </c>
      <c r="J79" s="73" t="str">
        <f aca="false">IF('ساعات عبدالعزيز'!$M$163=1,MAX(0,السنة!$D$7+SUMIFS(LG_DEBT,LG_E,"عبدالعزيز",LG_D,"&lt;="&amp;C79)-SUMIFS(LG_REP,LG_E,"عبدالعزيز",LG_D,"&lt;="&amp;C79)-SUM(F66:F79)),"")</f>
        <v/>
      </c>
      <c r="K79" s="71" t="str">
        <f aca="false">IF('ساعات عبدالعزيز'!$M$163=1,N('ساعات عبدالعزيز'!G172),"")</f>
        <v/>
      </c>
      <c r="L79" s="70" t="n">
        <f aca="false">IF(C79="","",MONTH(C79))</f>
        <v>4</v>
      </c>
    </row>
    <row r="80" customFormat="false" ht="15" hidden="false" customHeight="false" outlineLevel="0" collapsed="false">
      <c r="A80" s="70" t="n">
        <f aca="false">IF(15&lt;=NW,15,"")</f>
        <v>15</v>
      </c>
      <c r="B80" s="28" t="n">
        <f aca="false">IF(15&lt;=NW,SAT1+98,"")</f>
        <v>46116</v>
      </c>
      <c r="C80" s="28" t="n">
        <f aca="false">IF(15&lt;=NW,SAT1+104,"")</f>
        <v>46122</v>
      </c>
      <c r="D80" s="71" t="str">
        <f aca="false">IF('ساعات عبدالعزيز'!$M$175=1,N('ساعات عبدالعزيز'!F185),"")</f>
        <v/>
      </c>
      <c r="E80" s="71" t="str">
        <f aca="false">IF('ساعات عبدالعزيز'!$M$175=1,SUMIFS(ADV_AMT,ADV_E,"عبدالعزيز",ADV_W,15),"")</f>
        <v/>
      </c>
      <c r="F80" s="71" t="str">
        <f aca="false">IF('ساعات عبدالعزيز'!$M$175=1,IF(N(D80)=0,0,MAX(0,FLOOR(MIN(IF(SUMPRODUCT(MAX((LG_E="عبدالعزيز")*(LG_INST&lt;&gt;"")*(LG_D&lt;=C80)*LG_IDX))=0,السنة!$E$7,INDEX(LG_INST,SUMPRODUCT(MAX((LG_E="عبدالعزيز")*(LG_INST&lt;&gt;"")*(LG_D&lt;=C80)*LG_IDX)))),السنة!$D$7+SUMIFS(LG_DEBT,LG_E,"عبدالعزيز",LG_D,"&lt;="&amp;C80)-SUMIFS(LG_REP,LG_E,"عبدالعزيز",LG_D,"&lt;="&amp;C80)-SUM(F66:F79),INST_CAP*N(D80),N(D80)-N(E80)-N(K80)-NET_FLOOR*N(D80)),0.25))),"")</f>
        <v/>
      </c>
      <c r="G80" s="72" t="str">
        <f aca="false">IF('ساعات عبدالعزيز'!$M$175=1,IF(15=START_Z,السنة!$C$7,N(I79))+N(D80)-N(E80)-N(F80)-N(K80),"")</f>
        <v/>
      </c>
      <c r="H80" s="71" t="str">
        <f aca="false">IF('ساعات عبدالعزيز'!$M$175=1,N('ساعات عبدالعزيز'!F186),"")</f>
        <v/>
      </c>
      <c r="I80" s="71" t="str">
        <f aca="false">IF('ساعات عبدالعزيز'!$M$175=1,G80-H80,"")</f>
        <v/>
      </c>
      <c r="J80" s="73" t="str">
        <f aca="false">IF('ساعات عبدالعزيز'!$M$175=1,MAX(0,السنة!$D$7+SUMIFS(LG_DEBT,LG_E,"عبدالعزيز",LG_D,"&lt;="&amp;C80)-SUMIFS(LG_REP,LG_E,"عبدالعزيز",LG_D,"&lt;="&amp;C80)-SUM(F66:F80)),"")</f>
        <v/>
      </c>
      <c r="K80" s="71" t="str">
        <f aca="false">IF('ساعات عبدالعزيز'!$M$175=1,N('ساعات عبدالعزيز'!G184),"")</f>
        <v/>
      </c>
      <c r="L80" s="70" t="n">
        <f aca="false">IF(C80="","",MONTH(C80))</f>
        <v>4</v>
      </c>
    </row>
    <row r="81" customFormat="false" ht="15" hidden="false" customHeight="false" outlineLevel="0" collapsed="false">
      <c r="A81" s="70" t="n">
        <f aca="false">IF(16&lt;=NW,16,"")</f>
        <v>16</v>
      </c>
      <c r="B81" s="28" t="n">
        <f aca="false">IF(16&lt;=NW,SAT1+105,"")</f>
        <v>46123</v>
      </c>
      <c r="C81" s="28" t="n">
        <f aca="false">IF(16&lt;=NW,SAT1+111,"")</f>
        <v>46129</v>
      </c>
      <c r="D81" s="71" t="str">
        <f aca="false">IF('ساعات عبدالعزيز'!$M$187=1,N('ساعات عبدالعزيز'!F197),"")</f>
        <v/>
      </c>
      <c r="E81" s="71" t="str">
        <f aca="false">IF('ساعات عبدالعزيز'!$M$187=1,SUMIFS(ADV_AMT,ADV_E,"عبدالعزيز",ADV_W,16),"")</f>
        <v/>
      </c>
      <c r="F81" s="71" t="str">
        <f aca="false">IF('ساعات عبدالعزيز'!$M$187=1,IF(N(D81)=0,0,MAX(0,FLOOR(MIN(IF(SUMPRODUCT(MAX((LG_E="عبدالعزيز")*(LG_INST&lt;&gt;"")*(LG_D&lt;=C81)*LG_IDX))=0,السنة!$E$7,INDEX(LG_INST,SUMPRODUCT(MAX((LG_E="عبدالعزيز")*(LG_INST&lt;&gt;"")*(LG_D&lt;=C81)*LG_IDX)))),السنة!$D$7+SUMIFS(LG_DEBT,LG_E,"عبدالعزيز",LG_D,"&lt;="&amp;C81)-SUMIFS(LG_REP,LG_E,"عبدالعزيز",LG_D,"&lt;="&amp;C81)-SUM(F66:F80),INST_CAP*N(D81),N(D81)-N(E81)-N(K81)-NET_FLOOR*N(D81)),0.25))),"")</f>
        <v/>
      </c>
      <c r="G81" s="72" t="str">
        <f aca="false">IF('ساعات عبدالعزيز'!$M$187=1,IF(16=START_Z,السنة!$C$7,N(I80))+N(D81)-N(E81)-N(F81)-N(K81),"")</f>
        <v/>
      </c>
      <c r="H81" s="71" t="str">
        <f aca="false">IF('ساعات عبدالعزيز'!$M$187=1,N('ساعات عبدالعزيز'!F198),"")</f>
        <v/>
      </c>
      <c r="I81" s="71" t="str">
        <f aca="false">IF('ساعات عبدالعزيز'!$M$187=1,G81-H81,"")</f>
        <v/>
      </c>
      <c r="J81" s="73" t="str">
        <f aca="false">IF('ساعات عبدالعزيز'!$M$187=1,MAX(0,السنة!$D$7+SUMIFS(LG_DEBT,LG_E,"عبدالعزيز",LG_D,"&lt;="&amp;C81)-SUMIFS(LG_REP,LG_E,"عبدالعزيز",LG_D,"&lt;="&amp;C81)-SUM(F66:F81)),"")</f>
        <v/>
      </c>
      <c r="K81" s="71" t="str">
        <f aca="false">IF('ساعات عبدالعزيز'!$M$187=1,N('ساعات عبدالعزيز'!G196),"")</f>
        <v/>
      </c>
      <c r="L81" s="70" t="n">
        <f aca="false">IF(C81="","",MONTH(C81))</f>
        <v>4</v>
      </c>
    </row>
    <row r="82" customFormat="false" ht="15" hidden="false" customHeight="false" outlineLevel="0" collapsed="false">
      <c r="A82" s="70" t="n">
        <f aca="false">IF(17&lt;=NW,17,"")</f>
        <v>17</v>
      </c>
      <c r="B82" s="28" t="n">
        <f aca="false">IF(17&lt;=NW,SAT1+112,"")</f>
        <v>46130</v>
      </c>
      <c r="C82" s="28" t="n">
        <f aca="false">IF(17&lt;=NW,SAT1+118,"")</f>
        <v>46136</v>
      </c>
      <c r="D82" s="71" t="str">
        <f aca="false">IF('ساعات عبدالعزيز'!$M$199=1,N('ساعات عبدالعزيز'!F209),"")</f>
        <v/>
      </c>
      <c r="E82" s="71" t="str">
        <f aca="false">IF('ساعات عبدالعزيز'!$M$199=1,SUMIFS(ADV_AMT,ADV_E,"عبدالعزيز",ADV_W,17),"")</f>
        <v/>
      </c>
      <c r="F82" s="71" t="str">
        <f aca="false">IF('ساعات عبدالعزيز'!$M$199=1,IF(N(D82)=0,0,MAX(0,FLOOR(MIN(IF(SUMPRODUCT(MAX((LG_E="عبدالعزيز")*(LG_INST&lt;&gt;"")*(LG_D&lt;=C82)*LG_IDX))=0,السنة!$E$7,INDEX(LG_INST,SUMPRODUCT(MAX((LG_E="عبدالعزيز")*(LG_INST&lt;&gt;"")*(LG_D&lt;=C82)*LG_IDX)))),السنة!$D$7+SUMIFS(LG_DEBT,LG_E,"عبدالعزيز",LG_D,"&lt;="&amp;C82)-SUMIFS(LG_REP,LG_E,"عبدالعزيز",LG_D,"&lt;="&amp;C82)-SUM(F66:F81),INST_CAP*N(D82),N(D82)-N(E82)-N(K82)-NET_FLOOR*N(D82)),0.25))),"")</f>
        <v/>
      </c>
      <c r="G82" s="72" t="str">
        <f aca="false">IF('ساعات عبدالعزيز'!$M$199=1,IF(17=START_Z,السنة!$C$7,N(I81))+N(D82)-N(E82)-N(F82)-N(K82),"")</f>
        <v/>
      </c>
      <c r="H82" s="71" t="str">
        <f aca="false">IF('ساعات عبدالعزيز'!$M$199=1,N('ساعات عبدالعزيز'!F210),"")</f>
        <v/>
      </c>
      <c r="I82" s="71" t="str">
        <f aca="false">IF('ساعات عبدالعزيز'!$M$199=1,G82-H82,"")</f>
        <v/>
      </c>
      <c r="J82" s="73" t="str">
        <f aca="false">IF('ساعات عبدالعزيز'!$M$199=1,MAX(0,السنة!$D$7+SUMIFS(LG_DEBT,LG_E,"عبدالعزيز",LG_D,"&lt;="&amp;C82)-SUMIFS(LG_REP,LG_E,"عبدالعزيز",LG_D,"&lt;="&amp;C82)-SUM(F66:F82)),"")</f>
        <v/>
      </c>
      <c r="K82" s="71" t="str">
        <f aca="false">IF('ساعات عبدالعزيز'!$M$199=1,N('ساعات عبدالعزيز'!G208),"")</f>
        <v/>
      </c>
      <c r="L82" s="70" t="n">
        <f aca="false">IF(C82="","",MONTH(C82))</f>
        <v>4</v>
      </c>
    </row>
    <row r="83" customFormat="false" ht="15" hidden="false" customHeight="false" outlineLevel="0" collapsed="false">
      <c r="A83" s="70" t="n">
        <f aca="false">IF(18&lt;=NW,18,"")</f>
        <v>18</v>
      </c>
      <c r="B83" s="28" t="n">
        <f aca="false">IF(18&lt;=NW,SAT1+119,"")</f>
        <v>46137</v>
      </c>
      <c r="C83" s="28" t="n">
        <f aca="false">IF(18&lt;=NW,SAT1+125,"")</f>
        <v>46143</v>
      </c>
      <c r="D83" s="71" t="str">
        <f aca="false">IF('ساعات عبدالعزيز'!$M$211=1,N('ساعات عبدالعزيز'!F221),"")</f>
        <v/>
      </c>
      <c r="E83" s="71" t="str">
        <f aca="false">IF('ساعات عبدالعزيز'!$M$211=1,SUMIFS(ADV_AMT,ADV_E,"عبدالعزيز",ADV_W,18),"")</f>
        <v/>
      </c>
      <c r="F83" s="71" t="str">
        <f aca="false">IF('ساعات عبدالعزيز'!$M$211=1,IF(N(D83)=0,0,MAX(0,FLOOR(MIN(IF(SUMPRODUCT(MAX((LG_E="عبدالعزيز")*(LG_INST&lt;&gt;"")*(LG_D&lt;=C83)*LG_IDX))=0,السنة!$E$7,INDEX(LG_INST,SUMPRODUCT(MAX((LG_E="عبدالعزيز")*(LG_INST&lt;&gt;"")*(LG_D&lt;=C83)*LG_IDX)))),السنة!$D$7+SUMIFS(LG_DEBT,LG_E,"عبدالعزيز",LG_D,"&lt;="&amp;C83)-SUMIFS(LG_REP,LG_E,"عبدالعزيز",LG_D,"&lt;="&amp;C83)-SUM(F66:F82),INST_CAP*N(D83),N(D83)-N(E83)-N(K83)-NET_FLOOR*N(D83)),0.25))),"")</f>
        <v/>
      </c>
      <c r="G83" s="72" t="str">
        <f aca="false">IF('ساعات عبدالعزيز'!$M$211=1,IF(18=START_Z,السنة!$C$7,N(I82))+N(D83)-N(E83)-N(F83)-N(K83),"")</f>
        <v/>
      </c>
      <c r="H83" s="71" t="str">
        <f aca="false">IF('ساعات عبدالعزيز'!$M$211=1,N('ساعات عبدالعزيز'!F222),"")</f>
        <v/>
      </c>
      <c r="I83" s="71" t="str">
        <f aca="false">IF('ساعات عبدالعزيز'!$M$211=1,G83-H83,"")</f>
        <v/>
      </c>
      <c r="J83" s="73" t="str">
        <f aca="false">IF('ساعات عبدالعزيز'!$M$211=1,MAX(0,السنة!$D$7+SUMIFS(LG_DEBT,LG_E,"عبدالعزيز",LG_D,"&lt;="&amp;C83)-SUMIFS(LG_REP,LG_E,"عبدالعزيز",LG_D,"&lt;="&amp;C83)-SUM(F66:F83)),"")</f>
        <v/>
      </c>
      <c r="K83" s="71" t="str">
        <f aca="false">IF('ساعات عبدالعزيز'!$M$211=1,N('ساعات عبدالعزيز'!G220),"")</f>
        <v/>
      </c>
      <c r="L83" s="70" t="n">
        <f aca="false">IF(C83="","",MONTH(C83))</f>
        <v>5</v>
      </c>
    </row>
    <row r="84" customFormat="false" ht="15" hidden="false" customHeight="false" outlineLevel="0" collapsed="false">
      <c r="A84" s="70" t="n">
        <f aca="false">IF(19&lt;=NW,19,"")</f>
        <v>19</v>
      </c>
      <c r="B84" s="28" t="n">
        <f aca="false">IF(19&lt;=NW,SAT1+126,"")</f>
        <v>46144</v>
      </c>
      <c r="C84" s="28" t="n">
        <f aca="false">IF(19&lt;=NW,SAT1+132,"")</f>
        <v>46150</v>
      </c>
      <c r="D84" s="71" t="str">
        <f aca="false">IF('ساعات عبدالعزيز'!$M$223=1,N('ساعات عبدالعزيز'!F233),"")</f>
        <v/>
      </c>
      <c r="E84" s="71" t="str">
        <f aca="false">IF('ساعات عبدالعزيز'!$M$223=1,SUMIFS(ADV_AMT,ADV_E,"عبدالعزيز",ADV_W,19),"")</f>
        <v/>
      </c>
      <c r="F84" s="71" t="str">
        <f aca="false">IF('ساعات عبدالعزيز'!$M$223=1,IF(N(D84)=0,0,MAX(0,FLOOR(MIN(IF(SUMPRODUCT(MAX((LG_E="عبدالعزيز")*(LG_INST&lt;&gt;"")*(LG_D&lt;=C84)*LG_IDX))=0,السنة!$E$7,INDEX(LG_INST,SUMPRODUCT(MAX((LG_E="عبدالعزيز")*(LG_INST&lt;&gt;"")*(LG_D&lt;=C84)*LG_IDX)))),السنة!$D$7+SUMIFS(LG_DEBT,LG_E,"عبدالعزيز",LG_D,"&lt;="&amp;C84)-SUMIFS(LG_REP,LG_E,"عبدالعزيز",LG_D,"&lt;="&amp;C84)-SUM(F66:F83),INST_CAP*N(D84),N(D84)-N(E84)-N(K84)-NET_FLOOR*N(D84)),0.25))),"")</f>
        <v/>
      </c>
      <c r="G84" s="72" t="str">
        <f aca="false">IF('ساعات عبدالعزيز'!$M$223=1,IF(19=START_Z,السنة!$C$7,N(I83))+N(D84)-N(E84)-N(F84)-N(K84),"")</f>
        <v/>
      </c>
      <c r="H84" s="71" t="str">
        <f aca="false">IF('ساعات عبدالعزيز'!$M$223=1,N('ساعات عبدالعزيز'!F234),"")</f>
        <v/>
      </c>
      <c r="I84" s="71" t="str">
        <f aca="false">IF('ساعات عبدالعزيز'!$M$223=1,G84-H84,"")</f>
        <v/>
      </c>
      <c r="J84" s="73" t="str">
        <f aca="false">IF('ساعات عبدالعزيز'!$M$223=1,MAX(0,السنة!$D$7+SUMIFS(LG_DEBT,LG_E,"عبدالعزيز",LG_D,"&lt;="&amp;C84)-SUMIFS(LG_REP,LG_E,"عبدالعزيز",LG_D,"&lt;="&amp;C84)-SUM(F66:F84)),"")</f>
        <v/>
      </c>
      <c r="K84" s="71" t="str">
        <f aca="false">IF('ساعات عبدالعزيز'!$M$223=1,N('ساعات عبدالعزيز'!G232),"")</f>
        <v/>
      </c>
      <c r="L84" s="70" t="n">
        <f aca="false">IF(C84="","",MONTH(C84))</f>
        <v>5</v>
      </c>
    </row>
    <row r="85" customFormat="false" ht="15" hidden="false" customHeight="false" outlineLevel="0" collapsed="false">
      <c r="A85" s="70" t="n">
        <f aca="false">IF(20&lt;=NW,20,"")</f>
        <v>20</v>
      </c>
      <c r="B85" s="28" t="n">
        <f aca="false">IF(20&lt;=NW,SAT1+133,"")</f>
        <v>46151</v>
      </c>
      <c r="C85" s="28" t="n">
        <f aca="false">IF(20&lt;=NW,SAT1+139,"")</f>
        <v>46157</v>
      </c>
      <c r="D85" s="71" t="str">
        <f aca="false">IF('ساعات عبدالعزيز'!$M$235=1,N('ساعات عبدالعزيز'!F245),"")</f>
        <v/>
      </c>
      <c r="E85" s="71" t="str">
        <f aca="false">IF('ساعات عبدالعزيز'!$M$235=1,SUMIFS(ADV_AMT,ADV_E,"عبدالعزيز",ADV_W,20),"")</f>
        <v/>
      </c>
      <c r="F85" s="71" t="str">
        <f aca="false">IF('ساعات عبدالعزيز'!$M$235=1,IF(N(D85)=0,0,MAX(0,FLOOR(MIN(IF(SUMPRODUCT(MAX((LG_E="عبدالعزيز")*(LG_INST&lt;&gt;"")*(LG_D&lt;=C85)*LG_IDX))=0,السنة!$E$7,INDEX(LG_INST,SUMPRODUCT(MAX((LG_E="عبدالعزيز")*(LG_INST&lt;&gt;"")*(LG_D&lt;=C85)*LG_IDX)))),السنة!$D$7+SUMIFS(LG_DEBT,LG_E,"عبدالعزيز",LG_D,"&lt;="&amp;C85)-SUMIFS(LG_REP,LG_E,"عبدالعزيز",LG_D,"&lt;="&amp;C85)-SUM(F66:F84),INST_CAP*N(D85),N(D85)-N(E85)-N(K85)-NET_FLOOR*N(D85)),0.25))),"")</f>
        <v/>
      </c>
      <c r="G85" s="72" t="str">
        <f aca="false">IF('ساعات عبدالعزيز'!$M$235=1,IF(20=START_Z,السنة!$C$7,N(I84))+N(D85)-N(E85)-N(F85)-N(K85),"")</f>
        <v/>
      </c>
      <c r="H85" s="71" t="str">
        <f aca="false">IF('ساعات عبدالعزيز'!$M$235=1,N('ساعات عبدالعزيز'!F246),"")</f>
        <v/>
      </c>
      <c r="I85" s="71" t="str">
        <f aca="false">IF('ساعات عبدالعزيز'!$M$235=1,G85-H85,"")</f>
        <v/>
      </c>
      <c r="J85" s="73" t="str">
        <f aca="false">IF('ساعات عبدالعزيز'!$M$235=1,MAX(0,السنة!$D$7+SUMIFS(LG_DEBT,LG_E,"عبدالعزيز",LG_D,"&lt;="&amp;C85)-SUMIFS(LG_REP,LG_E,"عبدالعزيز",LG_D,"&lt;="&amp;C85)-SUM(F66:F85)),"")</f>
        <v/>
      </c>
      <c r="K85" s="71" t="str">
        <f aca="false">IF('ساعات عبدالعزيز'!$M$235=1,N('ساعات عبدالعزيز'!G244),"")</f>
        <v/>
      </c>
      <c r="L85" s="70" t="n">
        <f aca="false">IF(C85="","",MONTH(C85))</f>
        <v>5</v>
      </c>
    </row>
    <row r="86" customFormat="false" ht="15" hidden="false" customHeight="false" outlineLevel="0" collapsed="false">
      <c r="A86" s="70" t="n">
        <f aca="false">IF(21&lt;=NW,21,"")</f>
        <v>21</v>
      </c>
      <c r="B86" s="28" t="n">
        <f aca="false">IF(21&lt;=NW,SAT1+140,"")</f>
        <v>46158</v>
      </c>
      <c r="C86" s="28" t="n">
        <f aca="false">IF(21&lt;=NW,SAT1+146,"")</f>
        <v>46164</v>
      </c>
      <c r="D86" s="71" t="str">
        <f aca="false">IF('ساعات عبدالعزيز'!$M$247=1,N('ساعات عبدالعزيز'!F257),"")</f>
        <v/>
      </c>
      <c r="E86" s="71" t="str">
        <f aca="false">IF('ساعات عبدالعزيز'!$M$247=1,SUMIFS(ADV_AMT,ADV_E,"عبدالعزيز",ADV_W,21),"")</f>
        <v/>
      </c>
      <c r="F86" s="71" t="str">
        <f aca="false">IF('ساعات عبدالعزيز'!$M$247=1,IF(N(D86)=0,0,MAX(0,FLOOR(MIN(IF(SUMPRODUCT(MAX((LG_E="عبدالعزيز")*(LG_INST&lt;&gt;"")*(LG_D&lt;=C86)*LG_IDX))=0,السنة!$E$7,INDEX(LG_INST,SUMPRODUCT(MAX((LG_E="عبدالعزيز")*(LG_INST&lt;&gt;"")*(LG_D&lt;=C86)*LG_IDX)))),السنة!$D$7+SUMIFS(LG_DEBT,LG_E,"عبدالعزيز",LG_D,"&lt;="&amp;C86)-SUMIFS(LG_REP,LG_E,"عبدالعزيز",LG_D,"&lt;="&amp;C86)-SUM(F66:F85),INST_CAP*N(D86),N(D86)-N(E86)-N(K86)-NET_FLOOR*N(D86)),0.25))),"")</f>
        <v/>
      </c>
      <c r="G86" s="72" t="str">
        <f aca="false">IF('ساعات عبدالعزيز'!$M$247=1,IF(21=START_Z,السنة!$C$7,N(I85))+N(D86)-N(E86)-N(F86)-N(K86),"")</f>
        <v/>
      </c>
      <c r="H86" s="71" t="str">
        <f aca="false">IF('ساعات عبدالعزيز'!$M$247=1,N('ساعات عبدالعزيز'!F258),"")</f>
        <v/>
      </c>
      <c r="I86" s="71" t="str">
        <f aca="false">IF('ساعات عبدالعزيز'!$M$247=1,G86-H86,"")</f>
        <v/>
      </c>
      <c r="J86" s="73" t="str">
        <f aca="false">IF('ساعات عبدالعزيز'!$M$247=1,MAX(0,السنة!$D$7+SUMIFS(LG_DEBT,LG_E,"عبدالعزيز",LG_D,"&lt;="&amp;C86)-SUMIFS(LG_REP,LG_E,"عبدالعزيز",LG_D,"&lt;="&amp;C86)-SUM(F66:F86)),"")</f>
        <v/>
      </c>
      <c r="K86" s="71" t="str">
        <f aca="false">IF('ساعات عبدالعزيز'!$M$247=1,N('ساعات عبدالعزيز'!G256),"")</f>
        <v/>
      </c>
      <c r="L86" s="70" t="n">
        <f aca="false">IF(C86="","",MONTH(C86))</f>
        <v>5</v>
      </c>
    </row>
    <row r="87" customFormat="false" ht="15" hidden="false" customHeight="false" outlineLevel="0" collapsed="false">
      <c r="A87" s="70" t="n">
        <f aca="false">IF(22&lt;=NW,22,"")</f>
        <v>22</v>
      </c>
      <c r="B87" s="28" t="n">
        <f aca="false">IF(22&lt;=NW,SAT1+147,"")</f>
        <v>46165</v>
      </c>
      <c r="C87" s="28" t="n">
        <f aca="false">IF(22&lt;=NW,SAT1+153,"")</f>
        <v>46171</v>
      </c>
      <c r="D87" s="71" t="str">
        <f aca="false">IF('ساعات عبدالعزيز'!$M$259=1,N('ساعات عبدالعزيز'!F269),"")</f>
        <v/>
      </c>
      <c r="E87" s="71" t="str">
        <f aca="false">IF('ساعات عبدالعزيز'!$M$259=1,SUMIFS(ADV_AMT,ADV_E,"عبدالعزيز",ADV_W,22),"")</f>
        <v/>
      </c>
      <c r="F87" s="71" t="str">
        <f aca="false">IF('ساعات عبدالعزيز'!$M$259=1,IF(N(D87)=0,0,MAX(0,FLOOR(MIN(IF(SUMPRODUCT(MAX((LG_E="عبدالعزيز")*(LG_INST&lt;&gt;"")*(LG_D&lt;=C87)*LG_IDX))=0,السنة!$E$7,INDEX(LG_INST,SUMPRODUCT(MAX((LG_E="عبدالعزيز")*(LG_INST&lt;&gt;"")*(LG_D&lt;=C87)*LG_IDX)))),السنة!$D$7+SUMIFS(LG_DEBT,LG_E,"عبدالعزيز",LG_D,"&lt;="&amp;C87)-SUMIFS(LG_REP,LG_E,"عبدالعزيز",LG_D,"&lt;="&amp;C87)-SUM(F66:F86),INST_CAP*N(D87),N(D87)-N(E87)-N(K87)-NET_FLOOR*N(D87)),0.25))),"")</f>
        <v/>
      </c>
      <c r="G87" s="72" t="str">
        <f aca="false">IF('ساعات عبدالعزيز'!$M$259=1,IF(22=START_Z,السنة!$C$7,N(I86))+N(D87)-N(E87)-N(F87)-N(K87),"")</f>
        <v/>
      </c>
      <c r="H87" s="71" t="str">
        <f aca="false">IF('ساعات عبدالعزيز'!$M$259=1,N('ساعات عبدالعزيز'!F270),"")</f>
        <v/>
      </c>
      <c r="I87" s="71" t="str">
        <f aca="false">IF('ساعات عبدالعزيز'!$M$259=1,G87-H87,"")</f>
        <v/>
      </c>
      <c r="J87" s="73" t="str">
        <f aca="false">IF('ساعات عبدالعزيز'!$M$259=1,MAX(0,السنة!$D$7+SUMIFS(LG_DEBT,LG_E,"عبدالعزيز",LG_D,"&lt;="&amp;C87)-SUMIFS(LG_REP,LG_E,"عبدالعزيز",LG_D,"&lt;="&amp;C87)-SUM(F66:F87)),"")</f>
        <v/>
      </c>
      <c r="K87" s="71" t="str">
        <f aca="false">IF('ساعات عبدالعزيز'!$M$259=1,N('ساعات عبدالعزيز'!G268),"")</f>
        <v/>
      </c>
      <c r="L87" s="70" t="n">
        <f aca="false">IF(C87="","",MONTH(C87))</f>
        <v>5</v>
      </c>
    </row>
    <row r="88" customFormat="false" ht="15" hidden="false" customHeight="false" outlineLevel="0" collapsed="false">
      <c r="A88" s="70" t="n">
        <f aca="false">IF(23&lt;=NW,23,"")</f>
        <v>23</v>
      </c>
      <c r="B88" s="28" t="n">
        <f aca="false">IF(23&lt;=NW,SAT1+154,"")</f>
        <v>46172</v>
      </c>
      <c r="C88" s="28" t="n">
        <f aca="false">IF(23&lt;=NW,SAT1+160,"")</f>
        <v>46178</v>
      </c>
      <c r="D88" s="71" t="str">
        <f aca="false">IF('ساعات عبدالعزيز'!$M$271=1,N('ساعات عبدالعزيز'!F281),"")</f>
        <v/>
      </c>
      <c r="E88" s="71" t="str">
        <f aca="false">IF('ساعات عبدالعزيز'!$M$271=1,SUMIFS(ADV_AMT,ADV_E,"عبدالعزيز",ADV_W,23),"")</f>
        <v/>
      </c>
      <c r="F88" s="71" t="str">
        <f aca="false">IF('ساعات عبدالعزيز'!$M$271=1,IF(N(D88)=0,0,MAX(0,FLOOR(MIN(IF(SUMPRODUCT(MAX((LG_E="عبدالعزيز")*(LG_INST&lt;&gt;"")*(LG_D&lt;=C88)*LG_IDX))=0,السنة!$E$7,INDEX(LG_INST,SUMPRODUCT(MAX((LG_E="عبدالعزيز")*(LG_INST&lt;&gt;"")*(LG_D&lt;=C88)*LG_IDX)))),السنة!$D$7+SUMIFS(LG_DEBT,LG_E,"عبدالعزيز",LG_D,"&lt;="&amp;C88)-SUMIFS(LG_REP,LG_E,"عبدالعزيز",LG_D,"&lt;="&amp;C88)-SUM(F66:F87),INST_CAP*N(D88),N(D88)-N(E88)-N(K88)-NET_FLOOR*N(D88)),0.25))),"")</f>
        <v/>
      </c>
      <c r="G88" s="72" t="str">
        <f aca="false">IF('ساعات عبدالعزيز'!$M$271=1,IF(23=START_Z,السنة!$C$7,N(I87))+N(D88)-N(E88)-N(F88)-N(K88),"")</f>
        <v/>
      </c>
      <c r="H88" s="71" t="str">
        <f aca="false">IF('ساعات عبدالعزيز'!$M$271=1,N('ساعات عبدالعزيز'!F282),"")</f>
        <v/>
      </c>
      <c r="I88" s="71" t="str">
        <f aca="false">IF('ساعات عبدالعزيز'!$M$271=1,G88-H88,"")</f>
        <v/>
      </c>
      <c r="J88" s="73" t="str">
        <f aca="false">IF('ساعات عبدالعزيز'!$M$271=1,MAX(0,السنة!$D$7+SUMIFS(LG_DEBT,LG_E,"عبدالعزيز",LG_D,"&lt;="&amp;C88)-SUMIFS(LG_REP,LG_E,"عبدالعزيز",LG_D,"&lt;="&amp;C88)-SUM(F66:F88)),"")</f>
        <v/>
      </c>
      <c r="K88" s="71" t="str">
        <f aca="false">IF('ساعات عبدالعزيز'!$M$271=1,N('ساعات عبدالعزيز'!G280),"")</f>
        <v/>
      </c>
      <c r="L88" s="70" t="n">
        <f aca="false">IF(C88="","",MONTH(C88))</f>
        <v>6</v>
      </c>
    </row>
    <row r="89" customFormat="false" ht="15" hidden="false" customHeight="false" outlineLevel="0" collapsed="false">
      <c r="A89" s="70" t="n">
        <f aca="false">IF(24&lt;=NW,24,"")</f>
        <v>24</v>
      </c>
      <c r="B89" s="28" t="n">
        <f aca="false">IF(24&lt;=NW,SAT1+161,"")</f>
        <v>46179</v>
      </c>
      <c r="C89" s="28" t="n">
        <f aca="false">IF(24&lt;=NW,SAT1+167,"")</f>
        <v>46185</v>
      </c>
      <c r="D89" s="71" t="str">
        <f aca="false">IF('ساعات عبدالعزيز'!$M$283=1,N('ساعات عبدالعزيز'!F293),"")</f>
        <v/>
      </c>
      <c r="E89" s="71" t="str">
        <f aca="false">IF('ساعات عبدالعزيز'!$M$283=1,SUMIFS(ADV_AMT,ADV_E,"عبدالعزيز",ADV_W,24),"")</f>
        <v/>
      </c>
      <c r="F89" s="71" t="str">
        <f aca="false">IF('ساعات عبدالعزيز'!$M$283=1,IF(N(D89)=0,0,MAX(0,FLOOR(MIN(IF(SUMPRODUCT(MAX((LG_E="عبدالعزيز")*(LG_INST&lt;&gt;"")*(LG_D&lt;=C89)*LG_IDX))=0,السنة!$E$7,INDEX(LG_INST,SUMPRODUCT(MAX((LG_E="عبدالعزيز")*(LG_INST&lt;&gt;"")*(LG_D&lt;=C89)*LG_IDX)))),السنة!$D$7+SUMIFS(LG_DEBT,LG_E,"عبدالعزيز",LG_D,"&lt;="&amp;C89)-SUMIFS(LG_REP,LG_E,"عبدالعزيز",LG_D,"&lt;="&amp;C89)-SUM(F66:F88),INST_CAP*N(D89),N(D89)-N(E89)-N(K89)-NET_FLOOR*N(D89)),0.25))),"")</f>
        <v/>
      </c>
      <c r="G89" s="72" t="str">
        <f aca="false">IF('ساعات عبدالعزيز'!$M$283=1,IF(24=START_Z,السنة!$C$7,N(I88))+N(D89)-N(E89)-N(F89)-N(K89),"")</f>
        <v/>
      </c>
      <c r="H89" s="71" t="str">
        <f aca="false">IF('ساعات عبدالعزيز'!$M$283=1,N('ساعات عبدالعزيز'!F294),"")</f>
        <v/>
      </c>
      <c r="I89" s="71" t="str">
        <f aca="false">IF('ساعات عبدالعزيز'!$M$283=1,G89-H89,"")</f>
        <v/>
      </c>
      <c r="J89" s="73" t="str">
        <f aca="false">IF('ساعات عبدالعزيز'!$M$283=1,MAX(0,السنة!$D$7+SUMIFS(LG_DEBT,LG_E,"عبدالعزيز",LG_D,"&lt;="&amp;C89)-SUMIFS(LG_REP,LG_E,"عبدالعزيز",LG_D,"&lt;="&amp;C89)-SUM(F66:F89)),"")</f>
        <v/>
      </c>
      <c r="K89" s="71" t="str">
        <f aca="false">IF('ساعات عبدالعزيز'!$M$283=1,N('ساعات عبدالعزيز'!G292),"")</f>
        <v/>
      </c>
      <c r="L89" s="70" t="n">
        <f aca="false">IF(C89="","",MONTH(C89))</f>
        <v>6</v>
      </c>
    </row>
    <row r="90" customFormat="false" ht="15" hidden="false" customHeight="false" outlineLevel="0" collapsed="false">
      <c r="A90" s="70" t="n">
        <f aca="false">IF(25&lt;=NW,25,"")</f>
        <v>25</v>
      </c>
      <c r="B90" s="28" t="n">
        <f aca="false">IF(25&lt;=NW,SAT1+168,"")</f>
        <v>46186</v>
      </c>
      <c r="C90" s="28" t="n">
        <f aca="false">IF(25&lt;=NW,SAT1+174,"")</f>
        <v>46192</v>
      </c>
      <c r="D90" s="71" t="str">
        <f aca="false">IF('ساعات عبدالعزيز'!$M$295=1,N('ساعات عبدالعزيز'!F305),"")</f>
        <v/>
      </c>
      <c r="E90" s="71" t="str">
        <f aca="false">IF('ساعات عبدالعزيز'!$M$295=1,SUMIFS(ADV_AMT,ADV_E,"عبدالعزيز",ADV_W,25),"")</f>
        <v/>
      </c>
      <c r="F90" s="71" t="str">
        <f aca="false">IF('ساعات عبدالعزيز'!$M$295=1,IF(N(D90)=0,0,MAX(0,FLOOR(MIN(IF(SUMPRODUCT(MAX((LG_E="عبدالعزيز")*(LG_INST&lt;&gt;"")*(LG_D&lt;=C90)*LG_IDX))=0,السنة!$E$7,INDEX(LG_INST,SUMPRODUCT(MAX((LG_E="عبدالعزيز")*(LG_INST&lt;&gt;"")*(LG_D&lt;=C90)*LG_IDX)))),السنة!$D$7+SUMIFS(LG_DEBT,LG_E,"عبدالعزيز",LG_D,"&lt;="&amp;C90)-SUMIFS(LG_REP,LG_E,"عبدالعزيز",LG_D,"&lt;="&amp;C90)-SUM(F66:F89),INST_CAP*N(D90),N(D90)-N(E90)-N(K90)-NET_FLOOR*N(D90)),0.25))),"")</f>
        <v/>
      </c>
      <c r="G90" s="72" t="str">
        <f aca="false">IF('ساعات عبدالعزيز'!$M$295=1,IF(25=START_Z,السنة!$C$7,N(I89))+N(D90)-N(E90)-N(F90)-N(K90),"")</f>
        <v/>
      </c>
      <c r="H90" s="71" t="str">
        <f aca="false">IF('ساعات عبدالعزيز'!$M$295=1,N('ساعات عبدالعزيز'!F306),"")</f>
        <v/>
      </c>
      <c r="I90" s="71" t="str">
        <f aca="false">IF('ساعات عبدالعزيز'!$M$295=1,G90-H90,"")</f>
        <v/>
      </c>
      <c r="J90" s="73" t="str">
        <f aca="false">IF('ساعات عبدالعزيز'!$M$295=1,MAX(0,السنة!$D$7+SUMIFS(LG_DEBT,LG_E,"عبدالعزيز",LG_D,"&lt;="&amp;C90)-SUMIFS(LG_REP,LG_E,"عبدالعزيز",LG_D,"&lt;="&amp;C90)-SUM(F66:F90)),"")</f>
        <v/>
      </c>
      <c r="K90" s="71" t="str">
        <f aca="false">IF('ساعات عبدالعزيز'!$M$295=1,N('ساعات عبدالعزيز'!G304),"")</f>
        <v/>
      </c>
      <c r="L90" s="70" t="n">
        <f aca="false">IF(C90="","",MONTH(C90))</f>
        <v>6</v>
      </c>
    </row>
    <row r="91" customFormat="false" ht="15" hidden="false" customHeight="false" outlineLevel="0" collapsed="false">
      <c r="A91" s="70" t="n">
        <f aca="false">IF(26&lt;=NW,26,"")</f>
        <v>26</v>
      </c>
      <c r="B91" s="28" t="n">
        <f aca="false">IF(26&lt;=NW,SAT1+175,"")</f>
        <v>46193</v>
      </c>
      <c r="C91" s="28" t="n">
        <f aca="false">IF(26&lt;=NW,SAT1+181,"")</f>
        <v>46199</v>
      </c>
      <c r="D91" s="71" t="str">
        <f aca="false">IF('ساعات عبدالعزيز'!$M$307=1,N('ساعات عبدالعزيز'!F317),"")</f>
        <v/>
      </c>
      <c r="E91" s="71" t="str">
        <f aca="false">IF('ساعات عبدالعزيز'!$M$307=1,SUMIFS(ADV_AMT,ADV_E,"عبدالعزيز",ADV_W,26),"")</f>
        <v/>
      </c>
      <c r="F91" s="71" t="str">
        <f aca="false">IF('ساعات عبدالعزيز'!$M$307=1,IF(N(D91)=0,0,MAX(0,FLOOR(MIN(IF(SUMPRODUCT(MAX((LG_E="عبدالعزيز")*(LG_INST&lt;&gt;"")*(LG_D&lt;=C91)*LG_IDX))=0,السنة!$E$7,INDEX(LG_INST,SUMPRODUCT(MAX((LG_E="عبدالعزيز")*(LG_INST&lt;&gt;"")*(LG_D&lt;=C91)*LG_IDX)))),السنة!$D$7+SUMIFS(LG_DEBT,LG_E,"عبدالعزيز",LG_D,"&lt;="&amp;C91)-SUMIFS(LG_REP,LG_E,"عبدالعزيز",LG_D,"&lt;="&amp;C91)-SUM(F66:F90),INST_CAP*N(D91),N(D91)-N(E91)-N(K91)-NET_FLOOR*N(D91)),0.25))),"")</f>
        <v/>
      </c>
      <c r="G91" s="72" t="str">
        <f aca="false">IF('ساعات عبدالعزيز'!$M$307=1,IF(26=START_Z,السنة!$C$7,N(I90))+N(D91)-N(E91)-N(F91)-N(K91),"")</f>
        <v/>
      </c>
      <c r="H91" s="71" t="str">
        <f aca="false">IF('ساعات عبدالعزيز'!$M$307=1,N('ساعات عبدالعزيز'!F318),"")</f>
        <v/>
      </c>
      <c r="I91" s="71" t="str">
        <f aca="false">IF('ساعات عبدالعزيز'!$M$307=1,G91-H91,"")</f>
        <v/>
      </c>
      <c r="J91" s="73" t="str">
        <f aca="false">IF('ساعات عبدالعزيز'!$M$307=1,MAX(0,السنة!$D$7+SUMIFS(LG_DEBT,LG_E,"عبدالعزيز",LG_D,"&lt;="&amp;C91)-SUMIFS(LG_REP,LG_E,"عبدالعزيز",LG_D,"&lt;="&amp;C91)-SUM(F66:F91)),"")</f>
        <v/>
      </c>
      <c r="K91" s="71" t="str">
        <f aca="false">IF('ساعات عبدالعزيز'!$M$307=1,N('ساعات عبدالعزيز'!G316),"")</f>
        <v/>
      </c>
      <c r="L91" s="70" t="n">
        <f aca="false">IF(C91="","",MONTH(C91))</f>
        <v>6</v>
      </c>
    </row>
    <row r="92" customFormat="false" ht="15" hidden="false" customHeight="false" outlineLevel="0" collapsed="false">
      <c r="A92" s="70" t="n">
        <f aca="false">IF(27&lt;=NW,27,"")</f>
        <v>27</v>
      </c>
      <c r="B92" s="28" t="n">
        <f aca="false">IF(27&lt;=NW,SAT1+182,"")</f>
        <v>46200</v>
      </c>
      <c r="C92" s="28" t="n">
        <f aca="false">IF(27&lt;=NW,SAT1+188,"")</f>
        <v>46206</v>
      </c>
      <c r="D92" s="71" t="str">
        <f aca="false">IF('ساعات عبدالعزيز'!$M$319=1,N('ساعات عبدالعزيز'!F329),"")</f>
        <v/>
      </c>
      <c r="E92" s="71" t="str">
        <f aca="false">IF('ساعات عبدالعزيز'!$M$319=1,SUMIFS(ADV_AMT,ADV_E,"عبدالعزيز",ADV_W,27),"")</f>
        <v/>
      </c>
      <c r="F92" s="71" t="str">
        <f aca="false">IF('ساعات عبدالعزيز'!$M$319=1,IF(N(D92)=0,0,MAX(0,FLOOR(MIN(IF(SUMPRODUCT(MAX((LG_E="عبدالعزيز")*(LG_INST&lt;&gt;"")*(LG_D&lt;=C92)*LG_IDX))=0,السنة!$E$7,INDEX(LG_INST,SUMPRODUCT(MAX((LG_E="عبدالعزيز")*(LG_INST&lt;&gt;"")*(LG_D&lt;=C92)*LG_IDX)))),السنة!$D$7+SUMIFS(LG_DEBT,LG_E,"عبدالعزيز",LG_D,"&lt;="&amp;C92)-SUMIFS(LG_REP,LG_E,"عبدالعزيز",LG_D,"&lt;="&amp;C92)-SUM(F66:F91),INST_CAP*N(D92),N(D92)-N(E92)-N(K92)-NET_FLOOR*N(D92)),0.25))),"")</f>
        <v/>
      </c>
      <c r="G92" s="72" t="str">
        <f aca="false">IF('ساعات عبدالعزيز'!$M$319=1,IF(27=START_Z,السنة!$C$7,N(I91))+N(D92)-N(E92)-N(F92)-N(K92),"")</f>
        <v/>
      </c>
      <c r="H92" s="71" t="str">
        <f aca="false">IF('ساعات عبدالعزيز'!$M$319=1,N('ساعات عبدالعزيز'!F330),"")</f>
        <v/>
      </c>
      <c r="I92" s="71" t="str">
        <f aca="false">IF('ساعات عبدالعزيز'!$M$319=1,G92-H92,"")</f>
        <v/>
      </c>
      <c r="J92" s="73" t="str">
        <f aca="false">IF('ساعات عبدالعزيز'!$M$319=1,MAX(0,السنة!$D$7+SUMIFS(LG_DEBT,LG_E,"عبدالعزيز",LG_D,"&lt;="&amp;C92)-SUMIFS(LG_REP,LG_E,"عبدالعزيز",LG_D,"&lt;="&amp;C92)-SUM(F66:F92)),"")</f>
        <v/>
      </c>
      <c r="K92" s="71" t="str">
        <f aca="false">IF('ساعات عبدالعزيز'!$M$319=1,N('ساعات عبدالعزيز'!G328),"")</f>
        <v/>
      </c>
      <c r="L92" s="70" t="n">
        <f aca="false">IF(C92="","",MONTH(C92))</f>
        <v>7</v>
      </c>
    </row>
    <row r="93" customFormat="false" ht="15" hidden="false" customHeight="false" outlineLevel="0" collapsed="false">
      <c r="A93" s="70" t="n">
        <f aca="false">IF(28&lt;=NW,28,"")</f>
        <v>28</v>
      </c>
      <c r="B93" s="28" t="n">
        <f aca="false">IF(28&lt;=NW,SAT1+189,"")</f>
        <v>46207</v>
      </c>
      <c r="C93" s="28" t="n">
        <f aca="false">IF(28&lt;=NW,SAT1+195,"")</f>
        <v>46213</v>
      </c>
      <c r="D93" s="71" t="str">
        <f aca="false">IF('ساعات عبدالعزيز'!$M$331=1,N('ساعات عبدالعزيز'!F341),"")</f>
        <v/>
      </c>
      <c r="E93" s="71" t="str">
        <f aca="false">IF('ساعات عبدالعزيز'!$M$331=1,SUMIFS(ADV_AMT,ADV_E,"عبدالعزيز",ADV_W,28),"")</f>
        <v/>
      </c>
      <c r="F93" s="71" t="str">
        <f aca="false">IF('ساعات عبدالعزيز'!$M$331=1,IF(N(D93)=0,0,MAX(0,FLOOR(MIN(IF(SUMPRODUCT(MAX((LG_E="عبدالعزيز")*(LG_INST&lt;&gt;"")*(LG_D&lt;=C93)*LG_IDX))=0,السنة!$E$7,INDEX(LG_INST,SUMPRODUCT(MAX((LG_E="عبدالعزيز")*(LG_INST&lt;&gt;"")*(LG_D&lt;=C93)*LG_IDX)))),السنة!$D$7+SUMIFS(LG_DEBT,LG_E,"عبدالعزيز",LG_D,"&lt;="&amp;C93)-SUMIFS(LG_REP,LG_E,"عبدالعزيز",LG_D,"&lt;="&amp;C93)-SUM(F66:F92),INST_CAP*N(D93),N(D93)-N(E93)-N(K93)-NET_FLOOR*N(D93)),0.25))),"")</f>
        <v/>
      </c>
      <c r="G93" s="72" t="str">
        <f aca="false">IF('ساعات عبدالعزيز'!$M$331=1,IF(28=START_Z,السنة!$C$7,N(I92))+N(D93)-N(E93)-N(F93)-N(K93),"")</f>
        <v/>
      </c>
      <c r="H93" s="71" t="str">
        <f aca="false">IF('ساعات عبدالعزيز'!$M$331=1,N('ساعات عبدالعزيز'!F342),"")</f>
        <v/>
      </c>
      <c r="I93" s="71" t="str">
        <f aca="false">IF('ساعات عبدالعزيز'!$M$331=1,G93-H93,"")</f>
        <v/>
      </c>
      <c r="J93" s="73" t="str">
        <f aca="false">IF('ساعات عبدالعزيز'!$M$331=1,MAX(0,السنة!$D$7+SUMIFS(LG_DEBT,LG_E,"عبدالعزيز",LG_D,"&lt;="&amp;C93)-SUMIFS(LG_REP,LG_E,"عبدالعزيز",LG_D,"&lt;="&amp;C93)-SUM(F66:F93)),"")</f>
        <v/>
      </c>
      <c r="K93" s="71" t="str">
        <f aca="false">IF('ساعات عبدالعزيز'!$M$331=1,N('ساعات عبدالعزيز'!G340),"")</f>
        <v/>
      </c>
      <c r="L93" s="70" t="n">
        <f aca="false">IF(C93="","",MONTH(C93))</f>
        <v>7</v>
      </c>
    </row>
    <row r="94" customFormat="false" ht="15" hidden="false" customHeight="false" outlineLevel="0" collapsed="false">
      <c r="A94" s="70" t="n">
        <f aca="false">IF(29&lt;=NW,29,"")</f>
        <v>29</v>
      </c>
      <c r="B94" s="28" t="n">
        <f aca="false">IF(29&lt;=NW,SAT1+196,"")</f>
        <v>46214</v>
      </c>
      <c r="C94" s="28" t="n">
        <f aca="false">IF(29&lt;=NW,SAT1+202,"")</f>
        <v>46220</v>
      </c>
      <c r="D94" s="71" t="str">
        <f aca="false">IF('ساعات عبدالعزيز'!$M$343=1,N('ساعات عبدالعزيز'!F353),"")</f>
        <v/>
      </c>
      <c r="E94" s="71" t="str">
        <f aca="false">IF('ساعات عبدالعزيز'!$M$343=1,SUMIFS(ADV_AMT,ADV_E,"عبدالعزيز",ADV_W,29),"")</f>
        <v/>
      </c>
      <c r="F94" s="71" t="str">
        <f aca="false">IF('ساعات عبدالعزيز'!$M$343=1,IF(N(D94)=0,0,MAX(0,FLOOR(MIN(IF(SUMPRODUCT(MAX((LG_E="عبدالعزيز")*(LG_INST&lt;&gt;"")*(LG_D&lt;=C94)*LG_IDX))=0,السنة!$E$7,INDEX(LG_INST,SUMPRODUCT(MAX((LG_E="عبدالعزيز")*(LG_INST&lt;&gt;"")*(LG_D&lt;=C94)*LG_IDX)))),السنة!$D$7+SUMIFS(LG_DEBT,LG_E,"عبدالعزيز",LG_D,"&lt;="&amp;C94)-SUMIFS(LG_REP,LG_E,"عبدالعزيز",LG_D,"&lt;="&amp;C94)-SUM(F66:F93),INST_CAP*N(D94),N(D94)-N(E94)-N(K94)-NET_FLOOR*N(D94)),0.25))),"")</f>
        <v/>
      </c>
      <c r="G94" s="72" t="str">
        <f aca="false">IF('ساعات عبدالعزيز'!$M$343=1,IF(29=START_Z,السنة!$C$7,N(I93))+N(D94)-N(E94)-N(F94)-N(K94),"")</f>
        <v/>
      </c>
      <c r="H94" s="71" t="str">
        <f aca="false">IF('ساعات عبدالعزيز'!$M$343=1,N('ساعات عبدالعزيز'!F354),"")</f>
        <v/>
      </c>
      <c r="I94" s="71" t="str">
        <f aca="false">IF('ساعات عبدالعزيز'!$M$343=1,G94-H94,"")</f>
        <v/>
      </c>
      <c r="J94" s="73" t="str">
        <f aca="false">IF('ساعات عبدالعزيز'!$M$343=1,MAX(0,السنة!$D$7+SUMIFS(LG_DEBT,LG_E,"عبدالعزيز",LG_D,"&lt;="&amp;C94)-SUMIFS(LG_REP,LG_E,"عبدالعزيز",LG_D,"&lt;="&amp;C94)-SUM(F66:F94)),"")</f>
        <v/>
      </c>
      <c r="K94" s="71" t="str">
        <f aca="false">IF('ساعات عبدالعزيز'!$M$343=1,N('ساعات عبدالعزيز'!G352),"")</f>
        <v/>
      </c>
      <c r="L94" s="70" t="n">
        <f aca="false">IF(C94="","",MONTH(C94))</f>
        <v>7</v>
      </c>
    </row>
    <row r="95" customFormat="false" ht="15" hidden="false" customHeight="false" outlineLevel="0" collapsed="false">
      <c r="A95" s="70" t="n">
        <f aca="false">IF(30&lt;=NW,30,"")</f>
        <v>30</v>
      </c>
      <c r="B95" s="28" t="n">
        <f aca="false">IF(30&lt;=NW,SAT1+203,"")</f>
        <v>46221</v>
      </c>
      <c r="C95" s="28" t="n">
        <f aca="false">IF(30&lt;=NW,SAT1+209,"")</f>
        <v>46227</v>
      </c>
      <c r="D95" s="71" t="str">
        <f aca="false">IF('ساعات عبدالعزيز'!$M$355=1,N('ساعات عبدالعزيز'!F365),"")</f>
        <v/>
      </c>
      <c r="E95" s="71" t="str">
        <f aca="false">IF('ساعات عبدالعزيز'!$M$355=1,SUMIFS(ADV_AMT,ADV_E,"عبدالعزيز",ADV_W,30),"")</f>
        <v/>
      </c>
      <c r="F95" s="71" t="str">
        <f aca="false">IF('ساعات عبدالعزيز'!$M$355=1,IF(N(D95)=0,0,MAX(0,FLOOR(MIN(IF(SUMPRODUCT(MAX((LG_E="عبدالعزيز")*(LG_INST&lt;&gt;"")*(LG_D&lt;=C95)*LG_IDX))=0,السنة!$E$7,INDEX(LG_INST,SUMPRODUCT(MAX((LG_E="عبدالعزيز")*(LG_INST&lt;&gt;"")*(LG_D&lt;=C95)*LG_IDX)))),السنة!$D$7+SUMIFS(LG_DEBT,LG_E,"عبدالعزيز",LG_D,"&lt;="&amp;C95)-SUMIFS(LG_REP,LG_E,"عبدالعزيز",LG_D,"&lt;="&amp;C95)-SUM(F66:F94),INST_CAP*N(D95),N(D95)-N(E95)-N(K95)-NET_FLOOR*N(D95)),0.25))),"")</f>
        <v/>
      </c>
      <c r="G95" s="72" t="str">
        <f aca="false">IF('ساعات عبدالعزيز'!$M$355=1,IF(30=START_Z,السنة!$C$7,N(I94))+N(D95)-N(E95)-N(F95)-N(K95),"")</f>
        <v/>
      </c>
      <c r="H95" s="71" t="str">
        <f aca="false">IF('ساعات عبدالعزيز'!$M$355=1,N('ساعات عبدالعزيز'!F366),"")</f>
        <v/>
      </c>
      <c r="I95" s="71" t="str">
        <f aca="false">IF('ساعات عبدالعزيز'!$M$355=1,G95-H95,"")</f>
        <v/>
      </c>
      <c r="J95" s="73" t="str">
        <f aca="false">IF('ساعات عبدالعزيز'!$M$355=1,MAX(0,السنة!$D$7+SUMIFS(LG_DEBT,LG_E,"عبدالعزيز",LG_D,"&lt;="&amp;C95)-SUMIFS(LG_REP,LG_E,"عبدالعزيز",LG_D,"&lt;="&amp;C95)-SUM(F66:F95)),"")</f>
        <v/>
      </c>
      <c r="K95" s="71" t="str">
        <f aca="false">IF('ساعات عبدالعزيز'!$M$355=1,N('ساعات عبدالعزيز'!G364),"")</f>
        <v/>
      </c>
      <c r="L95" s="70" t="n">
        <f aca="false">IF(C95="","",MONTH(C95))</f>
        <v>7</v>
      </c>
    </row>
    <row r="96" customFormat="false" ht="15" hidden="false" customHeight="false" outlineLevel="0" collapsed="false">
      <c r="A96" s="70" t="n">
        <f aca="false">IF(31&lt;=NW,31,"")</f>
        <v>31</v>
      </c>
      <c r="B96" s="28" t="n">
        <f aca="false">IF(31&lt;=NW,SAT1+210,"")</f>
        <v>46228</v>
      </c>
      <c r="C96" s="28" t="n">
        <f aca="false">IF(31&lt;=NW,SAT1+216,"")</f>
        <v>46234</v>
      </c>
      <c r="D96" s="71" t="str">
        <f aca="false">IF('ساعات عبدالعزيز'!$M$367=1,N('ساعات عبدالعزيز'!F377),"")</f>
        <v/>
      </c>
      <c r="E96" s="71" t="str">
        <f aca="false">IF('ساعات عبدالعزيز'!$M$367=1,SUMIFS(ADV_AMT,ADV_E,"عبدالعزيز",ADV_W,31),"")</f>
        <v/>
      </c>
      <c r="F96" s="71" t="str">
        <f aca="false">IF('ساعات عبدالعزيز'!$M$367=1,IF(N(D96)=0,0,MAX(0,FLOOR(MIN(IF(SUMPRODUCT(MAX((LG_E="عبدالعزيز")*(LG_INST&lt;&gt;"")*(LG_D&lt;=C96)*LG_IDX))=0,السنة!$E$7,INDEX(LG_INST,SUMPRODUCT(MAX((LG_E="عبدالعزيز")*(LG_INST&lt;&gt;"")*(LG_D&lt;=C96)*LG_IDX)))),السنة!$D$7+SUMIFS(LG_DEBT,LG_E,"عبدالعزيز",LG_D,"&lt;="&amp;C96)-SUMIFS(LG_REP,LG_E,"عبدالعزيز",LG_D,"&lt;="&amp;C96)-SUM(F66:F95),INST_CAP*N(D96),N(D96)-N(E96)-N(K96)-NET_FLOOR*N(D96)),0.25))),"")</f>
        <v/>
      </c>
      <c r="G96" s="72" t="str">
        <f aca="false">IF('ساعات عبدالعزيز'!$M$367=1,IF(31=START_Z,السنة!$C$7,N(I95))+N(D96)-N(E96)-N(F96)-N(K96),"")</f>
        <v/>
      </c>
      <c r="H96" s="71" t="str">
        <f aca="false">IF('ساعات عبدالعزيز'!$M$367=1,N('ساعات عبدالعزيز'!F378),"")</f>
        <v/>
      </c>
      <c r="I96" s="71" t="str">
        <f aca="false">IF('ساعات عبدالعزيز'!$M$367=1,G96-H96,"")</f>
        <v/>
      </c>
      <c r="J96" s="73" t="str">
        <f aca="false">IF('ساعات عبدالعزيز'!$M$367=1,MAX(0,السنة!$D$7+SUMIFS(LG_DEBT,LG_E,"عبدالعزيز",LG_D,"&lt;="&amp;C96)-SUMIFS(LG_REP,LG_E,"عبدالعزيز",LG_D,"&lt;="&amp;C96)-SUM(F66:F96)),"")</f>
        <v/>
      </c>
      <c r="K96" s="71" t="str">
        <f aca="false">IF('ساعات عبدالعزيز'!$M$367=1,N('ساعات عبدالعزيز'!G376),"")</f>
        <v/>
      </c>
      <c r="L96" s="70" t="n">
        <f aca="false">IF(C96="","",MONTH(C96))</f>
        <v>7</v>
      </c>
    </row>
    <row r="97" customFormat="false" ht="15" hidden="false" customHeight="false" outlineLevel="0" collapsed="false">
      <c r="A97" s="70" t="n">
        <f aca="false">IF(32&lt;=NW,32,"")</f>
        <v>32</v>
      </c>
      <c r="B97" s="28" t="n">
        <f aca="false">IF(32&lt;=NW,SAT1+217,"")</f>
        <v>46235</v>
      </c>
      <c r="C97" s="28" t="n">
        <f aca="false">IF(32&lt;=NW,SAT1+223,"")</f>
        <v>46241</v>
      </c>
      <c r="D97" s="71" t="str">
        <f aca="false">IF('ساعات عبدالعزيز'!$M$379=1,N('ساعات عبدالعزيز'!F389),"")</f>
        <v/>
      </c>
      <c r="E97" s="71" t="str">
        <f aca="false">IF('ساعات عبدالعزيز'!$M$379=1,SUMIFS(ADV_AMT,ADV_E,"عبدالعزيز",ADV_W,32),"")</f>
        <v/>
      </c>
      <c r="F97" s="71" t="str">
        <f aca="false">IF('ساعات عبدالعزيز'!$M$379=1,IF(N(D97)=0,0,MAX(0,FLOOR(MIN(IF(SUMPRODUCT(MAX((LG_E="عبدالعزيز")*(LG_INST&lt;&gt;"")*(LG_D&lt;=C97)*LG_IDX))=0,السنة!$E$7,INDEX(LG_INST,SUMPRODUCT(MAX((LG_E="عبدالعزيز")*(LG_INST&lt;&gt;"")*(LG_D&lt;=C97)*LG_IDX)))),السنة!$D$7+SUMIFS(LG_DEBT,LG_E,"عبدالعزيز",LG_D,"&lt;="&amp;C97)-SUMIFS(LG_REP,LG_E,"عبدالعزيز",LG_D,"&lt;="&amp;C97)-SUM(F66:F96),INST_CAP*N(D97),N(D97)-N(E97)-N(K97)-NET_FLOOR*N(D97)),0.25))),"")</f>
        <v/>
      </c>
      <c r="G97" s="72" t="str">
        <f aca="false">IF('ساعات عبدالعزيز'!$M$379=1,IF(32=START_Z,السنة!$C$7,N(I96))+N(D97)-N(E97)-N(F97)-N(K97),"")</f>
        <v/>
      </c>
      <c r="H97" s="71" t="str">
        <f aca="false">IF('ساعات عبدالعزيز'!$M$379=1,N('ساعات عبدالعزيز'!F390),"")</f>
        <v/>
      </c>
      <c r="I97" s="71" t="str">
        <f aca="false">IF('ساعات عبدالعزيز'!$M$379=1,G97-H97,"")</f>
        <v/>
      </c>
      <c r="J97" s="73" t="str">
        <f aca="false">IF('ساعات عبدالعزيز'!$M$379=1,MAX(0,السنة!$D$7+SUMIFS(LG_DEBT,LG_E,"عبدالعزيز",LG_D,"&lt;="&amp;C97)-SUMIFS(LG_REP,LG_E,"عبدالعزيز",LG_D,"&lt;="&amp;C97)-SUM(F66:F97)),"")</f>
        <v/>
      </c>
      <c r="K97" s="71" t="str">
        <f aca="false">IF('ساعات عبدالعزيز'!$M$379=1,N('ساعات عبدالعزيز'!G388),"")</f>
        <v/>
      </c>
      <c r="L97" s="70" t="n">
        <f aca="false">IF(C97="","",MONTH(C97))</f>
        <v>8</v>
      </c>
    </row>
    <row r="98" customFormat="false" ht="15" hidden="false" customHeight="false" outlineLevel="0" collapsed="false">
      <c r="A98" s="70" t="n">
        <f aca="false">IF(33&lt;=NW,33,"")</f>
        <v>33</v>
      </c>
      <c r="B98" s="28" t="n">
        <f aca="false">IF(33&lt;=NW,SAT1+224,"")</f>
        <v>46242</v>
      </c>
      <c r="C98" s="28" t="n">
        <f aca="false">IF(33&lt;=NW,SAT1+230,"")</f>
        <v>46248</v>
      </c>
      <c r="D98" s="71" t="str">
        <f aca="false">IF('ساعات عبدالعزيز'!$M$391=1,N('ساعات عبدالعزيز'!F401),"")</f>
        <v/>
      </c>
      <c r="E98" s="71" t="str">
        <f aca="false">IF('ساعات عبدالعزيز'!$M$391=1,SUMIFS(ADV_AMT,ADV_E,"عبدالعزيز",ADV_W,33),"")</f>
        <v/>
      </c>
      <c r="F98" s="71" t="str">
        <f aca="false">IF('ساعات عبدالعزيز'!$M$391=1,IF(N(D98)=0,0,MAX(0,FLOOR(MIN(IF(SUMPRODUCT(MAX((LG_E="عبدالعزيز")*(LG_INST&lt;&gt;"")*(LG_D&lt;=C98)*LG_IDX))=0,السنة!$E$7,INDEX(LG_INST,SUMPRODUCT(MAX((LG_E="عبدالعزيز")*(LG_INST&lt;&gt;"")*(LG_D&lt;=C98)*LG_IDX)))),السنة!$D$7+SUMIFS(LG_DEBT,LG_E,"عبدالعزيز",LG_D,"&lt;="&amp;C98)-SUMIFS(LG_REP,LG_E,"عبدالعزيز",LG_D,"&lt;="&amp;C98)-SUM(F66:F97),INST_CAP*N(D98),N(D98)-N(E98)-N(K98)-NET_FLOOR*N(D98)),0.25))),"")</f>
        <v/>
      </c>
      <c r="G98" s="72" t="str">
        <f aca="false">IF('ساعات عبدالعزيز'!$M$391=1,IF(33=START_Z,السنة!$C$7,N(I97))+N(D98)-N(E98)-N(F98)-N(K98),"")</f>
        <v/>
      </c>
      <c r="H98" s="71" t="str">
        <f aca="false">IF('ساعات عبدالعزيز'!$M$391=1,N('ساعات عبدالعزيز'!F402),"")</f>
        <v/>
      </c>
      <c r="I98" s="71" t="str">
        <f aca="false">IF('ساعات عبدالعزيز'!$M$391=1,G98-H98,"")</f>
        <v/>
      </c>
      <c r="J98" s="73" t="str">
        <f aca="false">IF('ساعات عبدالعزيز'!$M$391=1,MAX(0,السنة!$D$7+SUMIFS(LG_DEBT,LG_E,"عبدالعزيز",LG_D,"&lt;="&amp;C98)-SUMIFS(LG_REP,LG_E,"عبدالعزيز",LG_D,"&lt;="&amp;C98)-SUM(F66:F98)),"")</f>
        <v/>
      </c>
      <c r="K98" s="71" t="str">
        <f aca="false">IF('ساعات عبدالعزيز'!$M$391=1,N('ساعات عبدالعزيز'!G400),"")</f>
        <v/>
      </c>
      <c r="L98" s="70" t="n">
        <f aca="false">IF(C98="","",MONTH(C98))</f>
        <v>8</v>
      </c>
    </row>
    <row r="99" customFormat="false" ht="15" hidden="false" customHeight="false" outlineLevel="0" collapsed="false">
      <c r="A99" s="70" t="n">
        <f aca="false">IF(34&lt;=NW,34,"")</f>
        <v>34</v>
      </c>
      <c r="B99" s="28" t="n">
        <f aca="false">IF(34&lt;=NW,SAT1+231,"")</f>
        <v>46249</v>
      </c>
      <c r="C99" s="28" t="n">
        <f aca="false">IF(34&lt;=NW,SAT1+237,"")</f>
        <v>46255</v>
      </c>
      <c r="D99" s="71" t="str">
        <f aca="false">IF('ساعات عبدالعزيز'!$M$403=1,N('ساعات عبدالعزيز'!F413),"")</f>
        <v/>
      </c>
      <c r="E99" s="71" t="str">
        <f aca="false">IF('ساعات عبدالعزيز'!$M$403=1,SUMIFS(ADV_AMT,ADV_E,"عبدالعزيز",ADV_W,34),"")</f>
        <v/>
      </c>
      <c r="F99" s="71" t="str">
        <f aca="false">IF('ساعات عبدالعزيز'!$M$403=1,IF(N(D99)=0,0,MAX(0,FLOOR(MIN(IF(SUMPRODUCT(MAX((LG_E="عبدالعزيز")*(LG_INST&lt;&gt;"")*(LG_D&lt;=C99)*LG_IDX))=0,السنة!$E$7,INDEX(LG_INST,SUMPRODUCT(MAX((LG_E="عبدالعزيز")*(LG_INST&lt;&gt;"")*(LG_D&lt;=C99)*LG_IDX)))),السنة!$D$7+SUMIFS(LG_DEBT,LG_E,"عبدالعزيز",LG_D,"&lt;="&amp;C99)-SUMIFS(LG_REP,LG_E,"عبدالعزيز",LG_D,"&lt;="&amp;C99)-SUM(F66:F98),INST_CAP*N(D99),N(D99)-N(E99)-N(K99)-NET_FLOOR*N(D99)),0.25))),"")</f>
        <v/>
      </c>
      <c r="G99" s="72" t="str">
        <f aca="false">IF('ساعات عبدالعزيز'!$M$403=1,IF(34=START_Z,السنة!$C$7,N(I98))+N(D99)-N(E99)-N(F99)-N(K99),"")</f>
        <v/>
      </c>
      <c r="H99" s="71" t="str">
        <f aca="false">IF('ساعات عبدالعزيز'!$M$403=1,N('ساعات عبدالعزيز'!F414),"")</f>
        <v/>
      </c>
      <c r="I99" s="71" t="str">
        <f aca="false">IF('ساعات عبدالعزيز'!$M$403=1,G99-H99,"")</f>
        <v/>
      </c>
      <c r="J99" s="73" t="str">
        <f aca="false">IF('ساعات عبدالعزيز'!$M$403=1,MAX(0,السنة!$D$7+SUMIFS(LG_DEBT,LG_E,"عبدالعزيز",LG_D,"&lt;="&amp;C99)-SUMIFS(LG_REP,LG_E,"عبدالعزيز",LG_D,"&lt;="&amp;C99)-SUM(F66:F99)),"")</f>
        <v/>
      </c>
      <c r="K99" s="71" t="str">
        <f aca="false">IF('ساعات عبدالعزيز'!$M$403=1,N('ساعات عبدالعزيز'!G412),"")</f>
        <v/>
      </c>
      <c r="L99" s="70" t="n">
        <f aca="false">IF(C99="","",MONTH(C99))</f>
        <v>8</v>
      </c>
    </row>
    <row r="100" customFormat="false" ht="15" hidden="false" customHeight="false" outlineLevel="0" collapsed="false">
      <c r="A100" s="70" t="n">
        <f aca="false">IF(35&lt;=NW,35,"")</f>
        <v>35</v>
      </c>
      <c r="B100" s="28" t="n">
        <f aca="false">IF(35&lt;=NW,SAT1+238,"")</f>
        <v>46256</v>
      </c>
      <c r="C100" s="28" t="n">
        <f aca="false">IF(35&lt;=NW,SAT1+244,"")</f>
        <v>46262</v>
      </c>
      <c r="D100" s="71" t="str">
        <f aca="false">IF('ساعات عبدالعزيز'!$M$415=1,N('ساعات عبدالعزيز'!F425),"")</f>
        <v/>
      </c>
      <c r="E100" s="71" t="str">
        <f aca="false">IF('ساعات عبدالعزيز'!$M$415=1,SUMIFS(ADV_AMT,ADV_E,"عبدالعزيز",ADV_W,35),"")</f>
        <v/>
      </c>
      <c r="F100" s="71" t="str">
        <f aca="false">IF('ساعات عبدالعزيز'!$M$415=1,IF(N(D100)=0,0,MAX(0,FLOOR(MIN(IF(SUMPRODUCT(MAX((LG_E="عبدالعزيز")*(LG_INST&lt;&gt;"")*(LG_D&lt;=C100)*LG_IDX))=0,السنة!$E$7,INDEX(LG_INST,SUMPRODUCT(MAX((LG_E="عبدالعزيز")*(LG_INST&lt;&gt;"")*(LG_D&lt;=C100)*LG_IDX)))),السنة!$D$7+SUMIFS(LG_DEBT,LG_E,"عبدالعزيز",LG_D,"&lt;="&amp;C100)-SUMIFS(LG_REP,LG_E,"عبدالعزيز",LG_D,"&lt;="&amp;C100)-SUM(F66:F99),INST_CAP*N(D100),N(D100)-N(E100)-N(K100)-NET_FLOOR*N(D100)),0.25))),"")</f>
        <v/>
      </c>
      <c r="G100" s="72" t="str">
        <f aca="false">IF('ساعات عبدالعزيز'!$M$415=1,IF(35=START_Z,السنة!$C$7,N(I99))+N(D100)-N(E100)-N(F100)-N(K100),"")</f>
        <v/>
      </c>
      <c r="H100" s="71" t="str">
        <f aca="false">IF('ساعات عبدالعزيز'!$M$415=1,N('ساعات عبدالعزيز'!F426),"")</f>
        <v/>
      </c>
      <c r="I100" s="71" t="str">
        <f aca="false">IF('ساعات عبدالعزيز'!$M$415=1,G100-H100,"")</f>
        <v/>
      </c>
      <c r="J100" s="73" t="str">
        <f aca="false">IF('ساعات عبدالعزيز'!$M$415=1,MAX(0,السنة!$D$7+SUMIFS(LG_DEBT,LG_E,"عبدالعزيز",LG_D,"&lt;="&amp;C100)-SUMIFS(LG_REP,LG_E,"عبدالعزيز",LG_D,"&lt;="&amp;C100)-SUM(F66:F100)),"")</f>
        <v/>
      </c>
      <c r="K100" s="71" t="str">
        <f aca="false">IF('ساعات عبدالعزيز'!$M$415=1,N('ساعات عبدالعزيز'!G424),"")</f>
        <v/>
      </c>
      <c r="L100" s="70" t="n">
        <f aca="false">IF(C100="","",MONTH(C100))</f>
        <v>8</v>
      </c>
    </row>
    <row r="101" customFormat="false" ht="15" hidden="false" customHeight="false" outlineLevel="0" collapsed="false">
      <c r="A101" s="70" t="n">
        <f aca="false">IF(36&lt;=NW,36,"")</f>
        <v>36</v>
      </c>
      <c r="B101" s="28" t="n">
        <f aca="false">IF(36&lt;=NW,SAT1+245,"")</f>
        <v>46263</v>
      </c>
      <c r="C101" s="28" t="n">
        <f aca="false">IF(36&lt;=NW,SAT1+251,"")</f>
        <v>46269</v>
      </c>
      <c r="D101" s="71" t="str">
        <f aca="false">IF('ساعات عبدالعزيز'!$M$427=1,N('ساعات عبدالعزيز'!F437),"")</f>
        <v/>
      </c>
      <c r="E101" s="71" t="str">
        <f aca="false">IF('ساعات عبدالعزيز'!$M$427=1,SUMIFS(ADV_AMT,ADV_E,"عبدالعزيز",ADV_W,36),"")</f>
        <v/>
      </c>
      <c r="F101" s="71" t="str">
        <f aca="false">IF('ساعات عبدالعزيز'!$M$427=1,IF(N(D101)=0,0,MAX(0,FLOOR(MIN(IF(SUMPRODUCT(MAX((LG_E="عبدالعزيز")*(LG_INST&lt;&gt;"")*(LG_D&lt;=C101)*LG_IDX))=0,السنة!$E$7,INDEX(LG_INST,SUMPRODUCT(MAX((LG_E="عبدالعزيز")*(LG_INST&lt;&gt;"")*(LG_D&lt;=C101)*LG_IDX)))),السنة!$D$7+SUMIFS(LG_DEBT,LG_E,"عبدالعزيز",LG_D,"&lt;="&amp;C101)-SUMIFS(LG_REP,LG_E,"عبدالعزيز",LG_D,"&lt;="&amp;C101)-SUM(F66:F100),INST_CAP*N(D101),N(D101)-N(E101)-N(K101)-NET_FLOOR*N(D101)),0.25))),"")</f>
        <v/>
      </c>
      <c r="G101" s="72" t="str">
        <f aca="false">IF('ساعات عبدالعزيز'!$M$427=1,IF(36=START_Z,السنة!$C$7,N(I100))+N(D101)-N(E101)-N(F101)-N(K101),"")</f>
        <v/>
      </c>
      <c r="H101" s="71" t="str">
        <f aca="false">IF('ساعات عبدالعزيز'!$M$427=1,N('ساعات عبدالعزيز'!F438),"")</f>
        <v/>
      </c>
      <c r="I101" s="71" t="str">
        <f aca="false">IF('ساعات عبدالعزيز'!$M$427=1,G101-H101,"")</f>
        <v/>
      </c>
      <c r="J101" s="73" t="str">
        <f aca="false">IF('ساعات عبدالعزيز'!$M$427=1,MAX(0,السنة!$D$7+SUMIFS(LG_DEBT,LG_E,"عبدالعزيز",LG_D,"&lt;="&amp;C101)-SUMIFS(LG_REP,LG_E,"عبدالعزيز",LG_D,"&lt;="&amp;C101)-SUM(F66:F101)),"")</f>
        <v/>
      </c>
      <c r="K101" s="71" t="str">
        <f aca="false">IF('ساعات عبدالعزيز'!$M$427=1,N('ساعات عبدالعزيز'!G436),"")</f>
        <v/>
      </c>
      <c r="L101" s="70" t="n">
        <f aca="false">IF(C101="","",MONTH(C101))</f>
        <v>9</v>
      </c>
    </row>
    <row r="102" customFormat="false" ht="15" hidden="false" customHeight="false" outlineLevel="0" collapsed="false">
      <c r="A102" s="70" t="n">
        <f aca="false">IF(37&lt;=NW,37,"")</f>
        <v>37</v>
      </c>
      <c r="B102" s="28" t="n">
        <f aca="false">IF(37&lt;=NW,SAT1+252,"")</f>
        <v>46270</v>
      </c>
      <c r="C102" s="28" t="n">
        <f aca="false">IF(37&lt;=NW,SAT1+258,"")</f>
        <v>46276</v>
      </c>
      <c r="D102" s="71" t="str">
        <f aca="false">IF('ساعات عبدالعزيز'!$M$439=1,N('ساعات عبدالعزيز'!F449),"")</f>
        <v/>
      </c>
      <c r="E102" s="71" t="str">
        <f aca="false">IF('ساعات عبدالعزيز'!$M$439=1,SUMIFS(ADV_AMT,ADV_E,"عبدالعزيز",ADV_W,37),"")</f>
        <v/>
      </c>
      <c r="F102" s="71" t="str">
        <f aca="false">IF('ساعات عبدالعزيز'!$M$439=1,IF(N(D102)=0,0,MAX(0,FLOOR(MIN(IF(SUMPRODUCT(MAX((LG_E="عبدالعزيز")*(LG_INST&lt;&gt;"")*(LG_D&lt;=C102)*LG_IDX))=0,السنة!$E$7,INDEX(LG_INST,SUMPRODUCT(MAX((LG_E="عبدالعزيز")*(LG_INST&lt;&gt;"")*(LG_D&lt;=C102)*LG_IDX)))),السنة!$D$7+SUMIFS(LG_DEBT,LG_E,"عبدالعزيز",LG_D,"&lt;="&amp;C102)-SUMIFS(LG_REP,LG_E,"عبدالعزيز",LG_D,"&lt;="&amp;C102)-SUM(F66:F101),INST_CAP*N(D102),N(D102)-N(E102)-N(K102)-NET_FLOOR*N(D102)),0.25))),"")</f>
        <v/>
      </c>
      <c r="G102" s="72" t="str">
        <f aca="false">IF('ساعات عبدالعزيز'!$M$439=1,IF(37=START_Z,السنة!$C$7,N(I101))+N(D102)-N(E102)-N(F102)-N(K102),"")</f>
        <v/>
      </c>
      <c r="H102" s="71" t="str">
        <f aca="false">IF('ساعات عبدالعزيز'!$M$439=1,N('ساعات عبدالعزيز'!F450),"")</f>
        <v/>
      </c>
      <c r="I102" s="71" t="str">
        <f aca="false">IF('ساعات عبدالعزيز'!$M$439=1,G102-H102,"")</f>
        <v/>
      </c>
      <c r="J102" s="73" t="str">
        <f aca="false">IF('ساعات عبدالعزيز'!$M$439=1,MAX(0,السنة!$D$7+SUMIFS(LG_DEBT,LG_E,"عبدالعزيز",LG_D,"&lt;="&amp;C102)-SUMIFS(LG_REP,LG_E,"عبدالعزيز",LG_D,"&lt;="&amp;C102)-SUM(F66:F102)),"")</f>
        <v/>
      </c>
      <c r="K102" s="71" t="str">
        <f aca="false">IF('ساعات عبدالعزيز'!$M$439=1,N('ساعات عبدالعزيز'!G448),"")</f>
        <v/>
      </c>
      <c r="L102" s="70" t="n">
        <f aca="false">IF(C102="","",MONTH(C102))</f>
        <v>9</v>
      </c>
    </row>
    <row r="103" customFormat="false" ht="15" hidden="false" customHeight="false" outlineLevel="0" collapsed="false">
      <c r="A103" s="70" t="n">
        <f aca="false">IF(38&lt;=NW,38,"")</f>
        <v>38</v>
      </c>
      <c r="B103" s="28" t="n">
        <f aca="false">IF(38&lt;=NW,SAT1+259,"")</f>
        <v>46277</v>
      </c>
      <c r="C103" s="28" t="n">
        <f aca="false">IF(38&lt;=NW,SAT1+265,"")</f>
        <v>46283</v>
      </c>
      <c r="D103" s="71" t="str">
        <f aca="false">IF('ساعات عبدالعزيز'!$M$451=1,N('ساعات عبدالعزيز'!F461),"")</f>
        <v/>
      </c>
      <c r="E103" s="71" t="str">
        <f aca="false">IF('ساعات عبدالعزيز'!$M$451=1,SUMIFS(ADV_AMT,ADV_E,"عبدالعزيز",ADV_W,38),"")</f>
        <v/>
      </c>
      <c r="F103" s="71" t="str">
        <f aca="false">IF('ساعات عبدالعزيز'!$M$451=1,IF(N(D103)=0,0,MAX(0,FLOOR(MIN(IF(SUMPRODUCT(MAX((LG_E="عبدالعزيز")*(LG_INST&lt;&gt;"")*(LG_D&lt;=C103)*LG_IDX))=0,السنة!$E$7,INDEX(LG_INST,SUMPRODUCT(MAX((LG_E="عبدالعزيز")*(LG_INST&lt;&gt;"")*(LG_D&lt;=C103)*LG_IDX)))),السنة!$D$7+SUMIFS(LG_DEBT,LG_E,"عبدالعزيز",LG_D,"&lt;="&amp;C103)-SUMIFS(LG_REP,LG_E,"عبدالعزيز",LG_D,"&lt;="&amp;C103)-SUM(F66:F102),INST_CAP*N(D103),N(D103)-N(E103)-N(K103)-NET_FLOOR*N(D103)),0.25))),"")</f>
        <v/>
      </c>
      <c r="G103" s="72" t="str">
        <f aca="false">IF('ساعات عبدالعزيز'!$M$451=1,IF(38=START_Z,السنة!$C$7,N(I102))+N(D103)-N(E103)-N(F103)-N(K103),"")</f>
        <v/>
      </c>
      <c r="H103" s="71" t="str">
        <f aca="false">IF('ساعات عبدالعزيز'!$M$451=1,N('ساعات عبدالعزيز'!F462),"")</f>
        <v/>
      </c>
      <c r="I103" s="71" t="str">
        <f aca="false">IF('ساعات عبدالعزيز'!$M$451=1,G103-H103,"")</f>
        <v/>
      </c>
      <c r="J103" s="73" t="str">
        <f aca="false">IF('ساعات عبدالعزيز'!$M$451=1,MAX(0,السنة!$D$7+SUMIFS(LG_DEBT,LG_E,"عبدالعزيز",LG_D,"&lt;="&amp;C103)-SUMIFS(LG_REP,LG_E,"عبدالعزيز",LG_D,"&lt;="&amp;C103)-SUM(F66:F103)),"")</f>
        <v/>
      </c>
      <c r="K103" s="71" t="str">
        <f aca="false">IF('ساعات عبدالعزيز'!$M$451=1,N('ساعات عبدالعزيز'!G460),"")</f>
        <v/>
      </c>
      <c r="L103" s="70" t="n">
        <f aca="false">IF(C103="","",MONTH(C103))</f>
        <v>9</v>
      </c>
    </row>
    <row r="104" customFormat="false" ht="15" hidden="false" customHeight="false" outlineLevel="0" collapsed="false">
      <c r="A104" s="70" t="n">
        <f aca="false">IF(39&lt;=NW,39,"")</f>
        <v>39</v>
      </c>
      <c r="B104" s="28" t="n">
        <f aca="false">IF(39&lt;=NW,SAT1+266,"")</f>
        <v>46284</v>
      </c>
      <c r="C104" s="28" t="n">
        <f aca="false">IF(39&lt;=NW,SAT1+272,"")</f>
        <v>46290</v>
      </c>
      <c r="D104" s="71" t="str">
        <f aca="false">IF('ساعات عبدالعزيز'!$M$463=1,N('ساعات عبدالعزيز'!F473),"")</f>
        <v/>
      </c>
      <c r="E104" s="71" t="str">
        <f aca="false">IF('ساعات عبدالعزيز'!$M$463=1,SUMIFS(ADV_AMT,ADV_E,"عبدالعزيز",ADV_W,39),"")</f>
        <v/>
      </c>
      <c r="F104" s="71" t="str">
        <f aca="false">IF('ساعات عبدالعزيز'!$M$463=1,IF(N(D104)=0,0,MAX(0,FLOOR(MIN(IF(SUMPRODUCT(MAX((LG_E="عبدالعزيز")*(LG_INST&lt;&gt;"")*(LG_D&lt;=C104)*LG_IDX))=0,السنة!$E$7,INDEX(LG_INST,SUMPRODUCT(MAX((LG_E="عبدالعزيز")*(LG_INST&lt;&gt;"")*(LG_D&lt;=C104)*LG_IDX)))),السنة!$D$7+SUMIFS(LG_DEBT,LG_E,"عبدالعزيز",LG_D,"&lt;="&amp;C104)-SUMIFS(LG_REP,LG_E,"عبدالعزيز",LG_D,"&lt;="&amp;C104)-SUM(F66:F103),INST_CAP*N(D104),N(D104)-N(E104)-N(K104)-NET_FLOOR*N(D104)),0.25))),"")</f>
        <v/>
      </c>
      <c r="G104" s="72" t="str">
        <f aca="false">IF('ساعات عبدالعزيز'!$M$463=1,IF(39=START_Z,السنة!$C$7,N(I103))+N(D104)-N(E104)-N(F104)-N(K104),"")</f>
        <v/>
      </c>
      <c r="H104" s="71" t="str">
        <f aca="false">IF('ساعات عبدالعزيز'!$M$463=1,N('ساعات عبدالعزيز'!F474),"")</f>
        <v/>
      </c>
      <c r="I104" s="71" t="str">
        <f aca="false">IF('ساعات عبدالعزيز'!$M$463=1,G104-H104,"")</f>
        <v/>
      </c>
      <c r="J104" s="73" t="str">
        <f aca="false">IF('ساعات عبدالعزيز'!$M$463=1,MAX(0,السنة!$D$7+SUMIFS(LG_DEBT,LG_E,"عبدالعزيز",LG_D,"&lt;="&amp;C104)-SUMIFS(LG_REP,LG_E,"عبدالعزيز",LG_D,"&lt;="&amp;C104)-SUM(F66:F104)),"")</f>
        <v/>
      </c>
      <c r="K104" s="71" t="str">
        <f aca="false">IF('ساعات عبدالعزيز'!$M$463=1,N('ساعات عبدالعزيز'!G472),"")</f>
        <v/>
      </c>
      <c r="L104" s="70" t="n">
        <f aca="false">IF(C104="","",MONTH(C104))</f>
        <v>9</v>
      </c>
    </row>
    <row r="105" customFormat="false" ht="15" hidden="false" customHeight="false" outlineLevel="0" collapsed="false">
      <c r="A105" s="70" t="n">
        <f aca="false">IF(40&lt;=NW,40,"")</f>
        <v>40</v>
      </c>
      <c r="B105" s="28" t="n">
        <f aca="false">IF(40&lt;=NW,SAT1+273,"")</f>
        <v>46291</v>
      </c>
      <c r="C105" s="28" t="n">
        <f aca="false">IF(40&lt;=NW,SAT1+279,"")</f>
        <v>46297</v>
      </c>
      <c r="D105" s="71" t="n">
        <f aca="false">IF('ساعات عبدالعزيز'!$M$475=1,N('ساعات عبدالعزيز'!F485),"")</f>
        <v>0</v>
      </c>
      <c r="E105" s="71" t="n">
        <f aca="false">IF('ساعات عبدالعزيز'!$M$475=1,SUMIFS(ADV_AMT,ADV_E,"عبدالعزيز",ADV_W,40),"")</f>
        <v>0</v>
      </c>
      <c r="F105" s="71" t="n">
        <f aca="false">IF('ساعات عبدالعزيز'!$M$475=1,IF(N(D105)=0,0,MAX(0,FLOOR(MIN(IF(SUMPRODUCT(MAX((LG_E="عبدالعزيز")*(LG_INST&lt;&gt;"")*(LG_D&lt;=C105)*LG_IDX))=0,السنة!$E$7,INDEX(LG_INST,SUMPRODUCT(MAX((LG_E="عبدالعزيز")*(LG_INST&lt;&gt;"")*(LG_D&lt;=C105)*LG_IDX)))),السنة!$D$7+SUMIFS(LG_DEBT,LG_E,"عبدالعزيز",LG_D,"&lt;="&amp;C105)-SUMIFS(LG_REP,LG_E,"عبدالعزيز",LG_D,"&lt;="&amp;C105)-SUM(F66:F104),INST_CAP*N(D105),N(D105)-N(E105)-N(K105)-NET_FLOOR*N(D105)),0.25))),"")</f>
        <v>0</v>
      </c>
      <c r="G105" s="72" t="n">
        <f aca="false">IF('ساعات عبدالعزيز'!$M$475=1,IF(40=START_Z,السنة!$C$7,N(I104))+N(D105)-N(E105)-N(F105)-N(K105),"")</f>
        <v>0</v>
      </c>
      <c r="H105" s="71" t="n">
        <f aca="false">IF('ساعات عبدالعزيز'!$M$475=1,N('ساعات عبدالعزيز'!F486),"")</f>
        <v>0</v>
      </c>
      <c r="I105" s="71" t="n">
        <f aca="false">IF('ساعات عبدالعزيز'!$M$475=1,G105-H105,"")</f>
        <v>0</v>
      </c>
      <c r="J105" s="73" t="n">
        <f aca="false">IF('ساعات عبدالعزيز'!$M$475=1,MAX(0,السنة!$D$7+SUMIFS(LG_DEBT,LG_E,"عبدالعزيز",LG_D,"&lt;="&amp;C105)-SUMIFS(LG_REP,LG_E,"عبدالعزيز",LG_D,"&lt;="&amp;C105)-SUM(F66:F105)),"")</f>
        <v>0</v>
      </c>
      <c r="K105" s="71" t="n">
        <f aca="false">IF('ساعات عبدالعزيز'!$M$475=1,N('ساعات عبدالعزيز'!G484),"")</f>
        <v>0</v>
      </c>
      <c r="L105" s="70" t="n">
        <f aca="false">IF(C105="","",MONTH(C105))</f>
        <v>10</v>
      </c>
    </row>
    <row r="106" customFormat="false" ht="15" hidden="false" customHeight="false" outlineLevel="0" collapsed="false">
      <c r="A106" s="70" t="n">
        <f aca="false">IF(41&lt;=NW,41,"")</f>
        <v>41</v>
      </c>
      <c r="B106" s="28" t="n">
        <f aca="false">IF(41&lt;=NW,SAT1+280,"")</f>
        <v>46298</v>
      </c>
      <c r="C106" s="28" t="n">
        <f aca="false">IF(41&lt;=NW,SAT1+286,"")</f>
        <v>46304</v>
      </c>
      <c r="D106" s="71" t="n">
        <f aca="false">IF('ساعات عبدالعزيز'!$M$487=1,N('ساعات عبدالعزيز'!F497),"")</f>
        <v>0</v>
      </c>
      <c r="E106" s="71" t="n">
        <f aca="false">IF('ساعات عبدالعزيز'!$M$487=1,SUMIFS(ADV_AMT,ADV_E,"عبدالعزيز",ADV_W,41),"")</f>
        <v>0</v>
      </c>
      <c r="F106" s="71" t="n">
        <f aca="false">IF('ساعات عبدالعزيز'!$M$487=1,IF(N(D106)=0,0,MAX(0,FLOOR(MIN(IF(SUMPRODUCT(MAX((LG_E="عبدالعزيز")*(LG_INST&lt;&gt;"")*(LG_D&lt;=C106)*LG_IDX))=0,السنة!$E$7,INDEX(LG_INST,SUMPRODUCT(MAX((LG_E="عبدالعزيز")*(LG_INST&lt;&gt;"")*(LG_D&lt;=C106)*LG_IDX)))),السنة!$D$7+SUMIFS(LG_DEBT,LG_E,"عبدالعزيز",LG_D,"&lt;="&amp;C106)-SUMIFS(LG_REP,LG_E,"عبدالعزيز",LG_D,"&lt;="&amp;C106)-SUM(F66:F105),INST_CAP*N(D106),N(D106)-N(E106)-N(K106)-NET_FLOOR*N(D106)),0.25))),"")</f>
        <v>0</v>
      </c>
      <c r="G106" s="72" t="n">
        <f aca="false">IF('ساعات عبدالعزيز'!$M$487=1,IF(41=START_Z,السنة!$C$7,N(I105))+N(D106)-N(E106)-N(F106)-N(K106),"")</f>
        <v>0</v>
      </c>
      <c r="H106" s="71" t="n">
        <f aca="false">IF('ساعات عبدالعزيز'!$M$487=1,N('ساعات عبدالعزيز'!F498),"")</f>
        <v>0</v>
      </c>
      <c r="I106" s="71" t="n">
        <f aca="false">IF('ساعات عبدالعزيز'!$M$487=1,G106-H106,"")</f>
        <v>0</v>
      </c>
      <c r="J106" s="73" t="n">
        <f aca="false">IF('ساعات عبدالعزيز'!$M$487=1,MAX(0,السنة!$D$7+SUMIFS(LG_DEBT,LG_E,"عبدالعزيز",LG_D,"&lt;="&amp;C106)-SUMIFS(LG_REP,LG_E,"عبدالعزيز",LG_D,"&lt;="&amp;C106)-SUM(F66:F106)),"")</f>
        <v>0</v>
      </c>
      <c r="K106" s="71" t="n">
        <f aca="false">IF('ساعات عبدالعزيز'!$M$487=1,N('ساعات عبدالعزيز'!G496),"")</f>
        <v>0</v>
      </c>
      <c r="L106" s="70" t="n">
        <f aca="false">IF(C106="","",MONTH(C106))</f>
        <v>10</v>
      </c>
    </row>
    <row r="107" customFormat="false" ht="15" hidden="false" customHeight="false" outlineLevel="0" collapsed="false">
      <c r="A107" s="70" t="n">
        <f aca="false">IF(42&lt;=NW,42,"")</f>
        <v>42</v>
      </c>
      <c r="B107" s="28" t="n">
        <f aca="false">IF(42&lt;=NW,SAT1+287,"")</f>
        <v>46305</v>
      </c>
      <c r="C107" s="28" t="n">
        <f aca="false">IF(42&lt;=NW,SAT1+293,"")</f>
        <v>46311</v>
      </c>
      <c r="D107" s="71" t="n">
        <f aca="false">IF('ساعات عبدالعزيز'!$M$499=1,N('ساعات عبدالعزيز'!F509),"")</f>
        <v>0</v>
      </c>
      <c r="E107" s="71" t="n">
        <f aca="false">IF('ساعات عبدالعزيز'!$M$499=1,SUMIFS(ADV_AMT,ADV_E,"عبدالعزيز",ADV_W,42),"")</f>
        <v>0</v>
      </c>
      <c r="F107" s="71" t="n">
        <f aca="false">IF('ساعات عبدالعزيز'!$M$499=1,IF(N(D107)=0,0,MAX(0,FLOOR(MIN(IF(SUMPRODUCT(MAX((LG_E="عبدالعزيز")*(LG_INST&lt;&gt;"")*(LG_D&lt;=C107)*LG_IDX))=0,السنة!$E$7,INDEX(LG_INST,SUMPRODUCT(MAX((LG_E="عبدالعزيز")*(LG_INST&lt;&gt;"")*(LG_D&lt;=C107)*LG_IDX)))),السنة!$D$7+SUMIFS(LG_DEBT,LG_E,"عبدالعزيز",LG_D,"&lt;="&amp;C107)-SUMIFS(LG_REP,LG_E,"عبدالعزيز",LG_D,"&lt;="&amp;C107)-SUM(F66:F106),INST_CAP*N(D107),N(D107)-N(E107)-N(K107)-NET_FLOOR*N(D107)),0.25))),"")</f>
        <v>0</v>
      </c>
      <c r="G107" s="72" t="n">
        <f aca="false">IF('ساعات عبدالعزيز'!$M$499=1,IF(42=START_Z,السنة!$C$7,N(I106))+N(D107)-N(E107)-N(F107)-N(K107),"")</f>
        <v>0</v>
      </c>
      <c r="H107" s="71" t="n">
        <f aca="false">IF('ساعات عبدالعزيز'!$M$499=1,N('ساعات عبدالعزيز'!F510),"")</f>
        <v>0</v>
      </c>
      <c r="I107" s="71" t="n">
        <f aca="false">IF('ساعات عبدالعزيز'!$M$499=1,G107-H107,"")</f>
        <v>0</v>
      </c>
      <c r="J107" s="73" t="n">
        <f aca="false">IF('ساعات عبدالعزيز'!$M$499=1,MAX(0,السنة!$D$7+SUMIFS(LG_DEBT,LG_E,"عبدالعزيز",LG_D,"&lt;="&amp;C107)-SUMIFS(LG_REP,LG_E,"عبدالعزيز",LG_D,"&lt;="&amp;C107)-SUM(F66:F107)),"")</f>
        <v>0</v>
      </c>
      <c r="K107" s="71" t="n">
        <f aca="false">IF('ساعات عبدالعزيز'!$M$499=1,N('ساعات عبدالعزيز'!G508),"")</f>
        <v>0</v>
      </c>
      <c r="L107" s="70" t="n">
        <f aca="false">IF(C107="","",MONTH(C107))</f>
        <v>10</v>
      </c>
    </row>
    <row r="108" customFormat="false" ht="15" hidden="false" customHeight="false" outlineLevel="0" collapsed="false">
      <c r="A108" s="70" t="n">
        <f aca="false">IF(43&lt;=NW,43,"")</f>
        <v>43</v>
      </c>
      <c r="B108" s="28" t="n">
        <f aca="false">IF(43&lt;=NW,SAT1+294,"")</f>
        <v>46312</v>
      </c>
      <c r="C108" s="28" t="n">
        <f aca="false">IF(43&lt;=NW,SAT1+300,"")</f>
        <v>46318</v>
      </c>
      <c r="D108" s="71" t="n">
        <f aca="false">IF('ساعات عبدالعزيز'!$M$511=1,N('ساعات عبدالعزيز'!F521),"")</f>
        <v>0</v>
      </c>
      <c r="E108" s="71" t="n">
        <f aca="false">IF('ساعات عبدالعزيز'!$M$511=1,SUMIFS(ADV_AMT,ADV_E,"عبدالعزيز",ADV_W,43),"")</f>
        <v>0</v>
      </c>
      <c r="F108" s="71" t="n">
        <f aca="false">IF('ساعات عبدالعزيز'!$M$511=1,IF(N(D108)=0,0,MAX(0,FLOOR(MIN(IF(SUMPRODUCT(MAX((LG_E="عبدالعزيز")*(LG_INST&lt;&gt;"")*(LG_D&lt;=C108)*LG_IDX))=0,السنة!$E$7,INDEX(LG_INST,SUMPRODUCT(MAX((LG_E="عبدالعزيز")*(LG_INST&lt;&gt;"")*(LG_D&lt;=C108)*LG_IDX)))),السنة!$D$7+SUMIFS(LG_DEBT,LG_E,"عبدالعزيز",LG_D,"&lt;="&amp;C108)-SUMIFS(LG_REP,LG_E,"عبدالعزيز",LG_D,"&lt;="&amp;C108)-SUM(F66:F107),INST_CAP*N(D108),N(D108)-N(E108)-N(K108)-NET_FLOOR*N(D108)),0.25))),"")</f>
        <v>0</v>
      </c>
      <c r="G108" s="72" t="n">
        <f aca="false">IF('ساعات عبدالعزيز'!$M$511=1,IF(43=START_Z,السنة!$C$7,N(I107))+N(D108)-N(E108)-N(F108)-N(K108),"")</f>
        <v>0</v>
      </c>
      <c r="H108" s="71" t="n">
        <f aca="false">IF('ساعات عبدالعزيز'!$M$511=1,N('ساعات عبدالعزيز'!F522),"")</f>
        <v>0</v>
      </c>
      <c r="I108" s="71" t="n">
        <f aca="false">IF('ساعات عبدالعزيز'!$M$511=1,G108-H108,"")</f>
        <v>0</v>
      </c>
      <c r="J108" s="73" t="n">
        <f aca="false">IF('ساعات عبدالعزيز'!$M$511=1,MAX(0,السنة!$D$7+SUMIFS(LG_DEBT,LG_E,"عبدالعزيز",LG_D,"&lt;="&amp;C108)-SUMIFS(LG_REP,LG_E,"عبدالعزيز",LG_D,"&lt;="&amp;C108)-SUM(F66:F108)),"")</f>
        <v>0</v>
      </c>
      <c r="K108" s="71" t="n">
        <f aca="false">IF('ساعات عبدالعزيز'!$M$511=1,N('ساعات عبدالعزيز'!G520),"")</f>
        <v>0</v>
      </c>
      <c r="L108" s="70" t="n">
        <f aca="false">IF(C108="","",MONTH(C108))</f>
        <v>10</v>
      </c>
    </row>
    <row r="109" customFormat="false" ht="15" hidden="false" customHeight="false" outlineLevel="0" collapsed="false">
      <c r="A109" s="70" t="n">
        <f aca="false">IF(44&lt;=NW,44,"")</f>
        <v>44</v>
      </c>
      <c r="B109" s="28" t="n">
        <f aca="false">IF(44&lt;=NW,SAT1+301,"")</f>
        <v>46319</v>
      </c>
      <c r="C109" s="28" t="n">
        <f aca="false">IF(44&lt;=NW,SAT1+307,"")</f>
        <v>46325</v>
      </c>
      <c r="D109" s="71" t="n">
        <f aca="false">IF('ساعات عبدالعزيز'!$M$523=1,N('ساعات عبدالعزيز'!F533),"")</f>
        <v>0</v>
      </c>
      <c r="E109" s="71" t="n">
        <f aca="false">IF('ساعات عبدالعزيز'!$M$523=1,SUMIFS(ADV_AMT,ADV_E,"عبدالعزيز",ADV_W,44),"")</f>
        <v>0</v>
      </c>
      <c r="F109" s="71" t="n">
        <f aca="false">IF('ساعات عبدالعزيز'!$M$523=1,IF(N(D109)=0,0,MAX(0,FLOOR(MIN(IF(SUMPRODUCT(MAX((LG_E="عبدالعزيز")*(LG_INST&lt;&gt;"")*(LG_D&lt;=C109)*LG_IDX))=0,السنة!$E$7,INDEX(LG_INST,SUMPRODUCT(MAX((LG_E="عبدالعزيز")*(LG_INST&lt;&gt;"")*(LG_D&lt;=C109)*LG_IDX)))),السنة!$D$7+SUMIFS(LG_DEBT,LG_E,"عبدالعزيز",LG_D,"&lt;="&amp;C109)-SUMIFS(LG_REP,LG_E,"عبدالعزيز",LG_D,"&lt;="&amp;C109)-SUM(F66:F108),INST_CAP*N(D109),N(D109)-N(E109)-N(K109)-NET_FLOOR*N(D109)),0.25))),"")</f>
        <v>0</v>
      </c>
      <c r="G109" s="72" t="n">
        <f aca="false">IF('ساعات عبدالعزيز'!$M$523=1,IF(44=START_Z,السنة!$C$7,N(I108))+N(D109)-N(E109)-N(F109)-N(K109),"")</f>
        <v>0</v>
      </c>
      <c r="H109" s="71" t="n">
        <f aca="false">IF('ساعات عبدالعزيز'!$M$523=1,N('ساعات عبدالعزيز'!F534),"")</f>
        <v>0</v>
      </c>
      <c r="I109" s="71" t="n">
        <f aca="false">IF('ساعات عبدالعزيز'!$M$523=1,G109-H109,"")</f>
        <v>0</v>
      </c>
      <c r="J109" s="73" t="n">
        <f aca="false">IF('ساعات عبدالعزيز'!$M$523=1,MAX(0,السنة!$D$7+SUMIFS(LG_DEBT,LG_E,"عبدالعزيز",LG_D,"&lt;="&amp;C109)-SUMIFS(LG_REP,LG_E,"عبدالعزيز",LG_D,"&lt;="&amp;C109)-SUM(F66:F109)),"")</f>
        <v>0</v>
      </c>
      <c r="K109" s="71" t="n">
        <f aca="false">IF('ساعات عبدالعزيز'!$M$523=1,N('ساعات عبدالعزيز'!G532),"")</f>
        <v>0</v>
      </c>
      <c r="L109" s="70" t="n">
        <f aca="false">IF(C109="","",MONTH(C109))</f>
        <v>10</v>
      </c>
    </row>
    <row r="110" customFormat="false" ht="15" hidden="false" customHeight="false" outlineLevel="0" collapsed="false">
      <c r="A110" s="70" t="n">
        <f aca="false">IF(45&lt;=NW,45,"")</f>
        <v>45</v>
      </c>
      <c r="B110" s="28" t="n">
        <f aca="false">IF(45&lt;=NW,SAT1+308,"")</f>
        <v>46326</v>
      </c>
      <c r="C110" s="28" t="n">
        <f aca="false">IF(45&lt;=NW,SAT1+314,"")</f>
        <v>46332</v>
      </c>
      <c r="D110" s="71" t="n">
        <f aca="false">IF('ساعات عبدالعزيز'!$M$535=1,N('ساعات عبدالعزيز'!F545),"")</f>
        <v>0</v>
      </c>
      <c r="E110" s="71" t="n">
        <f aca="false">IF('ساعات عبدالعزيز'!$M$535=1,SUMIFS(ADV_AMT,ADV_E,"عبدالعزيز",ADV_W,45),"")</f>
        <v>0</v>
      </c>
      <c r="F110" s="71" t="n">
        <f aca="false">IF('ساعات عبدالعزيز'!$M$535=1,IF(N(D110)=0,0,MAX(0,FLOOR(MIN(IF(SUMPRODUCT(MAX((LG_E="عبدالعزيز")*(LG_INST&lt;&gt;"")*(LG_D&lt;=C110)*LG_IDX))=0,السنة!$E$7,INDEX(LG_INST,SUMPRODUCT(MAX((LG_E="عبدالعزيز")*(LG_INST&lt;&gt;"")*(LG_D&lt;=C110)*LG_IDX)))),السنة!$D$7+SUMIFS(LG_DEBT,LG_E,"عبدالعزيز",LG_D,"&lt;="&amp;C110)-SUMIFS(LG_REP,LG_E,"عبدالعزيز",LG_D,"&lt;="&amp;C110)-SUM(F66:F109),INST_CAP*N(D110),N(D110)-N(E110)-N(K110)-NET_FLOOR*N(D110)),0.25))),"")</f>
        <v>0</v>
      </c>
      <c r="G110" s="72" t="n">
        <f aca="false">IF('ساعات عبدالعزيز'!$M$535=1,IF(45=START_Z,السنة!$C$7,N(I109))+N(D110)-N(E110)-N(F110)-N(K110),"")</f>
        <v>0</v>
      </c>
      <c r="H110" s="71" t="n">
        <f aca="false">IF('ساعات عبدالعزيز'!$M$535=1,N('ساعات عبدالعزيز'!F546),"")</f>
        <v>0</v>
      </c>
      <c r="I110" s="71" t="n">
        <f aca="false">IF('ساعات عبدالعزيز'!$M$535=1,G110-H110,"")</f>
        <v>0</v>
      </c>
      <c r="J110" s="73" t="n">
        <f aca="false">IF('ساعات عبدالعزيز'!$M$535=1,MAX(0,السنة!$D$7+SUMIFS(LG_DEBT,LG_E,"عبدالعزيز",LG_D,"&lt;="&amp;C110)-SUMIFS(LG_REP,LG_E,"عبدالعزيز",LG_D,"&lt;="&amp;C110)-SUM(F66:F110)),"")</f>
        <v>0</v>
      </c>
      <c r="K110" s="71" t="n">
        <f aca="false">IF('ساعات عبدالعزيز'!$M$535=1,N('ساعات عبدالعزيز'!G544),"")</f>
        <v>0</v>
      </c>
      <c r="L110" s="70" t="n">
        <f aca="false">IF(C110="","",MONTH(C110))</f>
        <v>11</v>
      </c>
    </row>
    <row r="111" customFormat="false" ht="15" hidden="false" customHeight="false" outlineLevel="0" collapsed="false">
      <c r="A111" s="70" t="n">
        <f aca="false">IF(46&lt;=NW,46,"")</f>
        <v>46</v>
      </c>
      <c r="B111" s="28" t="n">
        <f aca="false">IF(46&lt;=NW,SAT1+315,"")</f>
        <v>46333</v>
      </c>
      <c r="C111" s="28" t="n">
        <f aca="false">IF(46&lt;=NW,SAT1+321,"")</f>
        <v>46339</v>
      </c>
      <c r="D111" s="71" t="n">
        <f aca="false">IF('ساعات عبدالعزيز'!$M$547=1,N('ساعات عبدالعزيز'!F557),"")</f>
        <v>0</v>
      </c>
      <c r="E111" s="71" t="n">
        <f aca="false">IF('ساعات عبدالعزيز'!$M$547=1,SUMIFS(ADV_AMT,ADV_E,"عبدالعزيز",ADV_W,46),"")</f>
        <v>0</v>
      </c>
      <c r="F111" s="71" t="n">
        <f aca="false">IF('ساعات عبدالعزيز'!$M$547=1,IF(N(D111)=0,0,MAX(0,FLOOR(MIN(IF(SUMPRODUCT(MAX((LG_E="عبدالعزيز")*(LG_INST&lt;&gt;"")*(LG_D&lt;=C111)*LG_IDX))=0,السنة!$E$7,INDEX(LG_INST,SUMPRODUCT(MAX((LG_E="عبدالعزيز")*(LG_INST&lt;&gt;"")*(LG_D&lt;=C111)*LG_IDX)))),السنة!$D$7+SUMIFS(LG_DEBT,LG_E,"عبدالعزيز",LG_D,"&lt;="&amp;C111)-SUMIFS(LG_REP,LG_E,"عبدالعزيز",LG_D,"&lt;="&amp;C111)-SUM(F66:F110),INST_CAP*N(D111),N(D111)-N(E111)-N(K111)-NET_FLOOR*N(D111)),0.25))),"")</f>
        <v>0</v>
      </c>
      <c r="G111" s="72" t="n">
        <f aca="false">IF('ساعات عبدالعزيز'!$M$547=1,IF(46=START_Z,السنة!$C$7,N(I110))+N(D111)-N(E111)-N(F111)-N(K111),"")</f>
        <v>0</v>
      </c>
      <c r="H111" s="71" t="n">
        <f aca="false">IF('ساعات عبدالعزيز'!$M$547=1,N('ساعات عبدالعزيز'!F558),"")</f>
        <v>0</v>
      </c>
      <c r="I111" s="71" t="n">
        <f aca="false">IF('ساعات عبدالعزيز'!$M$547=1,G111-H111,"")</f>
        <v>0</v>
      </c>
      <c r="J111" s="73" t="n">
        <f aca="false">IF('ساعات عبدالعزيز'!$M$547=1,MAX(0,السنة!$D$7+SUMIFS(LG_DEBT,LG_E,"عبدالعزيز",LG_D,"&lt;="&amp;C111)-SUMIFS(LG_REP,LG_E,"عبدالعزيز",LG_D,"&lt;="&amp;C111)-SUM(F66:F111)),"")</f>
        <v>0</v>
      </c>
      <c r="K111" s="71" t="n">
        <f aca="false">IF('ساعات عبدالعزيز'!$M$547=1,N('ساعات عبدالعزيز'!G556),"")</f>
        <v>0</v>
      </c>
      <c r="L111" s="70" t="n">
        <f aca="false">IF(C111="","",MONTH(C111))</f>
        <v>11</v>
      </c>
    </row>
    <row r="112" customFormat="false" ht="15" hidden="false" customHeight="false" outlineLevel="0" collapsed="false">
      <c r="A112" s="70" t="n">
        <f aca="false">IF(47&lt;=NW,47,"")</f>
        <v>47</v>
      </c>
      <c r="B112" s="28" t="n">
        <f aca="false">IF(47&lt;=NW,SAT1+322,"")</f>
        <v>46340</v>
      </c>
      <c r="C112" s="28" t="n">
        <f aca="false">IF(47&lt;=NW,SAT1+328,"")</f>
        <v>46346</v>
      </c>
      <c r="D112" s="71" t="n">
        <f aca="false">IF('ساعات عبدالعزيز'!$M$559=1,N('ساعات عبدالعزيز'!F569),"")</f>
        <v>0</v>
      </c>
      <c r="E112" s="71" t="n">
        <f aca="false">IF('ساعات عبدالعزيز'!$M$559=1,SUMIFS(ADV_AMT,ADV_E,"عبدالعزيز",ADV_W,47),"")</f>
        <v>0</v>
      </c>
      <c r="F112" s="71" t="n">
        <f aca="false">IF('ساعات عبدالعزيز'!$M$559=1,IF(N(D112)=0,0,MAX(0,FLOOR(MIN(IF(SUMPRODUCT(MAX((LG_E="عبدالعزيز")*(LG_INST&lt;&gt;"")*(LG_D&lt;=C112)*LG_IDX))=0,السنة!$E$7,INDEX(LG_INST,SUMPRODUCT(MAX((LG_E="عبدالعزيز")*(LG_INST&lt;&gt;"")*(LG_D&lt;=C112)*LG_IDX)))),السنة!$D$7+SUMIFS(LG_DEBT,LG_E,"عبدالعزيز",LG_D,"&lt;="&amp;C112)-SUMIFS(LG_REP,LG_E,"عبدالعزيز",LG_D,"&lt;="&amp;C112)-SUM(F66:F111),INST_CAP*N(D112),N(D112)-N(E112)-N(K112)-NET_FLOOR*N(D112)),0.25))),"")</f>
        <v>0</v>
      </c>
      <c r="G112" s="72" t="n">
        <f aca="false">IF('ساعات عبدالعزيز'!$M$559=1,IF(47=START_Z,السنة!$C$7,N(I111))+N(D112)-N(E112)-N(F112)-N(K112),"")</f>
        <v>0</v>
      </c>
      <c r="H112" s="71" t="n">
        <f aca="false">IF('ساعات عبدالعزيز'!$M$559=1,N('ساعات عبدالعزيز'!F570),"")</f>
        <v>0</v>
      </c>
      <c r="I112" s="71" t="n">
        <f aca="false">IF('ساعات عبدالعزيز'!$M$559=1,G112-H112,"")</f>
        <v>0</v>
      </c>
      <c r="J112" s="73" t="n">
        <f aca="false">IF('ساعات عبدالعزيز'!$M$559=1,MAX(0,السنة!$D$7+SUMIFS(LG_DEBT,LG_E,"عبدالعزيز",LG_D,"&lt;="&amp;C112)-SUMIFS(LG_REP,LG_E,"عبدالعزيز",LG_D,"&lt;="&amp;C112)-SUM(F66:F112)),"")</f>
        <v>0</v>
      </c>
      <c r="K112" s="71" t="n">
        <f aca="false">IF('ساعات عبدالعزيز'!$M$559=1,N('ساعات عبدالعزيز'!G568),"")</f>
        <v>0</v>
      </c>
      <c r="L112" s="70" t="n">
        <f aca="false">IF(C112="","",MONTH(C112))</f>
        <v>11</v>
      </c>
    </row>
    <row r="113" customFormat="false" ht="15" hidden="false" customHeight="false" outlineLevel="0" collapsed="false">
      <c r="A113" s="70" t="n">
        <f aca="false">IF(48&lt;=NW,48,"")</f>
        <v>48</v>
      </c>
      <c r="B113" s="28" t="n">
        <f aca="false">IF(48&lt;=NW,SAT1+329,"")</f>
        <v>46347</v>
      </c>
      <c r="C113" s="28" t="n">
        <f aca="false">IF(48&lt;=NW,SAT1+335,"")</f>
        <v>46353</v>
      </c>
      <c r="D113" s="71" t="n">
        <f aca="false">IF('ساعات عبدالعزيز'!$M$571=1,N('ساعات عبدالعزيز'!F581),"")</f>
        <v>0</v>
      </c>
      <c r="E113" s="71" t="n">
        <f aca="false">IF('ساعات عبدالعزيز'!$M$571=1,SUMIFS(ADV_AMT,ADV_E,"عبدالعزيز",ADV_W,48),"")</f>
        <v>0</v>
      </c>
      <c r="F113" s="71" t="n">
        <f aca="false">IF('ساعات عبدالعزيز'!$M$571=1,IF(N(D113)=0,0,MAX(0,FLOOR(MIN(IF(SUMPRODUCT(MAX((LG_E="عبدالعزيز")*(LG_INST&lt;&gt;"")*(LG_D&lt;=C113)*LG_IDX))=0,السنة!$E$7,INDEX(LG_INST,SUMPRODUCT(MAX((LG_E="عبدالعزيز")*(LG_INST&lt;&gt;"")*(LG_D&lt;=C113)*LG_IDX)))),السنة!$D$7+SUMIFS(LG_DEBT,LG_E,"عبدالعزيز",LG_D,"&lt;="&amp;C113)-SUMIFS(LG_REP,LG_E,"عبدالعزيز",LG_D,"&lt;="&amp;C113)-SUM(F66:F112),INST_CAP*N(D113),N(D113)-N(E113)-N(K113)-NET_FLOOR*N(D113)),0.25))),"")</f>
        <v>0</v>
      </c>
      <c r="G113" s="72" t="n">
        <f aca="false">IF('ساعات عبدالعزيز'!$M$571=1,IF(48=START_Z,السنة!$C$7,N(I112))+N(D113)-N(E113)-N(F113)-N(K113),"")</f>
        <v>0</v>
      </c>
      <c r="H113" s="71" t="n">
        <f aca="false">IF('ساعات عبدالعزيز'!$M$571=1,N('ساعات عبدالعزيز'!F582),"")</f>
        <v>0</v>
      </c>
      <c r="I113" s="71" t="n">
        <f aca="false">IF('ساعات عبدالعزيز'!$M$571=1,G113-H113,"")</f>
        <v>0</v>
      </c>
      <c r="J113" s="73" t="n">
        <f aca="false">IF('ساعات عبدالعزيز'!$M$571=1,MAX(0,السنة!$D$7+SUMIFS(LG_DEBT,LG_E,"عبدالعزيز",LG_D,"&lt;="&amp;C113)-SUMIFS(LG_REP,LG_E,"عبدالعزيز",LG_D,"&lt;="&amp;C113)-SUM(F66:F113)),"")</f>
        <v>0</v>
      </c>
      <c r="K113" s="71" t="n">
        <f aca="false">IF('ساعات عبدالعزيز'!$M$571=1,N('ساعات عبدالعزيز'!G580),"")</f>
        <v>0</v>
      </c>
      <c r="L113" s="70" t="n">
        <f aca="false">IF(C113="","",MONTH(C113))</f>
        <v>11</v>
      </c>
    </row>
    <row r="114" customFormat="false" ht="15" hidden="false" customHeight="false" outlineLevel="0" collapsed="false">
      <c r="A114" s="70" t="n">
        <f aca="false">IF(49&lt;=NW,49,"")</f>
        <v>49</v>
      </c>
      <c r="B114" s="28" t="n">
        <f aca="false">IF(49&lt;=NW,SAT1+336,"")</f>
        <v>46354</v>
      </c>
      <c r="C114" s="28" t="n">
        <f aca="false">IF(49&lt;=NW,SAT1+342,"")</f>
        <v>46360</v>
      </c>
      <c r="D114" s="71" t="n">
        <f aca="false">IF('ساعات عبدالعزيز'!$M$583=1,N('ساعات عبدالعزيز'!F593),"")</f>
        <v>0</v>
      </c>
      <c r="E114" s="71" t="n">
        <f aca="false">IF('ساعات عبدالعزيز'!$M$583=1,SUMIFS(ADV_AMT,ADV_E,"عبدالعزيز",ADV_W,49),"")</f>
        <v>0</v>
      </c>
      <c r="F114" s="71" t="n">
        <f aca="false">IF('ساعات عبدالعزيز'!$M$583=1,IF(N(D114)=0,0,MAX(0,FLOOR(MIN(IF(SUMPRODUCT(MAX((LG_E="عبدالعزيز")*(LG_INST&lt;&gt;"")*(LG_D&lt;=C114)*LG_IDX))=0,السنة!$E$7,INDEX(LG_INST,SUMPRODUCT(MAX((LG_E="عبدالعزيز")*(LG_INST&lt;&gt;"")*(LG_D&lt;=C114)*LG_IDX)))),السنة!$D$7+SUMIFS(LG_DEBT,LG_E,"عبدالعزيز",LG_D,"&lt;="&amp;C114)-SUMIFS(LG_REP,LG_E,"عبدالعزيز",LG_D,"&lt;="&amp;C114)-SUM(F66:F113),INST_CAP*N(D114),N(D114)-N(E114)-N(K114)-NET_FLOOR*N(D114)),0.25))),"")</f>
        <v>0</v>
      </c>
      <c r="G114" s="72" t="n">
        <f aca="false">IF('ساعات عبدالعزيز'!$M$583=1,IF(49=START_Z,السنة!$C$7,N(I113))+N(D114)-N(E114)-N(F114)-N(K114),"")</f>
        <v>0</v>
      </c>
      <c r="H114" s="71" t="n">
        <f aca="false">IF('ساعات عبدالعزيز'!$M$583=1,N('ساعات عبدالعزيز'!F594),"")</f>
        <v>0</v>
      </c>
      <c r="I114" s="71" t="n">
        <f aca="false">IF('ساعات عبدالعزيز'!$M$583=1,G114-H114,"")</f>
        <v>0</v>
      </c>
      <c r="J114" s="73" t="n">
        <f aca="false">IF('ساعات عبدالعزيز'!$M$583=1,MAX(0,السنة!$D$7+SUMIFS(LG_DEBT,LG_E,"عبدالعزيز",LG_D,"&lt;="&amp;C114)-SUMIFS(LG_REP,LG_E,"عبدالعزيز",LG_D,"&lt;="&amp;C114)-SUM(F66:F114)),"")</f>
        <v>0</v>
      </c>
      <c r="K114" s="71" t="n">
        <f aca="false">IF('ساعات عبدالعزيز'!$M$583=1,N('ساعات عبدالعزيز'!G592),"")</f>
        <v>0</v>
      </c>
      <c r="L114" s="70" t="n">
        <f aca="false">IF(C114="","",MONTH(C114))</f>
        <v>12</v>
      </c>
    </row>
    <row r="115" customFormat="false" ht="15" hidden="false" customHeight="false" outlineLevel="0" collapsed="false">
      <c r="A115" s="70" t="n">
        <f aca="false">IF(50&lt;=NW,50,"")</f>
        <v>50</v>
      </c>
      <c r="B115" s="28" t="n">
        <f aca="false">IF(50&lt;=NW,SAT1+343,"")</f>
        <v>46361</v>
      </c>
      <c r="C115" s="28" t="n">
        <f aca="false">IF(50&lt;=NW,SAT1+349,"")</f>
        <v>46367</v>
      </c>
      <c r="D115" s="71" t="n">
        <f aca="false">IF('ساعات عبدالعزيز'!$M$595=1,N('ساعات عبدالعزيز'!F605),"")</f>
        <v>0</v>
      </c>
      <c r="E115" s="71" t="n">
        <f aca="false">IF('ساعات عبدالعزيز'!$M$595=1,SUMIFS(ADV_AMT,ADV_E,"عبدالعزيز",ADV_W,50),"")</f>
        <v>0</v>
      </c>
      <c r="F115" s="71" t="n">
        <f aca="false">IF('ساعات عبدالعزيز'!$M$595=1,IF(N(D115)=0,0,MAX(0,FLOOR(MIN(IF(SUMPRODUCT(MAX((LG_E="عبدالعزيز")*(LG_INST&lt;&gt;"")*(LG_D&lt;=C115)*LG_IDX))=0,السنة!$E$7,INDEX(LG_INST,SUMPRODUCT(MAX((LG_E="عبدالعزيز")*(LG_INST&lt;&gt;"")*(LG_D&lt;=C115)*LG_IDX)))),السنة!$D$7+SUMIFS(LG_DEBT,LG_E,"عبدالعزيز",LG_D,"&lt;="&amp;C115)-SUMIFS(LG_REP,LG_E,"عبدالعزيز",LG_D,"&lt;="&amp;C115)-SUM(F66:F114),INST_CAP*N(D115),N(D115)-N(E115)-N(K115)-NET_FLOOR*N(D115)),0.25))),"")</f>
        <v>0</v>
      </c>
      <c r="G115" s="72" t="n">
        <f aca="false">IF('ساعات عبدالعزيز'!$M$595=1,IF(50=START_Z,السنة!$C$7,N(I114))+N(D115)-N(E115)-N(F115)-N(K115),"")</f>
        <v>0</v>
      </c>
      <c r="H115" s="71" t="n">
        <f aca="false">IF('ساعات عبدالعزيز'!$M$595=1,N('ساعات عبدالعزيز'!F606),"")</f>
        <v>0</v>
      </c>
      <c r="I115" s="71" t="n">
        <f aca="false">IF('ساعات عبدالعزيز'!$M$595=1,G115-H115,"")</f>
        <v>0</v>
      </c>
      <c r="J115" s="73" t="n">
        <f aca="false">IF('ساعات عبدالعزيز'!$M$595=1,MAX(0,السنة!$D$7+SUMIFS(LG_DEBT,LG_E,"عبدالعزيز",LG_D,"&lt;="&amp;C115)-SUMIFS(LG_REP,LG_E,"عبدالعزيز",LG_D,"&lt;="&amp;C115)-SUM(F66:F115)),"")</f>
        <v>0</v>
      </c>
      <c r="K115" s="71" t="n">
        <f aca="false">IF('ساعات عبدالعزيز'!$M$595=1,N('ساعات عبدالعزيز'!G604),"")</f>
        <v>0</v>
      </c>
      <c r="L115" s="70" t="n">
        <f aca="false">IF(C115="","",MONTH(C115))</f>
        <v>12</v>
      </c>
    </row>
    <row r="116" customFormat="false" ht="15" hidden="false" customHeight="false" outlineLevel="0" collapsed="false">
      <c r="A116" s="70" t="n">
        <f aca="false">IF(51&lt;=NW,51,"")</f>
        <v>51</v>
      </c>
      <c r="B116" s="28" t="n">
        <f aca="false">IF(51&lt;=NW,SAT1+350,"")</f>
        <v>46368</v>
      </c>
      <c r="C116" s="28" t="n">
        <f aca="false">IF(51&lt;=NW,SAT1+356,"")</f>
        <v>46374</v>
      </c>
      <c r="D116" s="71" t="n">
        <f aca="false">IF('ساعات عبدالعزيز'!$M$607=1,N('ساعات عبدالعزيز'!F617),"")</f>
        <v>0</v>
      </c>
      <c r="E116" s="71" t="n">
        <f aca="false">IF('ساعات عبدالعزيز'!$M$607=1,SUMIFS(ADV_AMT,ADV_E,"عبدالعزيز",ADV_W,51),"")</f>
        <v>0</v>
      </c>
      <c r="F116" s="71" t="n">
        <f aca="false">IF('ساعات عبدالعزيز'!$M$607=1,IF(N(D116)=0,0,MAX(0,FLOOR(MIN(IF(SUMPRODUCT(MAX((LG_E="عبدالعزيز")*(LG_INST&lt;&gt;"")*(LG_D&lt;=C116)*LG_IDX))=0,السنة!$E$7,INDEX(LG_INST,SUMPRODUCT(MAX((LG_E="عبدالعزيز")*(LG_INST&lt;&gt;"")*(LG_D&lt;=C116)*LG_IDX)))),السنة!$D$7+SUMIFS(LG_DEBT,LG_E,"عبدالعزيز",LG_D,"&lt;="&amp;C116)-SUMIFS(LG_REP,LG_E,"عبدالعزيز",LG_D,"&lt;="&amp;C116)-SUM(F66:F115),INST_CAP*N(D116),N(D116)-N(E116)-N(K116)-NET_FLOOR*N(D116)),0.25))),"")</f>
        <v>0</v>
      </c>
      <c r="G116" s="72" t="n">
        <f aca="false">IF('ساعات عبدالعزيز'!$M$607=1,IF(51=START_Z,السنة!$C$7,N(I115))+N(D116)-N(E116)-N(F116)-N(K116),"")</f>
        <v>0</v>
      </c>
      <c r="H116" s="71" t="n">
        <f aca="false">IF('ساعات عبدالعزيز'!$M$607=1,N('ساعات عبدالعزيز'!F618),"")</f>
        <v>0</v>
      </c>
      <c r="I116" s="71" t="n">
        <f aca="false">IF('ساعات عبدالعزيز'!$M$607=1,G116-H116,"")</f>
        <v>0</v>
      </c>
      <c r="J116" s="73" t="n">
        <f aca="false">IF('ساعات عبدالعزيز'!$M$607=1,MAX(0,السنة!$D$7+SUMIFS(LG_DEBT,LG_E,"عبدالعزيز",LG_D,"&lt;="&amp;C116)-SUMIFS(LG_REP,LG_E,"عبدالعزيز",LG_D,"&lt;="&amp;C116)-SUM(F66:F116)),"")</f>
        <v>0</v>
      </c>
      <c r="K116" s="71" t="n">
        <f aca="false">IF('ساعات عبدالعزيز'!$M$607=1,N('ساعات عبدالعزيز'!G616),"")</f>
        <v>0</v>
      </c>
      <c r="L116" s="70" t="n">
        <f aca="false">IF(C116="","",MONTH(C116))</f>
        <v>12</v>
      </c>
    </row>
    <row r="117" customFormat="false" ht="15" hidden="false" customHeight="false" outlineLevel="0" collapsed="false">
      <c r="A117" s="70" t="n">
        <f aca="false">IF(52&lt;=NW,52,"")</f>
        <v>52</v>
      </c>
      <c r="B117" s="28" t="n">
        <f aca="false">IF(52&lt;=NW,SAT1+357,"")</f>
        <v>46375</v>
      </c>
      <c r="C117" s="28" t="n">
        <f aca="false">IF(52&lt;=NW,SAT1+363,"")</f>
        <v>46381</v>
      </c>
      <c r="D117" s="71" t="n">
        <f aca="false">IF('ساعات عبدالعزيز'!$M$619=1,N('ساعات عبدالعزيز'!F629),"")</f>
        <v>0</v>
      </c>
      <c r="E117" s="71" t="n">
        <f aca="false">IF('ساعات عبدالعزيز'!$M$619=1,SUMIFS(ADV_AMT,ADV_E,"عبدالعزيز",ADV_W,52),"")</f>
        <v>0</v>
      </c>
      <c r="F117" s="71" t="n">
        <f aca="false">IF('ساعات عبدالعزيز'!$M$619=1,IF(N(D117)=0,0,MAX(0,FLOOR(MIN(IF(SUMPRODUCT(MAX((LG_E="عبدالعزيز")*(LG_INST&lt;&gt;"")*(LG_D&lt;=C117)*LG_IDX))=0,السنة!$E$7,INDEX(LG_INST,SUMPRODUCT(MAX((LG_E="عبدالعزيز")*(LG_INST&lt;&gt;"")*(LG_D&lt;=C117)*LG_IDX)))),السنة!$D$7+SUMIFS(LG_DEBT,LG_E,"عبدالعزيز",LG_D,"&lt;="&amp;C117)-SUMIFS(LG_REP,LG_E,"عبدالعزيز",LG_D,"&lt;="&amp;C117)-SUM(F66:F116),INST_CAP*N(D117),N(D117)-N(E117)-N(K117)-NET_FLOOR*N(D117)),0.25))),"")</f>
        <v>0</v>
      </c>
      <c r="G117" s="72" t="n">
        <f aca="false">IF('ساعات عبدالعزيز'!$M$619=1,IF(52=START_Z,السنة!$C$7,N(I116))+N(D117)-N(E117)-N(F117)-N(K117),"")</f>
        <v>0</v>
      </c>
      <c r="H117" s="71" t="n">
        <f aca="false">IF('ساعات عبدالعزيز'!$M$619=1,N('ساعات عبدالعزيز'!F630),"")</f>
        <v>0</v>
      </c>
      <c r="I117" s="71" t="n">
        <f aca="false">IF('ساعات عبدالعزيز'!$M$619=1,G117-H117,"")</f>
        <v>0</v>
      </c>
      <c r="J117" s="73" t="n">
        <f aca="false">IF('ساعات عبدالعزيز'!$M$619=1,MAX(0,السنة!$D$7+SUMIFS(LG_DEBT,LG_E,"عبدالعزيز",LG_D,"&lt;="&amp;C117)-SUMIFS(LG_REP,LG_E,"عبدالعزيز",LG_D,"&lt;="&amp;C117)-SUM(F66:F117)),"")</f>
        <v>0</v>
      </c>
      <c r="K117" s="71" t="n">
        <f aca="false">IF('ساعات عبدالعزيز'!$M$619=1,N('ساعات عبدالعزيز'!G628),"")</f>
        <v>0</v>
      </c>
      <c r="L117" s="70" t="n">
        <f aca="false">IF(C117="","",MONTH(C117))</f>
        <v>12</v>
      </c>
    </row>
    <row r="118" customFormat="false" ht="15" hidden="false" customHeight="false" outlineLevel="0" collapsed="false">
      <c r="A118" s="70" t="str">
        <f aca="false">IF(53&lt;=NW,53,"")</f>
        <v/>
      </c>
      <c r="B118" s="28" t="str">
        <f aca="false">IF(53&lt;=NW,SAT1+364,"")</f>
        <v/>
      </c>
      <c r="C118" s="28" t="str">
        <f aca="false">IF(53&lt;=NW,SAT1+370,"")</f>
        <v/>
      </c>
      <c r="D118" s="71" t="str">
        <f aca="false">IF('ساعات عبدالعزيز'!$M$631=1,N('ساعات عبدالعزيز'!F641),"")</f>
        <v/>
      </c>
      <c r="E118" s="71" t="str">
        <f aca="false">IF('ساعات عبدالعزيز'!$M$631=1,SUMIFS(ADV_AMT,ADV_E,"عبدالعزيز",ADV_W,53),"")</f>
        <v/>
      </c>
      <c r="F118" s="71" t="str">
        <f aca="false">IF('ساعات عبدالعزيز'!$M$631=1,IF(N(D118)=0,0,MAX(0,FLOOR(MIN(IF(SUMPRODUCT(MAX((LG_E="عبدالعزيز")*(LG_INST&lt;&gt;"")*(LG_D&lt;=C118)*LG_IDX))=0,السنة!$E$7,INDEX(LG_INST,SUMPRODUCT(MAX((LG_E="عبدالعزيز")*(LG_INST&lt;&gt;"")*(LG_D&lt;=C118)*LG_IDX)))),السنة!$D$7+SUMIFS(LG_DEBT,LG_E,"عبدالعزيز",LG_D,"&lt;="&amp;C118)-SUMIFS(LG_REP,LG_E,"عبدالعزيز",LG_D,"&lt;="&amp;C118)-SUM(F66:F117),INST_CAP*N(D118),N(D118)-N(E118)-N(K118)-NET_FLOOR*N(D118)),0.25))),"")</f>
        <v/>
      </c>
      <c r="G118" s="72" t="str">
        <f aca="false">IF('ساعات عبدالعزيز'!$M$631=1,IF(53=START_Z,السنة!$C$7,N(I117))+N(D118)-N(E118)-N(F118)-N(K118),"")</f>
        <v/>
      </c>
      <c r="H118" s="71" t="str">
        <f aca="false">IF('ساعات عبدالعزيز'!$M$631=1,N('ساعات عبدالعزيز'!F642),"")</f>
        <v/>
      </c>
      <c r="I118" s="71" t="str">
        <f aca="false">IF('ساعات عبدالعزيز'!$M$631=1,G118-H118,"")</f>
        <v/>
      </c>
      <c r="J118" s="73" t="str">
        <f aca="false">IF('ساعات عبدالعزيز'!$M$631=1,MAX(0,السنة!$D$7+SUMIFS(LG_DEBT,LG_E,"عبدالعزيز",LG_D,"&lt;="&amp;C118)-SUMIFS(LG_REP,LG_E,"عبدالعزيز",LG_D,"&lt;="&amp;C118)-SUM(F66:F118)),"")</f>
        <v/>
      </c>
      <c r="K118" s="71" t="str">
        <f aca="false">IF('ساعات عبدالعزيز'!$M$631=1,N('ساعات عبدالعزيز'!G640),"")</f>
        <v/>
      </c>
      <c r="L118" s="70" t="str">
        <f aca="false">IF(C118="","",MONTH(C118))</f>
        <v/>
      </c>
    </row>
    <row r="119" customFormat="false" ht="15" hidden="false" customHeight="true" outlineLevel="0" collapsed="false">
      <c r="A119" s="75" t="s">
        <v>61</v>
      </c>
      <c r="B119" s="75"/>
      <c r="C119" s="75"/>
      <c r="D119" s="75" t="n">
        <f aca="false">SUM(D66:D118)</f>
        <v>0</v>
      </c>
      <c r="E119" s="75" t="n">
        <f aca="false">SUM(E66:E118)</f>
        <v>0</v>
      </c>
      <c r="F119" s="75" t="n">
        <f aca="false">SUM(F66:F118)</f>
        <v>0</v>
      </c>
      <c r="G119" s="75" t="n">
        <f aca="false">SUM(G66:G118)</f>
        <v>0</v>
      </c>
      <c r="H119" s="75" t="n">
        <f aca="false">SUM(H66:H118)</f>
        <v>0</v>
      </c>
      <c r="I119" s="75"/>
      <c r="J119" s="75"/>
      <c r="K119" s="75" t="n">
        <f aca="false">SUM(K66:K118)</f>
        <v>0</v>
      </c>
      <c r="L119" s="75"/>
    </row>
  </sheetData>
  <sheetProtection sheet="true" formatColumns="false" formatRows="false"/>
  <mergeCells count="7">
    <mergeCell ref="A1:L1"/>
    <mergeCell ref="A2:L2"/>
    <mergeCell ref="A3:L3"/>
    <mergeCell ref="A6:L6"/>
    <mergeCell ref="A61:C61"/>
    <mergeCell ref="A64:L64"/>
    <mergeCell ref="A119:C119"/>
  </mergeCells>
  <conditionalFormatting sqref="A8:L60">
    <cfRule type="expression" priority="2" aboveAverage="0" equalAverage="0" bottom="0" percent="0" rank="0" text="" dxfId="2">
      <formula>AND($A8&lt;&gt;"",N($H8)&gt;0)</formula>
    </cfRule>
    <cfRule type="expression" priority="3" aboveAverage="0" equalAverage="0" bottom="0" percent="0" rank="0" text="" dxfId="7">
      <formula>$A8=WK</formula>
    </cfRule>
  </conditionalFormatting>
  <conditionalFormatting sqref="A66:L118">
    <cfRule type="expression" priority="4" aboveAverage="0" equalAverage="0" bottom="0" percent="0" rank="0" text="" dxfId="2">
      <formula>AND($A66&lt;&gt;"",N($H66)&gt;0)</formula>
    </cfRule>
    <cfRule type="expression" priority="5" aboveAverage="0" equalAverage="0" bottom="0" percent="0" rank="0" text="" dxfId="7">
      <formula>$A66=WK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1" t="s">
        <v>69</v>
      </c>
      <c r="B1" s="51"/>
      <c r="C1" s="51"/>
      <c r="D1" s="51"/>
      <c r="E1" s="51"/>
      <c r="F1" s="51"/>
      <c r="G1" s="51"/>
    </row>
    <row r="3" customFormat="false" ht="30" hidden="false" customHeight="true" outlineLevel="0" collapsed="false">
      <c r="A3" s="77" t="s">
        <v>70</v>
      </c>
      <c r="C3" s="78" t="n">
        <v>2026</v>
      </c>
      <c r="D3" s="79" t="str">
        <f aca="false">"السنة "&amp;C3&amp;" فيها "&amp;NW&amp;" أسبوع · الأسبوع 1 من السبت "&amp;TEXT(DAY(SAT1),"00")&amp;"/"&amp;TEXT(MONTH(SAT1),"00")&amp;"/"&amp;YEAR(SAT1)&amp;" · آخر أسبوع بيخلص الجمعة "&amp;TEXT(DAY(SAT1+7*NW-1),"00")&amp;"/"&amp;TEXT(MONTH(SAT1+7*NW-1),"00")&amp;"/"&amp;YEAR(SAT1+7*NW-1)</f>
        <v>السنة 2026 فيها 52 أسبوع · الأسبوع 1 من السبت 27/12/2025 · آخر أسبوع بيخلص الجمعة 25/12/2026</v>
      </c>
      <c r="E3" s="79"/>
      <c r="F3" s="79"/>
      <c r="G3" s="79"/>
    </row>
    <row r="4" customFormat="false" ht="16.15" hidden="false" customHeight="true" outlineLevel="0" collapsed="false">
      <c r="A4" s="80" t="s">
        <v>71</v>
      </c>
      <c r="B4" s="80"/>
      <c r="C4" s="80"/>
      <c r="D4" s="80"/>
      <c r="E4" s="80"/>
      <c r="F4" s="80"/>
      <c r="G4" s="80"/>
    </row>
    <row r="5" customFormat="false" ht="33.75" hidden="false" customHeight="true" outlineLevel="0" collapsed="false">
      <c r="A5" s="53" t="s">
        <v>7</v>
      </c>
      <c r="B5" s="53" t="s">
        <v>72</v>
      </c>
      <c r="C5" s="53" t="s">
        <v>73</v>
      </c>
      <c r="D5" s="53" t="s">
        <v>74</v>
      </c>
      <c r="E5" s="53" t="s">
        <v>75</v>
      </c>
      <c r="F5" s="53" t="s">
        <v>76</v>
      </c>
      <c r="G5" s="53"/>
    </row>
    <row r="6" customFormat="false" ht="15" hidden="false" customHeight="false" outlineLevel="0" collapsed="false">
      <c r="A6" s="81" t="s">
        <v>15</v>
      </c>
      <c r="B6" s="82" t="n">
        <v>40</v>
      </c>
      <c r="C6" s="44" t="n">
        <v>0</v>
      </c>
      <c r="D6" s="44" t="n">
        <v>0</v>
      </c>
      <c r="E6" s="44" t="n">
        <v>0</v>
      </c>
      <c r="F6" s="83" t="str">
        <f aca="false">IFERROR("من السبت "&amp;TEXT(DAY(INDEX(WSAT,B6)),"00")&amp;"/"&amp;TEXT(MONTH(INDEX(WSAT,B6)),"00")&amp;"/"&amp;YEAR(INDEX(WSAT,B6))&amp;" إلى الجمعة "&amp;TEXT(DAY(INDEX(WFRI,B6)),"00")&amp;"/"&amp;TEXT(MONTH(INDEX(WFRI,B6)),"00")&amp;"/"&amp;YEAR(INDEX(WFRI,B6)),"")</f>
        <v>من السبت 26/09/2026 إلى الجمعة 02/10/2026</v>
      </c>
      <c r="G6" s="83"/>
    </row>
    <row r="7" customFormat="false" ht="15" hidden="false" customHeight="false" outlineLevel="0" collapsed="false">
      <c r="A7" s="81" t="s">
        <v>16</v>
      </c>
      <c r="B7" s="82" t="n">
        <v>40</v>
      </c>
      <c r="C7" s="44" t="n">
        <v>0</v>
      </c>
      <c r="D7" s="44" t="n">
        <v>0</v>
      </c>
      <c r="E7" s="44" t="n">
        <v>0</v>
      </c>
      <c r="F7" s="83" t="str">
        <f aca="false">IFERROR("من السبت "&amp;TEXT(DAY(INDEX(WSAT,B7)),"00")&amp;"/"&amp;TEXT(MONTH(INDEX(WSAT,B7)),"00")&amp;"/"&amp;YEAR(INDEX(WSAT,B7))&amp;" إلى الجمعة "&amp;TEXT(DAY(INDEX(WFRI,B7)),"00")&amp;"/"&amp;TEXT(MONTH(INDEX(WFRI,B7)),"00")&amp;"/"&amp;YEAR(INDEX(WFRI,B7)),"")</f>
        <v>من السبت 26/09/2026 إلى الجمعة 02/10/2026</v>
      </c>
      <c r="G7" s="83"/>
    </row>
    <row r="8" customFormat="false" ht="30" hidden="false" customHeight="true" outlineLevel="0" collapsed="false">
      <c r="A8" s="19" t="s">
        <v>77</v>
      </c>
      <c r="B8" s="19"/>
      <c r="C8" s="19"/>
      <c r="D8" s="19"/>
      <c r="E8" s="19"/>
      <c r="F8" s="19"/>
      <c r="G8" s="19"/>
    </row>
    <row r="9" customFormat="false" ht="21.75" hidden="false" customHeight="true" outlineLevel="0" collapsed="false">
      <c r="A9" s="7" t="s">
        <v>3</v>
      </c>
      <c r="B9" s="8" t="s">
        <v>4</v>
      </c>
    </row>
    <row r="11" customFormat="false" ht="16.15" hidden="false" customHeight="true" outlineLevel="0" collapsed="false">
      <c r="A11" s="80" t="s">
        <v>78</v>
      </c>
      <c r="B11" s="80"/>
      <c r="C11" s="80"/>
      <c r="D11" s="80"/>
      <c r="E11" s="80"/>
      <c r="F11" s="80"/>
      <c r="G11" s="80"/>
    </row>
    <row r="12" customFormat="false" ht="33.75" hidden="false" customHeight="true" outlineLevel="0" collapsed="false">
      <c r="A12" s="53" t="s">
        <v>7</v>
      </c>
      <c r="B12" s="53" t="s">
        <v>79</v>
      </c>
      <c r="C12" s="53" t="s">
        <v>80</v>
      </c>
      <c r="D12" s="53" t="s">
        <v>74</v>
      </c>
      <c r="E12" s="53" t="s">
        <v>75</v>
      </c>
      <c r="F12" s="53" t="s">
        <v>81</v>
      </c>
      <c r="G12" s="53"/>
    </row>
    <row r="13" customFormat="false" ht="22.35" hidden="false" customHeight="false" outlineLevel="0" collapsed="false">
      <c r="A13" s="13" t="s">
        <v>15</v>
      </c>
      <c r="B13" s="84" t="str">
        <f aca="false">"الأسبوع "&amp;NW&amp;" (الجمعة "&amp;TEXT(DAY(INDEX(WFRI,NW)),"00")&amp;"/"&amp;TEXT(MONTH(INDEX(WFRI,NW)),"00")&amp;"/"&amp;YEAR(INDEX(WFRI,NW))&amp;")"</f>
        <v>الأسبوع 52 (الجمعة 25/12/2026)</v>
      </c>
      <c r="C13" s="54" t="n">
        <f aca="false">N(INDEX(LO_REM,NW))</f>
        <v>0</v>
      </c>
      <c r="D13" s="54" t="n">
        <f aca="false">N(INDEX(LO_DEBT,NW))</f>
        <v>0</v>
      </c>
      <c r="E13" s="54" t="n">
        <f aca="false">IF(D13&gt;0,IF(SUMPRODUCT(MAX((LG_E="عمر المصري")*(LG_INST&lt;&gt;"")*(LG_D&lt;=INDEX(WFRI,NW))*LG_IDX))=0,$E$6,INDEX(LG_INST,SUMPRODUCT(MAX((LG_E="عمر المصري")*(LG_INST&lt;&gt;"")*(LG_D&lt;=INDEX(WFRI,NW))*LG_IDX)))),0)</f>
        <v>0</v>
      </c>
      <c r="F13" s="79" t="str">
        <f aca="false">IF(C13&gt;0.0005,"المحل لسا مدين إله بـ "&amp;TEXT(C13,"0.000"),IF(C13&lt;-0.0005,"قبض زيادة "&amp;TEXT(-C13,"0.000"),"ما إله شي"))&amp;IF(D13&gt;0.0005,"  ·  وعليه دين "&amp;TEXT(D13,"0.000"),"")</f>
        <v>ما إله شي</v>
      </c>
      <c r="G13" s="79"/>
    </row>
    <row r="14" customFormat="false" ht="22.35" hidden="false" customHeight="false" outlineLevel="0" collapsed="false">
      <c r="A14" s="13" t="s">
        <v>16</v>
      </c>
      <c r="B14" s="84" t="str">
        <f aca="false">"الأسبوع "&amp;NW&amp;" (الجمعة "&amp;TEXT(DAY(INDEX(WFRI,NW)),"00")&amp;"/"&amp;TEXT(MONTH(INDEX(WFRI,NW)),"00")&amp;"/"&amp;YEAR(INDEX(WFRI,NW))&amp;")"</f>
        <v>الأسبوع 52 (الجمعة 25/12/2026)</v>
      </c>
      <c r="C14" s="54" t="n">
        <f aca="false">N(INDEX(LZ_REM,NW))</f>
        <v>0</v>
      </c>
      <c r="D14" s="54" t="n">
        <f aca="false">N(INDEX(LZ_DEBT,NW))</f>
        <v>0</v>
      </c>
      <c r="E14" s="54" t="n">
        <f aca="false">IF(D14&gt;0,IF(SUMPRODUCT(MAX((LG_E="عبدالعزيز")*(LG_INST&lt;&gt;"")*(LG_D&lt;=INDEX(WFRI,NW))*LG_IDX))=0,$E$7,INDEX(LG_INST,SUMPRODUCT(MAX((LG_E="عبدالعزيز")*(LG_INST&lt;&gt;"")*(LG_D&lt;=INDEX(WFRI,NW))*LG_IDX)))),0)</f>
        <v>0</v>
      </c>
      <c r="F14" s="79" t="str">
        <f aca="false">IF(C14&gt;0.0005,"المحل لسا مدين إله بـ "&amp;TEXT(C14,"0.000"),IF(C14&lt;-0.0005,"قبض زيادة "&amp;TEXT(-C14,"0.000"),"ما إله شي"))&amp;IF(D14&gt;0.0005,"  ·  وعليه دين "&amp;TEXT(D14,"0.000"),"")</f>
        <v>ما إله شي</v>
      </c>
      <c r="G14" s="79"/>
    </row>
  </sheetData>
  <sheetProtection sheet="true" formatColumns="false" formatRows="false"/>
  <mergeCells count="11">
    <mergeCell ref="A1:G1"/>
    <mergeCell ref="D3:G3"/>
    <mergeCell ref="A4:G4"/>
    <mergeCell ref="F5:G5"/>
    <mergeCell ref="F6:G6"/>
    <mergeCell ref="F7:G7"/>
    <mergeCell ref="A8:G8"/>
    <mergeCell ref="A11:G11"/>
    <mergeCell ref="F12:G12"/>
    <mergeCell ref="F13:G13"/>
    <mergeCell ref="F14:G14"/>
  </mergeCells>
  <dataValidations count="1">
    <dataValidation allowBlank="true" errorStyle="stop" operator="between" prompt="اختار السنة — كل الملف بيتبرمج عليها" promptTitle="السنة" showDropDown="false" showErrorMessage="false" showInputMessage="true" sqref="C3" type="list">
      <formula1>القوائم!$E$1:$E$10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4"/>
    <col collapsed="false" customWidth="true" hidden="true" outlineLevel="0" max="7" min="7" style="0" width="13"/>
  </cols>
  <sheetData>
    <row r="1" customFormat="false" ht="31.5" hidden="false" customHeight="true" outlineLevel="0" collapsed="false">
      <c r="A1" s="85" t="s">
        <v>82</v>
      </c>
      <c r="B1" s="85"/>
      <c r="C1" s="85"/>
      <c r="D1" s="85"/>
      <c r="E1" s="85"/>
    </row>
    <row r="2" customFormat="false" ht="21.75" hidden="false" customHeight="true" outlineLevel="0" collapsed="false">
      <c r="A2" s="7" t="s">
        <v>3</v>
      </c>
      <c r="B2" s="8" t="s">
        <v>4</v>
      </c>
    </row>
    <row r="3" customFormat="false" ht="25.5" hidden="false" customHeight="true" outlineLevel="0" collapsed="false">
      <c r="A3" s="86" t="s">
        <v>83</v>
      </c>
      <c r="B3" s="86" t="s">
        <v>84</v>
      </c>
      <c r="C3" s="86" t="s">
        <v>85</v>
      </c>
      <c r="D3" s="86"/>
      <c r="E3" s="86" t="s">
        <v>86</v>
      </c>
    </row>
    <row r="4" customFormat="false" ht="30" hidden="false" customHeight="true" outlineLevel="0" collapsed="false">
      <c r="A4" s="87" t="n">
        <v>1</v>
      </c>
      <c r="B4" s="88" t="s">
        <v>87</v>
      </c>
      <c r="C4" s="89" t="n">
        <v>0.75</v>
      </c>
      <c r="D4" s="89"/>
      <c r="E4" s="90" t="s">
        <v>88</v>
      </c>
    </row>
    <row r="5" customFormat="false" ht="30" hidden="false" customHeight="true" outlineLevel="0" collapsed="false">
      <c r="A5" s="87" t="n">
        <v>2</v>
      </c>
      <c r="B5" s="88" t="s">
        <v>89</v>
      </c>
      <c r="C5" s="89" t="n">
        <v>0.583333333333333</v>
      </c>
      <c r="D5" s="89"/>
      <c r="E5" s="90" t="s">
        <v>90</v>
      </c>
    </row>
    <row r="6" customFormat="false" ht="30" hidden="false" customHeight="true" outlineLevel="0" collapsed="false">
      <c r="A6" s="87" t="n">
        <v>3</v>
      </c>
      <c r="B6" s="88" t="s">
        <v>91</v>
      </c>
      <c r="C6" s="89" t="n">
        <v>0.958333333333333</v>
      </c>
      <c r="D6" s="89"/>
      <c r="E6" s="90"/>
    </row>
    <row r="7" customFormat="false" ht="30" hidden="false" customHeight="true" outlineLevel="0" collapsed="false">
      <c r="A7" s="87" t="n">
        <v>4</v>
      </c>
      <c r="B7" s="88" t="s">
        <v>92</v>
      </c>
      <c r="C7" s="91" t="s">
        <v>93</v>
      </c>
      <c r="D7" s="91"/>
      <c r="E7" s="90" t="s">
        <v>94</v>
      </c>
    </row>
    <row r="8" customFormat="false" ht="30" hidden="false" customHeight="true" outlineLevel="0" collapsed="false">
      <c r="A8" s="87" t="n">
        <v>5</v>
      </c>
      <c r="B8" s="88" t="s">
        <v>95</v>
      </c>
      <c r="C8" s="92" t="n">
        <v>0.6</v>
      </c>
      <c r="D8" s="92"/>
      <c r="E8" s="90" t="s">
        <v>96</v>
      </c>
    </row>
    <row r="9" customFormat="false" ht="30" hidden="false" customHeight="true" outlineLevel="0" collapsed="false">
      <c r="A9" s="87" t="n">
        <v>6</v>
      </c>
      <c r="B9" s="88" t="s">
        <v>97</v>
      </c>
      <c r="C9" s="92" t="n">
        <v>0.25</v>
      </c>
      <c r="D9" s="92"/>
      <c r="E9" s="90" t="s">
        <v>98</v>
      </c>
    </row>
    <row r="10" customFormat="false" ht="30" hidden="false" customHeight="true" outlineLevel="0" collapsed="false">
      <c r="A10" s="87" t="n">
        <v>7</v>
      </c>
      <c r="B10" s="88" t="s">
        <v>99</v>
      </c>
      <c r="C10" s="92" t="n">
        <v>0.65</v>
      </c>
      <c r="D10" s="92"/>
      <c r="E10" s="90" t="s">
        <v>100</v>
      </c>
    </row>
    <row r="12" customFormat="false" ht="33.75" hidden="false" customHeight="true" outlineLevel="0" collapsed="false">
      <c r="A12" s="93" t="s">
        <v>101</v>
      </c>
      <c r="B12" s="93"/>
      <c r="C12" s="93"/>
      <c r="D12" s="93"/>
      <c r="E12" s="93"/>
    </row>
    <row r="13" customFormat="false" ht="33.75" hidden="false" customHeight="true" outlineLevel="0" collapsed="false">
      <c r="A13" s="94" t="s">
        <v>102</v>
      </c>
      <c r="B13" s="94" t="s">
        <v>103</v>
      </c>
      <c r="C13" s="94" t="s">
        <v>104</v>
      </c>
      <c r="D13" s="94" t="s">
        <v>105</v>
      </c>
      <c r="E13" s="94" t="s">
        <v>106</v>
      </c>
    </row>
    <row r="14" customFormat="false" ht="39.55" hidden="false" customHeight="false" outlineLevel="0" collapsed="false">
      <c r="A14" s="95" t="n">
        <v>46023</v>
      </c>
      <c r="B14" s="96" t="n">
        <v>1.25</v>
      </c>
      <c r="C14" s="96" t="n">
        <v>1.5</v>
      </c>
      <c r="D14" s="96" t="n">
        <v>1</v>
      </c>
      <c r="E14" s="96" t="n">
        <v>2.5</v>
      </c>
      <c r="G14" s="24" t="n">
        <f aca="false">IF(A14="",99999999,A14)</f>
        <v>46023</v>
      </c>
    </row>
    <row r="15" customFormat="false" ht="15" hidden="false" customHeight="false" outlineLevel="0" collapsed="false">
      <c r="A15" s="95"/>
      <c r="B15" s="96"/>
      <c r="C15" s="96"/>
      <c r="D15" s="96"/>
      <c r="E15" s="96"/>
      <c r="G15" s="25" t="n">
        <f aca="false">IF(A15="",99999999,A15)</f>
        <v>99999999</v>
      </c>
    </row>
    <row r="16" customFormat="false" ht="15" hidden="false" customHeight="false" outlineLevel="0" collapsed="false">
      <c r="A16" s="95"/>
      <c r="B16" s="96"/>
      <c r="C16" s="96"/>
      <c r="D16" s="96"/>
      <c r="E16" s="96"/>
      <c r="G16" s="25" t="n">
        <f aca="false">IF(A16="",99999999,A16)</f>
        <v>99999999</v>
      </c>
    </row>
    <row r="17" customFormat="false" ht="15" hidden="false" customHeight="false" outlineLevel="0" collapsed="false">
      <c r="A17" s="95"/>
      <c r="B17" s="96"/>
      <c r="C17" s="96"/>
      <c r="D17" s="96"/>
      <c r="E17" s="96"/>
      <c r="G17" s="25" t="n">
        <f aca="false">IF(A17="",99999999,A17)</f>
        <v>99999999</v>
      </c>
    </row>
    <row r="18" customFormat="false" ht="15" hidden="false" customHeight="false" outlineLevel="0" collapsed="false">
      <c r="A18" s="95"/>
      <c r="B18" s="96"/>
      <c r="C18" s="96"/>
      <c r="D18" s="96"/>
      <c r="E18" s="96"/>
      <c r="G18" s="25" t="n">
        <f aca="false">IF(A18="",99999999,A18)</f>
        <v>99999999</v>
      </c>
    </row>
    <row r="19" customFormat="false" ht="15" hidden="false" customHeight="false" outlineLevel="0" collapsed="false">
      <c r="A19" s="95"/>
      <c r="B19" s="96"/>
      <c r="C19" s="96"/>
      <c r="D19" s="96"/>
      <c r="E19" s="96"/>
      <c r="G19" s="25" t="n">
        <f aca="false">IF(A19="",99999999,A19)</f>
        <v>99999999</v>
      </c>
    </row>
    <row r="20" customFormat="false" ht="15" hidden="false" customHeight="false" outlineLevel="0" collapsed="false">
      <c r="A20" s="95"/>
      <c r="B20" s="96"/>
      <c r="C20" s="96"/>
      <c r="D20" s="96"/>
      <c r="E20" s="96"/>
      <c r="G20" s="25" t="n">
        <f aca="false">IF(A20="",99999999,A20)</f>
        <v>99999999</v>
      </c>
    </row>
    <row r="21" customFormat="false" ht="15" hidden="false" customHeight="false" outlineLevel="0" collapsed="false">
      <c r="A21" s="95"/>
      <c r="B21" s="96"/>
      <c r="C21" s="96"/>
      <c r="D21" s="96"/>
      <c r="E21" s="96"/>
      <c r="G21" s="25" t="n">
        <f aca="false">IF(A21="",99999999,A21)</f>
        <v>99999999</v>
      </c>
    </row>
    <row r="22" customFormat="false" ht="15" hidden="false" customHeight="false" outlineLevel="0" collapsed="false">
      <c r="A22" s="95"/>
      <c r="B22" s="96"/>
      <c r="C22" s="96"/>
      <c r="D22" s="96"/>
      <c r="E22" s="96"/>
      <c r="G22" s="25" t="n">
        <f aca="false">IF(A22="",99999999,A22)</f>
        <v>99999999</v>
      </c>
    </row>
    <row r="23" customFormat="false" ht="15" hidden="false" customHeight="false" outlineLevel="0" collapsed="false">
      <c r="A23" s="95"/>
      <c r="B23" s="96"/>
      <c r="C23" s="96"/>
      <c r="D23" s="96"/>
      <c r="E23" s="96"/>
      <c r="G23" s="25" t="n">
        <f aca="false">IF(A23="",99999999,A23)</f>
        <v>99999999</v>
      </c>
    </row>
    <row r="25" customFormat="false" ht="15" hidden="false" customHeight="true" outlineLevel="0" collapsed="false">
      <c r="A25" s="21" t="s">
        <v>107</v>
      </c>
      <c r="B25" s="21"/>
      <c r="C25" s="21"/>
      <c r="D25" s="21"/>
      <c r="E25" s="21"/>
    </row>
  </sheetData>
  <sheetProtection sheet="true" formatColumns="false" formatRows="false"/>
  <mergeCells count="11">
    <mergeCell ref="A1:E1"/>
    <mergeCell ref="C3:D3"/>
    <mergeCell ref="C4:D4"/>
    <mergeCell ref="C5:D5"/>
    <mergeCell ref="C6:D6"/>
    <mergeCell ref="C7:D7"/>
    <mergeCell ref="C8:D8"/>
    <mergeCell ref="C9:D9"/>
    <mergeCell ref="C10:D10"/>
    <mergeCell ref="A12:E12"/>
    <mergeCell ref="A25:E25"/>
  </mergeCells>
  <dataValidations count="1">
    <dataValidation allowBlank="true" errorStyle="stop" operator="between" showDropDown="false" showErrorMessage="false" showInputMessage="false" sqref="C7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</cols>
  <sheetData>
    <row r="1" customFormat="false" ht="31.5" hidden="false" customHeight="true" outlineLevel="0" collapsed="false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1.75" hidden="false" customHeight="true" outlineLevel="0" collapsed="false">
      <c r="A2" s="20" t="str">
        <f aca="false">"سنة "&amp;YR&amp;"   (السنة بتنختار من ورقة «السنة»)"</f>
        <v>سنة 2026   (السنة بتنختار من ورقة «السنة»)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4" customFormat="false" ht="16.15" hidden="false" customHeight="true" outlineLevel="0" collapsed="false">
      <c r="A4" s="69" t="s">
        <v>109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customFormat="false" ht="39.75" hidden="false" customHeight="true" outlineLevel="0" collapsed="false">
      <c r="A5" s="97" t="s">
        <v>110</v>
      </c>
      <c r="B5" s="97" t="s">
        <v>65</v>
      </c>
      <c r="C5" s="97" t="s">
        <v>66</v>
      </c>
      <c r="D5" s="97" t="s">
        <v>111</v>
      </c>
      <c r="E5" s="97" t="s">
        <v>112</v>
      </c>
      <c r="F5" s="97" t="s">
        <v>113</v>
      </c>
      <c r="G5" s="97" t="s">
        <v>114</v>
      </c>
      <c r="H5" s="97" t="s">
        <v>115</v>
      </c>
      <c r="I5" s="97" t="s">
        <v>116</v>
      </c>
      <c r="J5" s="97" t="s">
        <v>117</v>
      </c>
      <c r="K5" s="97" t="s">
        <v>118</v>
      </c>
      <c r="L5" s="97" t="s">
        <v>119</v>
      </c>
    </row>
    <row r="6" customFormat="false" ht="15" hidden="false" customHeight="false" outlineLevel="0" collapsed="false">
      <c r="A6" s="98" t="s">
        <v>120</v>
      </c>
      <c r="B6" s="28" t="n">
        <f aca="false">IFERROR(INDEX(WSAT,MATCH(1,WMON,0)),"")</f>
        <v>46018</v>
      </c>
      <c r="C6" s="28" t="n">
        <f aca="false">IFERROR(INDEX(WFRI,MATCH(1,WMON,0)+COUNTIF(WMON,1)-1),"")</f>
        <v>46052</v>
      </c>
      <c r="D6" s="70" t="n">
        <f aca="false">COUNTIF(WMON,1)</f>
        <v>5</v>
      </c>
      <c r="E6" s="71" t="n">
        <f aca="false">SUMIFS(LO_PAID,LO_MON,1)</f>
        <v>0</v>
      </c>
      <c r="F6" s="71" t="n">
        <f aca="false">SUMIFS(LZ_PAID,LZ_MON,1)+SUMIFS(LZ_DAILY,LZ_MON,1)</f>
        <v>0</v>
      </c>
      <c r="G6" s="71" t="n">
        <f aca="false">SUMIFS(ADV_AMT,ADV_M,1)</f>
        <v>0</v>
      </c>
      <c r="H6" s="71" t="n">
        <f aca="false">SUMIFS(TASK_AMT,TASK_M,1)</f>
        <v>0</v>
      </c>
      <c r="I6" s="72" t="n">
        <f aca="false">E6+F6+G6+H6</f>
        <v>0</v>
      </c>
      <c r="J6" s="71" t="n">
        <f aca="false">SUMIFS(LO_DUE,LO_MON,1)+SUMIFS(LZ_DUE,LZ_MON,1)+H6</f>
        <v>0</v>
      </c>
      <c r="K6" s="71" t="n">
        <f aca="false">SUMIFS(LG_DEBT,LG_TYPE,"بضاعة",LG_M,1)</f>
        <v>0</v>
      </c>
      <c r="L6" s="71" t="n">
        <f aca="false">SUMIFS(LG_DEBT,LG_TYPE,"قرض كاش",LG_M,1)</f>
        <v>0</v>
      </c>
    </row>
    <row r="7" customFormat="false" ht="15" hidden="false" customHeight="false" outlineLevel="0" collapsed="false">
      <c r="A7" s="98" t="s">
        <v>121</v>
      </c>
      <c r="B7" s="28" t="n">
        <f aca="false">IFERROR(INDEX(WSAT,MATCH(2,WMON,0)),"")</f>
        <v>46053</v>
      </c>
      <c r="C7" s="28" t="n">
        <f aca="false">IFERROR(INDEX(WFRI,MATCH(2,WMON,0)+COUNTIF(WMON,2)-1),"")</f>
        <v>46080</v>
      </c>
      <c r="D7" s="70" t="n">
        <f aca="false">COUNTIF(WMON,2)</f>
        <v>4</v>
      </c>
      <c r="E7" s="71" t="n">
        <f aca="false">SUMIFS(LO_PAID,LO_MON,2)</f>
        <v>0</v>
      </c>
      <c r="F7" s="71" t="n">
        <f aca="false">SUMIFS(LZ_PAID,LZ_MON,2)+SUMIFS(LZ_DAILY,LZ_MON,2)</f>
        <v>0</v>
      </c>
      <c r="G7" s="71" t="n">
        <f aca="false">SUMIFS(ADV_AMT,ADV_M,2)</f>
        <v>0</v>
      </c>
      <c r="H7" s="71" t="n">
        <f aca="false">SUMIFS(TASK_AMT,TASK_M,2)</f>
        <v>0</v>
      </c>
      <c r="I7" s="72" t="n">
        <f aca="false">E7+F7+G7+H7</f>
        <v>0</v>
      </c>
      <c r="J7" s="71" t="n">
        <f aca="false">SUMIFS(LO_DUE,LO_MON,2)+SUMIFS(LZ_DUE,LZ_MON,2)+H7</f>
        <v>0</v>
      </c>
      <c r="K7" s="71" t="n">
        <f aca="false">SUMIFS(LG_DEBT,LG_TYPE,"بضاعة",LG_M,2)</f>
        <v>0</v>
      </c>
      <c r="L7" s="71" t="n">
        <f aca="false">SUMIFS(LG_DEBT,LG_TYPE,"قرض كاش",LG_M,2)</f>
        <v>0</v>
      </c>
    </row>
    <row r="8" customFormat="false" ht="15" hidden="false" customHeight="false" outlineLevel="0" collapsed="false">
      <c r="A8" s="98" t="s">
        <v>122</v>
      </c>
      <c r="B8" s="28" t="n">
        <f aca="false">IFERROR(INDEX(WSAT,MATCH(3,WMON,0)),"")</f>
        <v>46081</v>
      </c>
      <c r="C8" s="28" t="n">
        <f aca="false">IFERROR(INDEX(WFRI,MATCH(3,WMON,0)+COUNTIF(WMON,3)-1),"")</f>
        <v>46108</v>
      </c>
      <c r="D8" s="70" t="n">
        <f aca="false">COUNTIF(WMON,3)</f>
        <v>4</v>
      </c>
      <c r="E8" s="71" t="n">
        <f aca="false">SUMIFS(LO_PAID,LO_MON,3)</f>
        <v>0</v>
      </c>
      <c r="F8" s="71" t="n">
        <f aca="false">SUMIFS(LZ_PAID,LZ_MON,3)+SUMIFS(LZ_DAILY,LZ_MON,3)</f>
        <v>0</v>
      </c>
      <c r="G8" s="71" t="n">
        <f aca="false">SUMIFS(ADV_AMT,ADV_M,3)</f>
        <v>0</v>
      </c>
      <c r="H8" s="71" t="n">
        <f aca="false">SUMIFS(TASK_AMT,TASK_M,3)</f>
        <v>0</v>
      </c>
      <c r="I8" s="72" t="n">
        <f aca="false">E8+F8+G8+H8</f>
        <v>0</v>
      </c>
      <c r="J8" s="71" t="n">
        <f aca="false">SUMIFS(LO_DUE,LO_MON,3)+SUMIFS(LZ_DUE,LZ_MON,3)+H8</f>
        <v>0</v>
      </c>
      <c r="K8" s="71" t="n">
        <f aca="false">SUMIFS(LG_DEBT,LG_TYPE,"بضاعة",LG_M,3)</f>
        <v>0</v>
      </c>
      <c r="L8" s="71" t="n">
        <f aca="false">SUMIFS(LG_DEBT,LG_TYPE,"قرض كاش",LG_M,3)</f>
        <v>0</v>
      </c>
    </row>
    <row r="9" customFormat="false" ht="15" hidden="false" customHeight="false" outlineLevel="0" collapsed="false">
      <c r="A9" s="98" t="s">
        <v>123</v>
      </c>
      <c r="B9" s="28" t="n">
        <f aca="false">IFERROR(INDEX(WSAT,MATCH(4,WMON,0)),"")</f>
        <v>46109</v>
      </c>
      <c r="C9" s="28" t="n">
        <f aca="false">IFERROR(INDEX(WFRI,MATCH(4,WMON,0)+COUNTIF(WMON,4)-1),"")</f>
        <v>46136</v>
      </c>
      <c r="D9" s="70" t="n">
        <f aca="false">COUNTIF(WMON,4)</f>
        <v>4</v>
      </c>
      <c r="E9" s="71" t="n">
        <f aca="false">SUMIFS(LO_PAID,LO_MON,4)</f>
        <v>0</v>
      </c>
      <c r="F9" s="71" t="n">
        <f aca="false">SUMIFS(LZ_PAID,LZ_MON,4)+SUMIFS(LZ_DAILY,LZ_MON,4)</f>
        <v>0</v>
      </c>
      <c r="G9" s="71" t="n">
        <f aca="false">SUMIFS(ADV_AMT,ADV_M,4)</f>
        <v>0</v>
      </c>
      <c r="H9" s="71" t="n">
        <f aca="false">SUMIFS(TASK_AMT,TASK_M,4)</f>
        <v>0</v>
      </c>
      <c r="I9" s="72" t="n">
        <f aca="false">E9+F9+G9+H9</f>
        <v>0</v>
      </c>
      <c r="J9" s="71" t="n">
        <f aca="false">SUMIFS(LO_DUE,LO_MON,4)+SUMIFS(LZ_DUE,LZ_MON,4)+H9</f>
        <v>0</v>
      </c>
      <c r="K9" s="71" t="n">
        <f aca="false">SUMIFS(LG_DEBT,LG_TYPE,"بضاعة",LG_M,4)</f>
        <v>0</v>
      </c>
      <c r="L9" s="71" t="n">
        <f aca="false">SUMIFS(LG_DEBT,LG_TYPE,"قرض كاش",LG_M,4)</f>
        <v>0</v>
      </c>
    </row>
    <row r="10" customFormat="false" ht="15" hidden="false" customHeight="false" outlineLevel="0" collapsed="false">
      <c r="A10" s="98" t="s">
        <v>124</v>
      </c>
      <c r="B10" s="28" t="n">
        <f aca="false">IFERROR(INDEX(WSAT,MATCH(5,WMON,0)),"")</f>
        <v>46137</v>
      </c>
      <c r="C10" s="28" t="n">
        <f aca="false">IFERROR(INDEX(WFRI,MATCH(5,WMON,0)+COUNTIF(WMON,5)-1),"")</f>
        <v>46171</v>
      </c>
      <c r="D10" s="70" t="n">
        <f aca="false">COUNTIF(WMON,5)</f>
        <v>5</v>
      </c>
      <c r="E10" s="71" t="n">
        <f aca="false">SUMIFS(LO_PAID,LO_MON,5)</f>
        <v>0</v>
      </c>
      <c r="F10" s="71" t="n">
        <f aca="false">SUMIFS(LZ_PAID,LZ_MON,5)+SUMIFS(LZ_DAILY,LZ_MON,5)</f>
        <v>0</v>
      </c>
      <c r="G10" s="71" t="n">
        <f aca="false">SUMIFS(ADV_AMT,ADV_M,5)</f>
        <v>0</v>
      </c>
      <c r="H10" s="71" t="n">
        <f aca="false">SUMIFS(TASK_AMT,TASK_M,5)</f>
        <v>0</v>
      </c>
      <c r="I10" s="72" t="n">
        <f aca="false">E10+F10+G10+H10</f>
        <v>0</v>
      </c>
      <c r="J10" s="71" t="n">
        <f aca="false">SUMIFS(LO_DUE,LO_MON,5)+SUMIFS(LZ_DUE,LZ_MON,5)+H10</f>
        <v>0</v>
      </c>
      <c r="K10" s="71" t="n">
        <f aca="false">SUMIFS(LG_DEBT,LG_TYPE,"بضاعة",LG_M,5)</f>
        <v>0</v>
      </c>
      <c r="L10" s="71" t="n">
        <f aca="false">SUMIFS(LG_DEBT,LG_TYPE,"قرض كاش",LG_M,5)</f>
        <v>0</v>
      </c>
    </row>
    <row r="11" customFormat="false" ht="15" hidden="false" customHeight="false" outlineLevel="0" collapsed="false">
      <c r="A11" s="98" t="s">
        <v>125</v>
      </c>
      <c r="B11" s="28" t="n">
        <f aca="false">IFERROR(INDEX(WSAT,MATCH(6,WMON,0)),"")</f>
        <v>46172</v>
      </c>
      <c r="C11" s="28" t="n">
        <f aca="false">IFERROR(INDEX(WFRI,MATCH(6,WMON,0)+COUNTIF(WMON,6)-1),"")</f>
        <v>46199</v>
      </c>
      <c r="D11" s="70" t="n">
        <f aca="false">COUNTIF(WMON,6)</f>
        <v>4</v>
      </c>
      <c r="E11" s="71" t="n">
        <f aca="false">SUMIFS(LO_PAID,LO_MON,6)</f>
        <v>0</v>
      </c>
      <c r="F11" s="71" t="n">
        <f aca="false">SUMIFS(LZ_PAID,LZ_MON,6)+SUMIFS(LZ_DAILY,LZ_MON,6)</f>
        <v>0</v>
      </c>
      <c r="G11" s="71" t="n">
        <f aca="false">SUMIFS(ADV_AMT,ADV_M,6)</f>
        <v>0</v>
      </c>
      <c r="H11" s="71" t="n">
        <f aca="false">SUMIFS(TASK_AMT,TASK_M,6)</f>
        <v>0</v>
      </c>
      <c r="I11" s="72" t="n">
        <f aca="false">E11+F11+G11+H11</f>
        <v>0</v>
      </c>
      <c r="J11" s="71" t="n">
        <f aca="false">SUMIFS(LO_DUE,LO_MON,6)+SUMIFS(LZ_DUE,LZ_MON,6)+H11</f>
        <v>0</v>
      </c>
      <c r="K11" s="71" t="n">
        <f aca="false">SUMIFS(LG_DEBT,LG_TYPE,"بضاعة",LG_M,6)</f>
        <v>0</v>
      </c>
      <c r="L11" s="71" t="n">
        <f aca="false">SUMIFS(LG_DEBT,LG_TYPE,"قرض كاش",LG_M,6)</f>
        <v>0</v>
      </c>
    </row>
    <row r="12" customFormat="false" ht="15" hidden="false" customHeight="false" outlineLevel="0" collapsed="false">
      <c r="A12" s="98" t="s">
        <v>126</v>
      </c>
      <c r="B12" s="28" t="n">
        <f aca="false">IFERROR(INDEX(WSAT,MATCH(7,WMON,0)),"")</f>
        <v>46200</v>
      </c>
      <c r="C12" s="28" t="n">
        <f aca="false">IFERROR(INDEX(WFRI,MATCH(7,WMON,0)+COUNTIF(WMON,7)-1),"")</f>
        <v>46234</v>
      </c>
      <c r="D12" s="70" t="n">
        <f aca="false">COUNTIF(WMON,7)</f>
        <v>5</v>
      </c>
      <c r="E12" s="71" t="n">
        <f aca="false">SUMIFS(LO_PAID,LO_MON,7)</f>
        <v>0</v>
      </c>
      <c r="F12" s="71" t="n">
        <f aca="false">SUMIFS(LZ_PAID,LZ_MON,7)+SUMIFS(LZ_DAILY,LZ_MON,7)</f>
        <v>0</v>
      </c>
      <c r="G12" s="71" t="n">
        <f aca="false">SUMIFS(ADV_AMT,ADV_M,7)</f>
        <v>0</v>
      </c>
      <c r="H12" s="71" t="n">
        <f aca="false">SUMIFS(TASK_AMT,TASK_M,7)</f>
        <v>0</v>
      </c>
      <c r="I12" s="72" t="n">
        <f aca="false">E12+F12+G12+H12</f>
        <v>0</v>
      </c>
      <c r="J12" s="71" t="n">
        <f aca="false">SUMIFS(LO_DUE,LO_MON,7)+SUMIFS(LZ_DUE,LZ_MON,7)+H12</f>
        <v>0</v>
      </c>
      <c r="K12" s="71" t="n">
        <f aca="false">SUMIFS(LG_DEBT,LG_TYPE,"بضاعة",LG_M,7)</f>
        <v>0</v>
      </c>
      <c r="L12" s="71" t="n">
        <f aca="false">SUMIFS(LG_DEBT,LG_TYPE,"قرض كاش",LG_M,7)</f>
        <v>0</v>
      </c>
    </row>
    <row r="13" customFormat="false" ht="15" hidden="false" customHeight="false" outlineLevel="0" collapsed="false">
      <c r="A13" s="98" t="s">
        <v>127</v>
      </c>
      <c r="B13" s="28" t="n">
        <f aca="false">IFERROR(INDEX(WSAT,MATCH(8,WMON,0)),"")</f>
        <v>46235</v>
      </c>
      <c r="C13" s="28" t="n">
        <f aca="false">IFERROR(INDEX(WFRI,MATCH(8,WMON,0)+COUNTIF(WMON,8)-1),"")</f>
        <v>46262</v>
      </c>
      <c r="D13" s="70" t="n">
        <f aca="false">COUNTIF(WMON,8)</f>
        <v>4</v>
      </c>
      <c r="E13" s="71" t="n">
        <f aca="false">SUMIFS(LO_PAID,LO_MON,8)</f>
        <v>0</v>
      </c>
      <c r="F13" s="71" t="n">
        <f aca="false">SUMIFS(LZ_PAID,LZ_MON,8)+SUMIFS(LZ_DAILY,LZ_MON,8)</f>
        <v>0</v>
      </c>
      <c r="G13" s="71" t="n">
        <f aca="false">SUMIFS(ADV_AMT,ADV_M,8)</f>
        <v>0</v>
      </c>
      <c r="H13" s="71" t="n">
        <f aca="false">SUMIFS(TASK_AMT,TASK_M,8)</f>
        <v>0</v>
      </c>
      <c r="I13" s="72" t="n">
        <f aca="false">E13+F13+G13+H13</f>
        <v>0</v>
      </c>
      <c r="J13" s="71" t="n">
        <f aca="false">SUMIFS(LO_DUE,LO_MON,8)+SUMIFS(LZ_DUE,LZ_MON,8)+H13</f>
        <v>0</v>
      </c>
      <c r="K13" s="71" t="n">
        <f aca="false">SUMIFS(LG_DEBT,LG_TYPE,"بضاعة",LG_M,8)</f>
        <v>0</v>
      </c>
      <c r="L13" s="71" t="n">
        <f aca="false">SUMIFS(LG_DEBT,LG_TYPE,"قرض كاش",LG_M,8)</f>
        <v>0</v>
      </c>
    </row>
    <row r="14" customFormat="false" ht="15" hidden="false" customHeight="false" outlineLevel="0" collapsed="false">
      <c r="A14" s="98" t="s">
        <v>128</v>
      </c>
      <c r="B14" s="28" t="n">
        <f aca="false">IFERROR(INDEX(WSAT,MATCH(9,WMON,0)),"")</f>
        <v>46263</v>
      </c>
      <c r="C14" s="28" t="n">
        <f aca="false">IFERROR(INDEX(WFRI,MATCH(9,WMON,0)+COUNTIF(WMON,9)-1),"")</f>
        <v>46290</v>
      </c>
      <c r="D14" s="70" t="n">
        <f aca="false">COUNTIF(WMON,9)</f>
        <v>4</v>
      </c>
      <c r="E14" s="71" t="n">
        <f aca="false">SUMIFS(LO_PAID,LO_MON,9)</f>
        <v>0</v>
      </c>
      <c r="F14" s="71" t="n">
        <f aca="false">SUMIFS(LZ_PAID,LZ_MON,9)+SUMIFS(LZ_DAILY,LZ_MON,9)</f>
        <v>0</v>
      </c>
      <c r="G14" s="71" t="n">
        <f aca="false">SUMIFS(ADV_AMT,ADV_M,9)</f>
        <v>0</v>
      </c>
      <c r="H14" s="71" t="n">
        <f aca="false">SUMIFS(TASK_AMT,TASK_M,9)</f>
        <v>0</v>
      </c>
      <c r="I14" s="72" t="n">
        <f aca="false">E14+F14+G14+H14</f>
        <v>0</v>
      </c>
      <c r="J14" s="71" t="n">
        <f aca="false">SUMIFS(LO_DUE,LO_MON,9)+SUMIFS(LZ_DUE,LZ_MON,9)+H14</f>
        <v>0</v>
      </c>
      <c r="K14" s="71" t="n">
        <f aca="false">SUMIFS(LG_DEBT,LG_TYPE,"بضاعة",LG_M,9)</f>
        <v>0</v>
      </c>
      <c r="L14" s="71" t="n">
        <f aca="false">SUMIFS(LG_DEBT,LG_TYPE,"قرض كاش",LG_M,9)</f>
        <v>0</v>
      </c>
    </row>
    <row r="15" customFormat="false" ht="15" hidden="false" customHeight="false" outlineLevel="0" collapsed="false">
      <c r="A15" s="98" t="s">
        <v>129</v>
      </c>
      <c r="B15" s="28" t="n">
        <f aca="false">IFERROR(INDEX(WSAT,MATCH(10,WMON,0)),"")</f>
        <v>46291</v>
      </c>
      <c r="C15" s="28" t="n">
        <f aca="false">IFERROR(INDEX(WFRI,MATCH(10,WMON,0)+COUNTIF(WMON,10)-1),"")</f>
        <v>46325</v>
      </c>
      <c r="D15" s="70" t="n">
        <f aca="false">COUNTIF(WMON,10)</f>
        <v>5</v>
      </c>
      <c r="E15" s="71" t="n">
        <f aca="false">SUMIFS(LO_PAID,LO_MON,10)</f>
        <v>0</v>
      </c>
      <c r="F15" s="71" t="n">
        <f aca="false">SUMIFS(LZ_PAID,LZ_MON,10)+SUMIFS(LZ_DAILY,LZ_MON,10)</f>
        <v>0</v>
      </c>
      <c r="G15" s="71" t="n">
        <f aca="false">SUMIFS(ADV_AMT,ADV_M,10)</f>
        <v>0</v>
      </c>
      <c r="H15" s="71" t="n">
        <f aca="false">SUMIFS(TASK_AMT,TASK_M,10)</f>
        <v>0</v>
      </c>
      <c r="I15" s="72" t="n">
        <f aca="false">E15+F15+G15+H15</f>
        <v>0</v>
      </c>
      <c r="J15" s="71" t="n">
        <f aca="false">SUMIFS(LO_DUE,LO_MON,10)+SUMIFS(LZ_DUE,LZ_MON,10)+H15</f>
        <v>0</v>
      </c>
      <c r="K15" s="71" t="n">
        <f aca="false">SUMIFS(LG_DEBT,LG_TYPE,"بضاعة",LG_M,10)</f>
        <v>0</v>
      </c>
      <c r="L15" s="71" t="n">
        <f aca="false">SUMIFS(LG_DEBT,LG_TYPE,"قرض كاش",LG_M,10)</f>
        <v>0</v>
      </c>
    </row>
    <row r="16" customFormat="false" ht="15" hidden="false" customHeight="false" outlineLevel="0" collapsed="false">
      <c r="A16" s="98" t="s">
        <v>130</v>
      </c>
      <c r="B16" s="28" t="n">
        <f aca="false">IFERROR(INDEX(WSAT,MATCH(11,WMON,0)),"")</f>
        <v>46326</v>
      </c>
      <c r="C16" s="28" t="n">
        <f aca="false">IFERROR(INDEX(WFRI,MATCH(11,WMON,0)+COUNTIF(WMON,11)-1),"")</f>
        <v>46353</v>
      </c>
      <c r="D16" s="70" t="n">
        <f aca="false">COUNTIF(WMON,11)</f>
        <v>4</v>
      </c>
      <c r="E16" s="71" t="n">
        <f aca="false">SUMIFS(LO_PAID,LO_MON,11)</f>
        <v>0</v>
      </c>
      <c r="F16" s="71" t="n">
        <f aca="false">SUMIFS(LZ_PAID,LZ_MON,11)+SUMIFS(LZ_DAILY,LZ_MON,11)</f>
        <v>0</v>
      </c>
      <c r="G16" s="71" t="n">
        <f aca="false">SUMIFS(ADV_AMT,ADV_M,11)</f>
        <v>0</v>
      </c>
      <c r="H16" s="71" t="n">
        <f aca="false">SUMIFS(TASK_AMT,TASK_M,11)</f>
        <v>0</v>
      </c>
      <c r="I16" s="72" t="n">
        <f aca="false">E16+F16+G16+H16</f>
        <v>0</v>
      </c>
      <c r="J16" s="71" t="n">
        <f aca="false">SUMIFS(LO_DUE,LO_MON,11)+SUMIFS(LZ_DUE,LZ_MON,11)+H16</f>
        <v>0</v>
      </c>
      <c r="K16" s="71" t="n">
        <f aca="false">SUMIFS(LG_DEBT,LG_TYPE,"بضاعة",LG_M,11)</f>
        <v>0</v>
      </c>
      <c r="L16" s="71" t="n">
        <f aca="false">SUMIFS(LG_DEBT,LG_TYPE,"قرض كاش",LG_M,11)</f>
        <v>0</v>
      </c>
    </row>
    <row r="17" customFormat="false" ht="15" hidden="false" customHeight="false" outlineLevel="0" collapsed="false">
      <c r="A17" s="98" t="s">
        <v>131</v>
      </c>
      <c r="B17" s="28" t="n">
        <f aca="false">IFERROR(INDEX(WSAT,MATCH(12,WMON,0)),"")</f>
        <v>46354</v>
      </c>
      <c r="C17" s="28" t="n">
        <f aca="false">IFERROR(INDEX(WFRI,MATCH(12,WMON,0)+COUNTIF(WMON,12)-1),"")</f>
        <v>46381</v>
      </c>
      <c r="D17" s="70" t="n">
        <f aca="false">COUNTIF(WMON,12)</f>
        <v>4</v>
      </c>
      <c r="E17" s="71" t="n">
        <f aca="false">SUMIFS(LO_PAID,LO_MON,12)</f>
        <v>0</v>
      </c>
      <c r="F17" s="71" t="n">
        <f aca="false">SUMIFS(LZ_PAID,LZ_MON,12)+SUMIFS(LZ_DAILY,LZ_MON,12)</f>
        <v>0</v>
      </c>
      <c r="G17" s="71" t="n">
        <f aca="false">SUMIFS(ADV_AMT,ADV_M,12)</f>
        <v>0</v>
      </c>
      <c r="H17" s="71" t="n">
        <f aca="false">SUMIFS(TASK_AMT,TASK_M,12)</f>
        <v>0</v>
      </c>
      <c r="I17" s="72" t="n">
        <f aca="false">E17+F17+G17+H17</f>
        <v>0</v>
      </c>
      <c r="J17" s="71" t="n">
        <f aca="false">SUMIFS(LO_DUE,LO_MON,12)+SUMIFS(LZ_DUE,LZ_MON,12)+H17</f>
        <v>0</v>
      </c>
      <c r="K17" s="71" t="n">
        <f aca="false">SUMIFS(LG_DEBT,LG_TYPE,"بضاعة",LG_M,12)</f>
        <v>0</v>
      </c>
      <c r="L17" s="71" t="n">
        <f aca="false">SUMIFS(LG_DEBT,LG_TYPE,"قرض كاش",LG_M,12)</f>
        <v>0</v>
      </c>
    </row>
    <row r="18" customFormat="false" ht="16.15" hidden="false" customHeight="false" outlineLevel="0" collapsed="false">
      <c r="A18" s="36" t="s">
        <v>61</v>
      </c>
      <c r="B18" s="99" t="n">
        <f aca="false">SAT1</f>
        <v>46018</v>
      </c>
      <c r="C18" s="99" t="n">
        <f aca="false">SAT1+7*NW-1</f>
        <v>46381</v>
      </c>
      <c r="D18" s="100" t="n">
        <f aca="false">SUM(D6:D17)</f>
        <v>52</v>
      </c>
      <c r="E18" s="75" t="n">
        <f aca="false">SUM(E6:E17)</f>
        <v>0</v>
      </c>
      <c r="F18" s="75" t="n">
        <f aca="false">SUM(F6:F17)</f>
        <v>0</v>
      </c>
      <c r="G18" s="75" t="n">
        <f aca="false">SUM(G6:G17)</f>
        <v>0</v>
      </c>
      <c r="H18" s="75" t="n">
        <f aca="false">SUM(H6:H17)</f>
        <v>0</v>
      </c>
      <c r="I18" s="101" t="n">
        <f aca="false">SUM(I6:I17)</f>
        <v>0</v>
      </c>
      <c r="J18" s="75" t="n">
        <f aca="false">SUM(J6:J17)</f>
        <v>0</v>
      </c>
      <c r="K18" s="75" t="n">
        <f aca="false">SUM(K6:K17)</f>
        <v>0</v>
      </c>
      <c r="L18" s="75" t="n">
        <f aca="false">SUM(L6:L17)</f>
        <v>0</v>
      </c>
    </row>
    <row r="19" customFormat="false" ht="30" hidden="false" customHeight="true" outlineLevel="0" collapsed="false">
      <c r="A19" s="19" t="s">
        <v>132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1" customFormat="false" ht="16.15" hidden="false" customHeight="false" outlineLevel="0" collapsed="false">
      <c r="A21" s="69" t="str">
        <f aca="false">"وضع كل موظف لحد: "&amp;INDEX(WTITLE,WK)</f>
        <v>وضع كل موظف لحد: من السبت 26/09/2026 إلى الجمعة 02/10/2026 · الأسبوع 40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</row>
    <row r="22" customFormat="false" ht="36" hidden="false" customHeight="true" outlineLevel="0" collapsed="false">
      <c r="A22" s="97" t="s">
        <v>7</v>
      </c>
      <c r="B22" s="97" t="s">
        <v>133</v>
      </c>
      <c r="C22" s="97" t="s">
        <v>8</v>
      </c>
      <c r="D22" s="97" t="s">
        <v>134</v>
      </c>
      <c r="E22" s="97" t="s">
        <v>135</v>
      </c>
      <c r="F22" s="97" t="s">
        <v>136</v>
      </c>
      <c r="G22" s="97" t="s">
        <v>137</v>
      </c>
      <c r="H22" s="97" t="s">
        <v>138</v>
      </c>
      <c r="I22" s="97" t="s">
        <v>14</v>
      </c>
      <c r="J22" s="97" t="s">
        <v>139</v>
      </c>
    </row>
    <row r="23" customFormat="false" ht="15" hidden="false" customHeight="false" outlineLevel="0" collapsed="false">
      <c r="A23" s="62" t="s">
        <v>15</v>
      </c>
      <c r="B23" s="31" t="n">
        <f aca="false">IF(1&lt;=WK,N('ساعات عمر'!E16),0)+IF(2&lt;=WK,N('ساعات عمر'!E28),0)+IF(3&lt;=WK,N('ساعات عمر'!E40),0)+IF(4&lt;=WK,N('ساعات عمر'!E52),0)+IF(5&lt;=WK,N('ساعات عمر'!E64),0)+IF(6&lt;=WK,N('ساعات عمر'!E76),0)+IF(7&lt;=WK,N('ساعات عمر'!E88),0)+IF(8&lt;=WK,N('ساعات عمر'!E100),0)+IF(9&lt;=WK,N('ساعات عمر'!E112),0)+IF(10&lt;=WK,N('ساعات عمر'!E124),0)+IF(11&lt;=WK,N('ساعات عمر'!E136),0)+IF(12&lt;=WK,N('ساعات عمر'!E148),0)+IF(13&lt;=WK,N('ساعات عمر'!E160),0)+IF(14&lt;=WK,N('ساعات عمر'!E172),0)+IF(15&lt;=WK,N('ساعات عمر'!E184),0)+IF(16&lt;=WK,N('ساعات عمر'!E196),0)+IF(17&lt;=WK,N('ساعات عمر'!E208),0)+IF(18&lt;=WK,N('ساعات عمر'!E220),0)+IF(19&lt;=WK,N('ساعات عمر'!E232),0)+IF(20&lt;=WK,N('ساعات عمر'!E244),0)+IF(21&lt;=WK,N('ساعات عمر'!E256),0)+IF(22&lt;=WK,N('ساعات عمر'!E268),0)+IF(23&lt;=WK,N('ساعات عمر'!E280),0)+IF(24&lt;=WK,N('ساعات عمر'!E292),0)+IF(25&lt;=WK,N('ساعات عمر'!E304),0)+IF(26&lt;=WK,N('ساعات عمر'!E316),0)+IF(27&lt;=WK,N('ساعات عمر'!E328),0)+IF(28&lt;=WK,N('ساعات عمر'!E340),0)+IF(29&lt;=WK,N('ساعات عمر'!E352),0)+IF(30&lt;=WK,N('ساعات عمر'!E364),0)+IF(31&lt;=WK,N('ساعات عمر'!E376),0)+IF(32&lt;=WK,N('ساعات عمر'!E388),0)+IF(33&lt;=WK,N('ساعات عمر'!E400),0)+IF(34&lt;=WK,N('ساعات عمر'!E412),0)+IF(35&lt;=WK,N('ساعات عمر'!E424),0)+IF(36&lt;=WK,N('ساعات عمر'!E436),0)+IF(37&lt;=WK,N('ساعات عمر'!E448),0)+IF(38&lt;=WK,N('ساعات عمر'!E460),0)+IF(39&lt;=WK,N('ساعات عمر'!E472),0)+IF(40&lt;=WK,N('ساعات عمر'!E484),0)+IF(41&lt;=WK,N('ساعات عمر'!E496),0)+IF(42&lt;=WK,N('ساعات عمر'!E508),0)+IF(43&lt;=WK,N('ساعات عمر'!E520),0)+IF(44&lt;=WK,N('ساعات عمر'!E532),0)+IF(45&lt;=WK,N('ساعات عمر'!E544),0)+IF(46&lt;=WK,N('ساعات عمر'!E556),0)+IF(47&lt;=WK,N('ساعات عمر'!E568),0)+IF(48&lt;=WK,N('ساعات عمر'!E580),0)+IF(49&lt;=WK,N('ساعات عمر'!E592),0)+IF(50&lt;=WK,N('ساعات عمر'!E604),0)+IF(51&lt;=WK,N('ساعات عمر'!E616),0)+IF(52&lt;=WK,N('ساعات عمر'!E628),0)+IF(53&lt;=WK,N('ساعات عمر'!E640),0)</f>
        <v>0</v>
      </c>
      <c r="C23" s="63" t="n">
        <f aca="false">السنة!$C$6+SUMIFS(LO_DUE,LO_WK,"&lt;="&amp;WK)</f>
        <v>0</v>
      </c>
      <c r="D23" s="71" t="n">
        <f aca="false">SUMIFS(LO_PAID,LO_WK,"&lt;="&amp;WK)+SUMIFS(LO_DAILY,LO_WK,"&lt;="&amp;WK)</f>
        <v>0</v>
      </c>
      <c r="E23" s="71" t="n">
        <f aca="false">SUMIFS(LO_ADV,LO_WK,"&lt;="&amp;WK)</f>
        <v>0</v>
      </c>
      <c r="F23" s="71" t="n">
        <f aca="false">SUMIFS(LO_INST,LO_WK,"&lt;="&amp;WK)</f>
        <v>0</v>
      </c>
      <c r="G23" s="71" t="n">
        <f aca="false">N(INDEX(LO_REM,WK))</f>
        <v>0</v>
      </c>
      <c r="H23" s="63" t="n">
        <f aca="false">D23+E23+F23+G23</f>
        <v>0</v>
      </c>
      <c r="I23" s="16" t="n">
        <f aca="false">N(INDEX(LO_DEBT,WK))</f>
        <v>0</v>
      </c>
      <c r="J23" s="102" t="str">
        <f aca="false">IF(ABS(H23-C23)&lt;0.0005,"✔ مطابق","⚠️ فرق "&amp;TEXT(H23-C23,"0.000"))</f>
        <v>✔ مطابق</v>
      </c>
    </row>
    <row r="24" customFormat="false" ht="15" hidden="false" customHeight="false" outlineLevel="0" collapsed="false">
      <c r="A24" s="62" t="s">
        <v>16</v>
      </c>
      <c r="B24" s="31" t="n">
        <f aca="false">IF(1&lt;=WK,N('ساعات عبدالعزيز'!E16),0)+IF(2&lt;=WK,N('ساعات عبدالعزيز'!E28),0)+IF(3&lt;=WK,N('ساعات عبدالعزيز'!E40),0)+IF(4&lt;=WK,N('ساعات عبدالعزيز'!E52),0)+IF(5&lt;=WK,N('ساعات عبدالعزيز'!E64),0)+IF(6&lt;=WK,N('ساعات عبدالعزيز'!E76),0)+IF(7&lt;=WK,N('ساعات عبدالعزيز'!E88),0)+IF(8&lt;=WK,N('ساعات عبدالعزيز'!E100),0)+IF(9&lt;=WK,N('ساعات عبدالعزيز'!E112),0)+IF(10&lt;=WK,N('ساعات عبدالعزيز'!E124),0)+IF(11&lt;=WK,N('ساعات عبدالعزيز'!E136),0)+IF(12&lt;=WK,N('ساعات عبدالعزيز'!E148),0)+IF(13&lt;=WK,N('ساعات عبدالعزيز'!E160),0)+IF(14&lt;=WK,N('ساعات عبدالعزيز'!E172),0)+IF(15&lt;=WK,N('ساعات عبدالعزيز'!E184),0)+IF(16&lt;=WK,N('ساعات عبدالعزيز'!E196),0)+IF(17&lt;=WK,N('ساعات عبدالعزيز'!E208),0)+IF(18&lt;=WK,N('ساعات عبدالعزيز'!E220),0)+IF(19&lt;=WK,N('ساعات عبدالعزيز'!E232),0)+IF(20&lt;=WK,N('ساعات عبدالعزيز'!E244),0)+IF(21&lt;=WK,N('ساعات عبدالعزيز'!E256),0)+IF(22&lt;=WK,N('ساعات عبدالعزيز'!E268),0)+IF(23&lt;=WK,N('ساعات عبدالعزيز'!E280),0)+IF(24&lt;=WK,N('ساعات عبدالعزيز'!E292),0)+IF(25&lt;=WK,N('ساعات عبدالعزيز'!E304),0)+IF(26&lt;=WK,N('ساعات عبدالعزيز'!E316),0)+IF(27&lt;=WK,N('ساعات عبدالعزيز'!E328),0)+IF(28&lt;=WK,N('ساعات عبدالعزيز'!E340),0)+IF(29&lt;=WK,N('ساعات عبدالعزيز'!E352),0)+IF(30&lt;=WK,N('ساعات عبدالعزيز'!E364),0)+IF(31&lt;=WK,N('ساعات عبدالعزيز'!E376),0)+IF(32&lt;=WK,N('ساعات عبدالعزيز'!E388),0)+IF(33&lt;=WK,N('ساعات عبدالعزيز'!E400),0)+IF(34&lt;=WK,N('ساعات عبدالعزيز'!E412),0)+IF(35&lt;=WK,N('ساعات عبدالعزيز'!E424),0)+IF(36&lt;=WK,N('ساعات عبدالعزيز'!E436),0)+IF(37&lt;=WK,N('ساعات عبدالعزيز'!E448),0)+IF(38&lt;=WK,N('ساعات عبدالعزيز'!E460),0)+IF(39&lt;=WK,N('ساعات عبدالعزيز'!E472),0)+IF(40&lt;=WK,N('ساعات عبدالعزيز'!E484),0)+IF(41&lt;=WK,N('ساعات عبدالعزيز'!E496),0)+IF(42&lt;=WK,N('ساعات عبدالعزيز'!E508),0)+IF(43&lt;=WK,N('ساعات عبدالعزيز'!E520),0)+IF(44&lt;=WK,N('ساعات عبدالعزيز'!E532),0)+IF(45&lt;=WK,N('ساعات عبدالعزيز'!E544),0)+IF(46&lt;=WK,N('ساعات عبدالعزيز'!E556),0)+IF(47&lt;=WK,N('ساعات عبدالعزيز'!E568),0)+IF(48&lt;=WK,N('ساعات عبدالعزيز'!E580),0)+IF(49&lt;=WK,N('ساعات عبدالعزيز'!E592),0)+IF(50&lt;=WK,N('ساعات عبدالعزيز'!E604),0)+IF(51&lt;=WK,N('ساعات عبدالعزيز'!E616),0)+IF(52&lt;=WK,N('ساعات عبدالعزيز'!E628),0)+IF(53&lt;=WK,N('ساعات عبدالعزيز'!E640),0)</f>
        <v>0</v>
      </c>
      <c r="C24" s="63" t="n">
        <f aca="false">السنة!$C$7+SUMIFS(LZ_DUE,LZ_WK,"&lt;="&amp;WK)</f>
        <v>0</v>
      </c>
      <c r="D24" s="71" t="n">
        <f aca="false">SUMIFS(LZ_PAID,LZ_WK,"&lt;="&amp;WK)+SUMIFS(LZ_DAILY,LZ_WK,"&lt;="&amp;WK)</f>
        <v>0</v>
      </c>
      <c r="E24" s="71" t="n">
        <f aca="false">SUMIFS(LZ_ADV,LZ_WK,"&lt;="&amp;WK)</f>
        <v>0</v>
      </c>
      <c r="F24" s="71" t="n">
        <f aca="false">SUMIFS(LZ_INST,LZ_WK,"&lt;="&amp;WK)</f>
        <v>0</v>
      </c>
      <c r="G24" s="71" t="n">
        <f aca="false">N(INDEX(LZ_REM,WK))</f>
        <v>0</v>
      </c>
      <c r="H24" s="63" t="n">
        <f aca="false">D24+E24+F24+G24</f>
        <v>0</v>
      </c>
      <c r="I24" s="16" t="n">
        <f aca="false">N(INDEX(LZ_DEBT,WK))</f>
        <v>0</v>
      </c>
      <c r="J24" s="102" t="str">
        <f aca="false">IF(ABS(H24-C24)&lt;0.0005,"✔ مطابق","⚠️ فرق "&amp;TEXT(H24-C24,"0.000"))</f>
        <v>✔ مطابق</v>
      </c>
    </row>
    <row r="25" customFormat="false" ht="15" hidden="false" customHeight="false" outlineLevel="0" collapsed="false">
      <c r="A25" s="103" t="str">
        <f aca="false">"• "&amp;A23&amp;": "&amp;IF(G23&gt;0.0005,"المحل لسا مدين إله بـ "&amp;TEXT(G23,"0.000"),IF(G23&lt;-0.0005,"قبض زيادة "&amp;TEXT(-G23,"0.000"),"مخالص — ما إله شي"))&amp;IF(I23&gt;0.0005,"  ·  وعليه دين "&amp;TEXT(I23,"0.000"),"")</f>
        <v>• عمر المصري: مخالص — ما إله شي</v>
      </c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</row>
    <row r="26" customFormat="false" ht="15" hidden="false" customHeight="false" outlineLevel="0" collapsed="false">
      <c r="A26" s="103" t="str">
        <f aca="false">"• "&amp;A24&amp;": "&amp;IF(G24&gt;0.0005,"المحل لسا مدين إله بـ "&amp;TEXT(G24,"0.000"),IF(G24&lt;-0.0005,"قبض زيادة "&amp;TEXT(-G24,"0.000"),"مخالص — ما إله شي"))&amp;IF(I24&gt;0.0005,"  ·  وعليه دين "&amp;TEXT(I24,"0.000"),"")</f>
        <v>• عبدالعزيز: مخالص — ما إله شي</v>
      </c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</row>
    <row r="27" customFormat="false" ht="15" hidden="false" customHeight="true" outlineLevel="0" collapsed="false">
      <c r="A27" s="19" t="s">
        <v>140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9" customFormat="false" ht="16.15" hidden="false" customHeight="true" outlineLevel="0" collapsed="false">
      <c r="A29" s="104" t="s">
        <v>141</v>
      </c>
      <c r="B29" s="104"/>
      <c r="C29" s="104"/>
      <c r="D29" s="104"/>
      <c r="E29" s="104"/>
      <c r="F29" s="104"/>
      <c r="H29" s="105" t="s">
        <v>142</v>
      </c>
      <c r="I29" s="106" t="n">
        <f aca="false">INDEX(WMON,WK)</f>
        <v>10</v>
      </c>
      <c r="J29" s="19" t="str">
        <f aca="false">IFERROR("من "&amp;TEXT(DAY(INDEX(WSAT,MATCH(I29,WMON,0))),"00")&amp;"/"&amp;TEXT(MONTH(INDEX(WSAT,MATCH(I29,WMON,0))),"00")&amp;"/"&amp;YEAR(INDEX(WSAT,MATCH(I29,WMON,0)))&amp;" إلى "&amp;TEXT(DAY(INDEX(WFRI,MATCH(I29,WMON,0)+COUNTIF(WMON,I29)-1)),"00")&amp;"/"&amp;TEXT(MONTH(INDEX(WFRI,MATCH(I29,WMON,0)+COUNTIF(WMON,I29)-1)),"00")&amp;"/"&amp;YEAR(INDEX(WFRI,MATCH(I29,WMON,0)+COUNTIF(WMON,I29)-1)),"")</f>
        <v>من 26/09/2026 إلى 30/10/2026</v>
      </c>
      <c r="K29" s="19"/>
      <c r="L29" s="19"/>
    </row>
    <row r="30" customFormat="false" ht="27.75" hidden="false" customHeight="true" outlineLevel="0" collapsed="false">
      <c r="A30" s="107" t="s">
        <v>83</v>
      </c>
      <c r="B30" s="107" t="s">
        <v>143</v>
      </c>
      <c r="C30" s="107" t="s">
        <v>144</v>
      </c>
      <c r="D30" s="107" t="s">
        <v>145</v>
      </c>
      <c r="E30" s="107" t="s">
        <v>146</v>
      </c>
      <c r="F30" s="107" t="s">
        <v>147</v>
      </c>
    </row>
    <row r="31" customFormat="false" ht="15" hidden="false" customHeight="false" outlineLevel="0" collapsed="false">
      <c r="A31" s="29" t="str">
        <f aca="false">IF(B31="","",1)</f>
        <v/>
      </c>
      <c r="B31" s="29" t="str">
        <f aca="false">IFERROR(INDEX(TASK_B,MATCH(1,TASK_G,0)),"")</f>
        <v/>
      </c>
      <c r="C31" s="29" t="str">
        <f aca="false">IF(B31="","",COUNTIF(TASK_B,B31))</f>
        <v/>
      </c>
      <c r="D31" s="71" t="str">
        <f aca="false">IF(B31="","",SUMIFS(TASK_AMT,TASK_B,B31))</f>
        <v/>
      </c>
      <c r="E31" s="29" t="str">
        <f aca="false">IF(B31="","",COUNTIFS(TASK_B,B31,TASK_M,$I$29))</f>
        <v/>
      </c>
      <c r="F31" s="71" t="str">
        <f aca="false">IF(B31="","",SUMIFS(TASK_AMT,TASK_B,B31,TASK_M,$I$29))</f>
        <v/>
      </c>
    </row>
    <row r="32" customFormat="false" ht="15" hidden="false" customHeight="false" outlineLevel="0" collapsed="false">
      <c r="A32" s="29" t="str">
        <f aca="false">IF(B32="","",2)</f>
        <v/>
      </c>
      <c r="B32" s="29" t="str">
        <f aca="false">IFERROR(INDEX(TASK_B,MATCH(2,TASK_G,0)),"")</f>
        <v/>
      </c>
      <c r="C32" s="29" t="str">
        <f aca="false">IF(B32="","",COUNTIF(TASK_B,B32))</f>
        <v/>
      </c>
      <c r="D32" s="71" t="str">
        <f aca="false">IF(B32="","",SUMIFS(TASK_AMT,TASK_B,B32))</f>
        <v/>
      </c>
      <c r="E32" s="29" t="str">
        <f aca="false">IF(B32="","",COUNTIFS(TASK_B,B32,TASK_M,$I$29))</f>
        <v/>
      </c>
      <c r="F32" s="71" t="str">
        <f aca="false">IF(B32="","",SUMIFS(TASK_AMT,TASK_B,B32,TASK_M,$I$29))</f>
        <v/>
      </c>
    </row>
    <row r="33" customFormat="false" ht="15" hidden="false" customHeight="false" outlineLevel="0" collapsed="false">
      <c r="A33" s="29" t="str">
        <f aca="false">IF(B33="","",3)</f>
        <v/>
      </c>
      <c r="B33" s="29" t="str">
        <f aca="false">IFERROR(INDEX(TASK_B,MATCH(3,TASK_G,0)),"")</f>
        <v/>
      </c>
      <c r="C33" s="29" t="str">
        <f aca="false">IF(B33="","",COUNTIF(TASK_B,B33))</f>
        <v/>
      </c>
      <c r="D33" s="71" t="str">
        <f aca="false">IF(B33="","",SUMIFS(TASK_AMT,TASK_B,B33))</f>
        <v/>
      </c>
      <c r="E33" s="29" t="str">
        <f aca="false">IF(B33="","",COUNTIFS(TASK_B,B33,TASK_M,$I$29))</f>
        <v/>
      </c>
      <c r="F33" s="71" t="str">
        <f aca="false">IF(B33="","",SUMIFS(TASK_AMT,TASK_B,B33,TASK_M,$I$29))</f>
        <v/>
      </c>
    </row>
    <row r="34" customFormat="false" ht="15" hidden="false" customHeight="false" outlineLevel="0" collapsed="false">
      <c r="A34" s="29" t="str">
        <f aca="false">IF(B34="","",4)</f>
        <v/>
      </c>
      <c r="B34" s="29" t="str">
        <f aca="false">IFERROR(INDEX(TASK_B,MATCH(4,TASK_G,0)),"")</f>
        <v/>
      </c>
      <c r="C34" s="29" t="str">
        <f aca="false">IF(B34="","",COUNTIF(TASK_B,B34))</f>
        <v/>
      </c>
      <c r="D34" s="71" t="str">
        <f aca="false">IF(B34="","",SUMIFS(TASK_AMT,TASK_B,B34))</f>
        <v/>
      </c>
      <c r="E34" s="29" t="str">
        <f aca="false">IF(B34="","",COUNTIFS(TASK_B,B34,TASK_M,$I$29))</f>
        <v/>
      </c>
      <c r="F34" s="71" t="str">
        <f aca="false">IF(B34="","",SUMIFS(TASK_AMT,TASK_B,B34,TASK_M,$I$29))</f>
        <v/>
      </c>
    </row>
    <row r="35" customFormat="false" ht="15" hidden="false" customHeight="false" outlineLevel="0" collapsed="false">
      <c r="A35" s="29" t="str">
        <f aca="false">IF(B35="","",5)</f>
        <v/>
      </c>
      <c r="B35" s="29" t="str">
        <f aca="false">IFERROR(INDEX(TASK_B,MATCH(5,TASK_G,0)),"")</f>
        <v/>
      </c>
      <c r="C35" s="29" t="str">
        <f aca="false">IF(B35="","",COUNTIF(TASK_B,B35))</f>
        <v/>
      </c>
      <c r="D35" s="71" t="str">
        <f aca="false">IF(B35="","",SUMIFS(TASK_AMT,TASK_B,B35))</f>
        <v/>
      </c>
      <c r="E35" s="29" t="str">
        <f aca="false">IF(B35="","",COUNTIFS(TASK_B,B35,TASK_M,$I$29))</f>
        <v/>
      </c>
      <c r="F35" s="71" t="str">
        <f aca="false">IF(B35="","",SUMIFS(TASK_AMT,TASK_B,B35,TASK_M,$I$29))</f>
        <v/>
      </c>
    </row>
    <row r="36" customFormat="false" ht="15" hidden="false" customHeight="false" outlineLevel="0" collapsed="false">
      <c r="A36" s="29" t="str">
        <f aca="false">IF(B36="","",6)</f>
        <v/>
      </c>
      <c r="B36" s="29" t="str">
        <f aca="false">IFERROR(INDEX(TASK_B,MATCH(6,TASK_G,0)),"")</f>
        <v/>
      </c>
      <c r="C36" s="29" t="str">
        <f aca="false">IF(B36="","",COUNTIF(TASK_B,B36))</f>
        <v/>
      </c>
      <c r="D36" s="71" t="str">
        <f aca="false">IF(B36="","",SUMIFS(TASK_AMT,TASK_B,B36))</f>
        <v/>
      </c>
      <c r="E36" s="29" t="str">
        <f aca="false">IF(B36="","",COUNTIFS(TASK_B,B36,TASK_M,$I$29))</f>
        <v/>
      </c>
      <c r="F36" s="71" t="str">
        <f aca="false">IF(B36="","",SUMIFS(TASK_AMT,TASK_B,B36,TASK_M,$I$29))</f>
        <v/>
      </c>
    </row>
    <row r="37" customFormat="false" ht="15" hidden="false" customHeight="false" outlineLevel="0" collapsed="false">
      <c r="A37" s="29" t="str">
        <f aca="false">IF(B37="","",7)</f>
        <v/>
      </c>
      <c r="B37" s="29" t="str">
        <f aca="false">IFERROR(INDEX(TASK_B,MATCH(7,TASK_G,0)),"")</f>
        <v/>
      </c>
      <c r="C37" s="29" t="str">
        <f aca="false">IF(B37="","",COUNTIF(TASK_B,B37))</f>
        <v/>
      </c>
      <c r="D37" s="71" t="str">
        <f aca="false">IF(B37="","",SUMIFS(TASK_AMT,TASK_B,B37))</f>
        <v/>
      </c>
      <c r="E37" s="29" t="str">
        <f aca="false">IF(B37="","",COUNTIFS(TASK_B,B37,TASK_M,$I$29))</f>
        <v/>
      </c>
      <c r="F37" s="71" t="str">
        <f aca="false">IF(B37="","",SUMIFS(TASK_AMT,TASK_B,B37,TASK_M,$I$29))</f>
        <v/>
      </c>
    </row>
    <row r="38" customFormat="false" ht="15" hidden="false" customHeight="false" outlineLevel="0" collapsed="false">
      <c r="A38" s="29" t="str">
        <f aca="false">IF(B38="","",8)</f>
        <v/>
      </c>
      <c r="B38" s="29" t="str">
        <f aca="false">IFERROR(INDEX(TASK_B,MATCH(8,TASK_G,0)),"")</f>
        <v/>
      </c>
      <c r="C38" s="29" t="str">
        <f aca="false">IF(B38="","",COUNTIF(TASK_B,B38))</f>
        <v/>
      </c>
      <c r="D38" s="71" t="str">
        <f aca="false">IF(B38="","",SUMIFS(TASK_AMT,TASK_B,B38))</f>
        <v/>
      </c>
      <c r="E38" s="29" t="str">
        <f aca="false">IF(B38="","",COUNTIFS(TASK_B,B38,TASK_M,$I$29))</f>
        <v/>
      </c>
      <c r="F38" s="71" t="str">
        <f aca="false">IF(B38="","",SUMIFS(TASK_AMT,TASK_B,B38,TASK_M,$I$29))</f>
        <v/>
      </c>
    </row>
    <row r="39" customFormat="false" ht="15" hidden="false" customHeight="false" outlineLevel="0" collapsed="false">
      <c r="A39" s="29" t="str">
        <f aca="false">IF(B39="","",9)</f>
        <v/>
      </c>
      <c r="B39" s="29" t="str">
        <f aca="false">IFERROR(INDEX(TASK_B,MATCH(9,TASK_G,0)),"")</f>
        <v/>
      </c>
      <c r="C39" s="29" t="str">
        <f aca="false">IF(B39="","",COUNTIF(TASK_B,B39))</f>
        <v/>
      </c>
      <c r="D39" s="71" t="str">
        <f aca="false">IF(B39="","",SUMIFS(TASK_AMT,TASK_B,B39))</f>
        <v/>
      </c>
      <c r="E39" s="29" t="str">
        <f aca="false">IF(B39="","",COUNTIFS(TASK_B,B39,TASK_M,$I$29))</f>
        <v/>
      </c>
      <c r="F39" s="71" t="str">
        <f aca="false">IF(B39="","",SUMIFS(TASK_AMT,TASK_B,B39,TASK_M,$I$29))</f>
        <v/>
      </c>
    </row>
    <row r="40" customFormat="false" ht="15" hidden="false" customHeight="false" outlineLevel="0" collapsed="false">
      <c r="A40" s="29" t="str">
        <f aca="false">IF(B40="","",10)</f>
        <v/>
      </c>
      <c r="B40" s="29" t="str">
        <f aca="false">IFERROR(INDEX(TASK_B,MATCH(10,TASK_G,0)),"")</f>
        <v/>
      </c>
      <c r="C40" s="29" t="str">
        <f aca="false">IF(B40="","",COUNTIF(TASK_B,B40))</f>
        <v/>
      </c>
      <c r="D40" s="71" t="str">
        <f aca="false">IF(B40="","",SUMIFS(TASK_AMT,TASK_B,B40))</f>
        <v/>
      </c>
      <c r="E40" s="29" t="str">
        <f aca="false">IF(B40="","",COUNTIFS(TASK_B,B40,TASK_M,$I$29))</f>
        <v/>
      </c>
      <c r="F40" s="71" t="str">
        <f aca="false">IF(B40="","",SUMIFS(TASK_AMT,TASK_B,B40,TASK_M,$I$29))</f>
        <v/>
      </c>
    </row>
    <row r="41" customFormat="false" ht="15" hidden="false" customHeight="false" outlineLevel="0" collapsed="false">
      <c r="A41" s="29" t="str">
        <f aca="false">IF(B41="","",11)</f>
        <v/>
      </c>
      <c r="B41" s="29" t="str">
        <f aca="false">IFERROR(INDEX(TASK_B,MATCH(11,TASK_G,0)),"")</f>
        <v/>
      </c>
      <c r="C41" s="29" t="str">
        <f aca="false">IF(B41="","",COUNTIF(TASK_B,B41))</f>
        <v/>
      </c>
      <c r="D41" s="71" t="str">
        <f aca="false">IF(B41="","",SUMIFS(TASK_AMT,TASK_B,B41))</f>
        <v/>
      </c>
      <c r="E41" s="29" t="str">
        <f aca="false">IF(B41="","",COUNTIFS(TASK_B,B41,TASK_M,$I$29))</f>
        <v/>
      </c>
      <c r="F41" s="71" t="str">
        <f aca="false">IF(B41="","",SUMIFS(TASK_AMT,TASK_B,B41,TASK_M,$I$29))</f>
        <v/>
      </c>
    </row>
    <row r="42" customFormat="false" ht="15" hidden="false" customHeight="false" outlineLevel="0" collapsed="false">
      <c r="A42" s="29" t="str">
        <f aca="false">IF(B42="","",12)</f>
        <v/>
      </c>
      <c r="B42" s="29" t="str">
        <f aca="false">IFERROR(INDEX(TASK_B,MATCH(12,TASK_G,0)),"")</f>
        <v/>
      </c>
      <c r="C42" s="29" t="str">
        <f aca="false">IF(B42="","",COUNTIF(TASK_B,B42))</f>
        <v/>
      </c>
      <c r="D42" s="71" t="str">
        <f aca="false">IF(B42="","",SUMIFS(TASK_AMT,TASK_B,B42))</f>
        <v/>
      </c>
      <c r="E42" s="29" t="str">
        <f aca="false">IF(B42="","",COUNTIFS(TASK_B,B42,TASK_M,$I$29))</f>
        <v/>
      </c>
      <c r="F42" s="71" t="str">
        <f aca="false">IF(B42="","",SUMIFS(TASK_AMT,TASK_B,B42,TASK_M,$I$29))</f>
        <v/>
      </c>
    </row>
    <row r="43" customFormat="false" ht="15" hidden="false" customHeight="false" outlineLevel="0" collapsed="false">
      <c r="A43" s="29" t="str">
        <f aca="false">IF(B43="","",13)</f>
        <v/>
      </c>
      <c r="B43" s="29" t="str">
        <f aca="false">IFERROR(INDEX(TASK_B,MATCH(13,TASK_G,0)),"")</f>
        <v/>
      </c>
      <c r="C43" s="29" t="str">
        <f aca="false">IF(B43="","",COUNTIF(TASK_B,B43))</f>
        <v/>
      </c>
      <c r="D43" s="71" t="str">
        <f aca="false">IF(B43="","",SUMIFS(TASK_AMT,TASK_B,B43))</f>
        <v/>
      </c>
      <c r="E43" s="29" t="str">
        <f aca="false">IF(B43="","",COUNTIFS(TASK_B,B43,TASK_M,$I$29))</f>
        <v/>
      </c>
      <c r="F43" s="71" t="str">
        <f aca="false">IF(B43="","",SUMIFS(TASK_AMT,TASK_B,B43,TASK_M,$I$29))</f>
        <v/>
      </c>
    </row>
    <row r="44" customFormat="false" ht="15" hidden="false" customHeight="false" outlineLevel="0" collapsed="false">
      <c r="A44" s="29" t="str">
        <f aca="false">IF(B44="","",14)</f>
        <v/>
      </c>
      <c r="B44" s="29" t="str">
        <f aca="false">IFERROR(INDEX(TASK_B,MATCH(14,TASK_G,0)),"")</f>
        <v/>
      </c>
      <c r="C44" s="29" t="str">
        <f aca="false">IF(B44="","",COUNTIF(TASK_B,B44))</f>
        <v/>
      </c>
      <c r="D44" s="71" t="str">
        <f aca="false">IF(B44="","",SUMIFS(TASK_AMT,TASK_B,B44))</f>
        <v/>
      </c>
      <c r="E44" s="29" t="str">
        <f aca="false">IF(B44="","",COUNTIFS(TASK_B,B44,TASK_M,$I$29))</f>
        <v/>
      </c>
      <c r="F44" s="71" t="str">
        <f aca="false">IF(B44="","",SUMIFS(TASK_AMT,TASK_B,B44,TASK_M,$I$29))</f>
        <v/>
      </c>
    </row>
    <row r="45" customFormat="false" ht="15" hidden="false" customHeight="false" outlineLevel="0" collapsed="false">
      <c r="A45" s="29" t="str">
        <f aca="false">IF(B45="","",15)</f>
        <v/>
      </c>
      <c r="B45" s="29" t="str">
        <f aca="false">IFERROR(INDEX(TASK_B,MATCH(15,TASK_G,0)),"")</f>
        <v/>
      </c>
      <c r="C45" s="29" t="str">
        <f aca="false">IF(B45="","",COUNTIF(TASK_B,B45))</f>
        <v/>
      </c>
      <c r="D45" s="71" t="str">
        <f aca="false">IF(B45="","",SUMIFS(TASK_AMT,TASK_B,B45))</f>
        <v/>
      </c>
      <c r="E45" s="29" t="str">
        <f aca="false">IF(B45="","",COUNTIFS(TASK_B,B45,TASK_M,$I$29))</f>
        <v/>
      </c>
      <c r="F45" s="71" t="str">
        <f aca="false">IF(B45="","",SUMIFS(TASK_AMT,TASK_B,B45,TASK_M,$I$29))</f>
        <v/>
      </c>
    </row>
    <row r="46" customFormat="false" ht="15" hidden="false" customHeight="false" outlineLevel="0" collapsed="false">
      <c r="A46" s="29" t="str">
        <f aca="false">IF(B46="","",16)</f>
        <v/>
      </c>
      <c r="B46" s="29" t="str">
        <f aca="false">IFERROR(INDEX(TASK_B,MATCH(16,TASK_G,0)),"")</f>
        <v/>
      </c>
      <c r="C46" s="29" t="str">
        <f aca="false">IF(B46="","",COUNTIF(TASK_B,B46))</f>
        <v/>
      </c>
      <c r="D46" s="71" t="str">
        <f aca="false">IF(B46="","",SUMIFS(TASK_AMT,TASK_B,B46))</f>
        <v/>
      </c>
      <c r="E46" s="29" t="str">
        <f aca="false">IF(B46="","",COUNTIFS(TASK_B,B46,TASK_M,$I$29))</f>
        <v/>
      </c>
      <c r="F46" s="71" t="str">
        <f aca="false">IF(B46="","",SUMIFS(TASK_AMT,TASK_B,B46,TASK_M,$I$29))</f>
        <v/>
      </c>
    </row>
    <row r="47" customFormat="false" ht="15" hidden="false" customHeight="false" outlineLevel="0" collapsed="false">
      <c r="A47" s="29" t="str">
        <f aca="false">IF(B47="","",17)</f>
        <v/>
      </c>
      <c r="B47" s="29" t="str">
        <f aca="false">IFERROR(INDEX(TASK_B,MATCH(17,TASK_G,0)),"")</f>
        <v/>
      </c>
      <c r="C47" s="29" t="str">
        <f aca="false">IF(B47="","",COUNTIF(TASK_B,B47))</f>
        <v/>
      </c>
      <c r="D47" s="71" t="str">
        <f aca="false">IF(B47="","",SUMIFS(TASK_AMT,TASK_B,B47))</f>
        <v/>
      </c>
      <c r="E47" s="29" t="str">
        <f aca="false">IF(B47="","",COUNTIFS(TASK_B,B47,TASK_M,$I$29))</f>
        <v/>
      </c>
      <c r="F47" s="71" t="str">
        <f aca="false">IF(B47="","",SUMIFS(TASK_AMT,TASK_B,B47,TASK_M,$I$29))</f>
        <v/>
      </c>
    </row>
    <row r="48" customFormat="false" ht="15" hidden="false" customHeight="false" outlineLevel="0" collapsed="false">
      <c r="A48" s="29" t="str">
        <f aca="false">IF(B48="","",18)</f>
        <v/>
      </c>
      <c r="B48" s="29" t="str">
        <f aca="false">IFERROR(INDEX(TASK_B,MATCH(18,TASK_G,0)),"")</f>
        <v/>
      </c>
      <c r="C48" s="29" t="str">
        <f aca="false">IF(B48="","",COUNTIF(TASK_B,B48))</f>
        <v/>
      </c>
      <c r="D48" s="71" t="str">
        <f aca="false">IF(B48="","",SUMIFS(TASK_AMT,TASK_B,B48))</f>
        <v/>
      </c>
      <c r="E48" s="29" t="str">
        <f aca="false">IF(B48="","",COUNTIFS(TASK_B,B48,TASK_M,$I$29))</f>
        <v/>
      </c>
      <c r="F48" s="71" t="str">
        <f aca="false">IF(B48="","",SUMIFS(TASK_AMT,TASK_B,B48,TASK_M,$I$29))</f>
        <v/>
      </c>
    </row>
    <row r="49" customFormat="false" ht="15" hidden="false" customHeight="false" outlineLevel="0" collapsed="false">
      <c r="A49" s="29" t="str">
        <f aca="false">IF(B49="","",19)</f>
        <v/>
      </c>
      <c r="B49" s="29" t="str">
        <f aca="false">IFERROR(INDEX(TASK_B,MATCH(19,TASK_G,0)),"")</f>
        <v/>
      </c>
      <c r="C49" s="29" t="str">
        <f aca="false">IF(B49="","",COUNTIF(TASK_B,B49))</f>
        <v/>
      </c>
      <c r="D49" s="71" t="str">
        <f aca="false">IF(B49="","",SUMIFS(TASK_AMT,TASK_B,B49))</f>
        <v/>
      </c>
      <c r="E49" s="29" t="str">
        <f aca="false">IF(B49="","",COUNTIFS(TASK_B,B49,TASK_M,$I$29))</f>
        <v/>
      </c>
      <c r="F49" s="71" t="str">
        <f aca="false">IF(B49="","",SUMIFS(TASK_AMT,TASK_B,B49,TASK_M,$I$29))</f>
        <v/>
      </c>
    </row>
    <row r="50" customFormat="false" ht="15" hidden="false" customHeight="false" outlineLevel="0" collapsed="false">
      <c r="A50" s="29" t="str">
        <f aca="false">IF(B50="","",20)</f>
        <v/>
      </c>
      <c r="B50" s="29" t="str">
        <f aca="false">IFERROR(INDEX(TASK_B,MATCH(20,TASK_G,0)),"")</f>
        <v/>
      </c>
      <c r="C50" s="29" t="str">
        <f aca="false">IF(B50="","",COUNTIF(TASK_B,B50))</f>
        <v/>
      </c>
      <c r="D50" s="71" t="str">
        <f aca="false">IF(B50="","",SUMIFS(TASK_AMT,TASK_B,B50))</f>
        <v/>
      </c>
      <c r="E50" s="29" t="str">
        <f aca="false">IF(B50="","",COUNTIFS(TASK_B,B50,TASK_M,$I$29))</f>
        <v/>
      </c>
      <c r="F50" s="71" t="str">
        <f aca="false">IF(B50="","",SUMIFS(TASK_AMT,TASK_B,B50,TASK_M,$I$29))</f>
        <v/>
      </c>
    </row>
    <row r="51" customFormat="false" ht="15" hidden="false" customHeight="false" outlineLevel="0" collapsed="false">
      <c r="A51" s="36"/>
      <c r="B51" s="36" t="s">
        <v>138</v>
      </c>
      <c r="C51" s="36" t="n">
        <f aca="false">COUNTA(TASK_B)</f>
        <v>0</v>
      </c>
      <c r="D51" s="75" t="n">
        <f aca="false">'عمال المهام'!D606</f>
        <v>0</v>
      </c>
      <c r="E51" s="36" t="n">
        <f aca="false">COUNTIFS(TASK_M,$I$29)</f>
        <v>0</v>
      </c>
      <c r="F51" s="75" t="n">
        <f aca="false">SUMIFS(TASK_AMT,TASK_M,$I$29)</f>
        <v>0</v>
      </c>
    </row>
  </sheetData>
  <sheetProtection sheet="true" formatColumns="false" formatRows="false"/>
  <mergeCells count="10">
    <mergeCell ref="A1:L1"/>
    <mergeCell ref="A2:L2"/>
    <mergeCell ref="A4:L4"/>
    <mergeCell ref="A19:L19"/>
    <mergeCell ref="A21:L21"/>
    <mergeCell ref="A25:L25"/>
    <mergeCell ref="A26:L26"/>
    <mergeCell ref="A27:L27"/>
    <mergeCell ref="A29:F29"/>
    <mergeCell ref="J29:L29"/>
  </mergeCells>
  <conditionalFormatting sqref="A6:L17">
    <cfRule type="expression" priority="2" aboveAverage="0" equalAverage="0" bottom="0" percent="0" rank="0" text="" dxfId="4">
      <formula>INDEX(WMON,WK)=ROW()-5</formula>
    </cfRule>
  </conditionalFormatting>
  <dataValidations count="1">
    <dataValidation allowBlank="true" errorStyle="stop" operator="between" prompt="رقم الشهر 1–12 (بيطلع لحاله شهر الأسبوع المختار)" showDropDown="false" showErrorMessage="false" showInputMessage="true" sqref="I29" type="list">
      <formula1>القوائم!$D$1:$D$12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8.65" hidden="false" customHeight="false" outlineLevel="0" collapsed="false">
      <c r="B1" s="108" t="s">
        <v>148</v>
      </c>
    </row>
    <row r="3" customFormat="false" ht="15" hidden="false" customHeight="false" outlineLevel="0" collapsed="false">
      <c r="B3" s="109" t="s">
        <v>149</v>
      </c>
    </row>
    <row r="4" customFormat="false" ht="36" hidden="false" customHeight="true" outlineLevel="0" collapsed="false">
      <c r="A4" s="110" t="s">
        <v>150</v>
      </c>
      <c r="B4" s="111" t="s">
        <v>151</v>
      </c>
    </row>
    <row r="5" customFormat="false" ht="36" hidden="false" customHeight="true" outlineLevel="0" collapsed="false">
      <c r="A5" s="110" t="s">
        <v>152</v>
      </c>
      <c r="B5" s="111" t="s">
        <v>153</v>
      </c>
    </row>
    <row r="6" customFormat="false" ht="15" hidden="false" customHeight="false" outlineLevel="0" collapsed="false">
      <c r="B6" s="109" t="s">
        <v>154</v>
      </c>
    </row>
    <row r="7" customFormat="false" ht="36" hidden="false" customHeight="true" outlineLevel="0" collapsed="false">
      <c r="A7" s="110" t="s">
        <v>155</v>
      </c>
      <c r="B7" s="111" t="s">
        <v>156</v>
      </c>
    </row>
    <row r="8" customFormat="false" ht="15" hidden="false" customHeight="false" outlineLevel="0" collapsed="false">
      <c r="B8" s="109" t="s">
        <v>157</v>
      </c>
    </row>
    <row r="9" customFormat="false" ht="36" hidden="false" customHeight="true" outlineLevel="0" collapsed="false">
      <c r="A9" s="110" t="s">
        <v>158</v>
      </c>
      <c r="B9" s="111" t="s">
        <v>159</v>
      </c>
    </row>
    <row r="10" customFormat="false" ht="15" hidden="false" customHeight="false" outlineLevel="0" collapsed="false">
      <c r="B10" s="109" t="s">
        <v>160</v>
      </c>
    </row>
    <row r="11" customFormat="false" ht="36" hidden="false" customHeight="true" outlineLevel="0" collapsed="false">
      <c r="A11" s="110" t="s">
        <v>161</v>
      </c>
      <c r="B11" s="111" t="s">
        <v>162</v>
      </c>
    </row>
    <row r="12" customFormat="false" ht="36" hidden="false" customHeight="true" outlineLevel="0" collapsed="false">
      <c r="A12" s="110" t="s">
        <v>163</v>
      </c>
      <c r="B12" s="111" t="s">
        <v>164</v>
      </c>
    </row>
    <row r="13" customFormat="false" ht="36" hidden="false" customHeight="true" outlineLevel="0" collapsed="false">
      <c r="A13" s="110" t="s">
        <v>165</v>
      </c>
      <c r="B13" s="111" t="s">
        <v>166</v>
      </c>
    </row>
    <row r="14" customFormat="false" ht="15" hidden="false" customHeight="false" outlineLevel="0" collapsed="false">
      <c r="B14" s="109" t="s">
        <v>167</v>
      </c>
    </row>
    <row r="15" customFormat="false" ht="36" hidden="false" customHeight="true" outlineLevel="0" collapsed="false">
      <c r="A15" s="110" t="s">
        <v>168</v>
      </c>
      <c r="B15" s="111" t="s">
        <v>169</v>
      </c>
    </row>
    <row r="16" customFormat="false" ht="36" hidden="false" customHeight="true" outlineLevel="0" collapsed="false">
      <c r="A16" s="110" t="s">
        <v>170</v>
      </c>
      <c r="B16" s="111" t="s">
        <v>171</v>
      </c>
    </row>
    <row r="17" customFormat="false" ht="36" hidden="false" customHeight="true" outlineLevel="0" collapsed="false">
      <c r="A17" s="110" t="s">
        <v>172</v>
      </c>
      <c r="B17" s="111" t="s">
        <v>173</v>
      </c>
    </row>
    <row r="18" customFormat="false" ht="15" hidden="false" customHeight="false" outlineLevel="0" collapsed="false">
      <c r="B18" s="109" t="s">
        <v>174</v>
      </c>
    </row>
    <row r="19" customFormat="false" ht="36" hidden="false" customHeight="true" outlineLevel="0" collapsed="false">
      <c r="A19" s="110" t="s">
        <v>175</v>
      </c>
      <c r="B19" s="111" t="s">
        <v>176</v>
      </c>
    </row>
    <row r="20" customFormat="false" ht="15" hidden="false" customHeight="false" outlineLevel="0" collapsed="false">
      <c r="B20" s="109" t="s">
        <v>177</v>
      </c>
    </row>
    <row r="21" customFormat="false" ht="36" hidden="false" customHeight="true" outlineLevel="0" collapsed="false">
      <c r="A21" s="110" t="s">
        <v>178</v>
      </c>
      <c r="B21" s="111" t="s">
        <v>179</v>
      </c>
    </row>
    <row r="22" customFormat="false" ht="15" hidden="false" customHeight="false" outlineLevel="0" collapsed="false">
      <c r="B22" s="109" t="s">
        <v>180</v>
      </c>
    </row>
    <row r="23" customFormat="false" ht="36" hidden="false" customHeight="true" outlineLevel="0" collapsed="false">
      <c r="A23" s="110" t="s">
        <v>181</v>
      </c>
      <c r="B23" s="111" t="s">
        <v>182</v>
      </c>
    </row>
    <row r="24" customFormat="false" ht="36" hidden="false" customHeight="true" outlineLevel="0" collapsed="false">
      <c r="A24" s="110" t="s">
        <v>183</v>
      </c>
      <c r="B24" s="111" t="s">
        <v>184</v>
      </c>
    </row>
    <row r="25" customFormat="false" ht="15" hidden="false" customHeight="false" outlineLevel="0" collapsed="false">
      <c r="B25" s="109" t="s">
        <v>185</v>
      </c>
    </row>
    <row r="26" customFormat="false" ht="36" hidden="false" customHeight="true" outlineLevel="0" collapsed="false">
      <c r="A26" s="110" t="s">
        <v>186</v>
      </c>
      <c r="B26" s="111" t="s">
        <v>187</v>
      </c>
    </row>
    <row r="27" customFormat="false" ht="36" hidden="false" customHeight="true" outlineLevel="0" collapsed="false">
      <c r="A27" s="110" t="s">
        <v>188</v>
      </c>
      <c r="B27" s="111" t="s">
        <v>189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190</v>
      </c>
      <c r="B1" s="33" t="n">
        <v>0.25</v>
      </c>
      <c r="D1" s="0" t="n">
        <v>1</v>
      </c>
      <c r="E1" s="0" t="n">
        <v>2026</v>
      </c>
      <c r="G1" s="24" t="n">
        <f aca="false">DATE(G4,1,1)+MOD(6-WEEKDAY(DATE(G4,1,1),1),7)-6</f>
        <v>46018</v>
      </c>
      <c r="N1" s="24" t="n">
        <f aca="true">TODAY()-13</f>
        <v>46283</v>
      </c>
      <c r="P1" s="25" t="s">
        <v>191</v>
      </c>
    </row>
    <row r="2" customFormat="false" ht="15" hidden="false" customHeight="false" outlineLevel="0" collapsed="false">
      <c r="A2" s="0" t="s">
        <v>192</v>
      </c>
      <c r="B2" s="33" t="n">
        <v>0.253472222222222</v>
      </c>
      <c r="D2" s="0" t="n">
        <v>2</v>
      </c>
      <c r="E2" s="0" t="n">
        <v>2027</v>
      </c>
      <c r="G2" s="25" t="n">
        <f aca="false">INT((DATE(G4,12,31)-(G1+6))/7)+1</f>
        <v>52</v>
      </c>
      <c r="N2" s="24" t="n">
        <f aca="true">TODAY()-12</f>
        <v>46284</v>
      </c>
      <c r="P2" s="0" t="n">
        <v>15</v>
      </c>
    </row>
    <row r="3" customFormat="false" ht="15" hidden="false" customHeight="false" outlineLevel="0" collapsed="false">
      <c r="A3" s="0" t="s">
        <v>193</v>
      </c>
      <c r="B3" s="33" t="n">
        <v>0.256944444444444</v>
      </c>
      <c r="D3" s="0" t="n">
        <v>3</v>
      </c>
      <c r="E3" s="0" t="n">
        <v>2028</v>
      </c>
      <c r="G3" s="25" t="n">
        <f aca="true">IF(AND(TODAY()&gt;=G1,TODAY()&lt;=G1+7*G2-1),INT((TODAY()-G1)/7)+1,1)</f>
        <v>40</v>
      </c>
      <c r="N3" s="24" t="n">
        <f aca="true">TODAY()-11</f>
        <v>46285</v>
      </c>
      <c r="P3" s="25" t="s">
        <v>194</v>
      </c>
    </row>
    <row r="4" customFormat="false" ht="15" hidden="false" customHeight="false" outlineLevel="0" collapsed="false">
      <c r="A4" s="0" t="s">
        <v>195</v>
      </c>
      <c r="B4" s="33" t="n">
        <v>0.260416666666667</v>
      </c>
      <c r="D4" s="0" t="n">
        <v>4</v>
      </c>
      <c r="E4" s="0" t="n">
        <v>2029</v>
      </c>
      <c r="G4" s="112" t="n">
        <f aca="false">IF(AND(ISNUMBER(السنة!$C$3),السنة!$C$3&gt;=2000,السنة!$C$3&lt;=2100),السنة!$C$3,2026)</f>
        <v>2026</v>
      </c>
      <c r="N4" s="24" t="n">
        <f aca="true">TODAY()-10</f>
        <v>46286</v>
      </c>
    </row>
    <row r="5" customFormat="false" ht="15" hidden="false" customHeight="false" outlineLevel="0" collapsed="false">
      <c r="A5" s="0" t="s">
        <v>196</v>
      </c>
      <c r="B5" s="33" t="n">
        <v>0.263888888888889</v>
      </c>
      <c r="D5" s="0" t="n">
        <v>5</v>
      </c>
      <c r="E5" s="0" t="n">
        <v>2030</v>
      </c>
      <c r="N5" s="24" t="n">
        <f aca="true">TODAY()-9</f>
        <v>46287</v>
      </c>
    </row>
    <row r="6" customFormat="false" ht="15" hidden="false" customHeight="false" outlineLevel="0" collapsed="false">
      <c r="A6" s="0" t="s">
        <v>197</v>
      </c>
      <c r="B6" s="33" t="n">
        <v>0.267361111111111</v>
      </c>
      <c r="D6" s="0" t="n">
        <v>6</v>
      </c>
      <c r="E6" s="0" t="n">
        <v>2031</v>
      </c>
      <c r="N6" s="24" t="n">
        <f aca="true">TODAY()-8</f>
        <v>46288</v>
      </c>
    </row>
    <row r="7" customFormat="false" ht="15" hidden="false" customHeight="false" outlineLevel="0" collapsed="false">
      <c r="A7" s="0" t="s">
        <v>198</v>
      </c>
      <c r="B7" s="33" t="n">
        <v>0.270833333333333</v>
      </c>
      <c r="D7" s="0" t="n">
        <v>7</v>
      </c>
      <c r="E7" s="0" t="n">
        <v>2032</v>
      </c>
      <c r="N7" s="24" t="n">
        <f aca="true">TODAY()-7</f>
        <v>46289</v>
      </c>
    </row>
    <row r="8" customFormat="false" ht="15" hidden="false" customHeight="false" outlineLevel="0" collapsed="false">
      <c r="A8" s="0" t="s">
        <v>199</v>
      </c>
      <c r="B8" s="33" t="n">
        <v>0.274305555555556</v>
      </c>
      <c r="D8" s="0" t="n">
        <v>8</v>
      </c>
      <c r="E8" s="0" t="n">
        <v>2033</v>
      </c>
      <c r="N8" s="24" t="n">
        <f aca="true">TODAY()-6</f>
        <v>46290</v>
      </c>
    </row>
    <row r="9" customFormat="false" ht="15" hidden="false" customHeight="false" outlineLevel="0" collapsed="false">
      <c r="A9" s="0" t="s">
        <v>200</v>
      </c>
      <c r="B9" s="33" t="n">
        <v>0.277777777777778</v>
      </c>
      <c r="D9" s="0" t="n">
        <v>9</v>
      </c>
      <c r="E9" s="0" t="n">
        <v>2034</v>
      </c>
      <c r="N9" s="24" t="n">
        <f aca="true">TODAY()-5</f>
        <v>46291</v>
      </c>
    </row>
    <row r="10" customFormat="false" ht="15" hidden="false" customHeight="false" outlineLevel="0" collapsed="false">
      <c r="A10" s="0" t="s">
        <v>201</v>
      </c>
      <c r="B10" s="33" t="n">
        <v>0.28125</v>
      </c>
      <c r="D10" s="0" t="n">
        <v>10</v>
      </c>
      <c r="E10" s="0" t="n">
        <v>2035</v>
      </c>
      <c r="N10" s="24" t="n">
        <f aca="true">TODAY()-4</f>
        <v>46292</v>
      </c>
    </row>
    <row r="11" customFormat="false" ht="15" hidden="false" customHeight="false" outlineLevel="0" collapsed="false">
      <c r="A11" s="0" t="s">
        <v>202</v>
      </c>
      <c r="B11" s="33" t="n">
        <v>0.284722222222222</v>
      </c>
      <c r="D11" s="0" t="n">
        <v>11</v>
      </c>
      <c r="H11" s="24" t="n">
        <f aca="false">IF(1&lt;=NW,SAT1+0,"")</f>
        <v>46018</v>
      </c>
      <c r="I11" s="24" t="n">
        <f aca="false">IF(1&lt;=NW,SAT1+6,"")</f>
        <v>46024</v>
      </c>
      <c r="J11" s="0" t="str">
        <f aca="false">IF(1&lt;=NW,"من السبت "&amp;TEXT(DAY(H11),"00")&amp;"/"&amp;TEXT(MONTH(H11),"00")&amp;"/"&amp;YEAR(H11)&amp;" إلى الجمعة "&amp;TEXT(DAY(I11),"00")&amp;"/"&amp;TEXT(MONTH(I11),"00")&amp;"/"&amp;YEAR(I11)&amp;" · الأسبوع 1","")</f>
        <v>من السبت 27/12/2025 إلى الجمعة 02/01/2026 · الأسبوع 1</v>
      </c>
      <c r="K11" s="25" t="n">
        <f aca="false">IF(1&lt;=NW,MONTH(I11),"")</f>
        <v>1</v>
      </c>
      <c r="L11" s="0" t="n">
        <v>1</v>
      </c>
      <c r="N11" s="24" t="n">
        <f aca="true">TODAY()-3</f>
        <v>46293</v>
      </c>
    </row>
    <row r="12" customFormat="false" ht="15" hidden="false" customHeight="false" outlineLevel="0" collapsed="false">
      <c r="A12" s="0" t="s">
        <v>203</v>
      </c>
      <c r="B12" s="33" t="n">
        <v>0.288194444444444</v>
      </c>
      <c r="D12" s="0" t="n">
        <v>12</v>
      </c>
      <c r="H12" s="24" t="n">
        <f aca="false">IF(2&lt;=NW,SAT1+7,"")</f>
        <v>46025</v>
      </c>
      <c r="I12" s="24" t="n">
        <f aca="false">IF(2&lt;=NW,SAT1+13,"")</f>
        <v>46031</v>
      </c>
      <c r="J12" s="0" t="str">
        <f aca="false">IF(2&lt;=NW,"من السبت "&amp;TEXT(DAY(H12),"00")&amp;"/"&amp;TEXT(MONTH(H12),"00")&amp;"/"&amp;YEAR(H12)&amp;" إلى الجمعة "&amp;TEXT(DAY(I12),"00")&amp;"/"&amp;TEXT(MONTH(I12),"00")&amp;"/"&amp;YEAR(I12)&amp;" · الأسبوع 2","")</f>
        <v>من السبت 03/01/2026 إلى الجمعة 09/01/2026 · الأسبوع 2</v>
      </c>
      <c r="K12" s="25" t="n">
        <f aca="false">IF(2&lt;=NW,MONTH(I12),"")</f>
        <v>1</v>
      </c>
      <c r="L12" s="0" t="n">
        <v>2</v>
      </c>
      <c r="N12" s="24" t="n">
        <f aca="true">TODAY()-2</f>
        <v>46294</v>
      </c>
    </row>
    <row r="13" customFormat="false" ht="15" hidden="false" customHeight="false" outlineLevel="0" collapsed="false">
      <c r="A13" s="0" t="s">
        <v>204</v>
      </c>
      <c r="B13" s="33" t="n">
        <v>0.291666666666667</v>
      </c>
      <c r="H13" s="24" t="n">
        <f aca="false">IF(3&lt;=NW,SAT1+14,"")</f>
        <v>46032</v>
      </c>
      <c r="I13" s="24" t="n">
        <f aca="false">IF(3&lt;=NW,SAT1+20,"")</f>
        <v>46038</v>
      </c>
      <c r="J13" s="0" t="str">
        <f aca="false">IF(3&lt;=NW,"من السبت "&amp;TEXT(DAY(H13),"00")&amp;"/"&amp;TEXT(MONTH(H13),"00")&amp;"/"&amp;YEAR(H13)&amp;" إلى الجمعة "&amp;TEXT(DAY(I13),"00")&amp;"/"&amp;TEXT(MONTH(I13),"00")&amp;"/"&amp;YEAR(I13)&amp;" · الأسبوع 3","")</f>
        <v>من السبت 10/01/2026 إلى الجمعة 16/01/2026 · الأسبوع 3</v>
      </c>
      <c r="K13" s="25" t="n">
        <f aca="false">IF(3&lt;=NW,MONTH(I13),"")</f>
        <v>1</v>
      </c>
      <c r="L13" s="0" t="n">
        <v>3</v>
      </c>
      <c r="N13" s="24" t="n">
        <f aca="true">TODAY()-1</f>
        <v>46295</v>
      </c>
    </row>
    <row r="14" customFormat="false" ht="15" hidden="false" customHeight="false" outlineLevel="0" collapsed="false">
      <c r="A14" s="0" t="s">
        <v>205</v>
      </c>
      <c r="B14" s="33" t="n">
        <v>0.295138888888889</v>
      </c>
      <c r="H14" s="24" t="n">
        <f aca="false">IF(4&lt;=NW,SAT1+21,"")</f>
        <v>46039</v>
      </c>
      <c r="I14" s="24" t="n">
        <f aca="false">IF(4&lt;=NW,SAT1+27,"")</f>
        <v>46045</v>
      </c>
      <c r="J14" s="0" t="str">
        <f aca="false">IF(4&lt;=NW,"من السبت "&amp;TEXT(DAY(H14),"00")&amp;"/"&amp;TEXT(MONTH(H14),"00")&amp;"/"&amp;YEAR(H14)&amp;" إلى الجمعة "&amp;TEXT(DAY(I14),"00")&amp;"/"&amp;TEXT(MONTH(I14),"00")&amp;"/"&amp;YEAR(I14)&amp;" · الأسبوع 4","")</f>
        <v>من السبت 17/01/2026 إلى الجمعة 23/01/2026 · الأسبوع 4</v>
      </c>
      <c r="K14" s="25" t="n">
        <f aca="false">IF(4&lt;=NW,MONTH(I14),"")</f>
        <v>1</v>
      </c>
      <c r="L14" s="0" t="n">
        <v>4</v>
      </c>
      <c r="N14" s="24" t="n">
        <f aca="true">TODAY()-0</f>
        <v>46296</v>
      </c>
    </row>
    <row r="15" customFormat="false" ht="15" hidden="false" customHeight="false" outlineLevel="0" collapsed="false">
      <c r="A15" s="0" t="s">
        <v>206</v>
      </c>
      <c r="B15" s="33" t="n">
        <v>0.298611111111111</v>
      </c>
      <c r="H15" s="24" t="n">
        <f aca="false">IF(5&lt;=NW,SAT1+28,"")</f>
        <v>46046</v>
      </c>
      <c r="I15" s="24" t="n">
        <f aca="false">IF(5&lt;=NW,SAT1+34,"")</f>
        <v>46052</v>
      </c>
      <c r="J15" s="0" t="str">
        <f aca="false">IF(5&lt;=NW,"من السبت "&amp;TEXT(DAY(H15),"00")&amp;"/"&amp;TEXT(MONTH(H15),"00")&amp;"/"&amp;YEAR(H15)&amp;" إلى الجمعة "&amp;TEXT(DAY(I15),"00")&amp;"/"&amp;TEXT(MONTH(I15),"00")&amp;"/"&amp;YEAR(I15)&amp;" · الأسبوع 5","")</f>
        <v>من السبت 24/01/2026 إلى الجمعة 30/01/2026 · الأسبوع 5</v>
      </c>
      <c r="K15" s="25" t="n">
        <f aca="false">IF(5&lt;=NW,MONTH(I15),"")</f>
        <v>1</v>
      </c>
      <c r="L15" s="0" t="n">
        <v>5</v>
      </c>
    </row>
    <row r="16" customFormat="false" ht="15" hidden="false" customHeight="false" outlineLevel="0" collapsed="false">
      <c r="A16" s="0" t="s">
        <v>207</v>
      </c>
      <c r="B16" s="33" t="n">
        <v>0.302083333333333</v>
      </c>
      <c r="H16" s="24" t="n">
        <f aca="false">IF(6&lt;=NW,SAT1+35,"")</f>
        <v>46053</v>
      </c>
      <c r="I16" s="24" t="n">
        <f aca="false">IF(6&lt;=NW,SAT1+41,"")</f>
        <v>46059</v>
      </c>
      <c r="J16" s="0" t="str">
        <f aca="false">IF(6&lt;=NW,"من السبت "&amp;TEXT(DAY(H16),"00")&amp;"/"&amp;TEXT(MONTH(H16),"00")&amp;"/"&amp;YEAR(H16)&amp;" إلى الجمعة "&amp;TEXT(DAY(I16),"00")&amp;"/"&amp;TEXT(MONTH(I16),"00")&amp;"/"&amp;YEAR(I16)&amp;" · الأسبوع 6","")</f>
        <v>من السبت 31/01/2026 إلى الجمعة 06/02/2026 · الأسبوع 6</v>
      </c>
      <c r="K16" s="25" t="n">
        <f aca="false">IF(6&lt;=NW,MONTH(I16),"")</f>
        <v>2</v>
      </c>
      <c r="L16" s="0" t="n">
        <v>6</v>
      </c>
    </row>
    <row r="17" customFormat="false" ht="15" hidden="false" customHeight="false" outlineLevel="0" collapsed="false">
      <c r="A17" s="0" t="s">
        <v>208</v>
      </c>
      <c r="B17" s="33" t="n">
        <v>0.305555555555556</v>
      </c>
      <c r="H17" s="24" t="n">
        <f aca="false">IF(7&lt;=NW,SAT1+42,"")</f>
        <v>46060</v>
      </c>
      <c r="I17" s="24" t="n">
        <f aca="false">IF(7&lt;=NW,SAT1+48,"")</f>
        <v>46066</v>
      </c>
      <c r="J17" s="0" t="str">
        <f aca="false">IF(7&lt;=NW,"من السبت "&amp;TEXT(DAY(H17),"00")&amp;"/"&amp;TEXT(MONTH(H17),"00")&amp;"/"&amp;YEAR(H17)&amp;" إلى الجمعة "&amp;TEXT(DAY(I17),"00")&amp;"/"&amp;TEXT(MONTH(I17),"00")&amp;"/"&amp;YEAR(I17)&amp;" · الأسبوع 7","")</f>
        <v>من السبت 07/02/2026 إلى الجمعة 13/02/2026 · الأسبوع 7</v>
      </c>
      <c r="K17" s="25" t="n">
        <f aca="false">IF(7&lt;=NW,MONTH(I17),"")</f>
        <v>2</v>
      </c>
      <c r="L17" s="0" t="n">
        <v>7</v>
      </c>
    </row>
    <row r="18" customFormat="false" ht="15" hidden="false" customHeight="false" outlineLevel="0" collapsed="false">
      <c r="A18" s="0" t="s">
        <v>209</v>
      </c>
      <c r="B18" s="33" t="n">
        <v>0.309027777777778</v>
      </c>
      <c r="H18" s="24" t="n">
        <f aca="false">IF(8&lt;=NW,SAT1+49,"")</f>
        <v>46067</v>
      </c>
      <c r="I18" s="24" t="n">
        <f aca="false">IF(8&lt;=NW,SAT1+55,"")</f>
        <v>46073</v>
      </c>
      <c r="J18" s="0" t="str">
        <f aca="false">IF(8&lt;=NW,"من السبت "&amp;TEXT(DAY(H18),"00")&amp;"/"&amp;TEXT(MONTH(H18),"00")&amp;"/"&amp;YEAR(H18)&amp;" إلى الجمعة "&amp;TEXT(DAY(I18),"00")&amp;"/"&amp;TEXT(MONTH(I18),"00")&amp;"/"&amp;YEAR(I18)&amp;" · الأسبوع 8","")</f>
        <v>من السبت 14/02/2026 إلى الجمعة 20/02/2026 · الأسبوع 8</v>
      </c>
      <c r="K18" s="25" t="n">
        <f aca="false">IF(8&lt;=NW,MONTH(I18),"")</f>
        <v>2</v>
      </c>
      <c r="L18" s="0" t="n">
        <v>8</v>
      </c>
    </row>
    <row r="19" customFormat="false" ht="15" hidden="false" customHeight="false" outlineLevel="0" collapsed="false">
      <c r="A19" s="0" t="s">
        <v>210</v>
      </c>
      <c r="B19" s="33" t="n">
        <v>0.3125</v>
      </c>
      <c r="H19" s="24" t="n">
        <f aca="false">IF(9&lt;=NW,SAT1+56,"")</f>
        <v>46074</v>
      </c>
      <c r="I19" s="24" t="n">
        <f aca="false">IF(9&lt;=NW,SAT1+62,"")</f>
        <v>46080</v>
      </c>
      <c r="J19" s="0" t="str">
        <f aca="false">IF(9&lt;=NW,"من السبت "&amp;TEXT(DAY(H19),"00")&amp;"/"&amp;TEXT(MONTH(H19),"00")&amp;"/"&amp;YEAR(H19)&amp;" إلى الجمعة "&amp;TEXT(DAY(I19),"00")&amp;"/"&amp;TEXT(MONTH(I19),"00")&amp;"/"&amp;YEAR(I19)&amp;" · الأسبوع 9","")</f>
        <v>من السبت 21/02/2026 إلى الجمعة 27/02/2026 · الأسبوع 9</v>
      </c>
      <c r="K19" s="25" t="n">
        <f aca="false">IF(9&lt;=NW,MONTH(I19),"")</f>
        <v>2</v>
      </c>
      <c r="L19" s="0" t="n">
        <v>9</v>
      </c>
    </row>
    <row r="20" customFormat="false" ht="15" hidden="false" customHeight="false" outlineLevel="0" collapsed="false">
      <c r="A20" s="0" t="s">
        <v>211</v>
      </c>
      <c r="B20" s="33" t="n">
        <v>0.315972222222222</v>
      </c>
      <c r="H20" s="24" t="n">
        <f aca="false">IF(10&lt;=NW,SAT1+63,"")</f>
        <v>46081</v>
      </c>
      <c r="I20" s="24" t="n">
        <f aca="false">IF(10&lt;=NW,SAT1+69,"")</f>
        <v>46087</v>
      </c>
      <c r="J20" s="0" t="str">
        <f aca="false">IF(10&lt;=NW,"من السبت "&amp;TEXT(DAY(H20),"00")&amp;"/"&amp;TEXT(MONTH(H20),"00")&amp;"/"&amp;YEAR(H20)&amp;" إلى الجمعة "&amp;TEXT(DAY(I20),"00")&amp;"/"&amp;TEXT(MONTH(I20),"00")&amp;"/"&amp;YEAR(I20)&amp;" · الأسبوع 10","")</f>
        <v>من السبت 28/02/2026 إلى الجمعة 06/03/2026 · الأسبوع 10</v>
      </c>
      <c r="K20" s="25" t="n">
        <f aca="false">IF(10&lt;=NW,MONTH(I20),"")</f>
        <v>3</v>
      </c>
      <c r="L20" s="0" t="n">
        <v>10</v>
      </c>
    </row>
    <row r="21" customFormat="false" ht="15" hidden="false" customHeight="false" outlineLevel="0" collapsed="false">
      <c r="A21" s="0" t="s">
        <v>212</v>
      </c>
      <c r="B21" s="33" t="n">
        <v>0.319444444444444</v>
      </c>
      <c r="H21" s="24" t="n">
        <f aca="false">IF(11&lt;=NW,SAT1+70,"")</f>
        <v>46088</v>
      </c>
      <c r="I21" s="24" t="n">
        <f aca="false">IF(11&lt;=NW,SAT1+76,"")</f>
        <v>46094</v>
      </c>
      <c r="J21" s="0" t="str">
        <f aca="false">IF(11&lt;=NW,"من السبت "&amp;TEXT(DAY(H21),"00")&amp;"/"&amp;TEXT(MONTH(H21),"00")&amp;"/"&amp;YEAR(H21)&amp;" إلى الجمعة "&amp;TEXT(DAY(I21),"00")&amp;"/"&amp;TEXT(MONTH(I21),"00")&amp;"/"&amp;YEAR(I21)&amp;" · الأسبوع 11","")</f>
        <v>من السبت 07/03/2026 إلى الجمعة 13/03/2026 · الأسبوع 11</v>
      </c>
      <c r="K21" s="25" t="n">
        <f aca="false">IF(11&lt;=NW,MONTH(I21),"")</f>
        <v>3</v>
      </c>
      <c r="L21" s="0" t="n">
        <v>11</v>
      </c>
    </row>
    <row r="22" customFormat="false" ht="15" hidden="false" customHeight="false" outlineLevel="0" collapsed="false">
      <c r="A22" s="0" t="s">
        <v>213</v>
      </c>
      <c r="B22" s="33" t="n">
        <v>0.322916666666667</v>
      </c>
      <c r="H22" s="24" t="n">
        <f aca="false">IF(12&lt;=NW,SAT1+77,"")</f>
        <v>46095</v>
      </c>
      <c r="I22" s="24" t="n">
        <f aca="false">IF(12&lt;=NW,SAT1+83,"")</f>
        <v>46101</v>
      </c>
      <c r="J22" s="0" t="str">
        <f aca="false">IF(12&lt;=NW,"من السبت "&amp;TEXT(DAY(H22),"00")&amp;"/"&amp;TEXT(MONTH(H22),"00")&amp;"/"&amp;YEAR(H22)&amp;" إلى الجمعة "&amp;TEXT(DAY(I22),"00")&amp;"/"&amp;TEXT(MONTH(I22),"00")&amp;"/"&amp;YEAR(I22)&amp;" · الأسبوع 12","")</f>
        <v>من السبت 14/03/2026 إلى الجمعة 20/03/2026 · الأسبوع 12</v>
      </c>
      <c r="K22" s="25" t="n">
        <f aca="false">IF(12&lt;=NW,MONTH(I22),"")</f>
        <v>3</v>
      </c>
      <c r="L22" s="0" t="n">
        <v>12</v>
      </c>
    </row>
    <row r="23" customFormat="false" ht="15" hidden="false" customHeight="false" outlineLevel="0" collapsed="false">
      <c r="A23" s="0" t="s">
        <v>214</v>
      </c>
      <c r="B23" s="33" t="n">
        <v>0.326388888888889</v>
      </c>
      <c r="H23" s="24" t="n">
        <f aca="false">IF(13&lt;=NW,SAT1+84,"")</f>
        <v>46102</v>
      </c>
      <c r="I23" s="24" t="n">
        <f aca="false">IF(13&lt;=NW,SAT1+90,"")</f>
        <v>46108</v>
      </c>
      <c r="J23" s="0" t="str">
        <f aca="false">IF(13&lt;=NW,"من السبت "&amp;TEXT(DAY(H23),"00")&amp;"/"&amp;TEXT(MONTH(H23),"00")&amp;"/"&amp;YEAR(H23)&amp;" إلى الجمعة "&amp;TEXT(DAY(I23),"00")&amp;"/"&amp;TEXT(MONTH(I23),"00")&amp;"/"&amp;YEAR(I23)&amp;" · الأسبوع 13","")</f>
        <v>من السبت 21/03/2026 إلى الجمعة 27/03/2026 · الأسبوع 13</v>
      </c>
      <c r="K23" s="25" t="n">
        <f aca="false">IF(13&lt;=NW,MONTH(I23),"")</f>
        <v>3</v>
      </c>
      <c r="L23" s="0" t="n">
        <v>13</v>
      </c>
    </row>
    <row r="24" customFormat="false" ht="15" hidden="false" customHeight="false" outlineLevel="0" collapsed="false">
      <c r="A24" s="0" t="s">
        <v>215</v>
      </c>
      <c r="B24" s="33" t="n">
        <v>0.329861111111111</v>
      </c>
      <c r="H24" s="24" t="n">
        <f aca="false">IF(14&lt;=NW,SAT1+91,"")</f>
        <v>46109</v>
      </c>
      <c r="I24" s="24" t="n">
        <f aca="false">IF(14&lt;=NW,SAT1+97,"")</f>
        <v>46115</v>
      </c>
      <c r="J24" s="0" t="str">
        <f aca="false">IF(14&lt;=NW,"من السبت "&amp;TEXT(DAY(H24),"00")&amp;"/"&amp;TEXT(MONTH(H24),"00")&amp;"/"&amp;YEAR(H24)&amp;" إلى الجمعة "&amp;TEXT(DAY(I24),"00")&amp;"/"&amp;TEXT(MONTH(I24),"00")&amp;"/"&amp;YEAR(I24)&amp;" · الأسبوع 14","")</f>
        <v>من السبت 28/03/2026 إلى الجمعة 03/04/2026 · الأسبوع 14</v>
      </c>
      <c r="K24" s="25" t="n">
        <f aca="false">IF(14&lt;=NW,MONTH(I24),"")</f>
        <v>4</v>
      </c>
      <c r="L24" s="0" t="n">
        <v>14</v>
      </c>
    </row>
    <row r="25" customFormat="false" ht="15" hidden="false" customHeight="false" outlineLevel="0" collapsed="false">
      <c r="A25" s="0" t="s">
        <v>216</v>
      </c>
      <c r="B25" s="33" t="n">
        <v>0.333333333333333</v>
      </c>
      <c r="H25" s="24" t="n">
        <f aca="false">IF(15&lt;=NW,SAT1+98,"")</f>
        <v>46116</v>
      </c>
      <c r="I25" s="24" t="n">
        <f aca="false">IF(15&lt;=NW,SAT1+104,"")</f>
        <v>46122</v>
      </c>
      <c r="J25" s="0" t="str">
        <f aca="false">IF(15&lt;=NW,"من السبت "&amp;TEXT(DAY(H25),"00")&amp;"/"&amp;TEXT(MONTH(H25),"00")&amp;"/"&amp;YEAR(H25)&amp;" إلى الجمعة "&amp;TEXT(DAY(I25),"00")&amp;"/"&amp;TEXT(MONTH(I25),"00")&amp;"/"&amp;YEAR(I25)&amp;" · الأسبوع 15","")</f>
        <v>من السبت 04/04/2026 إلى الجمعة 10/04/2026 · الأسبوع 15</v>
      </c>
      <c r="K25" s="25" t="n">
        <f aca="false">IF(15&lt;=NW,MONTH(I25),"")</f>
        <v>4</v>
      </c>
      <c r="L25" s="0" t="n">
        <v>15</v>
      </c>
    </row>
    <row r="26" customFormat="false" ht="15" hidden="false" customHeight="false" outlineLevel="0" collapsed="false">
      <c r="A26" s="0" t="s">
        <v>217</v>
      </c>
      <c r="B26" s="33" t="n">
        <v>0.336805555555556</v>
      </c>
      <c r="H26" s="24" t="n">
        <f aca="false">IF(16&lt;=NW,SAT1+105,"")</f>
        <v>46123</v>
      </c>
      <c r="I26" s="24" t="n">
        <f aca="false">IF(16&lt;=NW,SAT1+111,"")</f>
        <v>46129</v>
      </c>
      <c r="J26" s="0" t="str">
        <f aca="false">IF(16&lt;=NW,"من السبت "&amp;TEXT(DAY(H26),"00")&amp;"/"&amp;TEXT(MONTH(H26),"00")&amp;"/"&amp;YEAR(H26)&amp;" إلى الجمعة "&amp;TEXT(DAY(I26),"00")&amp;"/"&amp;TEXT(MONTH(I26),"00")&amp;"/"&amp;YEAR(I26)&amp;" · الأسبوع 16","")</f>
        <v>من السبت 11/04/2026 إلى الجمعة 17/04/2026 · الأسبوع 16</v>
      </c>
      <c r="K26" s="25" t="n">
        <f aca="false">IF(16&lt;=NW,MONTH(I26),"")</f>
        <v>4</v>
      </c>
      <c r="L26" s="0" t="n">
        <v>16</v>
      </c>
    </row>
    <row r="27" customFormat="false" ht="15" hidden="false" customHeight="false" outlineLevel="0" collapsed="false">
      <c r="A27" s="0" t="s">
        <v>218</v>
      </c>
      <c r="B27" s="33" t="n">
        <v>0.340277777777778</v>
      </c>
      <c r="H27" s="24" t="n">
        <f aca="false">IF(17&lt;=NW,SAT1+112,"")</f>
        <v>46130</v>
      </c>
      <c r="I27" s="24" t="n">
        <f aca="false">IF(17&lt;=NW,SAT1+118,"")</f>
        <v>46136</v>
      </c>
      <c r="J27" s="0" t="str">
        <f aca="false">IF(17&lt;=NW,"من السبت "&amp;TEXT(DAY(H27),"00")&amp;"/"&amp;TEXT(MONTH(H27),"00")&amp;"/"&amp;YEAR(H27)&amp;" إلى الجمعة "&amp;TEXT(DAY(I27),"00")&amp;"/"&amp;TEXT(MONTH(I27),"00")&amp;"/"&amp;YEAR(I27)&amp;" · الأسبوع 17","")</f>
        <v>من السبت 18/04/2026 إلى الجمعة 24/04/2026 · الأسبوع 17</v>
      </c>
      <c r="K27" s="25" t="n">
        <f aca="false">IF(17&lt;=NW,MONTH(I27),"")</f>
        <v>4</v>
      </c>
      <c r="L27" s="0" t="n">
        <v>17</v>
      </c>
    </row>
    <row r="28" customFormat="false" ht="15" hidden="false" customHeight="false" outlineLevel="0" collapsed="false">
      <c r="A28" s="0" t="s">
        <v>219</v>
      </c>
      <c r="B28" s="33" t="n">
        <v>0.34375</v>
      </c>
      <c r="H28" s="24" t="n">
        <f aca="false">IF(18&lt;=NW,SAT1+119,"")</f>
        <v>46137</v>
      </c>
      <c r="I28" s="24" t="n">
        <f aca="false">IF(18&lt;=NW,SAT1+125,"")</f>
        <v>46143</v>
      </c>
      <c r="J28" s="0" t="str">
        <f aca="false">IF(18&lt;=NW,"من السبت "&amp;TEXT(DAY(H28),"00")&amp;"/"&amp;TEXT(MONTH(H28),"00")&amp;"/"&amp;YEAR(H28)&amp;" إلى الجمعة "&amp;TEXT(DAY(I28),"00")&amp;"/"&amp;TEXT(MONTH(I28),"00")&amp;"/"&amp;YEAR(I28)&amp;" · الأسبوع 18","")</f>
        <v>من السبت 25/04/2026 إلى الجمعة 01/05/2026 · الأسبوع 18</v>
      </c>
      <c r="K28" s="25" t="n">
        <f aca="false">IF(18&lt;=NW,MONTH(I28),"")</f>
        <v>5</v>
      </c>
      <c r="L28" s="0" t="n">
        <v>18</v>
      </c>
    </row>
    <row r="29" customFormat="false" ht="15" hidden="false" customHeight="false" outlineLevel="0" collapsed="false">
      <c r="A29" s="0" t="s">
        <v>220</v>
      </c>
      <c r="B29" s="33" t="n">
        <v>0.347222222222222</v>
      </c>
      <c r="H29" s="24" t="n">
        <f aca="false">IF(19&lt;=NW,SAT1+126,"")</f>
        <v>46144</v>
      </c>
      <c r="I29" s="24" t="n">
        <f aca="false">IF(19&lt;=NW,SAT1+132,"")</f>
        <v>46150</v>
      </c>
      <c r="J29" s="0" t="str">
        <f aca="false">IF(19&lt;=NW,"من السبت "&amp;TEXT(DAY(H29),"00")&amp;"/"&amp;TEXT(MONTH(H29),"00")&amp;"/"&amp;YEAR(H29)&amp;" إلى الجمعة "&amp;TEXT(DAY(I29),"00")&amp;"/"&amp;TEXT(MONTH(I29),"00")&amp;"/"&amp;YEAR(I29)&amp;" · الأسبوع 19","")</f>
        <v>من السبت 02/05/2026 إلى الجمعة 08/05/2026 · الأسبوع 19</v>
      </c>
      <c r="K29" s="25" t="n">
        <f aca="false">IF(19&lt;=NW,MONTH(I29),"")</f>
        <v>5</v>
      </c>
      <c r="L29" s="0" t="n">
        <v>19</v>
      </c>
    </row>
    <row r="30" customFormat="false" ht="15" hidden="false" customHeight="false" outlineLevel="0" collapsed="false">
      <c r="A30" s="0" t="s">
        <v>221</v>
      </c>
      <c r="B30" s="33" t="n">
        <v>0.350694444444444</v>
      </c>
      <c r="H30" s="24" t="n">
        <f aca="false">IF(20&lt;=NW,SAT1+133,"")</f>
        <v>46151</v>
      </c>
      <c r="I30" s="24" t="n">
        <f aca="false">IF(20&lt;=NW,SAT1+139,"")</f>
        <v>46157</v>
      </c>
      <c r="J30" s="0" t="str">
        <f aca="false">IF(20&lt;=NW,"من السبت "&amp;TEXT(DAY(H30),"00")&amp;"/"&amp;TEXT(MONTH(H30),"00")&amp;"/"&amp;YEAR(H30)&amp;" إلى الجمعة "&amp;TEXT(DAY(I30),"00")&amp;"/"&amp;TEXT(MONTH(I30),"00")&amp;"/"&amp;YEAR(I30)&amp;" · الأسبوع 20","")</f>
        <v>من السبت 09/05/2026 إلى الجمعة 15/05/2026 · الأسبوع 20</v>
      </c>
      <c r="K30" s="25" t="n">
        <f aca="false">IF(20&lt;=NW,MONTH(I30),"")</f>
        <v>5</v>
      </c>
      <c r="L30" s="0" t="n">
        <v>20</v>
      </c>
    </row>
    <row r="31" customFormat="false" ht="15" hidden="false" customHeight="false" outlineLevel="0" collapsed="false">
      <c r="A31" s="0" t="s">
        <v>222</v>
      </c>
      <c r="B31" s="33" t="n">
        <v>0.354166666666667</v>
      </c>
      <c r="H31" s="24" t="n">
        <f aca="false">IF(21&lt;=NW,SAT1+140,"")</f>
        <v>46158</v>
      </c>
      <c r="I31" s="24" t="n">
        <f aca="false">IF(21&lt;=NW,SAT1+146,"")</f>
        <v>46164</v>
      </c>
      <c r="J31" s="0" t="str">
        <f aca="false">IF(21&lt;=NW,"من السبت "&amp;TEXT(DAY(H31),"00")&amp;"/"&amp;TEXT(MONTH(H31),"00")&amp;"/"&amp;YEAR(H31)&amp;" إلى الجمعة "&amp;TEXT(DAY(I31),"00")&amp;"/"&amp;TEXT(MONTH(I31),"00")&amp;"/"&amp;YEAR(I31)&amp;" · الأسبوع 21","")</f>
        <v>من السبت 16/05/2026 إلى الجمعة 22/05/2026 · الأسبوع 21</v>
      </c>
      <c r="K31" s="25" t="n">
        <f aca="false">IF(21&lt;=NW,MONTH(I31),"")</f>
        <v>5</v>
      </c>
      <c r="L31" s="0" t="n">
        <v>21</v>
      </c>
    </row>
    <row r="32" customFormat="false" ht="15" hidden="false" customHeight="false" outlineLevel="0" collapsed="false">
      <c r="A32" s="0" t="s">
        <v>223</v>
      </c>
      <c r="B32" s="33" t="n">
        <v>0.357638888888889</v>
      </c>
      <c r="H32" s="24" t="n">
        <f aca="false">IF(22&lt;=NW,SAT1+147,"")</f>
        <v>46165</v>
      </c>
      <c r="I32" s="24" t="n">
        <f aca="false">IF(22&lt;=NW,SAT1+153,"")</f>
        <v>46171</v>
      </c>
      <c r="J32" s="0" t="str">
        <f aca="false">IF(22&lt;=NW,"من السبت "&amp;TEXT(DAY(H32),"00")&amp;"/"&amp;TEXT(MONTH(H32),"00")&amp;"/"&amp;YEAR(H32)&amp;" إلى الجمعة "&amp;TEXT(DAY(I32),"00")&amp;"/"&amp;TEXT(MONTH(I32),"00")&amp;"/"&amp;YEAR(I32)&amp;" · الأسبوع 22","")</f>
        <v>من السبت 23/05/2026 إلى الجمعة 29/05/2026 · الأسبوع 22</v>
      </c>
      <c r="K32" s="25" t="n">
        <f aca="false">IF(22&lt;=NW,MONTH(I32),"")</f>
        <v>5</v>
      </c>
      <c r="L32" s="0" t="n">
        <v>22</v>
      </c>
    </row>
    <row r="33" customFormat="false" ht="15" hidden="false" customHeight="false" outlineLevel="0" collapsed="false">
      <c r="A33" s="0" t="s">
        <v>224</v>
      </c>
      <c r="B33" s="33" t="n">
        <v>0.361111111111111</v>
      </c>
      <c r="H33" s="24" t="n">
        <f aca="false">IF(23&lt;=NW,SAT1+154,"")</f>
        <v>46172</v>
      </c>
      <c r="I33" s="24" t="n">
        <f aca="false">IF(23&lt;=NW,SAT1+160,"")</f>
        <v>46178</v>
      </c>
      <c r="J33" s="0" t="str">
        <f aca="false">IF(23&lt;=NW,"من السبت "&amp;TEXT(DAY(H33),"00")&amp;"/"&amp;TEXT(MONTH(H33),"00")&amp;"/"&amp;YEAR(H33)&amp;" إلى الجمعة "&amp;TEXT(DAY(I33),"00")&amp;"/"&amp;TEXT(MONTH(I33),"00")&amp;"/"&amp;YEAR(I33)&amp;" · الأسبوع 23","")</f>
        <v>من السبت 30/05/2026 إلى الجمعة 05/06/2026 · الأسبوع 23</v>
      </c>
      <c r="K33" s="25" t="n">
        <f aca="false">IF(23&lt;=NW,MONTH(I33),"")</f>
        <v>6</v>
      </c>
      <c r="L33" s="0" t="n">
        <v>23</v>
      </c>
    </row>
    <row r="34" customFormat="false" ht="15" hidden="false" customHeight="false" outlineLevel="0" collapsed="false">
      <c r="A34" s="0" t="s">
        <v>225</v>
      </c>
      <c r="B34" s="33" t="n">
        <v>0.364583333333333</v>
      </c>
      <c r="H34" s="24" t="n">
        <f aca="false">IF(24&lt;=NW,SAT1+161,"")</f>
        <v>46179</v>
      </c>
      <c r="I34" s="24" t="n">
        <f aca="false">IF(24&lt;=NW,SAT1+167,"")</f>
        <v>46185</v>
      </c>
      <c r="J34" s="0" t="str">
        <f aca="false">IF(24&lt;=NW,"من السبت "&amp;TEXT(DAY(H34),"00")&amp;"/"&amp;TEXT(MONTH(H34),"00")&amp;"/"&amp;YEAR(H34)&amp;" إلى الجمعة "&amp;TEXT(DAY(I34),"00")&amp;"/"&amp;TEXT(MONTH(I34),"00")&amp;"/"&amp;YEAR(I34)&amp;" · الأسبوع 24","")</f>
        <v>من السبت 06/06/2026 إلى الجمعة 12/06/2026 · الأسبوع 24</v>
      </c>
      <c r="K34" s="25" t="n">
        <f aca="false">IF(24&lt;=NW,MONTH(I34),"")</f>
        <v>6</v>
      </c>
      <c r="L34" s="0" t="n">
        <v>24</v>
      </c>
    </row>
    <row r="35" customFormat="false" ht="15" hidden="false" customHeight="false" outlineLevel="0" collapsed="false">
      <c r="A35" s="0" t="s">
        <v>226</v>
      </c>
      <c r="B35" s="33" t="n">
        <v>0.368055555555556</v>
      </c>
      <c r="H35" s="24" t="n">
        <f aca="false">IF(25&lt;=NW,SAT1+168,"")</f>
        <v>46186</v>
      </c>
      <c r="I35" s="24" t="n">
        <f aca="false">IF(25&lt;=NW,SAT1+174,"")</f>
        <v>46192</v>
      </c>
      <c r="J35" s="0" t="str">
        <f aca="false">IF(25&lt;=NW,"من السبت "&amp;TEXT(DAY(H35),"00")&amp;"/"&amp;TEXT(MONTH(H35),"00")&amp;"/"&amp;YEAR(H35)&amp;" إلى الجمعة "&amp;TEXT(DAY(I35),"00")&amp;"/"&amp;TEXT(MONTH(I35),"00")&amp;"/"&amp;YEAR(I35)&amp;" · الأسبوع 25","")</f>
        <v>من السبت 13/06/2026 إلى الجمعة 19/06/2026 · الأسبوع 25</v>
      </c>
      <c r="K35" s="25" t="n">
        <f aca="false">IF(25&lt;=NW,MONTH(I35),"")</f>
        <v>6</v>
      </c>
      <c r="L35" s="0" t="n">
        <v>25</v>
      </c>
    </row>
    <row r="36" customFormat="false" ht="15" hidden="false" customHeight="false" outlineLevel="0" collapsed="false">
      <c r="A36" s="0" t="s">
        <v>227</v>
      </c>
      <c r="B36" s="33" t="n">
        <v>0.371527777777778</v>
      </c>
      <c r="H36" s="24" t="n">
        <f aca="false">IF(26&lt;=NW,SAT1+175,"")</f>
        <v>46193</v>
      </c>
      <c r="I36" s="24" t="n">
        <f aca="false">IF(26&lt;=NW,SAT1+181,"")</f>
        <v>46199</v>
      </c>
      <c r="J36" s="0" t="str">
        <f aca="false">IF(26&lt;=NW,"من السبت "&amp;TEXT(DAY(H36),"00")&amp;"/"&amp;TEXT(MONTH(H36),"00")&amp;"/"&amp;YEAR(H36)&amp;" إلى الجمعة "&amp;TEXT(DAY(I36),"00")&amp;"/"&amp;TEXT(MONTH(I36),"00")&amp;"/"&amp;YEAR(I36)&amp;" · الأسبوع 26","")</f>
        <v>من السبت 20/06/2026 إلى الجمعة 26/06/2026 · الأسبوع 26</v>
      </c>
      <c r="K36" s="25" t="n">
        <f aca="false">IF(26&lt;=NW,MONTH(I36),"")</f>
        <v>6</v>
      </c>
      <c r="L36" s="0" t="n">
        <v>26</v>
      </c>
    </row>
    <row r="37" customFormat="false" ht="15" hidden="false" customHeight="false" outlineLevel="0" collapsed="false">
      <c r="A37" s="0" t="s">
        <v>228</v>
      </c>
      <c r="B37" s="33" t="n">
        <v>0.375</v>
      </c>
      <c r="H37" s="24" t="n">
        <f aca="false">IF(27&lt;=NW,SAT1+182,"")</f>
        <v>46200</v>
      </c>
      <c r="I37" s="24" t="n">
        <f aca="false">IF(27&lt;=NW,SAT1+188,"")</f>
        <v>46206</v>
      </c>
      <c r="J37" s="0" t="str">
        <f aca="false">IF(27&lt;=NW,"من السبت "&amp;TEXT(DAY(H37),"00")&amp;"/"&amp;TEXT(MONTH(H37),"00")&amp;"/"&amp;YEAR(H37)&amp;" إلى الجمعة "&amp;TEXT(DAY(I37),"00")&amp;"/"&amp;TEXT(MONTH(I37),"00")&amp;"/"&amp;YEAR(I37)&amp;" · الأسبوع 27","")</f>
        <v>من السبت 27/06/2026 إلى الجمعة 03/07/2026 · الأسبوع 27</v>
      </c>
      <c r="K37" s="25" t="n">
        <f aca="false">IF(27&lt;=NW,MONTH(I37),"")</f>
        <v>7</v>
      </c>
      <c r="L37" s="0" t="n">
        <v>27</v>
      </c>
    </row>
    <row r="38" customFormat="false" ht="15" hidden="false" customHeight="false" outlineLevel="0" collapsed="false">
      <c r="A38" s="0" t="s">
        <v>229</v>
      </c>
      <c r="B38" s="33" t="n">
        <v>0.378472222222222</v>
      </c>
      <c r="H38" s="24" t="n">
        <f aca="false">IF(28&lt;=NW,SAT1+189,"")</f>
        <v>46207</v>
      </c>
      <c r="I38" s="24" t="n">
        <f aca="false">IF(28&lt;=NW,SAT1+195,"")</f>
        <v>46213</v>
      </c>
      <c r="J38" s="0" t="str">
        <f aca="false">IF(28&lt;=NW,"من السبت "&amp;TEXT(DAY(H38),"00")&amp;"/"&amp;TEXT(MONTH(H38),"00")&amp;"/"&amp;YEAR(H38)&amp;" إلى الجمعة "&amp;TEXT(DAY(I38),"00")&amp;"/"&amp;TEXT(MONTH(I38),"00")&amp;"/"&amp;YEAR(I38)&amp;" · الأسبوع 28","")</f>
        <v>من السبت 04/07/2026 إلى الجمعة 10/07/2026 · الأسبوع 28</v>
      </c>
      <c r="K38" s="25" t="n">
        <f aca="false">IF(28&lt;=NW,MONTH(I38),"")</f>
        <v>7</v>
      </c>
      <c r="L38" s="0" t="n">
        <v>28</v>
      </c>
    </row>
    <row r="39" customFormat="false" ht="15" hidden="false" customHeight="false" outlineLevel="0" collapsed="false">
      <c r="A39" s="0" t="s">
        <v>230</v>
      </c>
      <c r="B39" s="33" t="n">
        <v>0.381944444444444</v>
      </c>
      <c r="H39" s="24" t="n">
        <f aca="false">IF(29&lt;=NW,SAT1+196,"")</f>
        <v>46214</v>
      </c>
      <c r="I39" s="24" t="n">
        <f aca="false">IF(29&lt;=NW,SAT1+202,"")</f>
        <v>46220</v>
      </c>
      <c r="J39" s="0" t="str">
        <f aca="false">IF(29&lt;=NW,"من السبت "&amp;TEXT(DAY(H39),"00")&amp;"/"&amp;TEXT(MONTH(H39),"00")&amp;"/"&amp;YEAR(H39)&amp;" إلى الجمعة "&amp;TEXT(DAY(I39),"00")&amp;"/"&amp;TEXT(MONTH(I39),"00")&amp;"/"&amp;YEAR(I39)&amp;" · الأسبوع 29","")</f>
        <v>من السبت 11/07/2026 إلى الجمعة 17/07/2026 · الأسبوع 29</v>
      </c>
      <c r="K39" s="25" t="n">
        <f aca="false">IF(29&lt;=NW,MONTH(I39),"")</f>
        <v>7</v>
      </c>
      <c r="L39" s="0" t="n">
        <v>29</v>
      </c>
    </row>
    <row r="40" customFormat="false" ht="15" hidden="false" customHeight="false" outlineLevel="0" collapsed="false">
      <c r="A40" s="0" t="s">
        <v>231</v>
      </c>
      <c r="B40" s="33" t="n">
        <v>0.385416666666667</v>
      </c>
      <c r="H40" s="24" t="n">
        <f aca="false">IF(30&lt;=NW,SAT1+203,"")</f>
        <v>46221</v>
      </c>
      <c r="I40" s="24" t="n">
        <f aca="false">IF(30&lt;=NW,SAT1+209,"")</f>
        <v>46227</v>
      </c>
      <c r="J40" s="0" t="str">
        <f aca="false">IF(30&lt;=NW,"من السبت "&amp;TEXT(DAY(H40),"00")&amp;"/"&amp;TEXT(MONTH(H40),"00")&amp;"/"&amp;YEAR(H40)&amp;" إلى الجمعة "&amp;TEXT(DAY(I40),"00")&amp;"/"&amp;TEXT(MONTH(I40),"00")&amp;"/"&amp;YEAR(I40)&amp;" · الأسبوع 30","")</f>
        <v>من السبت 18/07/2026 إلى الجمعة 24/07/2026 · الأسبوع 30</v>
      </c>
      <c r="K40" s="25" t="n">
        <f aca="false">IF(30&lt;=NW,MONTH(I40),"")</f>
        <v>7</v>
      </c>
      <c r="L40" s="0" t="n">
        <v>30</v>
      </c>
    </row>
    <row r="41" customFormat="false" ht="15" hidden="false" customHeight="false" outlineLevel="0" collapsed="false">
      <c r="A41" s="0" t="s">
        <v>232</v>
      </c>
      <c r="B41" s="33" t="n">
        <v>0.388888888888889</v>
      </c>
      <c r="H41" s="24" t="n">
        <f aca="false">IF(31&lt;=NW,SAT1+210,"")</f>
        <v>46228</v>
      </c>
      <c r="I41" s="24" t="n">
        <f aca="false">IF(31&lt;=NW,SAT1+216,"")</f>
        <v>46234</v>
      </c>
      <c r="J41" s="0" t="str">
        <f aca="false">IF(31&lt;=NW,"من السبت "&amp;TEXT(DAY(H41),"00")&amp;"/"&amp;TEXT(MONTH(H41),"00")&amp;"/"&amp;YEAR(H41)&amp;" إلى الجمعة "&amp;TEXT(DAY(I41),"00")&amp;"/"&amp;TEXT(MONTH(I41),"00")&amp;"/"&amp;YEAR(I41)&amp;" · الأسبوع 31","")</f>
        <v>من السبت 25/07/2026 إلى الجمعة 31/07/2026 · الأسبوع 31</v>
      </c>
      <c r="K41" s="25" t="n">
        <f aca="false">IF(31&lt;=NW,MONTH(I41),"")</f>
        <v>7</v>
      </c>
      <c r="L41" s="0" t="n">
        <v>31</v>
      </c>
    </row>
    <row r="42" customFormat="false" ht="15" hidden="false" customHeight="false" outlineLevel="0" collapsed="false">
      <c r="A42" s="0" t="s">
        <v>233</v>
      </c>
      <c r="B42" s="33" t="n">
        <v>0.392361111111111</v>
      </c>
      <c r="H42" s="24" t="n">
        <f aca="false">IF(32&lt;=NW,SAT1+217,"")</f>
        <v>46235</v>
      </c>
      <c r="I42" s="24" t="n">
        <f aca="false">IF(32&lt;=NW,SAT1+223,"")</f>
        <v>46241</v>
      </c>
      <c r="J42" s="0" t="str">
        <f aca="false">IF(32&lt;=NW,"من السبت "&amp;TEXT(DAY(H42),"00")&amp;"/"&amp;TEXT(MONTH(H42),"00")&amp;"/"&amp;YEAR(H42)&amp;" إلى الجمعة "&amp;TEXT(DAY(I42),"00")&amp;"/"&amp;TEXT(MONTH(I42),"00")&amp;"/"&amp;YEAR(I42)&amp;" · الأسبوع 32","")</f>
        <v>من السبت 01/08/2026 إلى الجمعة 07/08/2026 · الأسبوع 32</v>
      </c>
      <c r="K42" s="25" t="n">
        <f aca="false">IF(32&lt;=NW,MONTH(I42),"")</f>
        <v>8</v>
      </c>
      <c r="L42" s="0" t="n">
        <v>32</v>
      </c>
    </row>
    <row r="43" customFormat="false" ht="15" hidden="false" customHeight="false" outlineLevel="0" collapsed="false">
      <c r="A43" s="0" t="s">
        <v>234</v>
      </c>
      <c r="B43" s="33" t="n">
        <v>0.395833333333333</v>
      </c>
      <c r="H43" s="24" t="n">
        <f aca="false">IF(33&lt;=NW,SAT1+224,"")</f>
        <v>46242</v>
      </c>
      <c r="I43" s="24" t="n">
        <f aca="false">IF(33&lt;=NW,SAT1+230,"")</f>
        <v>46248</v>
      </c>
      <c r="J43" s="0" t="str">
        <f aca="false">IF(33&lt;=NW,"من السبت "&amp;TEXT(DAY(H43),"00")&amp;"/"&amp;TEXT(MONTH(H43),"00")&amp;"/"&amp;YEAR(H43)&amp;" إلى الجمعة "&amp;TEXT(DAY(I43),"00")&amp;"/"&amp;TEXT(MONTH(I43),"00")&amp;"/"&amp;YEAR(I43)&amp;" · الأسبوع 33","")</f>
        <v>من السبت 08/08/2026 إلى الجمعة 14/08/2026 · الأسبوع 33</v>
      </c>
      <c r="K43" s="25" t="n">
        <f aca="false">IF(33&lt;=NW,MONTH(I43),"")</f>
        <v>8</v>
      </c>
      <c r="L43" s="0" t="n">
        <v>33</v>
      </c>
    </row>
    <row r="44" customFormat="false" ht="15" hidden="false" customHeight="false" outlineLevel="0" collapsed="false">
      <c r="A44" s="0" t="s">
        <v>235</v>
      </c>
      <c r="B44" s="33" t="n">
        <v>0.399305555555556</v>
      </c>
      <c r="H44" s="24" t="n">
        <f aca="false">IF(34&lt;=NW,SAT1+231,"")</f>
        <v>46249</v>
      </c>
      <c r="I44" s="24" t="n">
        <f aca="false">IF(34&lt;=NW,SAT1+237,"")</f>
        <v>46255</v>
      </c>
      <c r="J44" s="0" t="str">
        <f aca="false">IF(34&lt;=NW,"من السبت "&amp;TEXT(DAY(H44),"00")&amp;"/"&amp;TEXT(MONTH(H44),"00")&amp;"/"&amp;YEAR(H44)&amp;" إلى الجمعة "&amp;TEXT(DAY(I44),"00")&amp;"/"&amp;TEXT(MONTH(I44),"00")&amp;"/"&amp;YEAR(I44)&amp;" · الأسبوع 34","")</f>
        <v>من السبت 15/08/2026 إلى الجمعة 21/08/2026 · الأسبوع 34</v>
      </c>
      <c r="K44" s="25" t="n">
        <f aca="false">IF(34&lt;=NW,MONTH(I44),"")</f>
        <v>8</v>
      </c>
      <c r="L44" s="0" t="n">
        <v>34</v>
      </c>
    </row>
    <row r="45" customFormat="false" ht="15" hidden="false" customHeight="false" outlineLevel="0" collapsed="false">
      <c r="A45" s="0" t="s">
        <v>236</v>
      </c>
      <c r="B45" s="33" t="n">
        <v>0.402777777777778</v>
      </c>
      <c r="H45" s="24" t="n">
        <f aca="false">IF(35&lt;=NW,SAT1+238,"")</f>
        <v>46256</v>
      </c>
      <c r="I45" s="24" t="n">
        <f aca="false">IF(35&lt;=NW,SAT1+244,"")</f>
        <v>46262</v>
      </c>
      <c r="J45" s="0" t="str">
        <f aca="false">IF(35&lt;=NW,"من السبت "&amp;TEXT(DAY(H45),"00")&amp;"/"&amp;TEXT(MONTH(H45),"00")&amp;"/"&amp;YEAR(H45)&amp;" إلى الجمعة "&amp;TEXT(DAY(I45),"00")&amp;"/"&amp;TEXT(MONTH(I45),"00")&amp;"/"&amp;YEAR(I45)&amp;" · الأسبوع 35","")</f>
        <v>من السبت 22/08/2026 إلى الجمعة 28/08/2026 · الأسبوع 35</v>
      </c>
      <c r="K45" s="25" t="n">
        <f aca="false">IF(35&lt;=NW,MONTH(I45),"")</f>
        <v>8</v>
      </c>
      <c r="L45" s="0" t="n">
        <v>35</v>
      </c>
    </row>
    <row r="46" customFormat="false" ht="15" hidden="false" customHeight="false" outlineLevel="0" collapsed="false">
      <c r="A46" s="0" t="s">
        <v>237</v>
      </c>
      <c r="B46" s="33" t="n">
        <v>0.40625</v>
      </c>
      <c r="H46" s="24" t="n">
        <f aca="false">IF(36&lt;=NW,SAT1+245,"")</f>
        <v>46263</v>
      </c>
      <c r="I46" s="24" t="n">
        <f aca="false">IF(36&lt;=NW,SAT1+251,"")</f>
        <v>46269</v>
      </c>
      <c r="J46" s="0" t="str">
        <f aca="false">IF(36&lt;=NW,"من السبت "&amp;TEXT(DAY(H46),"00")&amp;"/"&amp;TEXT(MONTH(H46),"00")&amp;"/"&amp;YEAR(H46)&amp;" إلى الجمعة "&amp;TEXT(DAY(I46),"00")&amp;"/"&amp;TEXT(MONTH(I46),"00")&amp;"/"&amp;YEAR(I46)&amp;" · الأسبوع 36","")</f>
        <v>من السبت 29/08/2026 إلى الجمعة 04/09/2026 · الأسبوع 36</v>
      </c>
      <c r="K46" s="25" t="n">
        <f aca="false">IF(36&lt;=NW,MONTH(I46),"")</f>
        <v>9</v>
      </c>
      <c r="L46" s="0" t="n">
        <v>36</v>
      </c>
    </row>
    <row r="47" customFormat="false" ht="15" hidden="false" customHeight="false" outlineLevel="0" collapsed="false">
      <c r="A47" s="0" t="s">
        <v>238</v>
      </c>
      <c r="B47" s="33" t="n">
        <v>0.409722222222222</v>
      </c>
      <c r="H47" s="24" t="n">
        <f aca="false">IF(37&lt;=NW,SAT1+252,"")</f>
        <v>46270</v>
      </c>
      <c r="I47" s="24" t="n">
        <f aca="false">IF(37&lt;=NW,SAT1+258,"")</f>
        <v>46276</v>
      </c>
      <c r="J47" s="0" t="str">
        <f aca="false">IF(37&lt;=NW,"من السبت "&amp;TEXT(DAY(H47),"00")&amp;"/"&amp;TEXT(MONTH(H47),"00")&amp;"/"&amp;YEAR(H47)&amp;" إلى الجمعة "&amp;TEXT(DAY(I47),"00")&amp;"/"&amp;TEXT(MONTH(I47),"00")&amp;"/"&amp;YEAR(I47)&amp;" · الأسبوع 37","")</f>
        <v>من السبت 05/09/2026 إلى الجمعة 11/09/2026 · الأسبوع 37</v>
      </c>
      <c r="K47" s="25" t="n">
        <f aca="false">IF(37&lt;=NW,MONTH(I47),"")</f>
        <v>9</v>
      </c>
      <c r="L47" s="0" t="n">
        <v>37</v>
      </c>
    </row>
    <row r="48" customFormat="false" ht="15" hidden="false" customHeight="false" outlineLevel="0" collapsed="false">
      <c r="A48" s="0" t="s">
        <v>239</v>
      </c>
      <c r="B48" s="33" t="n">
        <v>0.413194444444444</v>
      </c>
      <c r="H48" s="24" t="n">
        <f aca="false">IF(38&lt;=NW,SAT1+259,"")</f>
        <v>46277</v>
      </c>
      <c r="I48" s="24" t="n">
        <f aca="false">IF(38&lt;=NW,SAT1+265,"")</f>
        <v>46283</v>
      </c>
      <c r="J48" s="0" t="str">
        <f aca="false">IF(38&lt;=NW,"من السبت "&amp;TEXT(DAY(H48),"00")&amp;"/"&amp;TEXT(MONTH(H48),"00")&amp;"/"&amp;YEAR(H48)&amp;" إلى الجمعة "&amp;TEXT(DAY(I48),"00")&amp;"/"&amp;TEXT(MONTH(I48),"00")&amp;"/"&amp;YEAR(I48)&amp;" · الأسبوع 38","")</f>
        <v>من السبت 12/09/2026 إلى الجمعة 18/09/2026 · الأسبوع 38</v>
      </c>
      <c r="K48" s="25" t="n">
        <f aca="false">IF(38&lt;=NW,MONTH(I48),"")</f>
        <v>9</v>
      </c>
      <c r="L48" s="0" t="n">
        <v>38</v>
      </c>
    </row>
    <row r="49" customFormat="false" ht="15" hidden="false" customHeight="false" outlineLevel="0" collapsed="false">
      <c r="A49" s="0" t="s">
        <v>240</v>
      </c>
      <c r="B49" s="33" t="n">
        <v>0.416666666666667</v>
      </c>
      <c r="H49" s="24" t="n">
        <f aca="false">IF(39&lt;=NW,SAT1+266,"")</f>
        <v>46284</v>
      </c>
      <c r="I49" s="24" t="n">
        <f aca="false">IF(39&lt;=NW,SAT1+272,"")</f>
        <v>46290</v>
      </c>
      <c r="J49" s="0" t="str">
        <f aca="false">IF(39&lt;=NW,"من السبت "&amp;TEXT(DAY(H49),"00")&amp;"/"&amp;TEXT(MONTH(H49),"00")&amp;"/"&amp;YEAR(H49)&amp;" إلى الجمعة "&amp;TEXT(DAY(I49),"00")&amp;"/"&amp;TEXT(MONTH(I49),"00")&amp;"/"&amp;YEAR(I49)&amp;" · الأسبوع 39","")</f>
        <v>من السبت 19/09/2026 إلى الجمعة 25/09/2026 · الأسبوع 39</v>
      </c>
      <c r="K49" s="25" t="n">
        <f aca="false">IF(39&lt;=NW,MONTH(I49),"")</f>
        <v>9</v>
      </c>
      <c r="L49" s="0" t="n">
        <v>39</v>
      </c>
    </row>
    <row r="50" customFormat="false" ht="15" hidden="false" customHeight="false" outlineLevel="0" collapsed="false">
      <c r="A50" s="0" t="s">
        <v>241</v>
      </c>
      <c r="B50" s="33" t="n">
        <v>0.420138888888889</v>
      </c>
      <c r="H50" s="24" t="n">
        <f aca="false">IF(40&lt;=NW,SAT1+273,"")</f>
        <v>46291</v>
      </c>
      <c r="I50" s="24" t="n">
        <f aca="false">IF(40&lt;=NW,SAT1+279,"")</f>
        <v>46297</v>
      </c>
      <c r="J50" s="0" t="str">
        <f aca="false">IF(40&lt;=NW,"من السبت "&amp;TEXT(DAY(H50),"00")&amp;"/"&amp;TEXT(MONTH(H50),"00")&amp;"/"&amp;YEAR(H50)&amp;" إلى الجمعة "&amp;TEXT(DAY(I50),"00")&amp;"/"&amp;TEXT(MONTH(I50),"00")&amp;"/"&amp;YEAR(I50)&amp;" · الأسبوع 40","")</f>
        <v>من السبت 26/09/2026 إلى الجمعة 02/10/2026 · الأسبوع 40</v>
      </c>
      <c r="K50" s="25" t="n">
        <f aca="false">IF(40&lt;=NW,MONTH(I50),"")</f>
        <v>10</v>
      </c>
      <c r="L50" s="0" t="n">
        <v>40</v>
      </c>
    </row>
    <row r="51" customFormat="false" ht="15" hidden="false" customHeight="false" outlineLevel="0" collapsed="false">
      <c r="A51" s="0" t="s">
        <v>242</v>
      </c>
      <c r="B51" s="33" t="n">
        <v>0.423611111111111</v>
      </c>
      <c r="H51" s="24" t="n">
        <f aca="false">IF(41&lt;=NW,SAT1+280,"")</f>
        <v>46298</v>
      </c>
      <c r="I51" s="24" t="n">
        <f aca="false">IF(41&lt;=NW,SAT1+286,"")</f>
        <v>46304</v>
      </c>
      <c r="J51" s="0" t="str">
        <f aca="false">IF(41&lt;=NW,"من السبت "&amp;TEXT(DAY(H51),"00")&amp;"/"&amp;TEXT(MONTH(H51),"00")&amp;"/"&amp;YEAR(H51)&amp;" إلى الجمعة "&amp;TEXT(DAY(I51),"00")&amp;"/"&amp;TEXT(MONTH(I51),"00")&amp;"/"&amp;YEAR(I51)&amp;" · الأسبوع 41","")</f>
        <v>من السبت 03/10/2026 إلى الجمعة 09/10/2026 · الأسبوع 41</v>
      </c>
      <c r="K51" s="25" t="n">
        <f aca="false">IF(41&lt;=NW,MONTH(I51),"")</f>
        <v>10</v>
      </c>
      <c r="L51" s="0" t="n">
        <v>41</v>
      </c>
    </row>
    <row r="52" customFormat="false" ht="15" hidden="false" customHeight="false" outlineLevel="0" collapsed="false">
      <c r="A52" s="0" t="s">
        <v>243</v>
      </c>
      <c r="B52" s="33" t="n">
        <v>0.427083333333333</v>
      </c>
      <c r="H52" s="24" t="n">
        <f aca="false">IF(42&lt;=NW,SAT1+287,"")</f>
        <v>46305</v>
      </c>
      <c r="I52" s="24" t="n">
        <f aca="false">IF(42&lt;=NW,SAT1+293,"")</f>
        <v>46311</v>
      </c>
      <c r="J52" s="0" t="str">
        <f aca="false">IF(42&lt;=NW,"من السبت "&amp;TEXT(DAY(H52),"00")&amp;"/"&amp;TEXT(MONTH(H52),"00")&amp;"/"&amp;YEAR(H52)&amp;" إلى الجمعة "&amp;TEXT(DAY(I52),"00")&amp;"/"&amp;TEXT(MONTH(I52),"00")&amp;"/"&amp;YEAR(I52)&amp;" · الأسبوع 42","")</f>
        <v>من السبت 10/10/2026 إلى الجمعة 16/10/2026 · الأسبوع 42</v>
      </c>
      <c r="K52" s="25" t="n">
        <f aca="false">IF(42&lt;=NW,MONTH(I52),"")</f>
        <v>10</v>
      </c>
      <c r="L52" s="0" t="n">
        <v>42</v>
      </c>
    </row>
    <row r="53" customFormat="false" ht="15" hidden="false" customHeight="false" outlineLevel="0" collapsed="false">
      <c r="A53" s="0" t="s">
        <v>244</v>
      </c>
      <c r="B53" s="33" t="n">
        <v>0.430555555555556</v>
      </c>
      <c r="H53" s="24" t="n">
        <f aca="false">IF(43&lt;=NW,SAT1+294,"")</f>
        <v>46312</v>
      </c>
      <c r="I53" s="24" t="n">
        <f aca="false">IF(43&lt;=NW,SAT1+300,"")</f>
        <v>46318</v>
      </c>
      <c r="J53" s="0" t="str">
        <f aca="false">IF(43&lt;=NW,"من السبت "&amp;TEXT(DAY(H53),"00")&amp;"/"&amp;TEXT(MONTH(H53),"00")&amp;"/"&amp;YEAR(H53)&amp;" إلى الجمعة "&amp;TEXT(DAY(I53),"00")&amp;"/"&amp;TEXT(MONTH(I53),"00")&amp;"/"&amp;YEAR(I53)&amp;" · الأسبوع 43","")</f>
        <v>من السبت 17/10/2026 إلى الجمعة 23/10/2026 · الأسبوع 43</v>
      </c>
      <c r="K53" s="25" t="n">
        <f aca="false">IF(43&lt;=NW,MONTH(I53),"")</f>
        <v>10</v>
      </c>
      <c r="L53" s="0" t="n">
        <v>43</v>
      </c>
    </row>
    <row r="54" customFormat="false" ht="15" hidden="false" customHeight="false" outlineLevel="0" collapsed="false">
      <c r="A54" s="0" t="s">
        <v>245</v>
      </c>
      <c r="B54" s="33" t="n">
        <v>0.434027777777778</v>
      </c>
      <c r="H54" s="24" t="n">
        <f aca="false">IF(44&lt;=NW,SAT1+301,"")</f>
        <v>46319</v>
      </c>
      <c r="I54" s="24" t="n">
        <f aca="false">IF(44&lt;=NW,SAT1+307,"")</f>
        <v>46325</v>
      </c>
      <c r="J54" s="0" t="str">
        <f aca="false">IF(44&lt;=NW,"من السبت "&amp;TEXT(DAY(H54),"00")&amp;"/"&amp;TEXT(MONTH(H54),"00")&amp;"/"&amp;YEAR(H54)&amp;" إلى الجمعة "&amp;TEXT(DAY(I54),"00")&amp;"/"&amp;TEXT(MONTH(I54),"00")&amp;"/"&amp;YEAR(I54)&amp;" · الأسبوع 44","")</f>
        <v>من السبت 24/10/2026 إلى الجمعة 30/10/2026 · الأسبوع 44</v>
      </c>
      <c r="K54" s="25" t="n">
        <f aca="false">IF(44&lt;=NW,MONTH(I54),"")</f>
        <v>10</v>
      </c>
      <c r="L54" s="0" t="n">
        <v>44</v>
      </c>
    </row>
    <row r="55" customFormat="false" ht="15" hidden="false" customHeight="false" outlineLevel="0" collapsed="false">
      <c r="A55" s="0" t="s">
        <v>246</v>
      </c>
      <c r="B55" s="33" t="n">
        <v>0.4375</v>
      </c>
      <c r="H55" s="24" t="n">
        <f aca="false">IF(45&lt;=NW,SAT1+308,"")</f>
        <v>46326</v>
      </c>
      <c r="I55" s="24" t="n">
        <f aca="false">IF(45&lt;=NW,SAT1+314,"")</f>
        <v>46332</v>
      </c>
      <c r="J55" s="0" t="str">
        <f aca="false">IF(45&lt;=NW,"من السبت "&amp;TEXT(DAY(H55),"00")&amp;"/"&amp;TEXT(MONTH(H55),"00")&amp;"/"&amp;YEAR(H55)&amp;" إلى الجمعة "&amp;TEXT(DAY(I55),"00")&amp;"/"&amp;TEXT(MONTH(I55),"00")&amp;"/"&amp;YEAR(I55)&amp;" · الأسبوع 45","")</f>
        <v>من السبت 31/10/2026 إلى الجمعة 06/11/2026 · الأسبوع 45</v>
      </c>
      <c r="K55" s="25" t="n">
        <f aca="false">IF(45&lt;=NW,MONTH(I55),"")</f>
        <v>11</v>
      </c>
      <c r="L55" s="0" t="n">
        <v>45</v>
      </c>
    </row>
    <row r="56" customFormat="false" ht="15" hidden="false" customHeight="false" outlineLevel="0" collapsed="false">
      <c r="A56" s="0" t="s">
        <v>247</v>
      </c>
      <c r="B56" s="33" t="n">
        <v>0.440972222222222</v>
      </c>
      <c r="H56" s="24" t="n">
        <f aca="false">IF(46&lt;=NW,SAT1+315,"")</f>
        <v>46333</v>
      </c>
      <c r="I56" s="24" t="n">
        <f aca="false">IF(46&lt;=NW,SAT1+321,"")</f>
        <v>46339</v>
      </c>
      <c r="J56" s="0" t="str">
        <f aca="false">IF(46&lt;=NW,"من السبت "&amp;TEXT(DAY(H56),"00")&amp;"/"&amp;TEXT(MONTH(H56),"00")&amp;"/"&amp;YEAR(H56)&amp;" إلى الجمعة "&amp;TEXT(DAY(I56),"00")&amp;"/"&amp;TEXT(MONTH(I56),"00")&amp;"/"&amp;YEAR(I56)&amp;" · الأسبوع 46","")</f>
        <v>من السبت 07/11/2026 إلى الجمعة 13/11/2026 · الأسبوع 46</v>
      </c>
      <c r="K56" s="25" t="n">
        <f aca="false">IF(46&lt;=NW,MONTH(I56),"")</f>
        <v>11</v>
      </c>
      <c r="L56" s="0" t="n">
        <v>46</v>
      </c>
    </row>
    <row r="57" customFormat="false" ht="15" hidden="false" customHeight="false" outlineLevel="0" collapsed="false">
      <c r="A57" s="0" t="s">
        <v>248</v>
      </c>
      <c r="B57" s="33" t="n">
        <v>0.444444444444444</v>
      </c>
      <c r="H57" s="24" t="n">
        <f aca="false">IF(47&lt;=NW,SAT1+322,"")</f>
        <v>46340</v>
      </c>
      <c r="I57" s="24" t="n">
        <f aca="false">IF(47&lt;=NW,SAT1+328,"")</f>
        <v>46346</v>
      </c>
      <c r="J57" s="0" t="str">
        <f aca="false">IF(47&lt;=NW,"من السبت "&amp;TEXT(DAY(H57),"00")&amp;"/"&amp;TEXT(MONTH(H57),"00")&amp;"/"&amp;YEAR(H57)&amp;" إلى الجمعة "&amp;TEXT(DAY(I57),"00")&amp;"/"&amp;TEXT(MONTH(I57),"00")&amp;"/"&amp;YEAR(I57)&amp;" · الأسبوع 47","")</f>
        <v>من السبت 14/11/2026 إلى الجمعة 20/11/2026 · الأسبوع 47</v>
      </c>
      <c r="K57" s="25" t="n">
        <f aca="false">IF(47&lt;=NW,MONTH(I57),"")</f>
        <v>11</v>
      </c>
      <c r="L57" s="0" t="n">
        <v>47</v>
      </c>
    </row>
    <row r="58" customFormat="false" ht="15" hidden="false" customHeight="false" outlineLevel="0" collapsed="false">
      <c r="A58" s="0" t="s">
        <v>249</v>
      </c>
      <c r="B58" s="33" t="n">
        <v>0.447916666666667</v>
      </c>
      <c r="H58" s="24" t="n">
        <f aca="false">IF(48&lt;=NW,SAT1+329,"")</f>
        <v>46347</v>
      </c>
      <c r="I58" s="24" t="n">
        <f aca="false">IF(48&lt;=NW,SAT1+335,"")</f>
        <v>46353</v>
      </c>
      <c r="J58" s="0" t="str">
        <f aca="false">IF(48&lt;=NW,"من السبت "&amp;TEXT(DAY(H58),"00")&amp;"/"&amp;TEXT(MONTH(H58),"00")&amp;"/"&amp;YEAR(H58)&amp;" إلى الجمعة "&amp;TEXT(DAY(I58),"00")&amp;"/"&amp;TEXT(MONTH(I58),"00")&amp;"/"&amp;YEAR(I58)&amp;" · الأسبوع 48","")</f>
        <v>من السبت 21/11/2026 إلى الجمعة 27/11/2026 · الأسبوع 48</v>
      </c>
      <c r="K58" s="25" t="n">
        <f aca="false">IF(48&lt;=NW,MONTH(I58),"")</f>
        <v>11</v>
      </c>
      <c r="L58" s="0" t="n">
        <v>48</v>
      </c>
    </row>
    <row r="59" customFormat="false" ht="15" hidden="false" customHeight="false" outlineLevel="0" collapsed="false">
      <c r="A59" s="0" t="s">
        <v>250</v>
      </c>
      <c r="B59" s="33" t="n">
        <v>0.451388888888889</v>
      </c>
      <c r="H59" s="24" t="n">
        <f aca="false">IF(49&lt;=NW,SAT1+336,"")</f>
        <v>46354</v>
      </c>
      <c r="I59" s="24" t="n">
        <f aca="false">IF(49&lt;=NW,SAT1+342,"")</f>
        <v>46360</v>
      </c>
      <c r="J59" s="0" t="str">
        <f aca="false">IF(49&lt;=NW,"من السبت "&amp;TEXT(DAY(H59),"00")&amp;"/"&amp;TEXT(MONTH(H59),"00")&amp;"/"&amp;YEAR(H59)&amp;" إلى الجمعة "&amp;TEXT(DAY(I59),"00")&amp;"/"&amp;TEXT(MONTH(I59),"00")&amp;"/"&amp;YEAR(I59)&amp;" · الأسبوع 49","")</f>
        <v>من السبت 28/11/2026 إلى الجمعة 04/12/2026 · الأسبوع 49</v>
      </c>
      <c r="K59" s="25" t="n">
        <f aca="false">IF(49&lt;=NW,MONTH(I59),"")</f>
        <v>12</v>
      </c>
      <c r="L59" s="0" t="n">
        <v>49</v>
      </c>
    </row>
    <row r="60" customFormat="false" ht="15" hidden="false" customHeight="false" outlineLevel="0" collapsed="false">
      <c r="A60" s="0" t="s">
        <v>251</v>
      </c>
      <c r="B60" s="33" t="n">
        <v>0.454861111111111</v>
      </c>
      <c r="H60" s="24" t="n">
        <f aca="false">IF(50&lt;=NW,SAT1+343,"")</f>
        <v>46361</v>
      </c>
      <c r="I60" s="24" t="n">
        <f aca="false">IF(50&lt;=NW,SAT1+349,"")</f>
        <v>46367</v>
      </c>
      <c r="J60" s="0" t="str">
        <f aca="false">IF(50&lt;=NW,"من السبت "&amp;TEXT(DAY(H60),"00")&amp;"/"&amp;TEXT(MONTH(H60),"00")&amp;"/"&amp;YEAR(H60)&amp;" إلى الجمعة "&amp;TEXT(DAY(I60),"00")&amp;"/"&amp;TEXT(MONTH(I60),"00")&amp;"/"&amp;YEAR(I60)&amp;" · الأسبوع 50","")</f>
        <v>من السبت 05/12/2026 إلى الجمعة 11/12/2026 · الأسبوع 50</v>
      </c>
      <c r="K60" s="25" t="n">
        <f aca="false">IF(50&lt;=NW,MONTH(I60),"")</f>
        <v>12</v>
      </c>
      <c r="L60" s="0" t="n">
        <v>50</v>
      </c>
    </row>
    <row r="61" customFormat="false" ht="15" hidden="false" customHeight="false" outlineLevel="0" collapsed="false">
      <c r="A61" s="0" t="s">
        <v>252</v>
      </c>
      <c r="B61" s="33" t="n">
        <v>0.458333333333333</v>
      </c>
      <c r="H61" s="24" t="n">
        <f aca="false">IF(51&lt;=NW,SAT1+350,"")</f>
        <v>46368</v>
      </c>
      <c r="I61" s="24" t="n">
        <f aca="false">IF(51&lt;=NW,SAT1+356,"")</f>
        <v>46374</v>
      </c>
      <c r="J61" s="0" t="str">
        <f aca="false">IF(51&lt;=NW,"من السبت "&amp;TEXT(DAY(H61),"00")&amp;"/"&amp;TEXT(MONTH(H61),"00")&amp;"/"&amp;YEAR(H61)&amp;" إلى الجمعة "&amp;TEXT(DAY(I61),"00")&amp;"/"&amp;TEXT(MONTH(I61),"00")&amp;"/"&amp;YEAR(I61)&amp;" · الأسبوع 51","")</f>
        <v>من السبت 12/12/2026 إلى الجمعة 18/12/2026 · الأسبوع 51</v>
      </c>
      <c r="K61" s="25" t="n">
        <f aca="false">IF(51&lt;=NW,MONTH(I61),"")</f>
        <v>12</v>
      </c>
      <c r="L61" s="0" t="n">
        <v>51</v>
      </c>
    </row>
    <row r="62" customFormat="false" ht="15" hidden="false" customHeight="false" outlineLevel="0" collapsed="false">
      <c r="A62" s="0" t="s">
        <v>253</v>
      </c>
      <c r="B62" s="33" t="n">
        <v>0.461805555555556</v>
      </c>
      <c r="H62" s="24" t="n">
        <f aca="false">IF(52&lt;=NW,SAT1+357,"")</f>
        <v>46375</v>
      </c>
      <c r="I62" s="24" t="n">
        <f aca="false">IF(52&lt;=NW,SAT1+363,"")</f>
        <v>46381</v>
      </c>
      <c r="J62" s="0" t="str">
        <f aca="false">IF(52&lt;=NW,"من السبت "&amp;TEXT(DAY(H62),"00")&amp;"/"&amp;TEXT(MONTH(H62),"00")&amp;"/"&amp;YEAR(H62)&amp;" إلى الجمعة "&amp;TEXT(DAY(I62),"00")&amp;"/"&amp;TEXT(MONTH(I62),"00")&amp;"/"&amp;YEAR(I62)&amp;" · الأسبوع 52","")</f>
        <v>من السبت 19/12/2026 إلى الجمعة 25/12/2026 · الأسبوع 52</v>
      </c>
      <c r="K62" s="25" t="n">
        <f aca="false">IF(52&lt;=NW,MONTH(I62),"")</f>
        <v>12</v>
      </c>
      <c r="L62" s="0" t="n">
        <v>52</v>
      </c>
    </row>
    <row r="63" customFormat="false" ht="15" hidden="false" customHeight="false" outlineLevel="0" collapsed="false">
      <c r="A63" s="0" t="s">
        <v>254</v>
      </c>
      <c r="B63" s="33" t="n">
        <v>0.465277777777778</v>
      </c>
      <c r="H63" s="24" t="str">
        <f aca="false">IF(53&lt;=NW,SAT1+364,"")</f>
        <v/>
      </c>
      <c r="I63" s="24" t="str">
        <f aca="false">IF(53&lt;=NW,SAT1+370,"")</f>
        <v/>
      </c>
      <c r="J63" s="0" t="str">
        <f aca="false">IF(53&lt;=NW,"من السبت "&amp;TEXT(DAY(H63),"00")&amp;"/"&amp;TEXT(MONTH(H63),"00")&amp;"/"&amp;YEAR(H63)&amp;" إلى الجمعة "&amp;TEXT(DAY(I63),"00")&amp;"/"&amp;TEXT(MONTH(I63),"00")&amp;"/"&amp;YEAR(I63)&amp;" · الأسبوع 53","")</f>
        <v/>
      </c>
      <c r="K63" s="0" t="str">
        <f aca="false">IF(53&lt;=NW,MONTH(I63),"")</f>
        <v/>
      </c>
      <c r="L63" s="0" t="n">
        <v>53</v>
      </c>
    </row>
    <row r="64" customFormat="false" ht="15" hidden="false" customHeight="false" outlineLevel="0" collapsed="false">
      <c r="A64" s="0" t="s">
        <v>255</v>
      </c>
      <c r="B64" s="33" t="n">
        <v>0.46875</v>
      </c>
    </row>
    <row r="65" customFormat="false" ht="15" hidden="false" customHeight="false" outlineLevel="0" collapsed="false">
      <c r="A65" s="0" t="s">
        <v>256</v>
      </c>
      <c r="B65" s="33" t="n">
        <v>0.472222222222222</v>
      </c>
    </row>
    <row r="66" customFormat="false" ht="15" hidden="false" customHeight="false" outlineLevel="0" collapsed="false">
      <c r="A66" s="0" t="s">
        <v>257</v>
      </c>
      <c r="B66" s="33" t="n">
        <v>0.475694444444444</v>
      </c>
    </row>
    <row r="67" customFormat="false" ht="15" hidden="false" customHeight="false" outlineLevel="0" collapsed="false">
      <c r="A67" s="0" t="s">
        <v>258</v>
      </c>
      <c r="B67" s="33" t="n">
        <v>0.479166666666667</v>
      </c>
    </row>
    <row r="68" customFormat="false" ht="15" hidden="false" customHeight="false" outlineLevel="0" collapsed="false">
      <c r="A68" s="0" t="s">
        <v>259</v>
      </c>
      <c r="B68" s="33" t="n">
        <v>0.482638888888889</v>
      </c>
    </row>
    <row r="69" customFormat="false" ht="15" hidden="false" customHeight="false" outlineLevel="0" collapsed="false">
      <c r="A69" s="0" t="s">
        <v>260</v>
      </c>
      <c r="B69" s="33" t="n">
        <v>0.486111111111111</v>
      </c>
    </row>
    <row r="70" customFormat="false" ht="15" hidden="false" customHeight="false" outlineLevel="0" collapsed="false">
      <c r="A70" s="0" t="s">
        <v>261</v>
      </c>
      <c r="B70" s="33" t="n">
        <v>0.489583333333333</v>
      </c>
    </row>
    <row r="71" customFormat="false" ht="15" hidden="false" customHeight="false" outlineLevel="0" collapsed="false">
      <c r="A71" s="0" t="s">
        <v>262</v>
      </c>
      <c r="B71" s="33" t="n">
        <v>0.493055555555556</v>
      </c>
    </row>
    <row r="72" customFormat="false" ht="15" hidden="false" customHeight="false" outlineLevel="0" collapsed="false">
      <c r="A72" s="0" t="s">
        <v>263</v>
      </c>
      <c r="B72" s="33" t="n">
        <v>0.496527777777778</v>
      </c>
    </row>
    <row r="73" customFormat="false" ht="15" hidden="false" customHeight="false" outlineLevel="0" collapsed="false">
      <c r="A73" s="0" t="s">
        <v>264</v>
      </c>
      <c r="B73" s="33" t="n">
        <v>0.5</v>
      </c>
    </row>
    <row r="74" customFormat="false" ht="15" hidden="false" customHeight="false" outlineLevel="0" collapsed="false">
      <c r="A74" s="0" t="s">
        <v>265</v>
      </c>
      <c r="B74" s="33" t="n">
        <v>0.503472222222222</v>
      </c>
    </row>
    <row r="75" customFormat="false" ht="15" hidden="false" customHeight="false" outlineLevel="0" collapsed="false">
      <c r="A75" s="0" t="s">
        <v>266</v>
      </c>
      <c r="B75" s="33" t="n">
        <v>0.506944444444444</v>
      </c>
    </row>
    <row r="76" customFormat="false" ht="15" hidden="false" customHeight="false" outlineLevel="0" collapsed="false">
      <c r="A76" s="0" t="s">
        <v>267</v>
      </c>
      <c r="B76" s="33" t="n">
        <v>0.510416666666667</v>
      </c>
    </row>
    <row r="77" customFormat="false" ht="15" hidden="false" customHeight="false" outlineLevel="0" collapsed="false">
      <c r="A77" s="0" t="s">
        <v>268</v>
      </c>
      <c r="B77" s="33" t="n">
        <v>0.513888888888889</v>
      </c>
    </row>
    <row r="78" customFormat="false" ht="15" hidden="false" customHeight="false" outlineLevel="0" collapsed="false">
      <c r="A78" s="0" t="s">
        <v>269</v>
      </c>
      <c r="B78" s="33" t="n">
        <v>0.517361111111111</v>
      </c>
    </row>
    <row r="79" customFormat="false" ht="15" hidden="false" customHeight="false" outlineLevel="0" collapsed="false">
      <c r="A79" s="0" t="s">
        <v>270</v>
      </c>
      <c r="B79" s="33" t="n">
        <v>0.520833333333333</v>
      </c>
    </row>
    <row r="80" customFormat="false" ht="15" hidden="false" customHeight="false" outlineLevel="0" collapsed="false">
      <c r="A80" s="0" t="s">
        <v>271</v>
      </c>
      <c r="B80" s="33" t="n">
        <v>0.524305555555556</v>
      </c>
    </row>
    <row r="81" customFormat="false" ht="15" hidden="false" customHeight="false" outlineLevel="0" collapsed="false">
      <c r="A81" s="0" t="s">
        <v>272</v>
      </c>
      <c r="B81" s="33" t="n">
        <v>0.527777777777778</v>
      </c>
    </row>
    <row r="82" customFormat="false" ht="15" hidden="false" customHeight="false" outlineLevel="0" collapsed="false">
      <c r="A82" s="0" t="s">
        <v>273</v>
      </c>
      <c r="B82" s="33" t="n">
        <v>0.53125</v>
      </c>
    </row>
    <row r="83" customFormat="false" ht="15" hidden="false" customHeight="false" outlineLevel="0" collapsed="false">
      <c r="A83" s="0" t="s">
        <v>274</v>
      </c>
      <c r="B83" s="33" t="n">
        <v>0.534722222222222</v>
      </c>
    </row>
    <row r="84" customFormat="false" ht="15" hidden="false" customHeight="false" outlineLevel="0" collapsed="false">
      <c r="A84" s="0" t="s">
        <v>275</v>
      </c>
      <c r="B84" s="33" t="n">
        <v>0.538194444444444</v>
      </c>
    </row>
    <row r="85" customFormat="false" ht="15" hidden="false" customHeight="false" outlineLevel="0" collapsed="false">
      <c r="A85" s="0" t="s">
        <v>276</v>
      </c>
      <c r="B85" s="33" t="n">
        <v>0.541666666666667</v>
      </c>
    </row>
    <row r="86" customFormat="false" ht="15" hidden="false" customHeight="false" outlineLevel="0" collapsed="false">
      <c r="A86" s="0" t="s">
        <v>277</v>
      </c>
      <c r="B86" s="33" t="n">
        <v>0.545138888888889</v>
      </c>
    </row>
    <row r="87" customFormat="false" ht="15" hidden="false" customHeight="false" outlineLevel="0" collapsed="false">
      <c r="A87" s="0" t="s">
        <v>278</v>
      </c>
      <c r="B87" s="33" t="n">
        <v>0.548611111111111</v>
      </c>
    </row>
    <row r="88" customFormat="false" ht="15" hidden="false" customHeight="false" outlineLevel="0" collapsed="false">
      <c r="A88" s="0" t="s">
        <v>279</v>
      </c>
      <c r="B88" s="33" t="n">
        <v>0.552083333333333</v>
      </c>
    </row>
    <row r="89" customFormat="false" ht="15" hidden="false" customHeight="false" outlineLevel="0" collapsed="false">
      <c r="A89" s="0" t="s">
        <v>280</v>
      </c>
      <c r="B89" s="33" t="n">
        <v>0.555555555555556</v>
      </c>
    </row>
    <row r="90" customFormat="false" ht="15" hidden="false" customHeight="false" outlineLevel="0" collapsed="false">
      <c r="A90" s="0" t="s">
        <v>281</v>
      </c>
      <c r="B90" s="33" t="n">
        <v>0.559027777777778</v>
      </c>
    </row>
    <row r="91" customFormat="false" ht="15" hidden="false" customHeight="false" outlineLevel="0" collapsed="false">
      <c r="A91" s="0" t="s">
        <v>282</v>
      </c>
      <c r="B91" s="33" t="n">
        <v>0.5625</v>
      </c>
    </row>
    <row r="92" customFormat="false" ht="15" hidden="false" customHeight="false" outlineLevel="0" collapsed="false">
      <c r="A92" s="0" t="s">
        <v>283</v>
      </c>
      <c r="B92" s="33" t="n">
        <v>0.565972222222222</v>
      </c>
    </row>
    <row r="93" customFormat="false" ht="15" hidden="false" customHeight="false" outlineLevel="0" collapsed="false">
      <c r="A93" s="0" t="s">
        <v>284</v>
      </c>
      <c r="B93" s="33" t="n">
        <v>0.569444444444444</v>
      </c>
    </row>
    <row r="94" customFormat="false" ht="15" hidden="false" customHeight="false" outlineLevel="0" collapsed="false">
      <c r="A94" s="0" t="s">
        <v>285</v>
      </c>
      <c r="B94" s="33" t="n">
        <v>0.572916666666667</v>
      </c>
    </row>
    <row r="95" customFormat="false" ht="15" hidden="false" customHeight="false" outlineLevel="0" collapsed="false">
      <c r="A95" s="0" t="s">
        <v>286</v>
      </c>
      <c r="B95" s="33" t="n">
        <v>0.576388888888889</v>
      </c>
    </row>
    <row r="96" customFormat="false" ht="15" hidden="false" customHeight="false" outlineLevel="0" collapsed="false">
      <c r="A96" s="0" t="s">
        <v>287</v>
      </c>
      <c r="B96" s="33" t="n">
        <v>0.579861111111111</v>
      </c>
    </row>
    <row r="97" customFormat="false" ht="15" hidden="false" customHeight="false" outlineLevel="0" collapsed="false">
      <c r="A97" s="0" t="s">
        <v>288</v>
      </c>
      <c r="B97" s="33" t="n">
        <v>0.583333333333333</v>
      </c>
    </row>
    <row r="98" customFormat="false" ht="15" hidden="false" customHeight="false" outlineLevel="0" collapsed="false">
      <c r="A98" s="0" t="s">
        <v>289</v>
      </c>
      <c r="B98" s="33" t="n">
        <v>0.586805555555556</v>
      </c>
    </row>
    <row r="99" customFormat="false" ht="15" hidden="false" customHeight="false" outlineLevel="0" collapsed="false">
      <c r="A99" s="0" t="s">
        <v>290</v>
      </c>
      <c r="B99" s="33" t="n">
        <v>0.590277777777778</v>
      </c>
    </row>
    <row r="100" customFormat="false" ht="15" hidden="false" customHeight="false" outlineLevel="0" collapsed="false">
      <c r="A100" s="0" t="s">
        <v>291</v>
      </c>
      <c r="B100" s="33" t="n">
        <v>0.59375</v>
      </c>
    </row>
    <row r="101" customFormat="false" ht="15" hidden="false" customHeight="false" outlineLevel="0" collapsed="false">
      <c r="A101" s="0" t="s">
        <v>292</v>
      </c>
      <c r="B101" s="33" t="n">
        <v>0.597222222222222</v>
      </c>
    </row>
    <row r="102" customFormat="false" ht="15" hidden="false" customHeight="false" outlineLevel="0" collapsed="false">
      <c r="A102" s="0" t="s">
        <v>293</v>
      </c>
      <c r="B102" s="33" t="n">
        <v>0.600694444444444</v>
      </c>
    </row>
    <row r="103" customFormat="false" ht="15" hidden="false" customHeight="false" outlineLevel="0" collapsed="false">
      <c r="A103" s="0" t="s">
        <v>294</v>
      </c>
      <c r="B103" s="33" t="n">
        <v>0.604166666666667</v>
      </c>
    </row>
    <row r="104" customFormat="false" ht="15" hidden="false" customHeight="false" outlineLevel="0" collapsed="false">
      <c r="A104" s="0" t="s">
        <v>295</v>
      </c>
      <c r="B104" s="33" t="n">
        <v>0.607638888888889</v>
      </c>
    </row>
    <row r="105" customFormat="false" ht="15" hidden="false" customHeight="false" outlineLevel="0" collapsed="false">
      <c r="A105" s="0" t="s">
        <v>296</v>
      </c>
      <c r="B105" s="33" t="n">
        <v>0.611111111111111</v>
      </c>
    </row>
    <row r="106" customFormat="false" ht="15" hidden="false" customHeight="false" outlineLevel="0" collapsed="false">
      <c r="A106" s="0" t="s">
        <v>297</v>
      </c>
      <c r="B106" s="33" t="n">
        <v>0.614583333333333</v>
      </c>
    </row>
    <row r="107" customFormat="false" ht="15" hidden="false" customHeight="false" outlineLevel="0" collapsed="false">
      <c r="A107" s="0" t="s">
        <v>298</v>
      </c>
      <c r="B107" s="33" t="n">
        <v>0.618055555555556</v>
      </c>
    </row>
    <row r="108" customFormat="false" ht="15" hidden="false" customHeight="false" outlineLevel="0" collapsed="false">
      <c r="A108" s="0" t="s">
        <v>299</v>
      </c>
      <c r="B108" s="33" t="n">
        <v>0.621527777777778</v>
      </c>
    </row>
    <row r="109" customFormat="false" ht="15" hidden="false" customHeight="false" outlineLevel="0" collapsed="false">
      <c r="A109" s="0" t="s">
        <v>300</v>
      </c>
      <c r="B109" s="33" t="n">
        <v>0.625</v>
      </c>
    </row>
    <row r="110" customFormat="false" ht="15" hidden="false" customHeight="false" outlineLevel="0" collapsed="false">
      <c r="A110" s="0" t="s">
        <v>301</v>
      </c>
      <c r="B110" s="33" t="n">
        <v>0.628472222222222</v>
      </c>
    </row>
    <row r="111" customFormat="false" ht="15" hidden="false" customHeight="false" outlineLevel="0" collapsed="false">
      <c r="A111" s="0" t="s">
        <v>302</v>
      </c>
      <c r="B111" s="33" t="n">
        <v>0.631944444444444</v>
      </c>
    </row>
    <row r="112" customFormat="false" ht="15" hidden="false" customHeight="false" outlineLevel="0" collapsed="false">
      <c r="A112" s="0" t="s">
        <v>303</v>
      </c>
      <c r="B112" s="33" t="n">
        <v>0.635416666666667</v>
      </c>
    </row>
    <row r="113" customFormat="false" ht="15" hidden="false" customHeight="false" outlineLevel="0" collapsed="false">
      <c r="A113" s="0" t="s">
        <v>304</v>
      </c>
      <c r="B113" s="33" t="n">
        <v>0.638888888888889</v>
      </c>
    </row>
    <row r="114" customFormat="false" ht="15" hidden="false" customHeight="false" outlineLevel="0" collapsed="false">
      <c r="A114" s="0" t="s">
        <v>305</v>
      </c>
      <c r="B114" s="33" t="n">
        <v>0.642361111111111</v>
      </c>
    </row>
    <row r="115" customFormat="false" ht="15" hidden="false" customHeight="false" outlineLevel="0" collapsed="false">
      <c r="A115" s="0" t="s">
        <v>306</v>
      </c>
      <c r="B115" s="33" t="n">
        <v>0.645833333333333</v>
      </c>
    </row>
    <row r="116" customFormat="false" ht="15" hidden="false" customHeight="false" outlineLevel="0" collapsed="false">
      <c r="A116" s="0" t="s">
        <v>307</v>
      </c>
      <c r="B116" s="33" t="n">
        <v>0.649305555555556</v>
      </c>
    </row>
    <row r="117" customFormat="false" ht="15" hidden="false" customHeight="false" outlineLevel="0" collapsed="false">
      <c r="A117" s="0" t="s">
        <v>308</v>
      </c>
      <c r="B117" s="33" t="n">
        <v>0.652777777777778</v>
      </c>
    </row>
    <row r="118" customFormat="false" ht="15" hidden="false" customHeight="false" outlineLevel="0" collapsed="false">
      <c r="A118" s="0" t="s">
        <v>309</v>
      </c>
      <c r="B118" s="33" t="n">
        <v>0.65625</v>
      </c>
    </row>
    <row r="119" customFormat="false" ht="15" hidden="false" customHeight="false" outlineLevel="0" collapsed="false">
      <c r="A119" s="0" t="s">
        <v>310</v>
      </c>
      <c r="B119" s="33" t="n">
        <v>0.659722222222222</v>
      </c>
    </row>
    <row r="120" customFormat="false" ht="15" hidden="false" customHeight="false" outlineLevel="0" collapsed="false">
      <c r="A120" s="0" t="s">
        <v>311</v>
      </c>
      <c r="B120" s="33" t="n">
        <v>0.663194444444444</v>
      </c>
    </row>
    <row r="121" customFormat="false" ht="15" hidden="false" customHeight="false" outlineLevel="0" collapsed="false">
      <c r="A121" s="0" t="s">
        <v>312</v>
      </c>
      <c r="B121" s="33" t="n">
        <v>0.666666666666667</v>
      </c>
    </row>
    <row r="122" customFormat="false" ht="15" hidden="false" customHeight="false" outlineLevel="0" collapsed="false">
      <c r="A122" s="0" t="s">
        <v>313</v>
      </c>
      <c r="B122" s="33" t="n">
        <v>0.670138888888889</v>
      </c>
    </row>
    <row r="123" customFormat="false" ht="15" hidden="false" customHeight="false" outlineLevel="0" collapsed="false">
      <c r="A123" s="0" t="s">
        <v>314</v>
      </c>
      <c r="B123" s="33" t="n">
        <v>0.673611111111111</v>
      </c>
    </row>
    <row r="124" customFormat="false" ht="15" hidden="false" customHeight="false" outlineLevel="0" collapsed="false">
      <c r="A124" s="0" t="s">
        <v>315</v>
      </c>
      <c r="B124" s="33" t="n">
        <v>0.677083333333333</v>
      </c>
    </row>
    <row r="125" customFormat="false" ht="15" hidden="false" customHeight="false" outlineLevel="0" collapsed="false">
      <c r="A125" s="0" t="s">
        <v>316</v>
      </c>
      <c r="B125" s="33" t="n">
        <v>0.680555555555556</v>
      </c>
    </row>
    <row r="126" customFormat="false" ht="15" hidden="false" customHeight="false" outlineLevel="0" collapsed="false">
      <c r="A126" s="0" t="s">
        <v>317</v>
      </c>
      <c r="B126" s="33" t="n">
        <v>0.684027777777778</v>
      </c>
    </row>
    <row r="127" customFormat="false" ht="15" hidden="false" customHeight="false" outlineLevel="0" collapsed="false">
      <c r="A127" s="0" t="s">
        <v>318</v>
      </c>
      <c r="B127" s="33" t="n">
        <v>0.6875</v>
      </c>
    </row>
    <row r="128" customFormat="false" ht="15" hidden="false" customHeight="false" outlineLevel="0" collapsed="false">
      <c r="A128" s="0" t="s">
        <v>319</v>
      </c>
      <c r="B128" s="33" t="n">
        <v>0.690972222222222</v>
      </c>
    </row>
    <row r="129" customFormat="false" ht="15" hidden="false" customHeight="false" outlineLevel="0" collapsed="false">
      <c r="A129" s="0" t="s">
        <v>320</v>
      </c>
      <c r="B129" s="33" t="n">
        <v>0.694444444444444</v>
      </c>
    </row>
    <row r="130" customFormat="false" ht="15" hidden="false" customHeight="false" outlineLevel="0" collapsed="false">
      <c r="A130" s="0" t="s">
        <v>321</v>
      </c>
      <c r="B130" s="33" t="n">
        <v>0.697916666666667</v>
      </c>
    </row>
    <row r="131" customFormat="false" ht="15" hidden="false" customHeight="false" outlineLevel="0" collapsed="false">
      <c r="A131" s="0" t="s">
        <v>322</v>
      </c>
      <c r="B131" s="33" t="n">
        <v>0.701388888888889</v>
      </c>
    </row>
    <row r="132" customFormat="false" ht="15" hidden="false" customHeight="false" outlineLevel="0" collapsed="false">
      <c r="A132" s="0" t="s">
        <v>323</v>
      </c>
      <c r="B132" s="33" t="n">
        <v>0.704861111111111</v>
      </c>
    </row>
    <row r="133" customFormat="false" ht="15" hidden="false" customHeight="false" outlineLevel="0" collapsed="false">
      <c r="A133" s="0" t="s">
        <v>324</v>
      </c>
      <c r="B133" s="33" t="n">
        <v>0.708333333333333</v>
      </c>
    </row>
    <row r="134" customFormat="false" ht="15" hidden="false" customHeight="false" outlineLevel="0" collapsed="false">
      <c r="A134" s="0" t="s">
        <v>325</v>
      </c>
      <c r="B134" s="33" t="n">
        <v>0.711805555555556</v>
      </c>
    </row>
    <row r="135" customFormat="false" ht="15" hidden="false" customHeight="false" outlineLevel="0" collapsed="false">
      <c r="A135" s="0" t="s">
        <v>326</v>
      </c>
      <c r="B135" s="33" t="n">
        <v>0.715277777777778</v>
      </c>
    </row>
    <row r="136" customFormat="false" ht="15" hidden="false" customHeight="false" outlineLevel="0" collapsed="false">
      <c r="A136" s="0" t="s">
        <v>327</v>
      </c>
      <c r="B136" s="33" t="n">
        <v>0.71875</v>
      </c>
    </row>
    <row r="137" customFormat="false" ht="15" hidden="false" customHeight="false" outlineLevel="0" collapsed="false">
      <c r="A137" s="0" t="s">
        <v>328</v>
      </c>
      <c r="B137" s="33" t="n">
        <v>0.722222222222222</v>
      </c>
    </row>
    <row r="138" customFormat="false" ht="15" hidden="false" customHeight="false" outlineLevel="0" collapsed="false">
      <c r="A138" s="0" t="s">
        <v>329</v>
      </c>
      <c r="B138" s="33" t="n">
        <v>0.725694444444444</v>
      </c>
    </row>
    <row r="139" customFormat="false" ht="15" hidden="false" customHeight="false" outlineLevel="0" collapsed="false">
      <c r="A139" s="0" t="s">
        <v>330</v>
      </c>
      <c r="B139" s="33" t="n">
        <v>0.729166666666667</v>
      </c>
    </row>
    <row r="140" customFormat="false" ht="15" hidden="false" customHeight="false" outlineLevel="0" collapsed="false">
      <c r="A140" s="0" t="s">
        <v>331</v>
      </c>
      <c r="B140" s="33" t="n">
        <v>0.732638888888889</v>
      </c>
    </row>
    <row r="141" customFormat="false" ht="15" hidden="false" customHeight="false" outlineLevel="0" collapsed="false">
      <c r="A141" s="0" t="s">
        <v>332</v>
      </c>
      <c r="B141" s="33" t="n">
        <v>0.736111111111111</v>
      </c>
    </row>
    <row r="142" customFormat="false" ht="15" hidden="false" customHeight="false" outlineLevel="0" collapsed="false">
      <c r="A142" s="0" t="s">
        <v>333</v>
      </c>
      <c r="B142" s="33" t="n">
        <v>0.739583333333333</v>
      </c>
    </row>
    <row r="143" customFormat="false" ht="15" hidden="false" customHeight="false" outlineLevel="0" collapsed="false">
      <c r="A143" s="0" t="s">
        <v>334</v>
      </c>
      <c r="B143" s="33" t="n">
        <v>0.743055555555556</v>
      </c>
    </row>
    <row r="144" customFormat="false" ht="15" hidden="false" customHeight="false" outlineLevel="0" collapsed="false">
      <c r="A144" s="0" t="s">
        <v>335</v>
      </c>
      <c r="B144" s="33" t="n">
        <v>0.746527777777778</v>
      </c>
    </row>
    <row r="145" customFormat="false" ht="15" hidden="false" customHeight="false" outlineLevel="0" collapsed="false">
      <c r="A145" s="0" t="s">
        <v>336</v>
      </c>
      <c r="B145" s="33" t="n">
        <v>0.75</v>
      </c>
    </row>
    <row r="146" customFormat="false" ht="15" hidden="false" customHeight="false" outlineLevel="0" collapsed="false">
      <c r="A146" s="0" t="s">
        <v>337</v>
      </c>
      <c r="B146" s="33" t="n">
        <v>0.753472222222222</v>
      </c>
    </row>
    <row r="147" customFormat="false" ht="15" hidden="false" customHeight="false" outlineLevel="0" collapsed="false">
      <c r="A147" s="0" t="s">
        <v>338</v>
      </c>
      <c r="B147" s="33" t="n">
        <v>0.756944444444444</v>
      </c>
    </row>
    <row r="148" customFormat="false" ht="15" hidden="false" customHeight="false" outlineLevel="0" collapsed="false">
      <c r="A148" s="0" t="s">
        <v>339</v>
      </c>
      <c r="B148" s="33" t="n">
        <v>0.760416666666667</v>
      </c>
    </row>
    <row r="149" customFormat="false" ht="15" hidden="false" customHeight="false" outlineLevel="0" collapsed="false">
      <c r="A149" s="0" t="s">
        <v>340</v>
      </c>
      <c r="B149" s="33" t="n">
        <v>0.763888888888889</v>
      </c>
    </row>
    <row r="150" customFormat="false" ht="15" hidden="false" customHeight="false" outlineLevel="0" collapsed="false">
      <c r="A150" s="0" t="s">
        <v>341</v>
      </c>
      <c r="B150" s="33" t="n">
        <v>0.767361111111111</v>
      </c>
    </row>
    <row r="151" customFormat="false" ht="15" hidden="false" customHeight="false" outlineLevel="0" collapsed="false">
      <c r="A151" s="0" t="s">
        <v>342</v>
      </c>
      <c r="B151" s="33" t="n">
        <v>0.770833333333333</v>
      </c>
    </row>
    <row r="152" customFormat="false" ht="15" hidden="false" customHeight="false" outlineLevel="0" collapsed="false">
      <c r="A152" s="0" t="s">
        <v>343</v>
      </c>
      <c r="B152" s="33" t="n">
        <v>0.774305555555556</v>
      </c>
    </row>
    <row r="153" customFormat="false" ht="15" hidden="false" customHeight="false" outlineLevel="0" collapsed="false">
      <c r="A153" s="0" t="s">
        <v>344</v>
      </c>
      <c r="B153" s="33" t="n">
        <v>0.777777777777778</v>
      </c>
    </row>
    <row r="154" customFormat="false" ht="15" hidden="false" customHeight="false" outlineLevel="0" collapsed="false">
      <c r="A154" s="0" t="s">
        <v>345</v>
      </c>
      <c r="B154" s="33" t="n">
        <v>0.78125</v>
      </c>
    </row>
    <row r="155" customFormat="false" ht="15" hidden="false" customHeight="false" outlineLevel="0" collapsed="false">
      <c r="A155" s="0" t="s">
        <v>346</v>
      </c>
      <c r="B155" s="33" t="n">
        <v>0.784722222222222</v>
      </c>
    </row>
    <row r="156" customFormat="false" ht="15" hidden="false" customHeight="false" outlineLevel="0" collapsed="false">
      <c r="A156" s="0" t="s">
        <v>347</v>
      </c>
      <c r="B156" s="33" t="n">
        <v>0.788194444444444</v>
      </c>
    </row>
    <row r="157" customFormat="false" ht="15" hidden="false" customHeight="false" outlineLevel="0" collapsed="false">
      <c r="A157" s="0" t="s">
        <v>348</v>
      </c>
      <c r="B157" s="33" t="n">
        <v>0.791666666666667</v>
      </c>
    </row>
    <row r="158" customFormat="false" ht="15" hidden="false" customHeight="false" outlineLevel="0" collapsed="false">
      <c r="A158" s="0" t="s">
        <v>349</v>
      </c>
      <c r="B158" s="33" t="n">
        <v>0.795138888888889</v>
      </c>
    </row>
    <row r="159" customFormat="false" ht="15" hidden="false" customHeight="false" outlineLevel="0" collapsed="false">
      <c r="A159" s="0" t="s">
        <v>350</v>
      </c>
      <c r="B159" s="33" t="n">
        <v>0.798611111111111</v>
      </c>
    </row>
    <row r="160" customFormat="false" ht="15" hidden="false" customHeight="false" outlineLevel="0" collapsed="false">
      <c r="A160" s="0" t="s">
        <v>351</v>
      </c>
      <c r="B160" s="33" t="n">
        <v>0.802083333333333</v>
      </c>
    </row>
    <row r="161" customFormat="false" ht="15" hidden="false" customHeight="false" outlineLevel="0" collapsed="false">
      <c r="A161" s="0" t="s">
        <v>352</v>
      </c>
      <c r="B161" s="33" t="n">
        <v>0.805555555555556</v>
      </c>
    </row>
    <row r="162" customFormat="false" ht="15" hidden="false" customHeight="false" outlineLevel="0" collapsed="false">
      <c r="A162" s="0" t="s">
        <v>353</v>
      </c>
      <c r="B162" s="33" t="n">
        <v>0.809027777777778</v>
      </c>
    </row>
    <row r="163" customFormat="false" ht="15" hidden="false" customHeight="false" outlineLevel="0" collapsed="false">
      <c r="A163" s="0" t="s">
        <v>354</v>
      </c>
      <c r="B163" s="33" t="n">
        <v>0.8125</v>
      </c>
    </row>
    <row r="164" customFormat="false" ht="15" hidden="false" customHeight="false" outlineLevel="0" collapsed="false">
      <c r="A164" s="0" t="s">
        <v>355</v>
      </c>
      <c r="B164" s="33" t="n">
        <v>0.815972222222222</v>
      </c>
    </row>
    <row r="165" customFormat="false" ht="15" hidden="false" customHeight="false" outlineLevel="0" collapsed="false">
      <c r="A165" s="0" t="s">
        <v>356</v>
      </c>
      <c r="B165" s="33" t="n">
        <v>0.819444444444444</v>
      </c>
    </row>
    <row r="166" customFormat="false" ht="15" hidden="false" customHeight="false" outlineLevel="0" collapsed="false">
      <c r="A166" s="0" t="s">
        <v>357</v>
      </c>
      <c r="B166" s="33" t="n">
        <v>0.822916666666667</v>
      </c>
    </row>
    <row r="167" customFormat="false" ht="15" hidden="false" customHeight="false" outlineLevel="0" collapsed="false">
      <c r="A167" s="0" t="s">
        <v>358</v>
      </c>
      <c r="B167" s="33" t="n">
        <v>0.826388888888889</v>
      </c>
    </row>
    <row r="168" customFormat="false" ht="15" hidden="false" customHeight="false" outlineLevel="0" collapsed="false">
      <c r="A168" s="0" t="s">
        <v>359</v>
      </c>
      <c r="B168" s="33" t="n">
        <v>0.829861111111111</v>
      </c>
    </row>
    <row r="169" customFormat="false" ht="15" hidden="false" customHeight="false" outlineLevel="0" collapsed="false">
      <c r="A169" s="0" t="s">
        <v>360</v>
      </c>
      <c r="B169" s="33" t="n">
        <v>0.833333333333333</v>
      </c>
    </row>
    <row r="170" customFormat="false" ht="15" hidden="false" customHeight="false" outlineLevel="0" collapsed="false">
      <c r="A170" s="0" t="s">
        <v>361</v>
      </c>
      <c r="B170" s="33" t="n">
        <v>0.836805555555556</v>
      </c>
    </row>
    <row r="171" customFormat="false" ht="15" hidden="false" customHeight="false" outlineLevel="0" collapsed="false">
      <c r="A171" s="0" t="s">
        <v>362</v>
      </c>
      <c r="B171" s="33" t="n">
        <v>0.840277777777778</v>
      </c>
    </row>
    <row r="172" customFormat="false" ht="15" hidden="false" customHeight="false" outlineLevel="0" collapsed="false">
      <c r="A172" s="0" t="s">
        <v>363</v>
      </c>
      <c r="B172" s="33" t="n">
        <v>0.84375</v>
      </c>
    </row>
    <row r="173" customFormat="false" ht="15" hidden="false" customHeight="false" outlineLevel="0" collapsed="false">
      <c r="A173" s="0" t="s">
        <v>364</v>
      </c>
      <c r="B173" s="33" t="n">
        <v>0.847222222222222</v>
      </c>
    </row>
    <row r="174" customFormat="false" ht="15" hidden="false" customHeight="false" outlineLevel="0" collapsed="false">
      <c r="A174" s="0" t="s">
        <v>365</v>
      </c>
      <c r="B174" s="33" t="n">
        <v>0.850694444444444</v>
      </c>
    </row>
    <row r="175" customFormat="false" ht="15" hidden="false" customHeight="false" outlineLevel="0" collapsed="false">
      <c r="A175" s="0" t="s">
        <v>366</v>
      </c>
      <c r="B175" s="33" t="n">
        <v>0.854166666666667</v>
      </c>
    </row>
    <row r="176" customFormat="false" ht="15" hidden="false" customHeight="false" outlineLevel="0" collapsed="false">
      <c r="A176" s="0" t="s">
        <v>367</v>
      </c>
      <c r="B176" s="33" t="n">
        <v>0.857638888888889</v>
      </c>
    </row>
    <row r="177" customFormat="false" ht="15" hidden="false" customHeight="false" outlineLevel="0" collapsed="false">
      <c r="A177" s="0" t="s">
        <v>368</v>
      </c>
      <c r="B177" s="33" t="n">
        <v>0.861111111111111</v>
      </c>
    </row>
    <row r="178" customFormat="false" ht="15" hidden="false" customHeight="false" outlineLevel="0" collapsed="false">
      <c r="A178" s="0" t="s">
        <v>369</v>
      </c>
      <c r="B178" s="33" t="n">
        <v>0.864583333333333</v>
      </c>
    </row>
    <row r="179" customFormat="false" ht="15" hidden="false" customHeight="false" outlineLevel="0" collapsed="false">
      <c r="A179" s="0" t="s">
        <v>370</v>
      </c>
      <c r="B179" s="33" t="n">
        <v>0.868055555555556</v>
      </c>
    </row>
    <row r="180" customFormat="false" ht="15" hidden="false" customHeight="false" outlineLevel="0" collapsed="false">
      <c r="A180" s="0" t="s">
        <v>371</v>
      </c>
      <c r="B180" s="33" t="n">
        <v>0.871527777777778</v>
      </c>
    </row>
    <row r="181" customFormat="false" ht="15" hidden="false" customHeight="false" outlineLevel="0" collapsed="false">
      <c r="A181" s="0" t="s">
        <v>372</v>
      </c>
      <c r="B181" s="33" t="n">
        <v>0.875</v>
      </c>
    </row>
    <row r="182" customFormat="false" ht="15" hidden="false" customHeight="false" outlineLevel="0" collapsed="false">
      <c r="A182" s="0" t="s">
        <v>373</v>
      </c>
      <c r="B182" s="33" t="n">
        <v>0.878472222222222</v>
      </c>
    </row>
    <row r="183" customFormat="false" ht="15" hidden="false" customHeight="false" outlineLevel="0" collapsed="false">
      <c r="A183" s="0" t="s">
        <v>374</v>
      </c>
      <c r="B183" s="33" t="n">
        <v>0.881944444444444</v>
      </c>
    </row>
    <row r="184" customFormat="false" ht="15" hidden="false" customHeight="false" outlineLevel="0" collapsed="false">
      <c r="A184" s="0" t="s">
        <v>375</v>
      </c>
      <c r="B184" s="33" t="n">
        <v>0.885416666666667</v>
      </c>
    </row>
    <row r="185" customFormat="false" ht="15" hidden="false" customHeight="false" outlineLevel="0" collapsed="false">
      <c r="A185" s="0" t="s">
        <v>376</v>
      </c>
      <c r="B185" s="33" t="n">
        <v>0.888888888888889</v>
      </c>
    </row>
    <row r="186" customFormat="false" ht="15" hidden="false" customHeight="false" outlineLevel="0" collapsed="false">
      <c r="A186" s="0" t="s">
        <v>377</v>
      </c>
      <c r="B186" s="33" t="n">
        <v>0.892361111111111</v>
      </c>
    </row>
    <row r="187" customFormat="false" ht="15" hidden="false" customHeight="false" outlineLevel="0" collapsed="false">
      <c r="A187" s="0" t="s">
        <v>378</v>
      </c>
      <c r="B187" s="33" t="n">
        <v>0.895833333333333</v>
      </c>
    </row>
    <row r="188" customFormat="false" ht="15" hidden="false" customHeight="false" outlineLevel="0" collapsed="false">
      <c r="A188" s="0" t="s">
        <v>379</v>
      </c>
      <c r="B188" s="33" t="n">
        <v>0.899305555555556</v>
      </c>
    </row>
    <row r="189" customFormat="false" ht="15" hidden="false" customHeight="false" outlineLevel="0" collapsed="false">
      <c r="A189" s="0" t="s">
        <v>380</v>
      </c>
      <c r="B189" s="33" t="n">
        <v>0.902777777777778</v>
      </c>
    </row>
    <row r="190" customFormat="false" ht="15" hidden="false" customHeight="false" outlineLevel="0" collapsed="false">
      <c r="A190" s="0" t="s">
        <v>381</v>
      </c>
      <c r="B190" s="33" t="n">
        <v>0.90625</v>
      </c>
    </row>
    <row r="191" customFormat="false" ht="15" hidden="false" customHeight="false" outlineLevel="0" collapsed="false">
      <c r="A191" s="0" t="s">
        <v>382</v>
      </c>
      <c r="B191" s="33" t="n">
        <v>0.909722222222222</v>
      </c>
    </row>
    <row r="192" customFormat="false" ht="15" hidden="false" customHeight="false" outlineLevel="0" collapsed="false">
      <c r="A192" s="0" t="s">
        <v>383</v>
      </c>
      <c r="B192" s="33" t="n">
        <v>0.913194444444444</v>
      </c>
    </row>
    <row r="193" customFormat="false" ht="15" hidden="false" customHeight="false" outlineLevel="0" collapsed="false">
      <c r="A193" s="0" t="s">
        <v>384</v>
      </c>
      <c r="B193" s="33" t="n">
        <v>0.916666666666667</v>
      </c>
    </row>
    <row r="194" customFormat="false" ht="15" hidden="false" customHeight="false" outlineLevel="0" collapsed="false">
      <c r="A194" s="0" t="s">
        <v>385</v>
      </c>
      <c r="B194" s="33" t="n">
        <v>0.920138888888889</v>
      </c>
    </row>
    <row r="195" customFormat="false" ht="15" hidden="false" customHeight="false" outlineLevel="0" collapsed="false">
      <c r="A195" s="0" t="s">
        <v>386</v>
      </c>
      <c r="B195" s="33" t="n">
        <v>0.923611111111111</v>
      </c>
    </row>
    <row r="196" customFormat="false" ht="15" hidden="false" customHeight="false" outlineLevel="0" collapsed="false">
      <c r="A196" s="0" t="s">
        <v>387</v>
      </c>
      <c r="B196" s="33" t="n">
        <v>0.927083333333333</v>
      </c>
    </row>
    <row r="197" customFormat="false" ht="15" hidden="false" customHeight="false" outlineLevel="0" collapsed="false">
      <c r="A197" s="0" t="s">
        <v>388</v>
      </c>
      <c r="B197" s="33" t="n">
        <v>0.930555555555556</v>
      </c>
    </row>
    <row r="198" customFormat="false" ht="15" hidden="false" customHeight="false" outlineLevel="0" collapsed="false">
      <c r="A198" s="0" t="s">
        <v>389</v>
      </c>
      <c r="B198" s="33" t="n">
        <v>0.934027777777778</v>
      </c>
    </row>
    <row r="199" customFormat="false" ht="15" hidden="false" customHeight="false" outlineLevel="0" collapsed="false">
      <c r="A199" s="0" t="s">
        <v>390</v>
      </c>
      <c r="B199" s="33" t="n">
        <v>0.9375</v>
      </c>
    </row>
    <row r="200" customFormat="false" ht="15" hidden="false" customHeight="false" outlineLevel="0" collapsed="false">
      <c r="A200" s="0" t="s">
        <v>391</v>
      </c>
      <c r="B200" s="33" t="n">
        <v>0.940972222222222</v>
      </c>
    </row>
    <row r="201" customFormat="false" ht="15" hidden="false" customHeight="false" outlineLevel="0" collapsed="false">
      <c r="A201" s="0" t="s">
        <v>392</v>
      </c>
      <c r="B201" s="33" t="n">
        <v>0.944444444444444</v>
      </c>
    </row>
    <row r="202" customFormat="false" ht="15" hidden="false" customHeight="false" outlineLevel="0" collapsed="false">
      <c r="A202" s="0" t="s">
        <v>393</v>
      </c>
      <c r="B202" s="33" t="n">
        <v>0.947916666666667</v>
      </c>
    </row>
    <row r="203" customFormat="false" ht="15" hidden="false" customHeight="false" outlineLevel="0" collapsed="false">
      <c r="A203" s="0" t="s">
        <v>394</v>
      </c>
      <c r="B203" s="33" t="n">
        <v>0.951388888888889</v>
      </c>
    </row>
    <row r="204" customFormat="false" ht="15" hidden="false" customHeight="false" outlineLevel="0" collapsed="false">
      <c r="A204" s="0" t="s">
        <v>395</v>
      </c>
      <c r="B204" s="33" t="n">
        <v>0.954861111111111</v>
      </c>
    </row>
    <row r="205" customFormat="false" ht="15" hidden="false" customHeight="false" outlineLevel="0" collapsed="false">
      <c r="A205" s="0" t="s">
        <v>396</v>
      </c>
      <c r="B205" s="33" t="n">
        <v>0.958333333333333</v>
      </c>
    </row>
    <row r="206" customFormat="false" ht="15" hidden="false" customHeight="false" outlineLevel="0" collapsed="false">
      <c r="A206" s="0" t="s">
        <v>397</v>
      </c>
      <c r="B206" s="33" t="n">
        <v>0.961805555555556</v>
      </c>
    </row>
    <row r="207" customFormat="false" ht="15" hidden="false" customHeight="false" outlineLevel="0" collapsed="false">
      <c r="A207" s="0" t="s">
        <v>398</v>
      </c>
      <c r="B207" s="33" t="n">
        <v>0.965277777777778</v>
      </c>
    </row>
    <row r="208" customFormat="false" ht="15" hidden="false" customHeight="false" outlineLevel="0" collapsed="false">
      <c r="A208" s="0" t="s">
        <v>399</v>
      </c>
      <c r="B208" s="33" t="n">
        <v>0.96875</v>
      </c>
    </row>
    <row r="209" customFormat="false" ht="15" hidden="false" customHeight="false" outlineLevel="0" collapsed="false">
      <c r="A209" s="0" t="s">
        <v>400</v>
      </c>
      <c r="B209" s="33" t="n">
        <v>0.972222222222222</v>
      </c>
    </row>
    <row r="210" customFormat="false" ht="15" hidden="false" customHeight="false" outlineLevel="0" collapsed="false">
      <c r="A210" s="0" t="s">
        <v>401</v>
      </c>
      <c r="B210" s="33" t="n">
        <v>0.975694444444444</v>
      </c>
    </row>
    <row r="211" customFormat="false" ht="15" hidden="false" customHeight="false" outlineLevel="0" collapsed="false">
      <c r="A211" s="0" t="s">
        <v>402</v>
      </c>
      <c r="B211" s="33" t="n">
        <v>0.979166666666667</v>
      </c>
    </row>
    <row r="212" customFormat="false" ht="15" hidden="false" customHeight="false" outlineLevel="0" collapsed="false">
      <c r="A212" s="0" t="s">
        <v>403</v>
      </c>
      <c r="B212" s="33" t="n">
        <v>0.982638888888889</v>
      </c>
    </row>
    <row r="213" customFormat="false" ht="15" hidden="false" customHeight="false" outlineLevel="0" collapsed="false">
      <c r="A213" s="0" t="s">
        <v>404</v>
      </c>
      <c r="B213" s="33" t="n">
        <v>0.986111111111111</v>
      </c>
    </row>
    <row r="214" customFormat="false" ht="15" hidden="false" customHeight="false" outlineLevel="0" collapsed="false">
      <c r="A214" s="0" t="s">
        <v>405</v>
      </c>
      <c r="B214" s="33" t="n">
        <v>0.989583333333333</v>
      </c>
    </row>
    <row r="215" customFormat="false" ht="15" hidden="false" customHeight="false" outlineLevel="0" collapsed="false">
      <c r="A215" s="0" t="s">
        <v>406</v>
      </c>
      <c r="B215" s="33" t="n">
        <v>0.993055555555556</v>
      </c>
    </row>
    <row r="216" customFormat="false" ht="15" hidden="false" customHeight="false" outlineLevel="0" collapsed="false">
      <c r="A216" s="0" t="s">
        <v>407</v>
      </c>
      <c r="B216" s="33" t="n">
        <v>0.996527777777778</v>
      </c>
    </row>
    <row r="217" customFormat="false" ht="15" hidden="false" customHeight="false" outlineLevel="0" collapsed="false">
      <c r="A217" s="0" t="s">
        <v>408</v>
      </c>
      <c r="B217" s="33" t="n">
        <v>0</v>
      </c>
    </row>
    <row r="218" customFormat="false" ht="15" hidden="false" customHeight="false" outlineLevel="0" collapsed="false">
      <c r="A218" s="0" t="s">
        <v>409</v>
      </c>
      <c r="B218" s="33" t="n">
        <v>0.00347222222222222</v>
      </c>
    </row>
    <row r="219" customFormat="false" ht="15" hidden="false" customHeight="false" outlineLevel="0" collapsed="false">
      <c r="A219" s="0" t="s">
        <v>410</v>
      </c>
      <c r="B219" s="33" t="n">
        <v>0.00694444444444444</v>
      </c>
    </row>
    <row r="220" customFormat="false" ht="15" hidden="false" customHeight="false" outlineLevel="0" collapsed="false">
      <c r="A220" s="0" t="s">
        <v>411</v>
      </c>
      <c r="B220" s="33" t="n">
        <v>0.0104166666666667</v>
      </c>
    </row>
    <row r="221" customFormat="false" ht="15" hidden="false" customHeight="false" outlineLevel="0" collapsed="false">
      <c r="A221" s="0" t="s">
        <v>412</v>
      </c>
      <c r="B221" s="33" t="n">
        <v>0.0138888888888889</v>
      </c>
    </row>
    <row r="222" customFormat="false" ht="15" hidden="false" customHeight="false" outlineLevel="0" collapsed="false">
      <c r="A222" s="0" t="s">
        <v>413</v>
      </c>
      <c r="B222" s="33" t="n">
        <v>0.0173611111111111</v>
      </c>
    </row>
    <row r="223" customFormat="false" ht="15" hidden="false" customHeight="false" outlineLevel="0" collapsed="false">
      <c r="A223" s="0" t="s">
        <v>414</v>
      </c>
      <c r="B223" s="33" t="n">
        <v>0.0208333333333333</v>
      </c>
    </row>
    <row r="224" customFormat="false" ht="15" hidden="false" customHeight="false" outlineLevel="0" collapsed="false">
      <c r="A224" s="0" t="s">
        <v>415</v>
      </c>
      <c r="B224" s="33" t="n">
        <v>0.0243055555555556</v>
      </c>
    </row>
    <row r="225" customFormat="false" ht="15" hidden="false" customHeight="false" outlineLevel="0" collapsed="false">
      <c r="A225" s="0" t="s">
        <v>416</v>
      </c>
      <c r="B225" s="33" t="n">
        <v>0.0277777777777778</v>
      </c>
    </row>
    <row r="226" customFormat="false" ht="15" hidden="false" customHeight="false" outlineLevel="0" collapsed="false">
      <c r="A226" s="0" t="s">
        <v>417</v>
      </c>
      <c r="B226" s="33" t="n">
        <v>0.03125</v>
      </c>
    </row>
    <row r="227" customFormat="false" ht="15" hidden="false" customHeight="false" outlineLevel="0" collapsed="false">
      <c r="A227" s="0" t="s">
        <v>418</v>
      </c>
      <c r="B227" s="33" t="n">
        <v>0.0347222222222222</v>
      </c>
    </row>
    <row r="228" customFormat="false" ht="15" hidden="false" customHeight="false" outlineLevel="0" collapsed="false">
      <c r="A228" s="0" t="s">
        <v>419</v>
      </c>
      <c r="B228" s="33" t="n">
        <v>0.0381944444444445</v>
      </c>
    </row>
    <row r="229" customFormat="false" ht="15" hidden="false" customHeight="false" outlineLevel="0" collapsed="false">
      <c r="A229" s="0" t="s">
        <v>420</v>
      </c>
      <c r="B229" s="33" t="n">
        <v>0.0416666666666667</v>
      </c>
    </row>
    <row r="230" customFormat="false" ht="15" hidden="false" customHeight="false" outlineLevel="0" collapsed="false">
      <c r="A230" s="0" t="s">
        <v>421</v>
      </c>
      <c r="B230" s="33" t="n">
        <v>0.0451388888888889</v>
      </c>
    </row>
    <row r="231" customFormat="false" ht="15" hidden="false" customHeight="false" outlineLevel="0" collapsed="false">
      <c r="A231" s="0" t="s">
        <v>422</v>
      </c>
      <c r="B231" s="33" t="n">
        <v>0.0486111111111111</v>
      </c>
    </row>
    <row r="232" customFormat="false" ht="15" hidden="false" customHeight="false" outlineLevel="0" collapsed="false">
      <c r="A232" s="0" t="s">
        <v>423</v>
      </c>
      <c r="B232" s="33" t="n">
        <v>0.0520833333333333</v>
      </c>
    </row>
    <row r="233" customFormat="false" ht="15" hidden="false" customHeight="false" outlineLevel="0" collapsed="false">
      <c r="A233" s="0" t="s">
        <v>424</v>
      </c>
      <c r="B233" s="33" t="n">
        <v>0.0555555555555556</v>
      </c>
    </row>
    <row r="234" customFormat="false" ht="15" hidden="false" customHeight="false" outlineLevel="0" collapsed="false">
      <c r="A234" s="0" t="s">
        <v>425</v>
      </c>
      <c r="B234" s="33" t="n">
        <v>0.0590277777777778</v>
      </c>
    </row>
    <row r="235" customFormat="false" ht="15" hidden="false" customHeight="false" outlineLevel="0" collapsed="false">
      <c r="A235" s="0" t="s">
        <v>426</v>
      </c>
      <c r="B235" s="33" t="n">
        <v>0.0625</v>
      </c>
    </row>
    <row r="236" customFormat="false" ht="15" hidden="false" customHeight="false" outlineLevel="0" collapsed="false">
      <c r="A236" s="0" t="s">
        <v>427</v>
      </c>
      <c r="B236" s="33" t="n">
        <v>0.0659722222222222</v>
      </c>
    </row>
    <row r="237" customFormat="false" ht="15" hidden="false" customHeight="false" outlineLevel="0" collapsed="false">
      <c r="A237" s="0" t="s">
        <v>428</v>
      </c>
      <c r="B237" s="33" t="n">
        <v>0.0694444444444445</v>
      </c>
    </row>
    <row r="238" customFormat="false" ht="15" hidden="false" customHeight="false" outlineLevel="0" collapsed="false">
      <c r="A238" s="0" t="s">
        <v>429</v>
      </c>
      <c r="B238" s="33" t="n">
        <v>0.0729166666666667</v>
      </c>
    </row>
    <row r="239" customFormat="false" ht="15" hidden="false" customHeight="false" outlineLevel="0" collapsed="false">
      <c r="A239" s="0" t="s">
        <v>430</v>
      </c>
      <c r="B239" s="33" t="n">
        <v>0.0763888888888889</v>
      </c>
    </row>
    <row r="240" customFormat="false" ht="15" hidden="false" customHeight="false" outlineLevel="0" collapsed="false">
      <c r="A240" s="0" t="s">
        <v>431</v>
      </c>
      <c r="B240" s="33" t="n">
        <v>0.0798611111111111</v>
      </c>
    </row>
    <row r="241" customFormat="false" ht="15" hidden="false" customHeight="false" outlineLevel="0" collapsed="false">
      <c r="A241" s="0" t="s">
        <v>432</v>
      </c>
      <c r="B241" s="33" t="n">
        <v>0.0833333333333333</v>
      </c>
    </row>
    <row r="242" customFormat="false" ht="15" hidden="false" customHeight="false" outlineLevel="0" collapsed="false">
      <c r="A242" s="0" t="s">
        <v>433</v>
      </c>
      <c r="B242" s="33" t="n">
        <v>0.0868055555555556</v>
      </c>
    </row>
    <row r="243" customFormat="false" ht="15" hidden="false" customHeight="false" outlineLevel="0" collapsed="false">
      <c r="A243" s="0" t="s">
        <v>434</v>
      </c>
      <c r="B243" s="33" t="n">
        <v>0.0902777777777778</v>
      </c>
    </row>
    <row r="244" customFormat="false" ht="15" hidden="false" customHeight="false" outlineLevel="0" collapsed="false">
      <c r="A244" s="0" t="s">
        <v>435</v>
      </c>
      <c r="B244" s="33" t="n">
        <v>0.09375</v>
      </c>
    </row>
    <row r="245" customFormat="false" ht="15" hidden="false" customHeight="false" outlineLevel="0" collapsed="false">
      <c r="A245" s="0" t="s">
        <v>436</v>
      </c>
      <c r="B245" s="33" t="n">
        <v>0.0972222222222222</v>
      </c>
    </row>
    <row r="246" customFormat="false" ht="15" hidden="false" customHeight="false" outlineLevel="0" collapsed="false">
      <c r="A246" s="0" t="s">
        <v>437</v>
      </c>
      <c r="B246" s="33" t="n">
        <v>0.100694444444444</v>
      </c>
    </row>
    <row r="247" customFormat="false" ht="15" hidden="false" customHeight="false" outlineLevel="0" collapsed="false">
      <c r="A247" s="0" t="s">
        <v>438</v>
      </c>
      <c r="B247" s="33" t="n">
        <v>0.104166666666667</v>
      </c>
    </row>
    <row r="248" customFormat="false" ht="15" hidden="false" customHeight="false" outlineLevel="0" collapsed="false">
      <c r="A248" s="0" t="s">
        <v>439</v>
      </c>
      <c r="B248" s="33" t="n">
        <v>0.107638888888889</v>
      </c>
    </row>
    <row r="249" customFormat="false" ht="15" hidden="false" customHeight="false" outlineLevel="0" collapsed="false">
      <c r="A249" s="0" t="s">
        <v>440</v>
      </c>
      <c r="B249" s="33" t="n">
        <v>0.111111111111111</v>
      </c>
    </row>
    <row r="250" customFormat="false" ht="15" hidden="false" customHeight="false" outlineLevel="0" collapsed="false">
      <c r="A250" s="0" t="s">
        <v>441</v>
      </c>
      <c r="B250" s="33" t="n">
        <v>0.114583333333333</v>
      </c>
    </row>
    <row r="251" customFormat="false" ht="15" hidden="false" customHeight="false" outlineLevel="0" collapsed="false">
      <c r="A251" s="0" t="s">
        <v>442</v>
      </c>
      <c r="B251" s="33" t="n">
        <v>0.118055555555556</v>
      </c>
    </row>
    <row r="252" customFormat="false" ht="15" hidden="false" customHeight="false" outlineLevel="0" collapsed="false">
      <c r="A252" s="0" t="s">
        <v>443</v>
      </c>
      <c r="B252" s="33" t="n">
        <v>0.121527777777778</v>
      </c>
    </row>
    <row r="253" customFormat="false" ht="15" hidden="false" customHeight="false" outlineLevel="0" collapsed="false">
      <c r="A253" s="0" t="s">
        <v>444</v>
      </c>
      <c r="B253" s="33" t="n">
        <v>0.125</v>
      </c>
    </row>
    <row r="254" customFormat="false" ht="15" hidden="false" customHeight="false" outlineLevel="0" collapsed="false">
      <c r="A254" s="0" t="s">
        <v>445</v>
      </c>
      <c r="B254" s="33" t="n">
        <v>0.128472222222222</v>
      </c>
    </row>
    <row r="255" customFormat="false" ht="15" hidden="false" customHeight="false" outlineLevel="0" collapsed="false">
      <c r="A255" s="0" t="s">
        <v>446</v>
      </c>
      <c r="B255" s="33" t="n">
        <v>0.131944444444444</v>
      </c>
    </row>
    <row r="256" customFormat="false" ht="15" hidden="false" customHeight="false" outlineLevel="0" collapsed="false">
      <c r="A256" s="0" t="s">
        <v>447</v>
      </c>
      <c r="B256" s="33" t="n">
        <v>0.135416666666667</v>
      </c>
    </row>
    <row r="257" customFormat="false" ht="15" hidden="false" customHeight="false" outlineLevel="0" collapsed="false">
      <c r="A257" s="0" t="s">
        <v>448</v>
      </c>
      <c r="B257" s="33" t="n">
        <v>0.138888888888889</v>
      </c>
    </row>
    <row r="258" customFormat="false" ht="15" hidden="false" customHeight="false" outlineLevel="0" collapsed="false">
      <c r="A258" s="0" t="s">
        <v>449</v>
      </c>
      <c r="B258" s="33" t="n">
        <v>0.142361111111111</v>
      </c>
    </row>
    <row r="259" customFormat="false" ht="15" hidden="false" customHeight="false" outlineLevel="0" collapsed="false">
      <c r="A259" s="0" t="s">
        <v>450</v>
      </c>
      <c r="B259" s="33" t="n">
        <v>0.145833333333333</v>
      </c>
    </row>
    <row r="260" customFormat="false" ht="15" hidden="false" customHeight="false" outlineLevel="0" collapsed="false">
      <c r="A260" s="0" t="s">
        <v>451</v>
      </c>
      <c r="B260" s="33" t="n">
        <v>0.149305555555556</v>
      </c>
    </row>
    <row r="261" customFormat="false" ht="15" hidden="false" customHeight="false" outlineLevel="0" collapsed="false">
      <c r="A261" s="0" t="s">
        <v>452</v>
      </c>
      <c r="B261" s="33" t="n">
        <v>0.152777777777778</v>
      </c>
    </row>
    <row r="262" customFormat="false" ht="15" hidden="false" customHeight="false" outlineLevel="0" collapsed="false">
      <c r="A262" s="0" t="s">
        <v>453</v>
      </c>
      <c r="B262" s="33" t="n">
        <v>0.15625</v>
      </c>
    </row>
    <row r="263" customFormat="false" ht="15" hidden="false" customHeight="false" outlineLevel="0" collapsed="false">
      <c r="A263" s="0" t="s">
        <v>454</v>
      </c>
      <c r="B263" s="33" t="n">
        <v>0.159722222222222</v>
      </c>
    </row>
    <row r="264" customFormat="false" ht="15" hidden="false" customHeight="false" outlineLevel="0" collapsed="false">
      <c r="A264" s="0" t="s">
        <v>455</v>
      </c>
      <c r="B264" s="33" t="n">
        <v>0.163194444444444</v>
      </c>
    </row>
    <row r="265" customFormat="false" ht="15" hidden="false" customHeight="false" outlineLevel="0" collapsed="false">
      <c r="A265" s="0" t="s">
        <v>456</v>
      </c>
      <c r="B265" s="33" t="n">
        <v>0.166666666666667</v>
      </c>
    </row>
    <row r="266" customFormat="false" ht="15" hidden="false" customHeight="false" outlineLevel="0" collapsed="false">
      <c r="A266" s="0" t="s">
        <v>457</v>
      </c>
      <c r="B266" s="33" t="n">
        <v>0.170138888888889</v>
      </c>
    </row>
    <row r="267" customFormat="false" ht="15" hidden="false" customHeight="false" outlineLevel="0" collapsed="false">
      <c r="A267" s="0" t="s">
        <v>458</v>
      </c>
      <c r="B267" s="33" t="n">
        <v>0.173611111111111</v>
      </c>
    </row>
    <row r="268" customFormat="false" ht="15" hidden="false" customHeight="false" outlineLevel="0" collapsed="false">
      <c r="A268" s="0" t="s">
        <v>459</v>
      </c>
      <c r="B268" s="33" t="n">
        <v>0.177083333333333</v>
      </c>
    </row>
    <row r="269" customFormat="false" ht="15" hidden="false" customHeight="false" outlineLevel="0" collapsed="false">
      <c r="A269" s="0" t="s">
        <v>460</v>
      </c>
      <c r="B269" s="33" t="n">
        <v>0.180555555555556</v>
      </c>
    </row>
    <row r="270" customFormat="false" ht="15" hidden="false" customHeight="false" outlineLevel="0" collapsed="false">
      <c r="A270" s="0" t="s">
        <v>461</v>
      </c>
      <c r="B270" s="33" t="n">
        <v>0.184027777777778</v>
      </c>
    </row>
    <row r="271" customFormat="false" ht="15" hidden="false" customHeight="false" outlineLevel="0" collapsed="false">
      <c r="A271" s="0" t="s">
        <v>462</v>
      </c>
      <c r="B271" s="33" t="n">
        <v>0.1875</v>
      </c>
    </row>
    <row r="272" customFormat="false" ht="15" hidden="false" customHeight="false" outlineLevel="0" collapsed="false">
      <c r="A272" s="0" t="s">
        <v>463</v>
      </c>
      <c r="B272" s="33" t="n">
        <v>0.190972222222222</v>
      </c>
    </row>
    <row r="273" customFormat="false" ht="15" hidden="false" customHeight="false" outlineLevel="0" collapsed="false">
      <c r="A273" s="0" t="s">
        <v>464</v>
      </c>
      <c r="B273" s="33" t="n">
        <v>0.194444444444444</v>
      </c>
    </row>
    <row r="274" customFormat="false" ht="15" hidden="false" customHeight="false" outlineLevel="0" collapsed="false">
      <c r="A274" s="0" t="s">
        <v>465</v>
      </c>
      <c r="B274" s="33" t="n">
        <v>0.197916666666667</v>
      </c>
    </row>
    <row r="275" customFormat="false" ht="15" hidden="false" customHeight="false" outlineLevel="0" collapsed="false">
      <c r="A275" s="0" t="s">
        <v>466</v>
      </c>
      <c r="B275" s="33" t="n">
        <v>0.201388888888889</v>
      </c>
    </row>
    <row r="276" customFormat="false" ht="15" hidden="false" customHeight="false" outlineLevel="0" collapsed="false">
      <c r="A276" s="0" t="s">
        <v>467</v>
      </c>
      <c r="B276" s="33" t="n">
        <v>0.204861111111111</v>
      </c>
    </row>
    <row r="277" customFormat="false" ht="15" hidden="false" customHeight="false" outlineLevel="0" collapsed="false">
      <c r="A277" s="0" t="s">
        <v>468</v>
      </c>
      <c r="B277" s="33" t="n">
        <v>0.208333333333333</v>
      </c>
    </row>
    <row r="278" customFormat="false" ht="15" hidden="false" customHeight="false" outlineLevel="0" collapsed="false">
      <c r="A278" s="0" t="s">
        <v>469</v>
      </c>
      <c r="B278" s="33" t="n">
        <v>0.211805555555556</v>
      </c>
    </row>
    <row r="279" customFormat="false" ht="15" hidden="false" customHeight="false" outlineLevel="0" collapsed="false">
      <c r="A279" s="0" t="s">
        <v>470</v>
      </c>
      <c r="B279" s="33" t="n">
        <v>0.215277777777778</v>
      </c>
    </row>
    <row r="280" customFormat="false" ht="15" hidden="false" customHeight="false" outlineLevel="0" collapsed="false">
      <c r="A280" s="0" t="s">
        <v>471</v>
      </c>
      <c r="B280" s="33" t="n">
        <v>0.21875</v>
      </c>
    </row>
    <row r="281" customFormat="false" ht="15" hidden="false" customHeight="false" outlineLevel="0" collapsed="false">
      <c r="A281" s="0" t="s">
        <v>472</v>
      </c>
      <c r="B281" s="33" t="n">
        <v>0.222222222222222</v>
      </c>
    </row>
    <row r="282" customFormat="false" ht="15" hidden="false" customHeight="false" outlineLevel="0" collapsed="false">
      <c r="A282" s="0" t="s">
        <v>473</v>
      </c>
      <c r="B282" s="33" t="n">
        <v>0.225694444444444</v>
      </c>
    </row>
    <row r="283" customFormat="false" ht="15" hidden="false" customHeight="false" outlineLevel="0" collapsed="false">
      <c r="A283" s="0" t="s">
        <v>474</v>
      </c>
      <c r="B283" s="33" t="n">
        <v>0.229166666666667</v>
      </c>
    </row>
    <row r="284" customFormat="false" ht="15" hidden="false" customHeight="false" outlineLevel="0" collapsed="false">
      <c r="A284" s="0" t="s">
        <v>475</v>
      </c>
      <c r="B284" s="33" t="n">
        <v>0.232638888888889</v>
      </c>
    </row>
    <row r="285" customFormat="false" ht="15" hidden="false" customHeight="false" outlineLevel="0" collapsed="false">
      <c r="A285" s="0" t="s">
        <v>476</v>
      </c>
      <c r="B285" s="33" t="n">
        <v>0.236111111111111</v>
      </c>
    </row>
    <row r="286" customFormat="false" ht="15" hidden="false" customHeight="false" outlineLevel="0" collapsed="false">
      <c r="A286" s="0" t="s">
        <v>477</v>
      </c>
      <c r="B286" s="33" t="n">
        <v>0.239583333333333</v>
      </c>
    </row>
    <row r="287" customFormat="false" ht="15" hidden="false" customHeight="false" outlineLevel="0" collapsed="false">
      <c r="A287" s="0" t="s">
        <v>478</v>
      </c>
      <c r="B287" s="33" t="n">
        <v>0.243055555555556</v>
      </c>
    </row>
    <row r="288" customFormat="false" ht="15" hidden="false" customHeight="false" outlineLevel="0" collapsed="false">
      <c r="A288" s="0" t="s">
        <v>479</v>
      </c>
      <c r="B288" s="33" t="n">
        <v>0.246527777777778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2026-10-01T09:12:06Z</dcterms:created>
  <dc:creator>openpyxl</dc:creator>
  <dc:description/>
  <dc:language>en-US</dc:language>
  <cp:lastModifiedBy/>
  <dcterms:modified xsi:type="dcterms:W3CDTF">2026-10-01T09:12:08Z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