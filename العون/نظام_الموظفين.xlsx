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تسوية الأسبوعية" sheetId="1" state="visible" r:id="rId3"/>
    <sheet name="القواعد" sheetId="2" state="visible" r:id="rId4"/>
    <sheet name="ساعات عمر" sheetId="3" state="visible" r:id="rId5"/>
    <sheet name="ساعات عبدالعزيز" sheetId="4" state="visible" r:id="rId6"/>
    <sheet name="السلف والديون" sheetId="5" state="visible" r:id="rId7"/>
    <sheet name="المهام" sheetId="6" state="visible" r:id="rId8"/>
    <sheet name="المدير" sheetId="7" state="visible" r:id="rId9"/>
    <sheet name="التعليمات" sheetId="8" state="visible" r:id="rId10"/>
  </sheets>
  <definedNames>
    <definedName function="false" hidden="false" name="ADV_CAP" vbProcedure="false">القواعد!$C$15</definedName>
    <definedName function="false" hidden="false" name="AZZ_D" vbProcedure="false">'ساعات عبدالعزيز'!$A$6:$A$205</definedName>
    <definedName function="false" hidden="false" name="AZZ_INST" vbProcedure="false">القواعد!$C$13</definedName>
    <definedName function="false" hidden="false" name="AZZ_P" vbProcedure="false">'ساعات عبدالعزيز'!$G$6:$G$205</definedName>
    <definedName function="false" hidden="false" name="AZZ_PAID" vbProcedure="false">'ساعات عبدالعزيز'!$I$6:$I$205</definedName>
    <definedName function="false" hidden="false" name="AZZ_RATE" vbProcedure="false">القواعد!$C$10</definedName>
    <definedName function="false" hidden="false" name="GYP_RATE" vbProcedure="false">القواعد!$C$11</definedName>
    <definedName function="false" hidden="false" name="LOG_A" vbProcedure="false">'السلف والديون'!$D$6:$D$305</definedName>
    <definedName function="false" hidden="false" name="LOG_D" vbProcedure="false">'السلف والديون'!$A$6:$A$305</definedName>
    <definedName function="false" hidden="false" name="LOG_E" vbProcedure="false">'السلف والديون'!$B$6:$B$305</definedName>
    <definedName function="false" hidden="false" name="LOG_T" vbProcedure="false">'السلف والديون'!$C$6:$C$305</definedName>
    <definedName function="false" hidden="false" name="MGR_INST" vbProcedure="false">القواعد!$C$14</definedName>
    <definedName function="false" hidden="false" name="MGR_SAL" vbProcedure="false">القواعد!$C$4</definedName>
    <definedName function="false" hidden="false" name="OMR_D" vbProcedure="false">'ساعات عمر'!$A$6:$A$205</definedName>
    <definedName function="false" hidden="false" name="OMR_FRI_IN" vbProcedure="false">القواعد!$C$8</definedName>
    <definedName function="false" hidden="false" name="OMR_FRI_OUT" vbProcedure="false">القواعد!$C$9</definedName>
    <definedName function="false" hidden="false" name="OMR_INST" vbProcedure="false">القواعد!$C$12</definedName>
    <definedName function="false" hidden="false" name="OMR_OT" vbProcedure="false">القواعد!$C$6</definedName>
    <definedName function="false" hidden="false" name="OMR_OT_AT" vbProcedure="false">القواعد!$C$7</definedName>
    <definedName function="false" hidden="false" name="OMR_P" vbProcedure="false">'ساعات عمر'!$I$6:$I$205</definedName>
    <definedName function="false" hidden="false" name="OMR_RATE" vbProcedure="false">القواعد!$C$5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<sst xmlns="http://schemas.openxmlformats.org/spreadsheetml/2006/main" count="149" uniqueCount="124">
  <si>
    <t xml:space="preserve">التسوية الأسبوعية — من السبت للجمعة</t>
  </si>
  <si>
    <t xml:space="preserve">بداية الأسبوع (السبت)</t>
  </si>
  <si>
    <t xml:space="preserve">نهايته</t>
  </si>
  <si>
    <t xml:space="preserve">#</t>
  </si>
  <si>
    <t xml:space="preserve">الموظف</t>
  </si>
  <si>
    <t xml:space="preserve">الساعات</t>
  </si>
  <si>
    <t xml:space="preserve">المستحق</t>
  </si>
  <si>
    <t xml:space="preserve">السلف</t>
  </si>
  <si>
    <t xml:space="preserve">الأقساط</t>
  </si>
  <si>
    <t xml:space="preserve">مقبوض يومياً</t>
  </si>
  <si>
    <t xml:space="preserve">الصافي للدفع</t>
  </si>
  <si>
    <t xml:space="preserve">ملاحظة</t>
  </si>
  <si>
    <t xml:space="preserve">عمر المصري</t>
  </si>
  <si>
    <t xml:space="preserve">عبدالعزيز</t>
  </si>
  <si>
    <t xml:space="preserve">المدير: بيتحاسب كل 10 أيام بورقة «المدير» — مش أسبوعي.</t>
  </si>
  <si>
    <t xml:space="preserve">عمال المهام: المهام غير المدفوعة بورقة «المهام»:</t>
  </si>
  <si>
    <t xml:space="preserve">الرصيد الجاري لكل موظف (من أول الملف لليوم)</t>
  </si>
  <si>
    <t xml:space="preserve">إجمالي المستحق</t>
  </si>
  <si>
    <t xml:space="preserve">رصيد سابق له</t>
  </si>
  <si>
    <t xml:space="preserve">تسديدات</t>
  </si>
  <si>
    <t xml:space="preserve">سلف + ديون + بضاعة</t>
  </si>
  <si>
    <t xml:space="preserve">مدفوع له</t>
  </si>
  <si>
    <t xml:space="preserve">الرصيد</t>
  </si>
  <si>
    <t xml:space="preserve">معناه</t>
  </si>
  <si>
    <t xml:space="preserve">المدير</t>
  </si>
  <si>
    <t xml:space="preserve">الرصيد = المستحق + رصيد سابق له + تسديداته − (سلف + ديون + بضاعة + رصيد سابق عليه) − المدفوع له. المدفوع لعبدالعزيز = المقبوض اليومي من ورقته + أي «دفع» بالسجل.</t>
  </si>
  <si>
    <t xml:space="preserve">القواعد والأسعار — كل المعادلات بالملف بتقرأ من هون</t>
  </si>
  <si>
    <t xml:space="preserve">القاعدة</t>
  </si>
  <si>
    <t xml:space="preserve">القيمة</t>
  </si>
  <si>
    <t xml:space="preserve">الشرح</t>
  </si>
  <si>
    <t xml:space="preserve">المدير — راتب كل 10 أيام</t>
  </si>
  <si>
    <t xml:space="preserve">بلا ساعات عمل. كل 10 أيام دفعة.</t>
  </si>
  <si>
    <t xml:space="preserve">عمر المصري — أجر الساعة العادية</t>
  </si>
  <si>
    <t xml:space="preserve">السبت–الخميس من 07:00 لحد ساعة بداية الإضافي، والجمعة كل ساعاته.</t>
  </si>
  <si>
    <t xml:space="preserve">عمر المصري — أجر الساعة بعد الدوام</t>
  </si>
  <si>
    <t xml:space="preserve">السبت–الخميس بعد الساعة المكتوبة تحت.</t>
  </si>
  <si>
    <t xml:space="preserve">عمر المصري — بداية الإضافي (الساعة)</t>
  </si>
  <si>
    <t xml:space="preserve">أي ساعة بعدها بتنحسب @ الإضافي. الجمعة ما إلها إضافي.</t>
  </si>
  <si>
    <t xml:space="preserve">عمر المصري — الجمعة من</t>
  </si>
  <si>
    <t xml:space="preserve">دوام الجمعة المتفق عليه (للتنبيه بس، الحساب حسب الساعات الفعلية).</t>
  </si>
  <si>
    <t xml:space="preserve">عمر المصري — الجمعة إلى</t>
  </si>
  <si>
    <t xml:space="preserve">عبدالعزيز — أجر الساعة</t>
  </si>
  <si>
    <t xml:space="preserve">بغض النظر عن اليوم أو الوقت. يقبض نهاية كل يوم.</t>
  </si>
  <si>
    <t xml:space="preserve">تحميل جبسمبورد — أجر الساعة</t>
  </si>
  <si>
    <t xml:space="preserve">أي موظف: ساعات التحميل بتنحسب @2.5 بدل أجره العادي.</t>
  </si>
  <si>
    <t xml:space="preserve">عمر المصري — قسط أسبوعي ثابت (دين/بضاعة)</t>
  </si>
  <si>
    <t xml:space="preserve">ينخصم كل أسبوع من الصافي. 0 = ما عليه أقساط.</t>
  </si>
  <si>
    <t xml:space="preserve">عبدالعزيز — قسط أسبوعي ثابت</t>
  </si>
  <si>
    <t xml:space="preserve">المدير — قسط ثابت كل 10 أيام</t>
  </si>
  <si>
    <t xml:space="preserve">سقف السلف — نسبة من مستحق الدورة</t>
  </si>
  <si>
    <t xml:space="preserve">تنبيه أحمر بالتسوية لو السلف تجاوزت. 0 = بلا سقف.</t>
  </si>
  <si>
    <t xml:space="preserve">عمال المهام: بلا أسعار ثابتة — كل مهمة مقاولة بسعرها بورقة «المهام».</t>
  </si>
  <si>
    <t xml:space="preserve">الأسبوع بالملف = من السبت للجمعة. يوم القبض الأسبوعي: آخر يوم بالأسبوع (الجمعة) أو حسب ما تحدد.</t>
  </si>
  <si>
    <t xml:space="preserve">ساعات عمر المصري — سطر لكل يوم</t>
  </si>
  <si>
    <t xml:space="preserve">اكتب التاريخ والدخول والخروج (مثل 07:00 و 18:30). السبت–الخميس: الساعات بعد بداية الإضافي @الإضافي. الجمعة: كل الساعات @العادي. ساعات الجبسمبورد @2.5 بدل أجرها.</t>
  </si>
  <si>
    <t xml:space="preserve">🟨 صفراء = تتعبّى   ⬜ رمادية = تنحسب لحالها</t>
  </si>
  <si>
    <t xml:space="preserve">التاريخ</t>
  </si>
  <si>
    <t xml:space="preserve">اليوم</t>
  </si>
  <si>
    <t xml:space="preserve">دخول</t>
  </si>
  <si>
    <t xml:space="preserve">خروج</t>
  </si>
  <si>
    <t xml:space="preserve">منها تحميل جبسمبورد (ساعات)</t>
  </si>
  <si>
    <t xml:space="preserve">إجمالي الساعات</t>
  </si>
  <si>
    <t xml:space="preserve">ساعات عادية</t>
  </si>
  <si>
    <t xml:space="preserve">ساعات إضافي</t>
  </si>
  <si>
    <t xml:space="preserve">المستحق (دينار)</t>
  </si>
  <si>
    <t xml:space="preserve">ملاحظات</t>
  </si>
  <si>
    <t xml:space="preserve">المجموع</t>
  </si>
  <si>
    <t xml:space="preserve">مثال (مش بيانات حقيقية) — السبت 07:00→19:30 ومنها ساعتين جبسمبورد: 12.5 ساعة = 11 عادي + 1.5 إضافي → 18.500</t>
  </si>
  <si>
    <t xml:space="preserve">ساعات عبدالعزيز — سطر لكل يوم · يقبض نهاية اليوم</t>
  </si>
  <si>
    <t xml:space="preserve">دينار للساعة بغض النظر عن اليوم. ساعات الجبسمبورد @2.5. لما يقبض آخر اليوم اختر «نعم» واكتب المقبوض — الفرق بيظهر بالتسوية.</t>
  </si>
  <si>
    <t xml:space="preserve">قبض؟</t>
  </si>
  <si>
    <t xml:space="preserve">المقبوض (دينار)</t>
  </si>
  <si>
    <t xml:space="preserve">نعم</t>
  </si>
  <si>
    <t xml:space="preserve">مثال — 08:00→16:00 ومنها ساعة جبسمبورد: 8 ساعات → 9.500 · قبض 9.500</t>
  </si>
  <si>
    <t xml:space="preserve">السلف والديون والبضاعة والدفعات — سطر لكل حركة</t>
  </si>
  <si>
    <t xml:space="preserve">سلفة = كاش وسط الدورة بينخصم من الصافي · دين = مبلغ يُسدَّد بأقساط · بضاعة = بسعرها المتفق · دفع = ما قبضه راتباً أو صافي دورة · تسديد = دفع هو للمحل · رصيد سابق (له/عليه) = الأرصدة الافتتاحية.</t>
  </si>
  <si>
    <t xml:space="preserve">النوع</t>
  </si>
  <si>
    <t xml:space="preserve">المبلغ (دينار)</t>
  </si>
  <si>
    <t xml:space="preserve">البيان</t>
  </si>
  <si>
    <t xml:space="preserve">مثال: 28/09/2026 · عمر المصري · سلفة · 20.000 · «كاش من الصندوق»</t>
  </si>
  <si>
    <t xml:space="preserve">عمال المهام — مقاولة لكل مهمة</t>
  </si>
  <si>
    <t xml:space="preserve">بلا أسعار ثابتة: كل مهمة بسعرها المتفق مع العامل. المهمة اللي لسا ما اندفعت بتظهر بالتسوية كمستحق.</t>
  </si>
  <si>
    <t xml:space="preserve">اسم العامل</t>
  </si>
  <si>
    <t xml:space="preserve">المهمة</t>
  </si>
  <si>
    <t xml:space="preserve">السعر المتفق (دينار)</t>
  </si>
  <si>
    <t xml:space="preserve">دُفع؟</t>
  </si>
  <si>
    <t xml:space="preserve">تاريخ الدفع</t>
  </si>
  <si>
    <t xml:space="preserve">مجموع المهام غير المدفوعة</t>
  </si>
  <si>
    <t xml:space="preserve">مثال: 27/09/2026 · محمد · تنزيل طبلية جبسمبورد · 10.000 · نعم · 27/09/2026</t>
  </si>
  <si>
    <t xml:space="preserve">المدير — 125 دينار كل 10 أيام</t>
  </si>
  <si>
    <t xml:space="preserve">كل سطر فترة 10 أيام. أول تاريخ بس بتكتبه، والباقي بيتسلسل لحاله. السلف بتنجمع من ورقة «السلف والديون» حسب تواريخ الفترة.</t>
  </si>
  <si>
    <t xml:space="preserve">من</t>
  </si>
  <si>
    <t xml:space="preserve">إلى</t>
  </si>
  <si>
    <t xml:space="preserve">الراتب</t>
  </si>
  <si>
    <t xml:space="preserve">سلف الفترة</t>
  </si>
  <si>
    <t xml:space="preserve">قسط</t>
  </si>
  <si>
    <t xml:space="preserve">الصافي</t>
  </si>
  <si>
    <t xml:space="preserve">المدفوع</t>
  </si>
  <si>
    <t xml:space="preserve">لما تدفع الفترة: «نعم» + المبلغ هون، وسجّلها كمان «دفع» بورقة السلف والديون عشان الكشف.</t>
  </si>
  <si>
    <t xml:space="preserve">كيف يشتغل الملف</t>
  </si>
  <si>
    <t xml:space="preserve">القواعد</t>
  </si>
  <si>
    <t xml:space="preserve">1</t>
  </si>
  <si>
    <t xml:space="preserve">كل الأسعار والساعات بورقة «القواعد». غيّر أي رقم هناك وبيتغيّر الحساب بكل الملف. ما تكتب أسعار بالأوراق الثانية.</t>
  </si>
  <si>
    <t xml:space="preserve">كل يوم</t>
  </si>
  <si>
    <t xml:space="preserve">2</t>
  </si>
  <si>
    <t xml:space="preserve">«ساعات عمر»: التاريخ + دخول + خروج. السبت–الخميس: اللي بعد 18:00 بينحسب إضافي @1.5. الجمعة: كل الساعات @1.25 (ولو دوامه برّا 14:00–23:00 بيتلوّن برتقالي للتنبيه).</t>
  </si>
  <si>
    <t xml:space="preserve">3</t>
  </si>
  <si>
    <t xml:space="preserve">«ساعات عبدالعزيز»: نفس الشي @1.0، وآخر اليوم لما يقبض: «نعم» + المبلغ.</t>
  </si>
  <si>
    <t xml:space="preserve">4</t>
  </si>
  <si>
    <t xml:space="preserve">ساعات تحميل الجبسمبورد: اكتبها بعمودها (هي جزء من ساعات اليوم، مش زيادة عليها) وبتنحسب @2.5 بدل الأجر العادي.</t>
  </si>
  <si>
    <t xml:space="preserve">5</t>
  </si>
  <si>
    <t xml:space="preserve">أي سلفة أو دين أو بضاعة أو دفعة: سطر بورقة «السلف والديون». الأرصدة القائمة اليوم: نوعها «رصيد سابق له» أو «رصيد سابق عليه».</t>
  </si>
  <si>
    <t xml:space="preserve">6</t>
  </si>
  <si>
    <t xml:space="preserve">عمال المهام: سطر لكل مهمة بسعرها المتفق، و«دُفع؟».</t>
  </si>
  <si>
    <t xml:space="preserve">آخر الأسبوع</t>
  </si>
  <si>
    <t xml:space="preserve">7</t>
  </si>
  <si>
    <t xml:space="preserve">«التسوية الأسبوعية»: اكتب تاريخ السبت وبيطلعلك لكل واحد الساعات والمستحق والسلف والأقساط والصافي للدفع. عبدالعزيز بيطلع الفرق بين مستحقه ومقبوضه اليومي.</t>
  </si>
  <si>
    <t xml:space="preserve">8</t>
  </si>
  <si>
    <t xml:space="preserve">لما تدفع الصافي: سجّله «دفع» بورقة السلف والديون عشان الرصيد الجاري يضبط.</t>
  </si>
  <si>
    <t xml:space="preserve">9</t>
  </si>
  <si>
    <t xml:space="preserve">المدير: ورقة «المدير» كل 10 أيام، 125 دينار ناقص سلف الفترة والقسط.</t>
  </si>
  <si>
    <t xml:space="preserve">على أودو</t>
  </si>
  <si>
    <t xml:space="preserve">10</t>
  </si>
  <si>
    <t xml:space="preserve">هذا الملف هو ورقة العمل اليومية. مدير الموظفين بينقل منه لأودو: استحقاق كل دورة + السلف + الدفعات، على الحساب الجاري لكل موظف — بعد ما تشوف المسودة.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</si>
</sst>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0.00"/>
    <numFmt numFmtId="167" formatCode="#,##0.000"/>
    <numFmt numFmtId="168" formatCode="#,##0.000;[RED]\-#,##0.000;\-"/>
    <numFmt numFmtId="169" formatCode="hh:mm"/>
    <numFmt numFmtId="170" formatCode="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2"/>
      <color rgb="FF0F6E6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8A6A00"/>
      <name val="Arial"/>
      <family val="0"/>
      <charset val="1"/>
    </font>
    <font>
      <sz val="10"/>
      <color rgb="FF444444"/>
      <name val="Arial"/>
      <family val="0"/>
      <charset val="1"/>
    </font>
    <font>
      <sz val="10"/>
      <color rgb="FF888888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5"/>
      <color rgb="FF1F4E6B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6B"/>
        <bgColor rgb="FF444444"/>
      </patternFill>
    </fill>
    <fill>
      <patternFill patternType="solid">
        <fgColor rgb="FFFFF6CC"/>
        <bgColor rgb="FFFDE2C8"/>
      </patternFill>
    </fill>
    <fill>
      <patternFill patternType="solid">
        <fgColor rgb="FFEDEDED"/>
        <bgColor rgb="FFFFF6CC"/>
      </patternFill>
    </fill>
    <fill>
      <patternFill patternType="solid">
        <fgColor rgb="FF0F6E6E"/>
        <bgColor rgb="FF008080"/>
      </patternFill>
    </fill>
    <fill>
      <patternFill patternType="solid">
        <fgColor rgb="FF8A6A00"/>
        <bgColor rgb="FF666666"/>
      </patternFill>
    </fill>
    <fill>
      <patternFill patternType="solid">
        <fgColor rgb="FF8B3A2F"/>
        <bgColor rgb="FF993366"/>
      </patternFill>
    </fill>
    <fill>
      <patternFill patternType="solid">
        <fgColor rgb="FF5B3A6B"/>
        <bgColor rgb="FF444444"/>
      </patternFill>
    </fill>
    <fill>
      <patternFill patternType="solid">
        <fgColor rgb="FFFFFFFF"/>
        <bgColor rgb="FFEDED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  <border diagonalUp="false" diagonalDown="false">
      <left style="thin">
        <color rgb="FF9AA5AD"/>
      </left>
      <right style="thin">
        <color rgb="FF9AA5AD"/>
      </right>
      <top style="medium">
        <color rgb="FF1F4E6B"/>
      </top>
      <bottom style="medium">
        <color rgb="FF1F4E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color rgb="FFC00000"/>
      </font>
    </dxf>
    <dxf>
      <fill>
        <patternFill>
          <bgColor rgb="FFFDE2C8"/>
        </patternFill>
      </fill>
    </dxf>
    <dxf>
      <fill>
        <patternFill>
          <bgColor rgb="FFFBD5D5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00"/>
      <rgbColor rgb="FF800080"/>
      <rgbColor rgb="FF0F6E6E"/>
      <rgbColor rgb="FFC0C0C0"/>
      <rgbColor rgb="FF888888"/>
      <rgbColor rgb="FF9999FF"/>
      <rgbColor rgb="FF993366"/>
      <rgbColor rgb="FFFFF6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2C8"/>
      <rgbColor rgb="FF99CCFF"/>
      <rgbColor rgb="FFFF99CC"/>
      <rgbColor rgb="FFCC99FF"/>
      <rgbColor rgb="FFFBD5D5"/>
      <rgbColor rgb="FF3366FF"/>
      <rgbColor rgb="FF33CCCC"/>
      <rgbColor rgb="FF99CC00"/>
      <rgbColor rgb="FFFFCC00"/>
      <rgbColor rgb="FFFF9900"/>
      <rgbColor rgb="FFFF6600"/>
      <rgbColor rgb="FF666666"/>
      <rgbColor rgb="FF9AA5AD"/>
      <rgbColor rgb="FF1F4E6B"/>
      <rgbColor rgb="FF339966"/>
      <rgbColor rgb="FF003300"/>
      <rgbColor rgb="FF555555"/>
      <rgbColor rgb="FF8B3A2F"/>
      <rgbColor rgb="FF993366"/>
      <rgbColor rgb="FF5B3A6B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4"/>
    <col collapsed="false" customWidth="true" hidden="false" outlineLevel="0" max="9" min="9" style="0" width="3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3" customFormat="false" ht="15" hidden="false" customHeight="false" outlineLevel="0" collapsed="false">
      <c r="B3" s="2" t="s">
        <v>1</v>
      </c>
      <c r="C3" s="3" t="n">
        <v>46291</v>
      </c>
      <c r="D3" s="4" t="s">
        <v>2</v>
      </c>
      <c r="E3" s="5" t="n">
        <f aca="false">C3+6</f>
        <v>46297</v>
      </c>
      <c r="F3" s="6" t="str">
        <f aca="false">IF(WEEKDAY(C3,1)&lt;&gt;7,"⚠️ التاريخ مش سبت","")</f>
        <v/>
      </c>
    </row>
    <row r="5" customFormat="false" ht="30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7" t="s">
        <v>7</v>
      </c>
      <c r="F5" s="7" t="s">
        <v>8</v>
      </c>
      <c r="G5" s="7" t="s">
        <v>9</v>
      </c>
      <c r="H5" s="7" t="s">
        <v>10</v>
      </c>
      <c r="I5" s="7" t="s">
        <v>11</v>
      </c>
    </row>
    <row r="6" customFormat="false" ht="15" hidden="false" customHeight="false" outlineLevel="0" collapsed="false">
      <c r="A6" s="8" t="n">
        <v>1</v>
      </c>
      <c r="B6" s="8" t="s">
        <v>12</v>
      </c>
      <c r="C6" s="9" t="n">
        <f aca="false">SUMIFS('ساعات عمر'!$F$6:$F$205,OMR_D,"&gt;="&amp;$C$3,OMR_D,"&lt;="&amp;$E$3)</f>
        <v>0</v>
      </c>
      <c r="D6" s="10" t="n">
        <f aca="false">SUMIFS(OMR_P,OMR_D,"&gt;="&amp;$C$3,OMR_D,"&lt;="&amp;$E$3)</f>
        <v>0</v>
      </c>
      <c r="E6" s="10" t="n">
        <f aca="false">SUMIFS(LOG_A,LOG_E,B6,LOG_T,"سلفة",LOG_D,"&gt;="&amp;$C$3,LOG_D,"&lt;="&amp;$E$3)</f>
        <v>0</v>
      </c>
      <c r="F6" s="10" t="n">
        <f aca="false">IF(D6=0,0,OMR_INST)</f>
        <v>0</v>
      </c>
      <c r="G6" s="10" t="n">
        <v>0</v>
      </c>
      <c r="H6" s="11" t="n">
        <f aca="false">D6-E6-F6-G6</f>
        <v>0</v>
      </c>
      <c r="I6" s="12" t="str">
        <f aca="false">IF(AND(ADV_CAP&gt;0,D6&gt;0,E6&gt;ADV_CAP*D6),"⚠️ السلف تجاوزت السقف","")</f>
        <v/>
      </c>
    </row>
    <row r="7" customFormat="false" ht="15" hidden="false" customHeight="false" outlineLevel="0" collapsed="false">
      <c r="A7" s="8" t="n">
        <v>2</v>
      </c>
      <c r="B7" s="8" t="s">
        <v>13</v>
      </c>
      <c r="C7" s="9" t="n">
        <f aca="false">SUMIFS('ساعات عبدالعزيز'!$F$6:$F$205,AZZ_D,"&gt;="&amp;$C$3,AZZ_D,"&lt;="&amp;$E$3)</f>
        <v>0</v>
      </c>
      <c r="D7" s="10" t="n">
        <f aca="false">SUMIFS(AZZ_P,AZZ_D,"&gt;="&amp;$C$3,AZZ_D,"&lt;="&amp;$E$3)</f>
        <v>0</v>
      </c>
      <c r="E7" s="10" t="n">
        <f aca="false">SUMIFS(LOG_A,LOG_E,B7,LOG_T,"سلفة",LOG_D,"&gt;="&amp;$C$3,LOG_D,"&lt;="&amp;$E$3)</f>
        <v>0</v>
      </c>
      <c r="F7" s="10" t="n">
        <f aca="false">IF(D7=0,0,AZZ_INST)</f>
        <v>0</v>
      </c>
      <c r="G7" s="10" t="n">
        <f aca="false">SUMIFS(AZZ_PAID,AZZ_D,"&gt;="&amp;$C$3,AZZ_D,"&lt;="&amp;$E$3)</f>
        <v>0</v>
      </c>
      <c r="H7" s="11" t="n">
        <f aca="false">D7-E7-F7-G7</f>
        <v>0</v>
      </c>
      <c r="I7" s="12" t="str">
        <f aca="false">IF(AND(ADV_CAP&gt;0,D7&gt;0,E7&gt;ADV_CAP*D7),"⚠️ السلف تجاوزت السقف","")</f>
        <v/>
      </c>
    </row>
    <row r="9" customFormat="false" ht="23.85" hidden="false" customHeight="false" outlineLevel="0" collapsed="false">
      <c r="B9" s="13" t="s">
        <v>14</v>
      </c>
    </row>
    <row r="10" customFormat="false" ht="23.85" hidden="false" customHeight="false" outlineLevel="0" collapsed="false">
      <c r="B10" s="13" t="s">
        <v>15</v>
      </c>
      <c r="E10" s="14" t="n">
        <f aca="false">المهام!D106</f>
        <v>0</v>
      </c>
    </row>
    <row r="12" customFormat="false" ht="15" hidden="false" customHeight="false" outlineLevel="0" collapsed="false">
      <c r="B12" s="15" t="s">
        <v>16</v>
      </c>
    </row>
    <row r="13" customFormat="false" ht="30" hidden="false" customHeight="true" outlineLevel="0" collapsed="false">
      <c r="A13" s="16" t="s">
        <v>3</v>
      </c>
      <c r="B13" s="16" t="s">
        <v>4</v>
      </c>
      <c r="C13" s="16" t="s">
        <v>17</v>
      </c>
      <c r="D13" s="16" t="s">
        <v>18</v>
      </c>
      <c r="E13" s="16" t="s">
        <v>19</v>
      </c>
      <c r="F13" s="16" t="s">
        <v>20</v>
      </c>
      <c r="G13" s="16" t="s">
        <v>21</v>
      </c>
      <c r="H13" s="16" t="s">
        <v>22</v>
      </c>
      <c r="I13" s="16" t="s">
        <v>23</v>
      </c>
    </row>
    <row r="14" customFormat="false" ht="15" hidden="false" customHeight="false" outlineLevel="0" collapsed="false">
      <c r="A14" s="8" t="n">
        <v>1</v>
      </c>
      <c r="B14" s="8" t="s">
        <v>12</v>
      </c>
      <c r="C14" s="17" t="n">
        <f aca="false">SUM(OMR_P)</f>
        <v>0</v>
      </c>
      <c r="D14" s="17" t="n">
        <f aca="false">SUMIFS(LOG_A,LOG_E,B14,LOG_T,"رصيد سابق له")</f>
        <v>0</v>
      </c>
      <c r="E14" s="17" t="n">
        <f aca="false">SUMIFS(LOG_A,LOG_E,B14,LOG_T,"تسديد")</f>
        <v>0</v>
      </c>
      <c r="F14" s="17" t="n">
        <f aca="false">SUMIFS(LOG_A,LOG_E,B14,LOG_T,"سلفة")+SUMIFS(LOG_A,LOG_E,B14,LOG_T,"دين")+SUMIFS(LOG_A,LOG_E,B14,LOG_T,"بضاعة")+SUMIFS(LOG_A,LOG_E,B14,LOG_T,"رصيد سابق عليه")</f>
        <v>0</v>
      </c>
      <c r="G14" s="17" t="n">
        <f aca="false">SUMIFS(LOG_A,LOG_E,B14,LOG_T,"دفع")</f>
        <v>0</v>
      </c>
      <c r="H14" s="18" t="n">
        <f aca="false">C14+D14+E14-F14-G14</f>
        <v>0</v>
      </c>
      <c r="I14" s="8" t="str">
        <f aca="false">IF(H14&gt;0.0005,"المحل مدين إله",IF(H14&lt;-0.0005,"هو مدين للمحل","متساوي"))</f>
        <v>متساوي</v>
      </c>
    </row>
    <row r="15" customFormat="false" ht="15" hidden="false" customHeight="false" outlineLevel="0" collapsed="false">
      <c r="A15" s="8" t="n">
        <v>2</v>
      </c>
      <c r="B15" s="8" t="s">
        <v>13</v>
      </c>
      <c r="C15" s="17" t="n">
        <f aca="false">SUM(AZZ_P)</f>
        <v>0</v>
      </c>
      <c r="D15" s="17" t="n">
        <f aca="false">SUMIFS(LOG_A,LOG_E,B15,LOG_T,"رصيد سابق له")</f>
        <v>0</v>
      </c>
      <c r="E15" s="17" t="n">
        <f aca="false">SUMIFS(LOG_A,LOG_E,B15,LOG_T,"تسديد")</f>
        <v>0</v>
      </c>
      <c r="F15" s="17" t="n">
        <f aca="false">SUMIFS(LOG_A,LOG_E,B15,LOG_T,"سلفة")+SUMIFS(LOG_A,LOG_E,B15,LOG_T,"دين")+SUMIFS(LOG_A,LOG_E,B15,LOG_T,"بضاعة")+SUMIFS(LOG_A,LOG_E,B15,LOG_T,"رصيد سابق عليه")</f>
        <v>0</v>
      </c>
      <c r="G15" s="17" t="n">
        <f aca="false">SUMIFS(LOG_A,LOG_E,B15,LOG_T,"دفع")+SUM(AZZ_PAID)</f>
        <v>0</v>
      </c>
      <c r="H15" s="18" t="n">
        <f aca="false">C15+D15+E15-F15-G15</f>
        <v>0</v>
      </c>
      <c r="I15" s="8" t="str">
        <f aca="false">IF(H15&gt;0.0005,"المحل مدين إله",IF(H15&lt;-0.0005,"هو مدين للمحل","متساوي"))</f>
        <v>متساوي</v>
      </c>
    </row>
    <row r="16" customFormat="false" ht="15" hidden="false" customHeight="false" outlineLevel="0" collapsed="false">
      <c r="A16" s="8" t="n">
        <v>3</v>
      </c>
      <c r="B16" s="8" t="s">
        <v>24</v>
      </c>
      <c r="C16" s="17" t="n">
        <f aca="true">SUMIFS(المدير!$D$6:$D$17,المدير!$C$6:$C$17,"&lt;="&amp;TODAY())</f>
        <v>0</v>
      </c>
      <c r="D16" s="17" t="n">
        <f aca="false">SUMIFS(LOG_A,LOG_E,B16,LOG_T,"رصيد سابق له")</f>
        <v>0</v>
      </c>
      <c r="E16" s="17" t="n">
        <f aca="false">SUMIFS(LOG_A,LOG_E,B16,LOG_T,"تسديد")</f>
        <v>0</v>
      </c>
      <c r="F16" s="17" t="n">
        <f aca="false">SUMIFS(LOG_A,LOG_E,B16,LOG_T,"سلفة")+SUMIFS(LOG_A,LOG_E,B16,LOG_T,"دين")+SUMIFS(LOG_A,LOG_E,B16,LOG_T,"بضاعة")+SUMIFS(LOG_A,LOG_E,B16,LOG_T,"رصيد سابق عليه")</f>
        <v>0</v>
      </c>
      <c r="G16" s="17" t="n">
        <f aca="false">SUMIFS(LOG_A,LOG_E,B16,LOG_T,"دفع")</f>
        <v>0</v>
      </c>
      <c r="H16" s="18" t="n">
        <f aca="false">C16+D16+E16-F16-G16</f>
        <v>0</v>
      </c>
      <c r="I16" s="8" t="str">
        <f aca="false">IF(H16&gt;0.0005,"المحل مدين إله",IF(H16&lt;-0.0005,"هو مدين للمحل","متساوي"))</f>
        <v>متساوي</v>
      </c>
    </row>
    <row r="18" customFormat="false" ht="30" hidden="false" customHeight="true" outlineLevel="0" collapsed="false">
      <c r="B18" s="19" t="s">
        <v>25</v>
      </c>
      <c r="C18" s="19"/>
      <c r="D18" s="19"/>
      <c r="E18" s="19"/>
      <c r="F18" s="19"/>
      <c r="G18" s="19"/>
      <c r="H18" s="19"/>
      <c r="I18" s="19"/>
    </row>
  </sheetData>
  <mergeCells count="2">
    <mergeCell ref="A1:I1"/>
    <mergeCell ref="B18:I18"/>
  </mergeCells>
  <conditionalFormatting sqref="H6:H7">
    <cfRule type="expression" priority="2" aboveAverage="0" equalAverage="0" bottom="0" percent="0" rank="0" text="" dxfId="0">
      <formula>$H6&lt;0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52"/>
  </cols>
  <sheetData>
    <row r="1" customFormat="false" ht="30" hidden="false" customHeight="true" outlineLevel="0" collapsed="false">
      <c r="A1" s="20" t="s">
        <v>26</v>
      </c>
      <c r="B1" s="20"/>
      <c r="C1" s="20"/>
      <c r="D1" s="20"/>
    </row>
    <row r="3" customFormat="false" ht="15" hidden="false" customHeight="false" outlineLevel="0" collapsed="false">
      <c r="A3" s="21" t="s">
        <v>3</v>
      </c>
      <c r="B3" s="21" t="s">
        <v>27</v>
      </c>
      <c r="C3" s="21" t="s">
        <v>28</v>
      </c>
      <c r="D3" s="21" t="s">
        <v>29</v>
      </c>
    </row>
    <row r="4" customFormat="false" ht="30" hidden="false" customHeight="true" outlineLevel="0" collapsed="false">
      <c r="A4" s="22" t="n">
        <v>1</v>
      </c>
      <c r="B4" s="23" t="s">
        <v>30</v>
      </c>
      <c r="C4" s="24" t="n">
        <v>125</v>
      </c>
      <c r="D4" s="25" t="s">
        <v>31</v>
      </c>
    </row>
    <row r="5" customFormat="false" ht="30" hidden="false" customHeight="true" outlineLevel="0" collapsed="false">
      <c r="A5" s="22" t="n">
        <v>2</v>
      </c>
      <c r="B5" s="23" t="s">
        <v>32</v>
      </c>
      <c r="C5" s="24" t="n">
        <v>1.25</v>
      </c>
      <c r="D5" s="25" t="s">
        <v>33</v>
      </c>
    </row>
    <row r="6" customFormat="false" ht="30" hidden="false" customHeight="true" outlineLevel="0" collapsed="false">
      <c r="A6" s="22" t="n">
        <v>3</v>
      </c>
      <c r="B6" s="23" t="s">
        <v>34</v>
      </c>
      <c r="C6" s="24" t="n">
        <v>1.5</v>
      </c>
      <c r="D6" s="25" t="s">
        <v>35</v>
      </c>
    </row>
    <row r="7" customFormat="false" ht="30" hidden="false" customHeight="true" outlineLevel="0" collapsed="false">
      <c r="A7" s="22" t="n">
        <v>4</v>
      </c>
      <c r="B7" s="23" t="s">
        <v>36</v>
      </c>
      <c r="C7" s="26" t="n">
        <v>0.75</v>
      </c>
      <c r="D7" s="25" t="s">
        <v>37</v>
      </c>
    </row>
    <row r="8" customFormat="false" ht="30" hidden="false" customHeight="true" outlineLevel="0" collapsed="false">
      <c r="A8" s="22" t="n">
        <v>5</v>
      </c>
      <c r="B8" s="23" t="s">
        <v>38</v>
      </c>
      <c r="C8" s="26" t="n">
        <v>0.583333333333333</v>
      </c>
      <c r="D8" s="25" t="s">
        <v>39</v>
      </c>
    </row>
    <row r="9" customFormat="false" ht="30" hidden="false" customHeight="true" outlineLevel="0" collapsed="false">
      <c r="A9" s="22" t="n">
        <v>6</v>
      </c>
      <c r="B9" s="23" t="s">
        <v>40</v>
      </c>
      <c r="C9" s="26" t="n">
        <v>0.958333333333333</v>
      </c>
      <c r="D9" s="25"/>
    </row>
    <row r="10" customFormat="false" ht="30" hidden="false" customHeight="true" outlineLevel="0" collapsed="false">
      <c r="A10" s="22" t="n">
        <v>7</v>
      </c>
      <c r="B10" s="23" t="s">
        <v>41</v>
      </c>
      <c r="C10" s="24" t="n">
        <v>1</v>
      </c>
      <c r="D10" s="25" t="s">
        <v>42</v>
      </c>
    </row>
    <row r="11" customFormat="false" ht="30" hidden="false" customHeight="true" outlineLevel="0" collapsed="false">
      <c r="A11" s="22" t="n">
        <v>8</v>
      </c>
      <c r="B11" s="23" t="s">
        <v>43</v>
      </c>
      <c r="C11" s="24" t="n">
        <v>2.5</v>
      </c>
      <c r="D11" s="25" t="s">
        <v>44</v>
      </c>
    </row>
    <row r="12" customFormat="false" ht="30" hidden="false" customHeight="true" outlineLevel="0" collapsed="false">
      <c r="A12" s="22" t="n">
        <v>9</v>
      </c>
      <c r="B12" s="23" t="s">
        <v>45</v>
      </c>
      <c r="C12" s="24" t="n">
        <v>0</v>
      </c>
      <c r="D12" s="25" t="s">
        <v>46</v>
      </c>
    </row>
    <row r="13" customFormat="false" ht="30" hidden="false" customHeight="true" outlineLevel="0" collapsed="false">
      <c r="A13" s="22" t="n">
        <v>10</v>
      </c>
      <c r="B13" s="23" t="s">
        <v>47</v>
      </c>
      <c r="C13" s="24" t="n">
        <v>0</v>
      </c>
      <c r="D13" s="25"/>
    </row>
    <row r="14" customFormat="false" ht="30" hidden="false" customHeight="true" outlineLevel="0" collapsed="false">
      <c r="A14" s="22" t="n">
        <v>11</v>
      </c>
      <c r="B14" s="23" t="s">
        <v>48</v>
      </c>
      <c r="C14" s="24" t="n">
        <v>0</v>
      </c>
      <c r="D14" s="25"/>
    </row>
    <row r="15" customFormat="false" ht="30" hidden="false" customHeight="true" outlineLevel="0" collapsed="false">
      <c r="A15" s="22" t="n">
        <v>12</v>
      </c>
      <c r="B15" s="23" t="s">
        <v>49</v>
      </c>
      <c r="C15" s="27" t="n">
        <v>0.5</v>
      </c>
      <c r="D15" s="25" t="s">
        <v>50</v>
      </c>
    </row>
    <row r="17" customFormat="false" ht="15" hidden="false" customHeight="false" outlineLevel="0" collapsed="false">
      <c r="B17" s="28" t="s">
        <v>51</v>
      </c>
    </row>
    <row r="18" customFormat="false" ht="23.85" hidden="false" customHeight="false" outlineLevel="0" collapsed="false">
      <c r="B18" s="13" t="s">
        <v>52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15"/>
    <col collapsed="false" customWidth="true" hidden="false" outlineLevel="0" max="8" min="6" style="0" width="11"/>
    <col collapsed="false" customWidth="true" hidden="false" outlineLevel="0" max="9" min="9" style="0" width="13"/>
    <col collapsed="false" customWidth="true" hidden="false" outlineLevel="0" max="10" min="10" style="0" width="30"/>
  </cols>
  <sheetData>
    <row r="1" customFormat="false" ht="30" hidden="false" customHeight="true" outlineLevel="0" collapsed="false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6" hidden="false" customHeight="true" outlineLevel="0" collapsed="false">
      <c r="A2" s="29" t="s">
        <v>54</v>
      </c>
      <c r="B2" s="29"/>
      <c r="C2" s="29"/>
      <c r="D2" s="29"/>
      <c r="E2" s="29"/>
      <c r="F2" s="29"/>
      <c r="G2" s="29"/>
      <c r="H2" s="29"/>
      <c r="I2" s="29"/>
      <c r="J2" s="29"/>
    </row>
    <row r="3" customFormat="false" ht="15" hidden="false" customHeight="true" outlineLevel="0" collapsed="false">
      <c r="A3" s="30" t="s">
        <v>55</v>
      </c>
      <c r="B3" s="30"/>
      <c r="C3" s="30"/>
      <c r="D3" s="30"/>
      <c r="E3" s="30"/>
      <c r="F3" s="30"/>
      <c r="G3" s="30"/>
      <c r="H3" s="30"/>
      <c r="I3" s="30"/>
      <c r="J3" s="30"/>
    </row>
    <row r="5" customFormat="false" ht="31.5" hidden="false" customHeight="true" outlineLevel="0" collapsed="false">
      <c r="A5" s="7" t="s">
        <v>56</v>
      </c>
      <c r="B5" s="7" t="s">
        <v>57</v>
      </c>
      <c r="C5" s="7" t="s">
        <v>58</v>
      </c>
      <c r="D5" s="7" t="s">
        <v>59</v>
      </c>
      <c r="E5" s="7" t="s">
        <v>60</v>
      </c>
      <c r="F5" s="7" t="s">
        <v>61</v>
      </c>
      <c r="G5" s="7" t="s">
        <v>62</v>
      </c>
      <c r="H5" s="7" t="s">
        <v>63</v>
      </c>
      <c r="I5" s="7" t="s">
        <v>64</v>
      </c>
      <c r="J5" s="7" t="s">
        <v>65</v>
      </c>
    </row>
    <row r="6" customFormat="false" ht="19.5" hidden="false" customHeight="true" outlineLevel="0" collapsed="false">
      <c r="A6" s="31"/>
      <c r="B6" s="8" t="str">
        <f aca="false">IF(A6="","",CHOOSE(WEEKDAY(A6,1),"الأحد","الاثنين","الثلاثاء","الأربعاء","الخميس","الجمعة","السبت"))</f>
        <v/>
      </c>
      <c r="C6" s="32"/>
      <c r="D6" s="32"/>
      <c r="E6" s="33"/>
      <c r="F6" s="9" t="str">
        <f aca="false">IF(OR(C6="",D6=""),"",ROUND(MOD(D6-C6,1)*24,2))</f>
        <v/>
      </c>
      <c r="G6" s="9" t="str">
        <f aca="false">IF(F6="","",IF(WEEKDAY(A6,1)=6,F6,ROUND(MAX(0,MIN(D6,OMR_OT_AT)-C6)*24,2)))</f>
        <v/>
      </c>
      <c r="H6" s="9" t="str">
        <f aca="false">IF(F6="","",ROUND(F6-G6,2))</f>
        <v/>
      </c>
      <c r="I6" s="10" t="str">
        <f aca="false">IF(F6="","",ROUND(G6*OMR_RATE+H6*OMR_OT+MIN(N(E6),G6)*(GYP_RATE-OMR_RATE)+MAX(0,MIN(N(E6),F6)-G6)*(GYP_RATE-OMR_OT),3))</f>
        <v/>
      </c>
      <c r="J6" s="34"/>
    </row>
    <row r="7" customFormat="false" ht="19.5" hidden="false" customHeight="true" outlineLevel="0" collapsed="false">
      <c r="A7" s="31"/>
      <c r="B7" s="8" t="str">
        <f aca="false">IF(A7="","",CHOOSE(WEEKDAY(A7,1),"الأحد","الاثنين","الثلاثاء","الأربعاء","الخميس","الجمعة","السبت"))</f>
        <v/>
      </c>
      <c r="C7" s="32"/>
      <c r="D7" s="32"/>
      <c r="E7" s="33"/>
      <c r="F7" s="9" t="str">
        <f aca="false">IF(OR(C7="",D7=""),"",ROUND(MOD(D7-C7,1)*24,2))</f>
        <v/>
      </c>
      <c r="G7" s="9" t="str">
        <f aca="false">IF(F7="","",IF(WEEKDAY(A7,1)=6,F7,ROUND(MAX(0,MIN(D7,OMR_OT_AT)-C7)*24,2)))</f>
        <v/>
      </c>
      <c r="H7" s="9" t="str">
        <f aca="false">IF(F7="","",ROUND(F7-G7,2))</f>
        <v/>
      </c>
      <c r="I7" s="10" t="str">
        <f aca="false">IF(F7="","",ROUND(G7*OMR_RATE+H7*OMR_OT+MIN(N(E7),G7)*(GYP_RATE-OMR_RATE)+MAX(0,MIN(N(E7),F7)-G7)*(GYP_RATE-OMR_OT),3))</f>
        <v/>
      </c>
      <c r="J7" s="34"/>
    </row>
    <row r="8" customFormat="false" ht="19.5" hidden="false" customHeight="true" outlineLevel="0" collapsed="false">
      <c r="A8" s="31"/>
      <c r="B8" s="8" t="str">
        <f aca="false">IF(A8="","",CHOOSE(WEEKDAY(A8,1),"الأحد","الاثنين","الثلاثاء","الأربعاء","الخميس","الجمعة","السبت"))</f>
        <v/>
      </c>
      <c r="C8" s="32"/>
      <c r="D8" s="32"/>
      <c r="E8" s="33"/>
      <c r="F8" s="9" t="str">
        <f aca="false">IF(OR(C8="",D8=""),"",ROUND(MOD(D8-C8,1)*24,2))</f>
        <v/>
      </c>
      <c r="G8" s="9" t="str">
        <f aca="false">IF(F8="","",IF(WEEKDAY(A8,1)=6,F8,ROUND(MAX(0,MIN(D8,OMR_OT_AT)-C8)*24,2)))</f>
        <v/>
      </c>
      <c r="H8" s="9" t="str">
        <f aca="false">IF(F8="","",ROUND(F8-G8,2))</f>
        <v/>
      </c>
      <c r="I8" s="10" t="str">
        <f aca="false">IF(F8="","",ROUND(G8*OMR_RATE+H8*OMR_OT+MIN(N(E8),G8)*(GYP_RATE-OMR_RATE)+MAX(0,MIN(N(E8),F8)-G8)*(GYP_RATE-OMR_OT),3))</f>
        <v/>
      </c>
      <c r="J8" s="34"/>
    </row>
    <row r="9" customFormat="false" ht="19.5" hidden="false" customHeight="true" outlineLevel="0" collapsed="false">
      <c r="A9" s="31"/>
      <c r="B9" s="8" t="str">
        <f aca="false">IF(A9="","",CHOOSE(WEEKDAY(A9,1),"الأحد","الاثنين","الثلاثاء","الأربعاء","الخميس","الجمعة","السبت"))</f>
        <v/>
      </c>
      <c r="C9" s="32"/>
      <c r="D9" s="32"/>
      <c r="E9" s="33"/>
      <c r="F9" s="9" t="str">
        <f aca="false">IF(OR(C9="",D9=""),"",ROUND(MOD(D9-C9,1)*24,2))</f>
        <v/>
      </c>
      <c r="G9" s="9" t="str">
        <f aca="false">IF(F9="","",IF(WEEKDAY(A9,1)=6,F9,ROUND(MAX(0,MIN(D9,OMR_OT_AT)-C9)*24,2)))</f>
        <v/>
      </c>
      <c r="H9" s="9" t="str">
        <f aca="false">IF(F9="","",ROUND(F9-G9,2))</f>
        <v/>
      </c>
      <c r="I9" s="10" t="str">
        <f aca="false">IF(F9="","",ROUND(G9*OMR_RATE+H9*OMR_OT+MIN(N(E9),G9)*(GYP_RATE-OMR_RATE)+MAX(0,MIN(N(E9),F9)-G9)*(GYP_RATE-OMR_OT),3))</f>
        <v/>
      </c>
      <c r="J9" s="34"/>
    </row>
    <row r="10" customFormat="false" ht="19.5" hidden="false" customHeight="true" outlineLevel="0" collapsed="false">
      <c r="A10" s="31"/>
      <c r="B10" s="8" t="str">
        <f aca="false">IF(A10="","",CHOOSE(WEEKDAY(A10,1),"الأحد","الاثنين","الثلاثاء","الأربعاء","الخميس","الجمعة","السبت"))</f>
        <v/>
      </c>
      <c r="C10" s="32"/>
      <c r="D10" s="32"/>
      <c r="E10" s="33"/>
      <c r="F10" s="9" t="str">
        <f aca="false">IF(OR(C10="",D10=""),"",ROUND(MOD(D10-C10,1)*24,2))</f>
        <v/>
      </c>
      <c r="G10" s="9" t="str">
        <f aca="false">IF(F10="","",IF(WEEKDAY(A10,1)=6,F10,ROUND(MAX(0,MIN(D10,OMR_OT_AT)-C10)*24,2)))</f>
        <v/>
      </c>
      <c r="H10" s="9" t="str">
        <f aca="false">IF(F10="","",ROUND(F10-G10,2))</f>
        <v/>
      </c>
      <c r="I10" s="10" t="str">
        <f aca="false">IF(F10="","",ROUND(G10*OMR_RATE+H10*OMR_OT+MIN(N(E10),G10)*(GYP_RATE-OMR_RATE)+MAX(0,MIN(N(E10),F10)-G10)*(GYP_RATE-OMR_OT),3))</f>
        <v/>
      </c>
      <c r="J10" s="34"/>
    </row>
    <row r="11" customFormat="false" ht="19.5" hidden="false" customHeight="true" outlineLevel="0" collapsed="false">
      <c r="A11" s="31"/>
      <c r="B11" s="8" t="str">
        <f aca="false">IF(A11="","",CHOOSE(WEEKDAY(A11,1),"الأحد","الاثنين","الثلاثاء","الأربعاء","الخميس","الجمعة","السبت"))</f>
        <v/>
      </c>
      <c r="C11" s="32"/>
      <c r="D11" s="32"/>
      <c r="E11" s="33"/>
      <c r="F11" s="9" t="str">
        <f aca="false">IF(OR(C11="",D11=""),"",ROUND(MOD(D11-C11,1)*24,2))</f>
        <v/>
      </c>
      <c r="G11" s="9" t="str">
        <f aca="false">IF(F11="","",IF(WEEKDAY(A11,1)=6,F11,ROUND(MAX(0,MIN(D11,OMR_OT_AT)-C11)*24,2)))</f>
        <v/>
      </c>
      <c r="H11" s="9" t="str">
        <f aca="false">IF(F11="","",ROUND(F11-G11,2))</f>
        <v/>
      </c>
      <c r="I11" s="10" t="str">
        <f aca="false">IF(F11="","",ROUND(G11*OMR_RATE+H11*OMR_OT+MIN(N(E11),G11)*(GYP_RATE-OMR_RATE)+MAX(0,MIN(N(E11),F11)-G11)*(GYP_RATE-OMR_OT),3))</f>
        <v/>
      </c>
      <c r="J11" s="34"/>
    </row>
    <row r="12" customFormat="false" ht="19.5" hidden="false" customHeight="true" outlineLevel="0" collapsed="false">
      <c r="A12" s="31"/>
      <c r="B12" s="8" t="str">
        <f aca="false">IF(A12="","",CHOOSE(WEEKDAY(A12,1),"الأحد","الاثنين","الثلاثاء","الأربعاء","الخميس","الجمعة","السبت"))</f>
        <v/>
      </c>
      <c r="C12" s="32"/>
      <c r="D12" s="32"/>
      <c r="E12" s="33"/>
      <c r="F12" s="9" t="str">
        <f aca="false">IF(OR(C12="",D12=""),"",ROUND(MOD(D12-C12,1)*24,2))</f>
        <v/>
      </c>
      <c r="G12" s="9" t="str">
        <f aca="false">IF(F12="","",IF(WEEKDAY(A12,1)=6,F12,ROUND(MAX(0,MIN(D12,OMR_OT_AT)-C12)*24,2)))</f>
        <v/>
      </c>
      <c r="H12" s="9" t="str">
        <f aca="false">IF(F12="","",ROUND(F12-G12,2))</f>
        <v/>
      </c>
      <c r="I12" s="10" t="str">
        <f aca="false">IF(F12="","",ROUND(G12*OMR_RATE+H12*OMR_OT+MIN(N(E12),G12)*(GYP_RATE-OMR_RATE)+MAX(0,MIN(N(E12),F12)-G12)*(GYP_RATE-OMR_OT),3))</f>
        <v/>
      </c>
      <c r="J12" s="34"/>
    </row>
    <row r="13" customFormat="false" ht="19.5" hidden="false" customHeight="true" outlineLevel="0" collapsed="false">
      <c r="A13" s="31"/>
      <c r="B13" s="8" t="str">
        <f aca="false">IF(A13="","",CHOOSE(WEEKDAY(A13,1),"الأحد","الاثنين","الثلاثاء","الأربعاء","الخميس","الجمعة","السبت"))</f>
        <v/>
      </c>
      <c r="C13" s="32"/>
      <c r="D13" s="32"/>
      <c r="E13" s="33"/>
      <c r="F13" s="9" t="str">
        <f aca="false">IF(OR(C13="",D13=""),"",ROUND(MOD(D13-C13,1)*24,2))</f>
        <v/>
      </c>
      <c r="G13" s="9" t="str">
        <f aca="false">IF(F13="","",IF(WEEKDAY(A13,1)=6,F13,ROUND(MAX(0,MIN(D13,OMR_OT_AT)-C13)*24,2)))</f>
        <v/>
      </c>
      <c r="H13" s="9" t="str">
        <f aca="false">IF(F13="","",ROUND(F13-G13,2))</f>
        <v/>
      </c>
      <c r="I13" s="10" t="str">
        <f aca="false">IF(F13="","",ROUND(G13*OMR_RATE+H13*OMR_OT+MIN(N(E13),G13)*(GYP_RATE-OMR_RATE)+MAX(0,MIN(N(E13),F13)-G13)*(GYP_RATE-OMR_OT),3))</f>
        <v/>
      </c>
      <c r="J13" s="34"/>
    </row>
    <row r="14" customFormat="false" ht="19.5" hidden="false" customHeight="true" outlineLevel="0" collapsed="false">
      <c r="A14" s="31"/>
      <c r="B14" s="8" t="str">
        <f aca="false">IF(A14="","",CHOOSE(WEEKDAY(A14,1),"الأحد","الاثنين","الثلاثاء","الأربعاء","الخميس","الجمعة","السبت"))</f>
        <v/>
      </c>
      <c r="C14" s="32"/>
      <c r="D14" s="32"/>
      <c r="E14" s="33"/>
      <c r="F14" s="9" t="str">
        <f aca="false">IF(OR(C14="",D14=""),"",ROUND(MOD(D14-C14,1)*24,2))</f>
        <v/>
      </c>
      <c r="G14" s="9" t="str">
        <f aca="false">IF(F14="","",IF(WEEKDAY(A14,1)=6,F14,ROUND(MAX(0,MIN(D14,OMR_OT_AT)-C14)*24,2)))</f>
        <v/>
      </c>
      <c r="H14" s="9" t="str">
        <f aca="false">IF(F14="","",ROUND(F14-G14,2))</f>
        <v/>
      </c>
      <c r="I14" s="10" t="str">
        <f aca="false">IF(F14="","",ROUND(G14*OMR_RATE+H14*OMR_OT+MIN(N(E14),G14)*(GYP_RATE-OMR_RATE)+MAX(0,MIN(N(E14),F14)-G14)*(GYP_RATE-OMR_OT),3))</f>
        <v/>
      </c>
      <c r="J14" s="34"/>
    </row>
    <row r="15" customFormat="false" ht="19.5" hidden="false" customHeight="true" outlineLevel="0" collapsed="false">
      <c r="A15" s="31"/>
      <c r="B15" s="8" t="str">
        <f aca="false">IF(A15="","",CHOOSE(WEEKDAY(A15,1),"الأحد","الاثنين","الثلاثاء","الأربعاء","الخميس","الجمعة","السبت"))</f>
        <v/>
      </c>
      <c r="C15" s="32"/>
      <c r="D15" s="32"/>
      <c r="E15" s="33"/>
      <c r="F15" s="9" t="str">
        <f aca="false">IF(OR(C15="",D15=""),"",ROUND(MOD(D15-C15,1)*24,2))</f>
        <v/>
      </c>
      <c r="G15" s="9" t="str">
        <f aca="false">IF(F15="","",IF(WEEKDAY(A15,1)=6,F15,ROUND(MAX(0,MIN(D15,OMR_OT_AT)-C15)*24,2)))</f>
        <v/>
      </c>
      <c r="H15" s="9" t="str">
        <f aca="false">IF(F15="","",ROUND(F15-G15,2))</f>
        <v/>
      </c>
      <c r="I15" s="10" t="str">
        <f aca="false">IF(F15="","",ROUND(G15*OMR_RATE+H15*OMR_OT+MIN(N(E15),G15)*(GYP_RATE-OMR_RATE)+MAX(0,MIN(N(E15),F15)-G15)*(GYP_RATE-OMR_OT),3))</f>
        <v/>
      </c>
      <c r="J15" s="34"/>
    </row>
    <row r="16" customFormat="false" ht="19.5" hidden="false" customHeight="true" outlineLevel="0" collapsed="false">
      <c r="A16" s="31"/>
      <c r="B16" s="8" t="str">
        <f aca="false">IF(A16="","",CHOOSE(WEEKDAY(A16,1),"الأحد","الاثنين","الثلاثاء","الأربعاء","الخميس","الجمعة","السبت"))</f>
        <v/>
      </c>
      <c r="C16" s="32"/>
      <c r="D16" s="32"/>
      <c r="E16" s="33"/>
      <c r="F16" s="9" t="str">
        <f aca="false">IF(OR(C16="",D16=""),"",ROUND(MOD(D16-C16,1)*24,2))</f>
        <v/>
      </c>
      <c r="G16" s="9" t="str">
        <f aca="false">IF(F16="","",IF(WEEKDAY(A16,1)=6,F16,ROUND(MAX(0,MIN(D16,OMR_OT_AT)-C16)*24,2)))</f>
        <v/>
      </c>
      <c r="H16" s="9" t="str">
        <f aca="false">IF(F16="","",ROUND(F16-G16,2))</f>
        <v/>
      </c>
      <c r="I16" s="10" t="str">
        <f aca="false">IF(F16="","",ROUND(G16*OMR_RATE+H16*OMR_OT+MIN(N(E16),G16)*(GYP_RATE-OMR_RATE)+MAX(0,MIN(N(E16),F16)-G16)*(GYP_RATE-OMR_OT),3))</f>
        <v/>
      </c>
      <c r="J16" s="34"/>
    </row>
    <row r="17" customFormat="false" ht="19.5" hidden="false" customHeight="true" outlineLevel="0" collapsed="false">
      <c r="A17" s="31"/>
      <c r="B17" s="8" t="str">
        <f aca="false">IF(A17="","",CHOOSE(WEEKDAY(A17,1),"الأحد","الاثنين","الثلاثاء","الأربعاء","الخميس","الجمعة","السبت"))</f>
        <v/>
      </c>
      <c r="C17" s="32"/>
      <c r="D17" s="32"/>
      <c r="E17" s="33"/>
      <c r="F17" s="9" t="str">
        <f aca="false">IF(OR(C17="",D17=""),"",ROUND(MOD(D17-C17,1)*24,2))</f>
        <v/>
      </c>
      <c r="G17" s="9" t="str">
        <f aca="false">IF(F17="","",IF(WEEKDAY(A17,1)=6,F17,ROUND(MAX(0,MIN(D17,OMR_OT_AT)-C17)*24,2)))</f>
        <v/>
      </c>
      <c r="H17" s="9" t="str">
        <f aca="false">IF(F17="","",ROUND(F17-G17,2))</f>
        <v/>
      </c>
      <c r="I17" s="10" t="str">
        <f aca="false">IF(F17="","",ROUND(G17*OMR_RATE+H17*OMR_OT+MIN(N(E17),G17)*(GYP_RATE-OMR_RATE)+MAX(0,MIN(N(E17),F17)-G17)*(GYP_RATE-OMR_OT),3))</f>
        <v/>
      </c>
      <c r="J17" s="34"/>
    </row>
    <row r="18" customFormat="false" ht="19.5" hidden="false" customHeight="true" outlineLevel="0" collapsed="false">
      <c r="A18" s="31"/>
      <c r="B18" s="8" t="str">
        <f aca="false">IF(A18="","",CHOOSE(WEEKDAY(A18,1),"الأحد","الاثنين","الثلاثاء","الأربعاء","الخميس","الجمعة","السبت"))</f>
        <v/>
      </c>
      <c r="C18" s="32"/>
      <c r="D18" s="32"/>
      <c r="E18" s="33"/>
      <c r="F18" s="9" t="str">
        <f aca="false">IF(OR(C18="",D18=""),"",ROUND(MOD(D18-C18,1)*24,2))</f>
        <v/>
      </c>
      <c r="G18" s="9" t="str">
        <f aca="false">IF(F18="","",IF(WEEKDAY(A18,1)=6,F18,ROUND(MAX(0,MIN(D18,OMR_OT_AT)-C18)*24,2)))</f>
        <v/>
      </c>
      <c r="H18" s="9" t="str">
        <f aca="false">IF(F18="","",ROUND(F18-G18,2))</f>
        <v/>
      </c>
      <c r="I18" s="10" t="str">
        <f aca="false">IF(F18="","",ROUND(G18*OMR_RATE+H18*OMR_OT+MIN(N(E18),G18)*(GYP_RATE-OMR_RATE)+MAX(0,MIN(N(E18),F18)-G18)*(GYP_RATE-OMR_OT),3))</f>
        <v/>
      </c>
      <c r="J18" s="34"/>
    </row>
    <row r="19" customFormat="false" ht="19.5" hidden="false" customHeight="true" outlineLevel="0" collapsed="false">
      <c r="A19" s="31"/>
      <c r="B19" s="8" t="str">
        <f aca="false">IF(A19="","",CHOOSE(WEEKDAY(A19,1),"الأحد","الاثنين","الثلاثاء","الأربعاء","الخميس","الجمعة","السبت"))</f>
        <v/>
      </c>
      <c r="C19" s="32"/>
      <c r="D19" s="32"/>
      <c r="E19" s="33"/>
      <c r="F19" s="9" t="str">
        <f aca="false">IF(OR(C19="",D19=""),"",ROUND(MOD(D19-C19,1)*24,2))</f>
        <v/>
      </c>
      <c r="G19" s="9" t="str">
        <f aca="false">IF(F19="","",IF(WEEKDAY(A19,1)=6,F19,ROUND(MAX(0,MIN(D19,OMR_OT_AT)-C19)*24,2)))</f>
        <v/>
      </c>
      <c r="H19" s="9" t="str">
        <f aca="false">IF(F19="","",ROUND(F19-G19,2))</f>
        <v/>
      </c>
      <c r="I19" s="10" t="str">
        <f aca="false">IF(F19="","",ROUND(G19*OMR_RATE+H19*OMR_OT+MIN(N(E19),G19)*(GYP_RATE-OMR_RATE)+MAX(0,MIN(N(E19),F19)-G19)*(GYP_RATE-OMR_OT),3))</f>
        <v/>
      </c>
      <c r="J19" s="34"/>
    </row>
    <row r="20" customFormat="false" ht="19.5" hidden="false" customHeight="true" outlineLevel="0" collapsed="false">
      <c r="A20" s="31"/>
      <c r="B20" s="8" t="str">
        <f aca="false">IF(A20="","",CHOOSE(WEEKDAY(A20,1),"الأحد","الاثنين","الثلاثاء","الأربعاء","الخميس","الجمعة","السبت"))</f>
        <v/>
      </c>
      <c r="C20" s="32"/>
      <c r="D20" s="32"/>
      <c r="E20" s="33"/>
      <c r="F20" s="9" t="str">
        <f aca="false">IF(OR(C20="",D20=""),"",ROUND(MOD(D20-C20,1)*24,2))</f>
        <v/>
      </c>
      <c r="G20" s="9" t="str">
        <f aca="false">IF(F20="","",IF(WEEKDAY(A20,1)=6,F20,ROUND(MAX(0,MIN(D20,OMR_OT_AT)-C20)*24,2)))</f>
        <v/>
      </c>
      <c r="H20" s="9" t="str">
        <f aca="false">IF(F20="","",ROUND(F20-G20,2))</f>
        <v/>
      </c>
      <c r="I20" s="10" t="str">
        <f aca="false">IF(F20="","",ROUND(G20*OMR_RATE+H20*OMR_OT+MIN(N(E20),G20)*(GYP_RATE-OMR_RATE)+MAX(0,MIN(N(E20),F20)-G20)*(GYP_RATE-OMR_OT),3))</f>
        <v/>
      </c>
      <c r="J20" s="34"/>
    </row>
    <row r="21" customFormat="false" ht="19.5" hidden="false" customHeight="true" outlineLevel="0" collapsed="false">
      <c r="A21" s="31"/>
      <c r="B21" s="8" t="str">
        <f aca="false">IF(A21="","",CHOOSE(WEEKDAY(A21,1),"الأحد","الاثنين","الثلاثاء","الأربعاء","الخميس","الجمعة","السبت"))</f>
        <v/>
      </c>
      <c r="C21" s="32"/>
      <c r="D21" s="32"/>
      <c r="E21" s="33"/>
      <c r="F21" s="9" t="str">
        <f aca="false">IF(OR(C21="",D21=""),"",ROUND(MOD(D21-C21,1)*24,2))</f>
        <v/>
      </c>
      <c r="G21" s="9" t="str">
        <f aca="false">IF(F21="","",IF(WEEKDAY(A21,1)=6,F21,ROUND(MAX(0,MIN(D21,OMR_OT_AT)-C21)*24,2)))</f>
        <v/>
      </c>
      <c r="H21" s="9" t="str">
        <f aca="false">IF(F21="","",ROUND(F21-G21,2))</f>
        <v/>
      </c>
      <c r="I21" s="10" t="str">
        <f aca="false">IF(F21="","",ROUND(G21*OMR_RATE+H21*OMR_OT+MIN(N(E21),G21)*(GYP_RATE-OMR_RATE)+MAX(0,MIN(N(E21),F21)-G21)*(GYP_RATE-OMR_OT),3))</f>
        <v/>
      </c>
      <c r="J21" s="34"/>
    </row>
    <row r="22" customFormat="false" ht="19.5" hidden="false" customHeight="true" outlineLevel="0" collapsed="false">
      <c r="A22" s="31"/>
      <c r="B22" s="8" t="str">
        <f aca="false">IF(A22="","",CHOOSE(WEEKDAY(A22,1),"الأحد","الاثنين","الثلاثاء","الأربعاء","الخميس","الجمعة","السبت"))</f>
        <v/>
      </c>
      <c r="C22" s="32"/>
      <c r="D22" s="32"/>
      <c r="E22" s="33"/>
      <c r="F22" s="9" t="str">
        <f aca="false">IF(OR(C22="",D22=""),"",ROUND(MOD(D22-C22,1)*24,2))</f>
        <v/>
      </c>
      <c r="G22" s="9" t="str">
        <f aca="false">IF(F22="","",IF(WEEKDAY(A22,1)=6,F22,ROUND(MAX(0,MIN(D22,OMR_OT_AT)-C22)*24,2)))</f>
        <v/>
      </c>
      <c r="H22" s="9" t="str">
        <f aca="false">IF(F22="","",ROUND(F22-G22,2))</f>
        <v/>
      </c>
      <c r="I22" s="10" t="str">
        <f aca="false">IF(F22="","",ROUND(G22*OMR_RATE+H22*OMR_OT+MIN(N(E22),G22)*(GYP_RATE-OMR_RATE)+MAX(0,MIN(N(E22),F22)-G22)*(GYP_RATE-OMR_OT),3))</f>
        <v/>
      </c>
      <c r="J22" s="34"/>
    </row>
    <row r="23" customFormat="false" ht="19.5" hidden="false" customHeight="true" outlineLevel="0" collapsed="false">
      <c r="A23" s="31"/>
      <c r="B23" s="8" t="str">
        <f aca="false">IF(A23="","",CHOOSE(WEEKDAY(A23,1),"الأحد","الاثنين","الثلاثاء","الأربعاء","الخميس","الجمعة","السبت"))</f>
        <v/>
      </c>
      <c r="C23" s="32"/>
      <c r="D23" s="32"/>
      <c r="E23" s="33"/>
      <c r="F23" s="9" t="str">
        <f aca="false">IF(OR(C23="",D23=""),"",ROUND(MOD(D23-C23,1)*24,2))</f>
        <v/>
      </c>
      <c r="G23" s="9" t="str">
        <f aca="false">IF(F23="","",IF(WEEKDAY(A23,1)=6,F23,ROUND(MAX(0,MIN(D23,OMR_OT_AT)-C23)*24,2)))</f>
        <v/>
      </c>
      <c r="H23" s="9" t="str">
        <f aca="false">IF(F23="","",ROUND(F23-G23,2))</f>
        <v/>
      </c>
      <c r="I23" s="10" t="str">
        <f aca="false">IF(F23="","",ROUND(G23*OMR_RATE+H23*OMR_OT+MIN(N(E23),G23)*(GYP_RATE-OMR_RATE)+MAX(0,MIN(N(E23),F23)-G23)*(GYP_RATE-OMR_OT),3))</f>
        <v/>
      </c>
      <c r="J23" s="34"/>
    </row>
    <row r="24" customFormat="false" ht="19.5" hidden="false" customHeight="true" outlineLevel="0" collapsed="false">
      <c r="A24" s="31"/>
      <c r="B24" s="8" t="str">
        <f aca="false">IF(A24="","",CHOOSE(WEEKDAY(A24,1),"الأحد","الاثنين","الثلاثاء","الأربعاء","الخميس","الجمعة","السبت"))</f>
        <v/>
      </c>
      <c r="C24" s="32"/>
      <c r="D24" s="32"/>
      <c r="E24" s="33"/>
      <c r="F24" s="9" t="str">
        <f aca="false">IF(OR(C24="",D24=""),"",ROUND(MOD(D24-C24,1)*24,2))</f>
        <v/>
      </c>
      <c r="G24" s="9" t="str">
        <f aca="false">IF(F24="","",IF(WEEKDAY(A24,1)=6,F24,ROUND(MAX(0,MIN(D24,OMR_OT_AT)-C24)*24,2)))</f>
        <v/>
      </c>
      <c r="H24" s="9" t="str">
        <f aca="false">IF(F24="","",ROUND(F24-G24,2))</f>
        <v/>
      </c>
      <c r="I24" s="10" t="str">
        <f aca="false">IF(F24="","",ROUND(G24*OMR_RATE+H24*OMR_OT+MIN(N(E24),G24)*(GYP_RATE-OMR_RATE)+MAX(0,MIN(N(E24),F24)-G24)*(GYP_RATE-OMR_OT),3))</f>
        <v/>
      </c>
      <c r="J24" s="34"/>
    </row>
    <row r="25" customFormat="false" ht="19.5" hidden="false" customHeight="true" outlineLevel="0" collapsed="false">
      <c r="A25" s="31"/>
      <c r="B25" s="8" t="str">
        <f aca="false">IF(A25="","",CHOOSE(WEEKDAY(A25,1),"الأحد","الاثنين","الثلاثاء","الأربعاء","الخميس","الجمعة","السبت"))</f>
        <v/>
      </c>
      <c r="C25" s="32"/>
      <c r="D25" s="32"/>
      <c r="E25" s="33"/>
      <c r="F25" s="9" t="str">
        <f aca="false">IF(OR(C25="",D25=""),"",ROUND(MOD(D25-C25,1)*24,2))</f>
        <v/>
      </c>
      <c r="G25" s="9" t="str">
        <f aca="false">IF(F25="","",IF(WEEKDAY(A25,1)=6,F25,ROUND(MAX(0,MIN(D25,OMR_OT_AT)-C25)*24,2)))</f>
        <v/>
      </c>
      <c r="H25" s="9" t="str">
        <f aca="false">IF(F25="","",ROUND(F25-G25,2))</f>
        <v/>
      </c>
      <c r="I25" s="10" t="str">
        <f aca="false">IF(F25="","",ROUND(G25*OMR_RATE+H25*OMR_OT+MIN(N(E25),G25)*(GYP_RATE-OMR_RATE)+MAX(0,MIN(N(E25),F25)-G25)*(GYP_RATE-OMR_OT),3))</f>
        <v/>
      </c>
      <c r="J25" s="34"/>
    </row>
    <row r="26" customFormat="false" ht="19.5" hidden="false" customHeight="true" outlineLevel="0" collapsed="false">
      <c r="A26" s="31"/>
      <c r="B26" s="8" t="str">
        <f aca="false">IF(A26="","",CHOOSE(WEEKDAY(A26,1),"الأحد","الاثنين","الثلاثاء","الأربعاء","الخميس","الجمعة","السبت"))</f>
        <v/>
      </c>
      <c r="C26" s="32"/>
      <c r="D26" s="32"/>
      <c r="E26" s="33"/>
      <c r="F26" s="9" t="str">
        <f aca="false">IF(OR(C26="",D26=""),"",ROUND(MOD(D26-C26,1)*24,2))</f>
        <v/>
      </c>
      <c r="G26" s="9" t="str">
        <f aca="false">IF(F26="","",IF(WEEKDAY(A26,1)=6,F26,ROUND(MAX(0,MIN(D26,OMR_OT_AT)-C26)*24,2)))</f>
        <v/>
      </c>
      <c r="H26" s="9" t="str">
        <f aca="false">IF(F26="","",ROUND(F26-G26,2))</f>
        <v/>
      </c>
      <c r="I26" s="10" t="str">
        <f aca="false">IF(F26="","",ROUND(G26*OMR_RATE+H26*OMR_OT+MIN(N(E26),G26)*(GYP_RATE-OMR_RATE)+MAX(0,MIN(N(E26),F26)-G26)*(GYP_RATE-OMR_OT),3))</f>
        <v/>
      </c>
      <c r="J26" s="34"/>
    </row>
    <row r="27" customFormat="false" ht="19.5" hidden="false" customHeight="true" outlineLevel="0" collapsed="false">
      <c r="A27" s="31"/>
      <c r="B27" s="8" t="str">
        <f aca="false">IF(A27="","",CHOOSE(WEEKDAY(A27,1),"الأحد","الاثنين","الثلاثاء","الأربعاء","الخميس","الجمعة","السبت"))</f>
        <v/>
      </c>
      <c r="C27" s="32"/>
      <c r="D27" s="32"/>
      <c r="E27" s="33"/>
      <c r="F27" s="9" t="str">
        <f aca="false">IF(OR(C27="",D27=""),"",ROUND(MOD(D27-C27,1)*24,2))</f>
        <v/>
      </c>
      <c r="G27" s="9" t="str">
        <f aca="false">IF(F27="","",IF(WEEKDAY(A27,1)=6,F27,ROUND(MAX(0,MIN(D27,OMR_OT_AT)-C27)*24,2)))</f>
        <v/>
      </c>
      <c r="H27" s="9" t="str">
        <f aca="false">IF(F27="","",ROUND(F27-G27,2))</f>
        <v/>
      </c>
      <c r="I27" s="10" t="str">
        <f aca="false">IF(F27="","",ROUND(G27*OMR_RATE+H27*OMR_OT+MIN(N(E27),G27)*(GYP_RATE-OMR_RATE)+MAX(0,MIN(N(E27),F27)-G27)*(GYP_RATE-OMR_OT),3))</f>
        <v/>
      </c>
      <c r="J27" s="34"/>
    </row>
    <row r="28" customFormat="false" ht="19.5" hidden="false" customHeight="true" outlineLevel="0" collapsed="false">
      <c r="A28" s="31"/>
      <c r="B28" s="8" t="str">
        <f aca="false">IF(A28="","",CHOOSE(WEEKDAY(A28,1),"الأحد","الاثنين","الثلاثاء","الأربعاء","الخميس","الجمعة","السبت"))</f>
        <v/>
      </c>
      <c r="C28" s="32"/>
      <c r="D28" s="32"/>
      <c r="E28" s="33"/>
      <c r="F28" s="9" t="str">
        <f aca="false">IF(OR(C28="",D28=""),"",ROUND(MOD(D28-C28,1)*24,2))</f>
        <v/>
      </c>
      <c r="G28" s="9" t="str">
        <f aca="false">IF(F28="","",IF(WEEKDAY(A28,1)=6,F28,ROUND(MAX(0,MIN(D28,OMR_OT_AT)-C28)*24,2)))</f>
        <v/>
      </c>
      <c r="H28" s="9" t="str">
        <f aca="false">IF(F28="","",ROUND(F28-G28,2))</f>
        <v/>
      </c>
      <c r="I28" s="10" t="str">
        <f aca="false">IF(F28="","",ROUND(G28*OMR_RATE+H28*OMR_OT+MIN(N(E28),G28)*(GYP_RATE-OMR_RATE)+MAX(0,MIN(N(E28),F28)-G28)*(GYP_RATE-OMR_OT),3))</f>
        <v/>
      </c>
      <c r="J28" s="34"/>
    </row>
    <row r="29" customFormat="false" ht="19.5" hidden="false" customHeight="true" outlineLevel="0" collapsed="false">
      <c r="A29" s="31"/>
      <c r="B29" s="8" t="str">
        <f aca="false">IF(A29="","",CHOOSE(WEEKDAY(A29,1),"الأحد","الاثنين","الثلاثاء","الأربعاء","الخميس","الجمعة","السبت"))</f>
        <v/>
      </c>
      <c r="C29" s="32"/>
      <c r="D29" s="32"/>
      <c r="E29" s="33"/>
      <c r="F29" s="9" t="str">
        <f aca="false">IF(OR(C29="",D29=""),"",ROUND(MOD(D29-C29,1)*24,2))</f>
        <v/>
      </c>
      <c r="G29" s="9" t="str">
        <f aca="false">IF(F29="","",IF(WEEKDAY(A29,1)=6,F29,ROUND(MAX(0,MIN(D29,OMR_OT_AT)-C29)*24,2)))</f>
        <v/>
      </c>
      <c r="H29" s="9" t="str">
        <f aca="false">IF(F29="","",ROUND(F29-G29,2))</f>
        <v/>
      </c>
      <c r="I29" s="10" t="str">
        <f aca="false">IF(F29="","",ROUND(G29*OMR_RATE+H29*OMR_OT+MIN(N(E29),G29)*(GYP_RATE-OMR_RATE)+MAX(0,MIN(N(E29),F29)-G29)*(GYP_RATE-OMR_OT),3))</f>
        <v/>
      </c>
      <c r="J29" s="34"/>
    </row>
    <row r="30" customFormat="false" ht="19.5" hidden="false" customHeight="true" outlineLevel="0" collapsed="false">
      <c r="A30" s="31"/>
      <c r="B30" s="8" t="str">
        <f aca="false">IF(A30="","",CHOOSE(WEEKDAY(A30,1),"الأحد","الاثنين","الثلاثاء","الأربعاء","الخميس","الجمعة","السبت"))</f>
        <v/>
      </c>
      <c r="C30" s="32"/>
      <c r="D30" s="32"/>
      <c r="E30" s="33"/>
      <c r="F30" s="9" t="str">
        <f aca="false">IF(OR(C30="",D30=""),"",ROUND(MOD(D30-C30,1)*24,2))</f>
        <v/>
      </c>
      <c r="G30" s="9" t="str">
        <f aca="false">IF(F30="","",IF(WEEKDAY(A30,1)=6,F30,ROUND(MAX(0,MIN(D30,OMR_OT_AT)-C30)*24,2)))</f>
        <v/>
      </c>
      <c r="H30" s="9" t="str">
        <f aca="false">IF(F30="","",ROUND(F30-G30,2))</f>
        <v/>
      </c>
      <c r="I30" s="10" t="str">
        <f aca="false">IF(F30="","",ROUND(G30*OMR_RATE+H30*OMR_OT+MIN(N(E30),G30)*(GYP_RATE-OMR_RATE)+MAX(0,MIN(N(E30),F30)-G30)*(GYP_RATE-OMR_OT),3))</f>
        <v/>
      </c>
      <c r="J30" s="34"/>
    </row>
    <row r="31" customFormat="false" ht="19.5" hidden="false" customHeight="true" outlineLevel="0" collapsed="false">
      <c r="A31" s="31"/>
      <c r="B31" s="8" t="str">
        <f aca="false">IF(A31="","",CHOOSE(WEEKDAY(A31,1),"الأحد","الاثنين","الثلاثاء","الأربعاء","الخميس","الجمعة","السبت"))</f>
        <v/>
      </c>
      <c r="C31" s="32"/>
      <c r="D31" s="32"/>
      <c r="E31" s="33"/>
      <c r="F31" s="9" t="str">
        <f aca="false">IF(OR(C31="",D31=""),"",ROUND(MOD(D31-C31,1)*24,2))</f>
        <v/>
      </c>
      <c r="G31" s="9" t="str">
        <f aca="false">IF(F31="","",IF(WEEKDAY(A31,1)=6,F31,ROUND(MAX(0,MIN(D31,OMR_OT_AT)-C31)*24,2)))</f>
        <v/>
      </c>
      <c r="H31" s="9" t="str">
        <f aca="false">IF(F31="","",ROUND(F31-G31,2))</f>
        <v/>
      </c>
      <c r="I31" s="10" t="str">
        <f aca="false">IF(F31="","",ROUND(G31*OMR_RATE+H31*OMR_OT+MIN(N(E31),G31)*(GYP_RATE-OMR_RATE)+MAX(0,MIN(N(E31),F31)-G31)*(GYP_RATE-OMR_OT),3))</f>
        <v/>
      </c>
      <c r="J31" s="34"/>
    </row>
    <row r="32" customFormat="false" ht="19.5" hidden="false" customHeight="true" outlineLevel="0" collapsed="false">
      <c r="A32" s="31"/>
      <c r="B32" s="8" t="str">
        <f aca="false">IF(A32="","",CHOOSE(WEEKDAY(A32,1),"الأحد","الاثنين","الثلاثاء","الأربعاء","الخميس","الجمعة","السبت"))</f>
        <v/>
      </c>
      <c r="C32" s="32"/>
      <c r="D32" s="32"/>
      <c r="E32" s="33"/>
      <c r="F32" s="9" t="str">
        <f aca="false">IF(OR(C32="",D32=""),"",ROUND(MOD(D32-C32,1)*24,2))</f>
        <v/>
      </c>
      <c r="G32" s="9" t="str">
        <f aca="false">IF(F32="","",IF(WEEKDAY(A32,1)=6,F32,ROUND(MAX(0,MIN(D32,OMR_OT_AT)-C32)*24,2)))</f>
        <v/>
      </c>
      <c r="H32" s="9" t="str">
        <f aca="false">IF(F32="","",ROUND(F32-G32,2))</f>
        <v/>
      </c>
      <c r="I32" s="10" t="str">
        <f aca="false">IF(F32="","",ROUND(G32*OMR_RATE+H32*OMR_OT+MIN(N(E32),G32)*(GYP_RATE-OMR_RATE)+MAX(0,MIN(N(E32),F32)-G32)*(GYP_RATE-OMR_OT),3))</f>
        <v/>
      </c>
      <c r="J32" s="34"/>
    </row>
    <row r="33" customFormat="false" ht="19.5" hidden="false" customHeight="true" outlineLevel="0" collapsed="false">
      <c r="A33" s="31"/>
      <c r="B33" s="8" t="str">
        <f aca="false">IF(A33="","",CHOOSE(WEEKDAY(A33,1),"الأحد","الاثنين","الثلاثاء","الأربعاء","الخميس","الجمعة","السبت"))</f>
        <v/>
      </c>
      <c r="C33" s="32"/>
      <c r="D33" s="32"/>
      <c r="E33" s="33"/>
      <c r="F33" s="9" t="str">
        <f aca="false">IF(OR(C33="",D33=""),"",ROUND(MOD(D33-C33,1)*24,2))</f>
        <v/>
      </c>
      <c r="G33" s="9" t="str">
        <f aca="false">IF(F33="","",IF(WEEKDAY(A33,1)=6,F33,ROUND(MAX(0,MIN(D33,OMR_OT_AT)-C33)*24,2)))</f>
        <v/>
      </c>
      <c r="H33" s="9" t="str">
        <f aca="false">IF(F33="","",ROUND(F33-G33,2))</f>
        <v/>
      </c>
      <c r="I33" s="10" t="str">
        <f aca="false">IF(F33="","",ROUND(G33*OMR_RATE+H33*OMR_OT+MIN(N(E33),G33)*(GYP_RATE-OMR_RATE)+MAX(0,MIN(N(E33),F33)-G33)*(GYP_RATE-OMR_OT),3))</f>
        <v/>
      </c>
      <c r="J33" s="34"/>
    </row>
    <row r="34" customFormat="false" ht="19.5" hidden="false" customHeight="true" outlineLevel="0" collapsed="false">
      <c r="A34" s="31"/>
      <c r="B34" s="8" t="str">
        <f aca="false">IF(A34="","",CHOOSE(WEEKDAY(A34,1),"الأحد","الاثنين","الثلاثاء","الأربعاء","الخميس","الجمعة","السبت"))</f>
        <v/>
      </c>
      <c r="C34" s="32"/>
      <c r="D34" s="32"/>
      <c r="E34" s="33"/>
      <c r="F34" s="9" t="str">
        <f aca="false">IF(OR(C34="",D34=""),"",ROUND(MOD(D34-C34,1)*24,2))</f>
        <v/>
      </c>
      <c r="G34" s="9" t="str">
        <f aca="false">IF(F34="","",IF(WEEKDAY(A34,1)=6,F34,ROUND(MAX(0,MIN(D34,OMR_OT_AT)-C34)*24,2)))</f>
        <v/>
      </c>
      <c r="H34" s="9" t="str">
        <f aca="false">IF(F34="","",ROUND(F34-G34,2))</f>
        <v/>
      </c>
      <c r="I34" s="10" t="str">
        <f aca="false">IF(F34="","",ROUND(G34*OMR_RATE+H34*OMR_OT+MIN(N(E34),G34)*(GYP_RATE-OMR_RATE)+MAX(0,MIN(N(E34),F34)-G34)*(GYP_RATE-OMR_OT),3))</f>
        <v/>
      </c>
      <c r="J34" s="34"/>
    </row>
    <row r="35" customFormat="false" ht="19.5" hidden="false" customHeight="true" outlineLevel="0" collapsed="false">
      <c r="A35" s="31"/>
      <c r="B35" s="8" t="str">
        <f aca="false">IF(A35="","",CHOOSE(WEEKDAY(A35,1),"الأحد","الاثنين","الثلاثاء","الأربعاء","الخميس","الجمعة","السبت"))</f>
        <v/>
      </c>
      <c r="C35" s="32"/>
      <c r="D35" s="32"/>
      <c r="E35" s="33"/>
      <c r="F35" s="9" t="str">
        <f aca="false">IF(OR(C35="",D35=""),"",ROUND(MOD(D35-C35,1)*24,2))</f>
        <v/>
      </c>
      <c r="G35" s="9" t="str">
        <f aca="false">IF(F35="","",IF(WEEKDAY(A35,1)=6,F35,ROUND(MAX(0,MIN(D35,OMR_OT_AT)-C35)*24,2)))</f>
        <v/>
      </c>
      <c r="H35" s="9" t="str">
        <f aca="false">IF(F35="","",ROUND(F35-G35,2))</f>
        <v/>
      </c>
      <c r="I35" s="10" t="str">
        <f aca="false">IF(F35="","",ROUND(G35*OMR_RATE+H35*OMR_OT+MIN(N(E35),G35)*(GYP_RATE-OMR_RATE)+MAX(0,MIN(N(E35),F35)-G35)*(GYP_RATE-OMR_OT),3))</f>
        <v/>
      </c>
      <c r="J35" s="34"/>
    </row>
    <row r="36" customFormat="false" ht="19.5" hidden="false" customHeight="true" outlineLevel="0" collapsed="false">
      <c r="A36" s="31"/>
      <c r="B36" s="8" t="str">
        <f aca="false">IF(A36="","",CHOOSE(WEEKDAY(A36,1),"الأحد","الاثنين","الثلاثاء","الأربعاء","الخميس","الجمعة","السبت"))</f>
        <v/>
      </c>
      <c r="C36" s="32"/>
      <c r="D36" s="32"/>
      <c r="E36" s="33"/>
      <c r="F36" s="9" t="str">
        <f aca="false">IF(OR(C36="",D36=""),"",ROUND(MOD(D36-C36,1)*24,2))</f>
        <v/>
      </c>
      <c r="G36" s="9" t="str">
        <f aca="false">IF(F36="","",IF(WEEKDAY(A36,1)=6,F36,ROUND(MAX(0,MIN(D36,OMR_OT_AT)-C36)*24,2)))</f>
        <v/>
      </c>
      <c r="H36" s="9" t="str">
        <f aca="false">IF(F36="","",ROUND(F36-G36,2))</f>
        <v/>
      </c>
      <c r="I36" s="10" t="str">
        <f aca="false">IF(F36="","",ROUND(G36*OMR_RATE+H36*OMR_OT+MIN(N(E36),G36)*(GYP_RATE-OMR_RATE)+MAX(0,MIN(N(E36),F36)-G36)*(GYP_RATE-OMR_OT),3))</f>
        <v/>
      </c>
      <c r="J36" s="34"/>
    </row>
    <row r="37" customFormat="false" ht="19.5" hidden="false" customHeight="true" outlineLevel="0" collapsed="false">
      <c r="A37" s="31"/>
      <c r="B37" s="8" t="str">
        <f aca="false">IF(A37="","",CHOOSE(WEEKDAY(A37,1),"الأحد","الاثنين","الثلاثاء","الأربعاء","الخميس","الجمعة","السبت"))</f>
        <v/>
      </c>
      <c r="C37" s="32"/>
      <c r="D37" s="32"/>
      <c r="E37" s="33"/>
      <c r="F37" s="9" t="str">
        <f aca="false">IF(OR(C37="",D37=""),"",ROUND(MOD(D37-C37,1)*24,2))</f>
        <v/>
      </c>
      <c r="G37" s="9" t="str">
        <f aca="false">IF(F37="","",IF(WEEKDAY(A37,1)=6,F37,ROUND(MAX(0,MIN(D37,OMR_OT_AT)-C37)*24,2)))</f>
        <v/>
      </c>
      <c r="H37" s="9" t="str">
        <f aca="false">IF(F37="","",ROUND(F37-G37,2))</f>
        <v/>
      </c>
      <c r="I37" s="10" t="str">
        <f aca="false">IF(F37="","",ROUND(G37*OMR_RATE+H37*OMR_OT+MIN(N(E37),G37)*(GYP_RATE-OMR_RATE)+MAX(0,MIN(N(E37),F37)-G37)*(GYP_RATE-OMR_OT),3))</f>
        <v/>
      </c>
      <c r="J37" s="34"/>
    </row>
    <row r="38" customFormat="false" ht="19.5" hidden="false" customHeight="true" outlineLevel="0" collapsed="false">
      <c r="A38" s="31"/>
      <c r="B38" s="8" t="str">
        <f aca="false">IF(A38="","",CHOOSE(WEEKDAY(A38,1),"الأحد","الاثنين","الثلاثاء","الأربعاء","الخميس","الجمعة","السبت"))</f>
        <v/>
      </c>
      <c r="C38" s="32"/>
      <c r="D38" s="32"/>
      <c r="E38" s="33"/>
      <c r="F38" s="9" t="str">
        <f aca="false">IF(OR(C38="",D38=""),"",ROUND(MOD(D38-C38,1)*24,2))</f>
        <v/>
      </c>
      <c r="G38" s="9" t="str">
        <f aca="false">IF(F38="","",IF(WEEKDAY(A38,1)=6,F38,ROUND(MAX(0,MIN(D38,OMR_OT_AT)-C38)*24,2)))</f>
        <v/>
      </c>
      <c r="H38" s="9" t="str">
        <f aca="false">IF(F38="","",ROUND(F38-G38,2))</f>
        <v/>
      </c>
      <c r="I38" s="10" t="str">
        <f aca="false">IF(F38="","",ROUND(G38*OMR_RATE+H38*OMR_OT+MIN(N(E38),G38)*(GYP_RATE-OMR_RATE)+MAX(0,MIN(N(E38),F38)-G38)*(GYP_RATE-OMR_OT),3))</f>
        <v/>
      </c>
      <c r="J38" s="34"/>
    </row>
    <row r="39" customFormat="false" ht="19.5" hidden="false" customHeight="true" outlineLevel="0" collapsed="false">
      <c r="A39" s="31"/>
      <c r="B39" s="8" t="str">
        <f aca="false">IF(A39="","",CHOOSE(WEEKDAY(A39,1),"الأحد","الاثنين","الثلاثاء","الأربعاء","الخميس","الجمعة","السبت"))</f>
        <v/>
      </c>
      <c r="C39" s="32"/>
      <c r="D39" s="32"/>
      <c r="E39" s="33"/>
      <c r="F39" s="9" t="str">
        <f aca="false">IF(OR(C39="",D39=""),"",ROUND(MOD(D39-C39,1)*24,2))</f>
        <v/>
      </c>
      <c r="G39" s="9" t="str">
        <f aca="false">IF(F39="","",IF(WEEKDAY(A39,1)=6,F39,ROUND(MAX(0,MIN(D39,OMR_OT_AT)-C39)*24,2)))</f>
        <v/>
      </c>
      <c r="H39" s="9" t="str">
        <f aca="false">IF(F39="","",ROUND(F39-G39,2))</f>
        <v/>
      </c>
      <c r="I39" s="10" t="str">
        <f aca="false">IF(F39="","",ROUND(G39*OMR_RATE+H39*OMR_OT+MIN(N(E39),G39)*(GYP_RATE-OMR_RATE)+MAX(0,MIN(N(E39),F39)-G39)*(GYP_RATE-OMR_OT),3))</f>
        <v/>
      </c>
      <c r="J39" s="34"/>
    </row>
    <row r="40" customFormat="false" ht="19.5" hidden="false" customHeight="true" outlineLevel="0" collapsed="false">
      <c r="A40" s="31"/>
      <c r="B40" s="8" t="str">
        <f aca="false">IF(A40="","",CHOOSE(WEEKDAY(A40,1),"الأحد","الاثنين","الثلاثاء","الأربعاء","الخميس","الجمعة","السبت"))</f>
        <v/>
      </c>
      <c r="C40" s="32"/>
      <c r="D40" s="32"/>
      <c r="E40" s="33"/>
      <c r="F40" s="9" t="str">
        <f aca="false">IF(OR(C40="",D40=""),"",ROUND(MOD(D40-C40,1)*24,2))</f>
        <v/>
      </c>
      <c r="G40" s="9" t="str">
        <f aca="false">IF(F40="","",IF(WEEKDAY(A40,1)=6,F40,ROUND(MAX(0,MIN(D40,OMR_OT_AT)-C40)*24,2)))</f>
        <v/>
      </c>
      <c r="H40" s="9" t="str">
        <f aca="false">IF(F40="","",ROUND(F40-G40,2))</f>
        <v/>
      </c>
      <c r="I40" s="10" t="str">
        <f aca="false">IF(F40="","",ROUND(G40*OMR_RATE+H40*OMR_OT+MIN(N(E40),G40)*(GYP_RATE-OMR_RATE)+MAX(0,MIN(N(E40),F40)-G40)*(GYP_RATE-OMR_OT),3))</f>
        <v/>
      </c>
      <c r="J40" s="34"/>
    </row>
    <row r="41" customFormat="false" ht="19.5" hidden="false" customHeight="true" outlineLevel="0" collapsed="false">
      <c r="A41" s="31"/>
      <c r="B41" s="8" t="str">
        <f aca="false">IF(A41="","",CHOOSE(WEEKDAY(A41,1),"الأحد","الاثنين","الثلاثاء","الأربعاء","الخميس","الجمعة","السبت"))</f>
        <v/>
      </c>
      <c r="C41" s="32"/>
      <c r="D41" s="32"/>
      <c r="E41" s="33"/>
      <c r="F41" s="9" t="str">
        <f aca="false">IF(OR(C41="",D41=""),"",ROUND(MOD(D41-C41,1)*24,2))</f>
        <v/>
      </c>
      <c r="G41" s="9" t="str">
        <f aca="false">IF(F41="","",IF(WEEKDAY(A41,1)=6,F41,ROUND(MAX(0,MIN(D41,OMR_OT_AT)-C41)*24,2)))</f>
        <v/>
      </c>
      <c r="H41" s="9" t="str">
        <f aca="false">IF(F41="","",ROUND(F41-G41,2))</f>
        <v/>
      </c>
      <c r="I41" s="10" t="str">
        <f aca="false">IF(F41="","",ROUND(G41*OMR_RATE+H41*OMR_OT+MIN(N(E41),G41)*(GYP_RATE-OMR_RATE)+MAX(0,MIN(N(E41),F41)-G41)*(GYP_RATE-OMR_OT),3))</f>
        <v/>
      </c>
      <c r="J41" s="34"/>
    </row>
    <row r="42" customFormat="false" ht="19.5" hidden="false" customHeight="true" outlineLevel="0" collapsed="false">
      <c r="A42" s="31"/>
      <c r="B42" s="8" t="str">
        <f aca="false">IF(A42="","",CHOOSE(WEEKDAY(A42,1),"الأحد","الاثنين","الثلاثاء","الأربعاء","الخميس","الجمعة","السبت"))</f>
        <v/>
      </c>
      <c r="C42" s="32"/>
      <c r="D42" s="32"/>
      <c r="E42" s="33"/>
      <c r="F42" s="9" t="str">
        <f aca="false">IF(OR(C42="",D42=""),"",ROUND(MOD(D42-C42,1)*24,2))</f>
        <v/>
      </c>
      <c r="G42" s="9" t="str">
        <f aca="false">IF(F42="","",IF(WEEKDAY(A42,1)=6,F42,ROUND(MAX(0,MIN(D42,OMR_OT_AT)-C42)*24,2)))</f>
        <v/>
      </c>
      <c r="H42" s="9" t="str">
        <f aca="false">IF(F42="","",ROUND(F42-G42,2))</f>
        <v/>
      </c>
      <c r="I42" s="10" t="str">
        <f aca="false">IF(F42="","",ROUND(G42*OMR_RATE+H42*OMR_OT+MIN(N(E42),G42)*(GYP_RATE-OMR_RATE)+MAX(0,MIN(N(E42),F42)-G42)*(GYP_RATE-OMR_OT),3))</f>
        <v/>
      </c>
      <c r="J42" s="34"/>
    </row>
    <row r="43" customFormat="false" ht="19.5" hidden="false" customHeight="true" outlineLevel="0" collapsed="false">
      <c r="A43" s="31"/>
      <c r="B43" s="8" t="str">
        <f aca="false">IF(A43="","",CHOOSE(WEEKDAY(A43,1),"الأحد","الاثنين","الثلاثاء","الأربعاء","الخميس","الجمعة","السبت"))</f>
        <v/>
      </c>
      <c r="C43" s="32"/>
      <c r="D43" s="32"/>
      <c r="E43" s="33"/>
      <c r="F43" s="9" t="str">
        <f aca="false">IF(OR(C43="",D43=""),"",ROUND(MOD(D43-C43,1)*24,2))</f>
        <v/>
      </c>
      <c r="G43" s="9" t="str">
        <f aca="false">IF(F43="","",IF(WEEKDAY(A43,1)=6,F43,ROUND(MAX(0,MIN(D43,OMR_OT_AT)-C43)*24,2)))</f>
        <v/>
      </c>
      <c r="H43" s="9" t="str">
        <f aca="false">IF(F43="","",ROUND(F43-G43,2))</f>
        <v/>
      </c>
      <c r="I43" s="10" t="str">
        <f aca="false">IF(F43="","",ROUND(G43*OMR_RATE+H43*OMR_OT+MIN(N(E43),G43)*(GYP_RATE-OMR_RATE)+MAX(0,MIN(N(E43),F43)-G43)*(GYP_RATE-OMR_OT),3))</f>
        <v/>
      </c>
      <c r="J43" s="34"/>
    </row>
    <row r="44" customFormat="false" ht="19.5" hidden="false" customHeight="true" outlineLevel="0" collapsed="false">
      <c r="A44" s="31"/>
      <c r="B44" s="8" t="str">
        <f aca="false">IF(A44="","",CHOOSE(WEEKDAY(A44,1),"الأحد","الاثنين","الثلاثاء","الأربعاء","الخميس","الجمعة","السبت"))</f>
        <v/>
      </c>
      <c r="C44" s="32"/>
      <c r="D44" s="32"/>
      <c r="E44" s="33"/>
      <c r="F44" s="9" t="str">
        <f aca="false">IF(OR(C44="",D44=""),"",ROUND(MOD(D44-C44,1)*24,2))</f>
        <v/>
      </c>
      <c r="G44" s="9" t="str">
        <f aca="false">IF(F44="","",IF(WEEKDAY(A44,1)=6,F44,ROUND(MAX(0,MIN(D44,OMR_OT_AT)-C44)*24,2)))</f>
        <v/>
      </c>
      <c r="H44" s="9" t="str">
        <f aca="false">IF(F44="","",ROUND(F44-G44,2))</f>
        <v/>
      </c>
      <c r="I44" s="10" t="str">
        <f aca="false">IF(F44="","",ROUND(G44*OMR_RATE+H44*OMR_OT+MIN(N(E44),G44)*(GYP_RATE-OMR_RATE)+MAX(0,MIN(N(E44),F44)-G44)*(GYP_RATE-OMR_OT),3))</f>
        <v/>
      </c>
      <c r="J44" s="34"/>
    </row>
    <row r="45" customFormat="false" ht="19.5" hidden="false" customHeight="true" outlineLevel="0" collapsed="false">
      <c r="A45" s="31"/>
      <c r="B45" s="8" t="str">
        <f aca="false">IF(A45="","",CHOOSE(WEEKDAY(A45,1),"الأحد","الاثنين","الثلاثاء","الأربعاء","الخميس","الجمعة","السبت"))</f>
        <v/>
      </c>
      <c r="C45" s="32"/>
      <c r="D45" s="32"/>
      <c r="E45" s="33"/>
      <c r="F45" s="9" t="str">
        <f aca="false">IF(OR(C45="",D45=""),"",ROUND(MOD(D45-C45,1)*24,2))</f>
        <v/>
      </c>
      <c r="G45" s="9" t="str">
        <f aca="false">IF(F45="","",IF(WEEKDAY(A45,1)=6,F45,ROUND(MAX(0,MIN(D45,OMR_OT_AT)-C45)*24,2)))</f>
        <v/>
      </c>
      <c r="H45" s="9" t="str">
        <f aca="false">IF(F45="","",ROUND(F45-G45,2))</f>
        <v/>
      </c>
      <c r="I45" s="10" t="str">
        <f aca="false">IF(F45="","",ROUND(G45*OMR_RATE+H45*OMR_OT+MIN(N(E45),G45)*(GYP_RATE-OMR_RATE)+MAX(0,MIN(N(E45),F45)-G45)*(GYP_RATE-OMR_OT),3))</f>
        <v/>
      </c>
      <c r="J45" s="34"/>
    </row>
    <row r="46" customFormat="false" ht="19.5" hidden="false" customHeight="true" outlineLevel="0" collapsed="false">
      <c r="A46" s="31"/>
      <c r="B46" s="8" t="str">
        <f aca="false">IF(A46="","",CHOOSE(WEEKDAY(A46,1),"الأحد","الاثنين","الثلاثاء","الأربعاء","الخميس","الجمعة","السبت"))</f>
        <v/>
      </c>
      <c r="C46" s="32"/>
      <c r="D46" s="32"/>
      <c r="E46" s="33"/>
      <c r="F46" s="9" t="str">
        <f aca="false">IF(OR(C46="",D46=""),"",ROUND(MOD(D46-C46,1)*24,2))</f>
        <v/>
      </c>
      <c r="G46" s="9" t="str">
        <f aca="false">IF(F46="","",IF(WEEKDAY(A46,1)=6,F46,ROUND(MAX(0,MIN(D46,OMR_OT_AT)-C46)*24,2)))</f>
        <v/>
      </c>
      <c r="H46" s="9" t="str">
        <f aca="false">IF(F46="","",ROUND(F46-G46,2))</f>
        <v/>
      </c>
      <c r="I46" s="10" t="str">
        <f aca="false">IF(F46="","",ROUND(G46*OMR_RATE+H46*OMR_OT+MIN(N(E46),G46)*(GYP_RATE-OMR_RATE)+MAX(0,MIN(N(E46),F46)-G46)*(GYP_RATE-OMR_OT),3))</f>
        <v/>
      </c>
      <c r="J46" s="34"/>
    </row>
    <row r="47" customFormat="false" ht="19.5" hidden="false" customHeight="true" outlineLevel="0" collapsed="false">
      <c r="A47" s="31"/>
      <c r="B47" s="8" t="str">
        <f aca="false">IF(A47="","",CHOOSE(WEEKDAY(A47,1),"الأحد","الاثنين","الثلاثاء","الأربعاء","الخميس","الجمعة","السبت"))</f>
        <v/>
      </c>
      <c r="C47" s="32"/>
      <c r="D47" s="32"/>
      <c r="E47" s="33"/>
      <c r="F47" s="9" t="str">
        <f aca="false">IF(OR(C47="",D47=""),"",ROUND(MOD(D47-C47,1)*24,2))</f>
        <v/>
      </c>
      <c r="G47" s="9" t="str">
        <f aca="false">IF(F47="","",IF(WEEKDAY(A47,1)=6,F47,ROUND(MAX(0,MIN(D47,OMR_OT_AT)-C47)*24,2)))</f>
        <v/>
      </c>
      <c r="H47" s="9" t="str">
        <f aca="false">IF(F47="","",ROUND(F47-G47,2))</f>
        <v/>
      </c>
      <c r="I47" s="10" t="str">
        <f aca="false">IF(F47="","",ROUND(G47*OMR_RATE+H47*OMR_OT+MIN(N(E47),G47)*(GYP_RATE-OMR_RATE)+MAX(0,MIN(N(E47),F47)-G47)*(GYP_RATE-OMR_OT),3))</f>
        <v/>
      </c>
      <c r="J47" s="34"/>
    </row>
    <row r="48" customFormat="false" ht="19.5" hidden="false" customHeight="true" outlineLevel="0" collapsed="false">
      <c r="A48" s="31"/>
      <c r="B48" s="8" t="str">
        <f aca="false">IF(A48="","",CHOOSE(WEEKDAY(A48,1),"الأحد","الاثنين","الثلاثاء","الأربعاء","الخميس","الجمعة","السبت"))</f>
        <v/>
      </c>
      <c r="C48" s="32"/>
      <c r="D48" s="32"/>
      <c r="E48" s="33"/>
      <c r="F48" s="9" t="str">
        <f aca="false">IF(OR(C48="",D48=""),"",ROUND(MOD(D48-C48,1)*24,2))</f>
        <v/>
      </c>
      <c r="G48" s="9" t="str">
        <f aca="false">IF(F48="","",IF(WEEKDAY(A48,1)=6,F48,ROUND(MAX(0,MIN(D48,OMR_OT_AT)-C48)*24,2)))</f>
        <v/>
      </c>
      <c r="H48" s="9" t="str">
        <f aca="false">IF(F48="","",ROUND(F48-G48,2))</f>
        <v/>
      </c>
      <c r="I48" s="10" t="str">
        <f aca="false">IF(F48="","",ROUND(G48*OMR_RATE+H48*OMR_OT+MIN(N(E48),G48)*(GYP_RATE-OMR_RATE)+MAX(0,MIN(N(E48),F48)-G48)*(GYP_RATE-OMR_OT),3))</f>
        <v/>
      </c>
      <c r="J48" s="34"/>
    </row>
    <row r="49" customFormat="false" ht="19.5" hidden="false" customHeight="true" outlineLevel="0" collapsed="false">
      <c r="A49" s="31"/>
      <c r="B49" s="8" t="str">
        <f aca="false">IF(A49="","",CHOOSE(WEEKDAY(A49,1),"الأحد","الاثنين","الثلاثاء","الأربعاء","الخميس","الجمعة","السبت"))</f>
        <v/>
      </c>
      <c r="C49" s="32"/>
      <c r="D49" s="32"/>
      <c r="E49" s="33"/>
      <c r="F49" s="9" t="str">
        <f aca="false">IF(OR(C49="",D49=""),"",ROUND(MOD(D49-C49,1)*24,2))</f>
        <v/>
      </c>
      <c r="G49" s="9" t="str">
        <f aca="false">IF(F49="","",IF(WEEKDAY(A49,1)=6,F49,ROUND(MAX(0,MIN(D49,OMR_OT_AT)-C49)*24,2)))</f>
        <v/>
      </c>
      <c r="H49" s="9" t="str">
        <f aca="false">IF(F49="","",ROUND(F49-G49,2))</f>
        <v/>
      </c>
      <c r="I49" s="10" t="str">
        <f aca="false">IF(F49="","",ROUND(G49*OMR_RATE+H49*OMR_OT+MIN(N(E49),G49)*(GYP_RATE-OMR_RATE)+MAX(0,MIN(N(E49),F49)-G49)*(GYP_RATE-OMR_OT),3))</f>
        <v/>
      </c>
      <c r="J49" s="34"/>
    </row>
    <row r="50" customFormat="false" ht="19.5" hidden="false" customHeight="true" outlineLevel="0" collapsed="false">
      <c r="A50" s="31"/>
      <c r="B50" s="8" t="str">
        <f aca="false">IF(A50="","",CHOOSE(WEEKDAY(A50,1),"الأحد","الاثنين","الثلاثاء","الأربعاء","الخميس","الجمعة","السبت"))</f>
        <v/>
      </c>
      <c r="C50" s="32"/>
      <c r="D50" s="32"/>
      <c r="E50" s="33"/>
      <c r="F50" s="9" t="str">
        <f aca="false">IF(OR(C50="",D50=""),"",ROUND(MOD(D50-C50,1)*24,2))</f>
        <v/>
      </c>
      <c r="G50" s="9" t="str">
        <f aca="false">IF(F50="","",IF(WEEKDAY(A50,1)=6,F50,ROUND(MAX(0,MIN(D50,OMR_OT_AT)-C50)*24,2)))</f>
        <v/>
      </c>
      <c r="H50" s="9" t="str">
        <f aca="false">IF(F50="","",ROUND(F50-G50,2))</f>
        <v/>
      </c>
      <c r="I50" s="10" t="str">
        <f aca="false">IF(F50="","",ROUND(G50*OMR_RATE+H50*OMR_OT+MIN(N(E50),G50)*(GYP_RATE-OMR_RATE)+MAX(0,MIN(N(E50),F50)-G50)*(GYP_RATE-OMR_OT),3))</f>
        <v/>
      </c>
      <c r="J50" s="34"/>
    </row>
    <row r="51" customFormat="false" ht="19.5" hidden="false" customHeight="true" outlineLevel="0" collapsed="false">
      <c r="A51" s="31"/>
      <c r="B51" s="8" t="str">
        <f aca="false">IF(A51="","",CHOOSE(WEEKDAY(A51,1),"الأحد","الاثنين","الثلاثاء","الأربعاء","الخميس","الجمعة","السبت"))</f>
        <v/>
      </c>
      <c r="C51" s="32"/>
      <c r="D51" s="32"/>
      <c r="E51" s="33"/>
      <c r="F51" s="9" t="str">
        <f aca="false">IF(OR(C51="",D51=""),"",ROUND(MOD(D51-C51,1)*24,2))</f>
        <v/>
      </c>
      <c r="G51" s="9" t="str">
        <f aca="false">IF(F51="","",IF(WEEKDAY(A51,1)=6,F51,ROUND(MAX(0,MIN(D51,OMR_OT_AT)-C51)*24,2)))</f>
        <v/>
      </c>
      <c r="H51" s="9" t="str">
        <f aca="false">IF(F51="","",ROUND(F51-G51,2))</f>
        <v/>
      </c>
      <c r="I51" s="10" t="str">
        <f aca="false">IF(F51="","",ROUND(G51*OMR_RATE+H51*OMR_OT+MIN(N(E51),G51)*(GYP_RATE-OMR_RATE)+MAX(0,MIN(N(E51),F51)-G51)*(GYP_RATE-OMR_OT),3))</f>
        <v/>
      </c>
      <c r="J51" s="34"/>
    </row>
    <row r="52" customFormat="false" ht="19.5" hidden="false" customHeight="true" outlineLevel="0" collapsed="false">
      <c r="A52" s="31"/>
      <c r="B52" s="8" t="str">
        <f aca="false">IF(A52="","",CHOOSE(WEEKDAY(A52,1),"الأحد","الاثنين","الثلاثاء","الأربعاء","الخميس","الجمعة","السبت"))</f>
        <v/>
      </c>
      <c r="C52" s="32"/>
      <c r="D52" s="32"/>
      <c r="E52" s="33"/>
      <c r="F52" s="9" t="str">
        <f aca="false">IF(OR(C52="",D52=""),"",ROUND(MOD(D52-C52,1)*24,2))</f>
        <v/>
      </c>
      <c r="G52" s="9" t="str">
        <f aca="false">IF(F52="","",IF(WEEKDAY(A52,1)=6,F52,ROUND(MAX(0,MIN(D52,OMR_OT_AT)-C52)*24,2)))</f>
        <v/>
      </c>
      <c r="H52" s="9" t="str">
        <f aca="false">IF(F52="","",ROUND(F52-G52,2))</f>
        <v/>
      </c>
      <c r="I52" s="10" t="str">
        <f aca="false">IF(F52="","",ROUND(G52*OMR_RATE+H52*OMR_OT+MIN(N(E52),G52)*(GYP_RATE-OMR_RATE)+MAX(0,MIN(N(E52),F52)-G52)*(GYP_RATE-OMR_OT),3))</f>
        <v/>
      </c>
      <c r="J52" s="34"/>
    </row>
    <row r="53" customFormat="false" ht="19.5" hidden="false" customHeight="true" outlineLevel="0" collapsed="false">
      <c r="A53" s="31"/>
      <c r="B53" s="8" t="str">
        <f aca="false">IF(A53="","",CHOOSE(WEEKDAY(A53,1),"الأحد","الاثنين","الثلاثاء","الأربعاء","الخميس","الجمعة","السبت"))</f>
        <v/>
      </c>
      <c r="C53" s="32"/>
      <c r="D53" s="32"/>
      <c r="E53" s="33"/>
      <c r="F53" s="9" t="str">
        <f aca="false">IF(OR(C53="",D53=""),"",ROUND(MOD(D53-C53,1)*24,2))</f>
        <v/>
      </c>
      <c r="G53" s="9" t="str">
        <f aca="false">IF(F53="","",IF(WEEKDAY(A53,1)=6,F53,ROUND(MAX(0,MIN(D53,OMR_OT_AT)-C53)*24,2)))</f>
        <v/>
      </c>
      <c r="H53" s="9" t="str">
        <f aca="false">IF(F53="","",ROUND(F53-G53,2))</f>
        <v/>
      </c>
      <c r="I53" s="10" t="str">
        <f aca="false">IF(F53="","",ROUND(G53*OMR_RATE+H53*OMR_OT+MIN(N(E53),G53)*(GYP_RATE-OMR_RATE)+MAX(0,MIN(N(E53),F53)-G53)*(GYP_RATE-OMR_OT),3))</f>
        <v/>
      </c>
      <c r="J53" s="34"/>
    </row>
    <row r="54" customFormat="false" ht="19.5" hidden="false" customHeight="true" outlineLevel="0" collapsed="false">
      <c r="A54" s="31"/>
      <c r="B54" s="8" t="str">
        <f aca="false">IF(A54="","",CHOOSE(WEEKDAY(A54,1),"الأحد","الاثنين","الثلاثاء","الأربعاء","الخميس","الجمعة","السبت"))</f>
        <v/>
      </c>
      <c r="C54" s="32"/>
      <c r="D54" s="32"/>
      <c r="E54" s="33"/>
      <c r="F54" s="9" t="str">
        <f aca="false">IF(OR(C54="",D54=""),"",ROUND(MOD(D54-C54,1)*24,2))</f>
        <v/>
      </c>
      <c r="G54" s="9" t="str">
        <f aca="false">IF(F54="","",IF(WEEKDAY(A54,1)=6,F54,ROUND(MAX(0,MIN(D54,OMR_OT_AT)-C54)*24,2)))</f>
        <v/>
      </c>
      <c r="H54" s="9" t="str">
        <f aca="false">IF(F54="","",ROUND(F54-G54,2))</f>
        <v/>
      </c>
      <c r="I54" s="10" t="str">
        <f aca="false">IF(F54="","",ROUND(G54*OMR_RATE+H54*OMR_OT+MIN(N(E54),G54)*(GYP_RATE-OMR_RATE)+MAX(0,MIN(N(E54),F54)-G54)*(GYP_RATE-OMR_OT),3))</f>
        <v/>
      </c>
      <c r="J54" s="34"/>
    </row>
    <row r="55" customFormat="false" ht="19.5" hidden="false" customHeight="true" outlineLevel="0" collapsed="false">
      <c r="A55" s="31"/>
      <c r="B55" s="8" t="str">
        <f aca="false">IF(A55="","",CHOOSE(WEEKDAY(A55,1),"الأحد","الاثنين","الثلاثاء","الأربعاء","الخميس","الجمعة","السبت"))</f>
        <v/>
      </c>
      <c r="C55" s="32"/>
      <c r="D55" s="32"/>
      <c r="E55" s="33"/>
      <c r="F55" s="9" t="str">
        <f aca="false">IF(OR(C55="",D55=""),"",ROUND(MOD(D55-C55,1)*24,2))</f>
        <v/>
      </c>
      <c r="G55" s="9" t="str">
        <f aca="false">IF(F55="","",IF(WEEKDAY(A55,1)=6,F55,ROUND(MAX(0,MIN(D55,OMR_OT_AT)-C55)*24,2)))</f>
        <v/>
      </c>
      <c r="H55" s="9" t="str">
        <f aca="false">IF(F55="","",ROUND(F55-G55,2))</f>
        <v/>
      </c>
      <c r="I55" s="10" t="str">
        <f aca="false">IF(F55="","",ROUND(G55*OMR_RATE+H55*OMR_OT+MIN(N(E55),G55)*(GYP_RATE-OMR_RATE)+MAX(0,MIN(N(E55),F55)-G55)*(GYP_RATE-OMR_OT),3))</f>
        <v/>
      </c>
      <c r="J55" s="34"/>
    </row>
    <row r="56" customFormat="false" ht="19.5" hidden="false" customHeight="true" outlineLevel="0" collapsed="false">
      <c r="A56" s="31"/>
      <c r="B56" s="8" t="str">
        <f aca="false">IF(A56="","",CHOOSE(WEEKDAY(A56,1),"الأحد","الاثنين","الثلاثاء","الأربعاء","الخميس","الجمعة","السبت"))</f>
        <v/>
      </c>
      <c r="C56" s="32"/>
      <c r="D56" s="32"/>
      <c r="E56" s="33"/>
      <c r="F56" s="9" t="str">
        <f aca="false">IF(OR(C56="",D56=""),"",ROUND(MOD(D56-C56,1)*24,2))</f>
        <v/>
      </c>
      <c r="G56" s="9" t="str">
        <f aca="false">IF(F56="","",IF(WEEKDAY(A56,1)=6,F56,ROUND(MAX(0,MIN(D56,OMR_OT_AT)-C56)*24,2)))</f>
        <v/>
      </c>
      <c r="H56" s="9" t="str">
        <f aca="false">IF(F56="","",ROUND(F56-G56,2))</f>
        <v/>
      </c>
      <c r="I56" s="10" t="str">
        <f aca="false">IF(F56="","",ROUND(G56*OMR_RATE+H56*OMR_OT+MIN(N(E56),G56)*(GYP_RATE-OMR_RATE)+MAX(0,MIN(N(E56),F56)-G56)*(GYP_RATE-OMR_OT),3))</f>
        <v/>
      </c>
      <c r="J56" s="34"/>
    </row>
    <row r="57" customFormat="false" ht="19.5" hidden="false" customHeight="true" outlineLevel="0" collapsed="false">
      <c r="A57" s="31"/>
      <c r="B57" s="8" t="str">
        <f aca="false">IF(A57="","",CHOOSE(WEEKDAY(A57,1),"الأحد","الاثنين","الثلاثاء","الأربعاء","الخميس","الجمعة","السبت"))</f>
        <v/>
      </c>
      <c r="C57" s="32"/>
      <c r="D57" s="32"/>
      <c r="E57" s="33"/>
      <c r="F57" s="9" t="str">
        <f aca="false">IF(OR(C57="",D57=""),"",ROUND(MOD(D57-C57,1)*24,2))</f>
        <v/>
      </c>
      <c r="G57" s="9" t="str">
        <f aca="false">IF(F57="","",IF(WEEKDAY(A57,1)=6,F57,ROUND(MAX(0,MIN(D57,OMR_OT_AT)-C57)*24,2)))</f>
        <v/>
      </c>
      <c r="H57" s="9" t="str">
        <f aca="false">IF(F57="","",ROUND(F57-G57,2))</f>
        <v/>
      </c>
      <c r="I57" s="10" t="str">
        <f aca="false">IF(F57="","",ROUND(G57*OMR_RATE+H57*OMR_OT+MIN(N(E57),G57)*(GYP_RATE-OMR_RATE)+MAX(0,MIN(N(E57),F57)-G57)*(GYP_RATE-OMR_OT),3))</f>
        <v/>
      </c>
      <c r="J57" s="34"/>
    </row>
    <row r="58" customFormat="false" ht="19.5" hidden="false" customHeight="true" outlineLevel="0" collapsed="false">
      <c r="A58" s="31"/>
      <c r="B58" s="8" t="str">
        <f aca="false">IF(A58="","",CHOOSE(WEEKDAY(A58,1),"الأحد","الاثنين","الثلاثاء","الأربعاء","الخميس","الجمعة","السبت"))</f>
        <v/>
      </c>
      <c r="C58" s="32"/>
      <c r="D58" s="32"/>
      <c r="E58" s="33"/>
      <c r="F58" s="9" t="str">
        <f aca="false">IF(OR(C58="",D58=""),"",ROUND(MOD(D58-C58,1)*24,2))</f>
        <v/>
      </c>
      <c r="G58" s="9" t="str">
        <f aca="false">IF(F58="","",IF(WEEKDAY(A58,1)=6,F58,ROUND(MAX(0,MIN(D58,OMR_OT_AT)-C58)*24,2)))</f>
        <v/>
      </c>
      <c r="H58" s="9" t="str">
        <f aca="false">IF(F58="","",ROUND(F58-G58,2))</f>
        <v/>
      </c>
      <c r="I58" s="10" t="str">
        <f aca="false">IF(F58="","",ROUND(G58*OMR_RATE+H58*OMR_OT+MIN(N(E58),G58)*(GYP_RATE-OMR_RATE)+MAX(0,MIN(N(E58),F58)-G58)*(GYP_RATE-OMR_OT),3))</f>
        <v/>
      </c>
      <c r="J58" s="34"/>
    </row>
    <row r="59" customFormat="false" ht="19.5" hidden="false" customHeight="true" outlineLevel="0" collapsed="false">
      <c r="A59" s="31"/>
      <c r="B59" s="8" t="str">
        <f aca="false">IF(A59="","",CHOOSE(WEEKDAY(A59,1),"الأحد","الاثنين","الثلاثاء","الأربعاء","الخميس","الجمعة","السبت"))</f>
        <v/>
      </c>
      <c r="C59" s="32"/>
      <c r="D59" s="32"/>
      <c r="E59" s="33"/>
      <c r="F59" s="9" t="str">
        <f aca="false">IF(OR(C59="",D59=""),"",ROUND(MOD(D59-C59,1)*24,2))</f>
        <v/>
      </c>
      <c r="G59" s="9" t="str">
        <f aca="false">IF(F59="","",IF(WEEKDAY(A59,1)=6,F59,ROUND(MAX(0,MIN(D59,OMR_OT_AT)-C59)*24,2)))</f>
        <v/>
      </c>
      <c r="H59" s="9" t="str">
        <f aca="false">IF(F59="","",ROUND(F59-G59,2))</f>
        <v/>
      </c>
      <c r="I59" s="10" t="str">
        <f aca="false">IF(F59="","",ROUND(G59*OMR_RATE+H59*OMR_OT+MIN(N(E59),G59)*(GYP_RATE-OMR_RATE)+MAX(0,MIN(N(E59),F59)-G59)*(GYP_RATE-OMR_OT),3))</f>
        <v/>
      </c>
      <c r="J59" s="34"/>
    </row>
    <row r="60" customFormat="false" ht="19.5" hidden="false" customHeight="true" outlineLevel="0" collapsed="false">
      <c r="A60" s="31"/>
      <c r="B60" s="8" t="str">
        <f aca="false">IF(A60="","",CHOOSE(WEEKDAY(A60,1),"الأحد","الاثنين","الثلاثاء","الأربعاء","الخميس","الجمعة","السبت"))</f>
        <v/>
      </c>
      <c r="C60" s="32"/>
      <c r="D60" s="32"/>
      <c r="E60" s="33"/>
      <c r="F60" s="9" t="str">
        <f aca="false">IF(OR(C60="",D60=""),"",ROUND(MOD(D60-C60,1)*24,2))</f>
        <v/>
      </c>
      <c r="G60" s="9" t="str">
        <f aca="false">IF(F60="","",IF(WEEKDAY(A60,1)=6,F60,ROUND(MAX(0,MIN(D60,OMR_OT_AT)-C60)*24,2)))</f>
        <v/>
      </c>
      <c r="H60" s="9" t="str">
        <f aca="false">IF(F60="","",ROUND(F60-G60,2))</f>
        <v/>
      </c>
      <c r="I60" s="10" t="str">
        <f aca="false">IF(F60="","",ROUND(G60*OMR_RATE+H60*OMR_OT+MIN(N(E60),G60)*(GYP_RATE-OMR_RATE)+MAX(0,MIN(N(E60),F60)-G60)*(GYP_RATE-OMR_OT),3))</f>
        <v/>
      </c>
      <c r="J60" s="34"/>
    </row>
    <row r="61" customFormat="false" ht="19.5" hidden="false" customHeight="true" outlineLevel="0" collapsed="false">
      <c r="A61" s="31"/>
      <c r="B61" s="8" t="str">
        <f aca="false">IF(A61="","",CHOOSE(WEEKDAY(A61,1),"الأحد","الاثنين","الثلاثاء","الأربعاء","الخميس","الجمعة","السبت"))</f>
        <v/>
      </c>
      <c r="C61" s="32"/>
      <c r="D61" s="32"/>
      <c r="E61" s="33"/>
      <c r="F61" s="9" t="str">
        <f aca="false">IF(OR(C61="",D61=""),"",ROUND(MOD(D61-C61,1)*24,2))</f>
        <v/>
      </c>
      <c r="G61" s="9" t="str">
        <f aca="false">IF(F61="","",IF(WEEKDAY(A61,1)=6,F61,ROUND(MAX(0,MIN(D61,OMR_OT_AT)-C61)*24,2)))</f>
        <v/>
      </c>
      <c r="H61" s="9" t="str">
        <f aca="false">IF(F61="","",ROUND(F61-G61,2))</f>
        <v/>
      </c>
      <c r="I61" s="10" t="str">
        <f aca="false">IF(F61="","",ROUND(G61*OMR_RATE+H61*OMR_OT+MIN(N(E61),G61)*(GYP_RATE-OMR_RATE)+MAX(0,MIN(N(E61),F61)-G61)*(GYP_RATE-OMR_OT),3))</f>
        <v/>
      </c>
      <c r="J61" s="34"/>
    </row>
    <row r="62" customFormat="false" ht="19.5" hidden="false" customHeight="true" outlineLevel="0" collapsed="false">
      <c r="A62" s="31"/>
      <c r="B62" s="8" t="str">
        <f aca="false">IF(A62="","",CHOOSE(WEEKDAY(A62,1),"الأحد","الاثنين","الثلاثاء","الأربعاء","الخميس","الجمعة","السبت"))</f>
        <v/>
      </c>
      <c r="C62" s="32"/>
      <c r="D62" s="32"/>
      <c r="E62" s="33"/>
      <c r="F62" s="9" t="str">
        <f aca="false">IF(OR(C62="",D62=""),"",ROUND(MOD(D62-C62,1)*24,2))</f>
        <v/>
      </c>
      <c r="G62" s="9" t="str">
        <f aca="false">IF(F62="","",IF(WEEKDAY(A62,1)=6,F62,ROUND(MAX(0,MIN(D62,OMR_OT_AT)-C62)*24,2)))</f>
        <v/>
      </c>
      <c r="H62" s="9" t="str">
        <f aca="false">IF(F62="","",ROUND(F62-G62,2))</f>
        <v/>
      </c>
      <c r="I62" s="10" t="str">
        <f aca="false">IF(F62="","",ROUND(G62*OMR_RATE+H62*OMR_OT+MIN(N(E62),G62)*(GYP_RATE-OMR_RATE)+MAX(0,MIN(N(E62),F62)-G62)*(GYP_RATE-OMR_OT),3))</f>
        <v/>
      </c>
      <c r="J62" s="34"/>
    </row>
    <row r="63" customFormat="false" ht="19.5" hidden="false" customHeight="true" outlineLevel="0" collapsed="false">
      <c r="A63" s="31"/>
      <c r="B63" s="8" t="str">
        <f aca="false">IF(A63="","",CHOOSE(WEEKDAY(A63,1),"الأحد","الاثنين","الثلاثاء","الأربعاء","الخميس","الجمعة","السبت"))</f>
        <v/>
      </c>
      <c r="C63" s="32"/>
      <c r="D63" s="32"/>
      <c r="E63" s="33"/>
      <c r="F63" s="9" t="str">
        <f aca="false">IF(OR(C63="",D63=""),"",ROUND(MOD(D63-C63,1)*24,2))</f>
        <v/>
      </c>
      <c r="G63" s="9" t="str">
        <f aca="false">IF(F63="","",IF(WEEKDAY(A63,1)=6,F63,ROUND(MAX(0,MIN(D63,OMR_OT_AT)-C63)*24,2)))</f>
        <v/>
      </c>
      <c r="H63" s="9" t="str">
        <f aca="false">IF(F63="","",ROUND(F63-G63,2))</f>
        <v/>
      </c>
      <c r="I63" s="10" t="str">
        <f aca="false">IF(F63="","",ROUND(G63*OMR_RATE+H63*OMR_OT+MIN(N(E63),G63)*(GYP_RATE-OMR_RATE)+MAX(0,MIN(N(E63),F63)-G63)*(GYP_RATE-OMR_OT),3))</f>
        <v/>
      </c>
      <c r="J63" s="34"/>
    </row>
    <row r="64" customFormat="false" ht="19.5" hidden="false" customHeight="true" outlineLevel="0" collapsed="false">
      <c r="A64" s="31"/>
      <c r="B64" s="8" t="str">
        <f aca="false">IF(A64="","",CHOOSE(WEEKDAY(A64,1),"الأحد","الاثنين","الثلاثاء","الأربعاء","الخميس","الجمعة","السبت"))</f>
        <v/>
      </c>
      <c r="C64" s="32"/>
      <c r="D64" s="32"/>
      <c r="E64" s="33"/>
      <c r="F64" s="9" t="str">
        <f aca="false">IF(OR(C64="",D64=""),"",ROUND(MOD(D64-C64,1)*24,2))</f>
        <v/>
      </c>
      <c r="G64" s="9" t="str">
        <f aca="false">IF(F64="","",IF(WEEKDAY(A64,1)=6,F64,ROUND(MAX(0,MIN(D64,OMR_OT_AT)-C64)*24,2)))</f>
        <v/>
      </c>
      <c r="H64" s="9" t="str">
        <f aca="false">IF(F64="","",ROUND(F64-G64,2))</f>
        <v/>
      </c>
      <c r="I64" s="10" t="str">
        <f aca="false">IF(F64="","",ROUND(G64*OMR_RATE+H64*OMR_OT+MIN(N(E64),G64)*(GYP_RATE-OMR_RATE)+MAX(0,MIN(N(E64),F64)-G64)*(GYP_RATE-OMR_OT),3))</f>
        <v/>
      </c>
      <c r="J64" s="34"/>
    </row>
    <row r="65" customFormat="false" ht="19.5" hidden="false" customHeight="true" outlineLevel="0" collapsed="false">
      <c r="A65" s="31"/>
      <c r="B65" s="8" t="str">
        <f aca="false">IF(A65="","",CHOOSE(WEEKDAY(A65,1),"الأحد","الاثنين","الثلاثاء","الأربعاء","الخميس","الجمعة","السبت"))</f>
        <v/>
      </c>
      <c r="C65" s="32"/>
      <c r="D65" s="32"/>
      <c r="E65" s="33"/>
      <c r="F65" s="9" t="str">
        <f aca="false">IF(OR(C65="",D65=""),"",ROUND(MOD(D65-C65,1)*24,2))</f>
        <v/>
      </c>
      <c r="G65" s="9" t="str">
        <f aca="false">IF(F65="","",IF(WEEKDAY(A65,1)=6,F65,ROUND(MAX(0,MIN(D65,OMR_OT_AT)-C65)*24,2)))</f>
        <v/>
      </c>
      <c r="H65" s="9" t="str">
        <f aca="false">IF(F65="","",ROUND(F65-G65,2))</f>
        <v/>
      </c>
      <c r="I65" s="10" t="str">
        <f aca="false">IF(F65="","",ROUND(G65*OMR_RATE+H65*OMR_OT+MIN(N(E65),G65)*(GYP_RATE-OMR_RATE)+MAX(0,MIN(N(E65),F65)-G65)*(GYP_RATE-OMR_OT),3))</f>
        <v/>
      </c>
      <c r="J65" s="34"/>
    </row>
    <row r="66" customFormat="false" ht="19.5" hidden="false" customHeight="true" outlineLevel="0" collapsed="false">
      <c r="A66" s="31"/>
      <c r="B66" s="8" t="str">
        <f aca="false">IF(A66="","",CHOOSE(WEEKDAY(A66,1),"الأحد","الاثنين","الثلاثاء","الأربعاء","الخميس","الجمعة","السبت"))</f>
        <v/>
      </c>
      <c r="C66" s="32"/>
      <c r="D66" s="32"/>
      <c r="E66" s="33"/>
      <c r="F66" s="9" t="str">
        <f aca="false">IF(OR(C66="",D66=""),"",ROUND(MOD(D66-C66,1)*24,2))</f>
        <v/>
      </c>
      <c r="G66" s="9" t="str">
        <f aca="false">IF(F66="","",IF(WEEKDAY(A66,1)=6,F66,ROUND(MAX(0,MIN(D66,OMR_OT_AT)-C66)*24,2)))</f>
        <v/>
      </c>
      <c r="H66" s="9" t="str">
        <f aca="false">IF(F66="","",ROUND(F66-G66,2))</f>
        <v/>
      </c>
      <c r="I66" s="10" t="str">
        <f aca="false">IF(F66="","",ROUND(G66*OMR_RATE+H66*OMR_OT+MIN(N(E66),G66)*(GYP_RATE-OMR_RATE)+MAX(0,MIN(N(E66),F66)-G66)*(GYP_RATE-OMR_OT),3))</f>
        <v/>
      </c>
      <c r="J66" s="34"/>
    </row>
    <row r="67" customFormat="false" ht="19.5" hidden="false" customHeight="true" outlineLevel="0" collapsed="false">
      <c r="A67" s="31"/>
      <c r="B67" s="8" t="str">
        <f aca="false">IF(A67="","",CHOOSE(WEEKDAY(A67,1),"الأحد","الاثنين","الثلاثاء","الأربعاء","الخميس","الجمعة","السبت"))</f>
        <v/>
      </c>
      <c r="C67" s="32"/>
      <c r="D67" s="32"/>
      <c r="E67" s="33"/>
      <c r="F67" s="9" t="str">
        <f aca="false">IF(OR(C67="",D67=""),"",ROUND(MOD(D67-C67,1)*24,2))</f>
        <v/>
      </c>
      <c r="G67" s="9" t="str">
        <f aca="false">IF(F67="","",IF(WEEKDAY(A67,1)=6,F67,ROUND(MAX(0,MIN(D67,OMR_OT_AT)-C67)*24,2)))</f>
        <v/>
      </c>
      <c r="H67" s="9" t="str">
        <f aca="false">IF(F67="","",ROUND(F67-G67,2))</f>
        <v/>
      </c>
      <c r="I67" s="10" t="str">
        <f aca="false">IF(F67="","",ROUND(G67*OMR_RATE+H67*OMR_OT+MIN(N(E67),G67)*(GYP_RATE-OMR_RATE)+MAX(0,MIN(N(E67),F67)-G67)*(GYP_RATE-OMR_OT),3))</f>
        <v/>
      </c>
      <c r="J67" s="34"/>
    </row>
    <row r="68" customFormat="false" ht="19.5" hidden="false" customHeight="true" outlineLevel="0" collapsed="false">
      <c r="A68" s="31"/>
      <c r="B68" s="8" t="str">
        <f aca="false">IF(A68="","",CHOOSE(WEEKDAY(A68,1),"الأحد","الاثنين","الثلاثاء","الأربعاء","الخميس","الجمعة","السبت"))</f>
        <v/>
      </c>
      <c r="C68" s="32"/>
      <c r="D68" s="32"/>
      <c r="E68" s="33"/>
      <c r="F68" s="9" t="str">
        <f aca="false">IF(OR(C68="",D68=""),"",ROUND(MOD(D68-C68,1)*24,2))</f>
        <v/>
      </c>
      <c r="G68" s="9" t="str">
        <f aca="false">IF(F68="","",IF(WEEKDAY(A68,1)=6,F68,ROUND(MAX(0,MIN(D68,OMR_OT_AT)-C68)*24,2)))</f>
        <v/>
      </c>
      <c r="H68" s="9" t="str">
        <f aca="false">IF(F68="","",ROUND(F68-G68,2))</f>
        <v/>
      </c>
      <c r="I68" s="10" t="str">
        <f aca="false">IF(F68="","",ROUND(G68*OMR_RATE+H68*OMR_OT+MIN(N(E68),G68)*(GYP_RATE-OMR_RATE)+MAX(0,MIN(N(E68),F68)-G68)*(GYP_RATE-OMR_OT),3))</f>
        <v/>
      </c>
      <c r="J68" s="34"/>
    </row>
    <row r="69" customFormat="false" ht="19.5" hidden="false" customHeight="true" outlineLevel="0" collapsed="false">
      <c r="A69" s="31"/>
      <c r="B69" s="8" t="str">
        <f aca="false">IF(A69="","",CHOOSE(WEEKDAY(A69,1),"الأحد","الاثنين","الثلاثاء","الأربعاء","الخميس","الجمعة","السبت"))</f>
        <v/>
      </c>
      <c r="C69" s="32"/>
      <c r="D69" s="32"/>
      <c r="E69" s="33"/>
      <c r="F69" s="9" t="str">
        <f aca="false">IF(OR(C69="",D69=""),"",ROUND(MOD(D69-C69,1)*24,2))</f>
        <v/>
      </c>
      <c r="G69" s="9" t="str">
        <f aca="false">IF(F69="","",IF(WEEKDAY(A69,1)=6,F69,ROUND(MAX(0,MIN(D69,OMR_OT_AT)-C69)*24,2)))</f>
        <v/>
      </c>
      <c r="H69" s="9" t="str">
        <f aca="false">IF(F69="","",ROUND(F69-G69,2))</f>
        <v/>
      </c>
      <c r="I69" s="10" t="str">
        <f aca="false">IF(F69="","",ROUND(G69*OMR_RATE+H69*OMR_OT+MIN(N(E69),G69)*(GYP_RATE-OMR_RATE)+MAX(0,MIN(N(E69),F69)-G69)*(GYP_RATE-OMR_OT),3))</f>
        <v/>
      </c>
      <c r="J69" s="34"/>
    </row>
    <row r="70" customFormat="false" ht="19.5" hidden="false" customHeight="true" outlineLevel="0" collapsed="false">
      <c r="A70" s="31"/>
      <c r="B70" s="8" t="str">
        <f aca="false">IF(A70="","",CHOOSE(WEEKDAY(A70,1),"الأحد","الاثنين","الثلاثاء","الأربعاء","الخميس","الجمعة","السبت"))</f>
        <v/>
      </c>
      <c r="C70" s="32"/>
      <c r="D70" s="32"/>
      <c r="E70" s="33"/>
      <c r="F70" s="9" t="str">
        <f aca="false">IF(OR(C70="",D70=""),"",ROUND(MOD(D70-C70,1)*24,2))</f>
        <v/>
      </c>
      <c r="G70" s="9" t="str">
        <f aca="false">IF(F70="","",IF(WEEKDAY(A70,1)=6,F70,ROUND(MAX(0,MIN(D70,OMR_OT_AT)-C70)*24,2)))</f>
        <v/>
      </c>
      <c r="H70" s="9" t="str">
        <f aca="false">IF(F70="","",ROUND(F70-G70,2))</f>
        <v/>
      </c>
      <c r="I70" s="10" t="str">
        <f aca="false">IF(F70="","",ROUND(G70*OMR_RATE+H70*OMR_OT+MIN(N(E70),G70)*(GYP_RATE-OMR_RATE)+MAX(0,MIN(N(E70),F70)-G70)*(GYP_RATE-OMR_OT),3))</f>
        <v/>
      </c>
      <c r="J70" s="34"/>
    </row>
    <row r="71" customFormat="false" ht="19.5" hidden="false" customHeight="true" outlineLevel="0" collapsed="false">
      <c r="A71" s="31"/>
      <c r="B71" s="8" t="str">
        <f aca="false">IF(A71="","",CHOOSE(WEEKDAY(A71,1),"الأحد","الاثنين","الثلاثاء","الأربعاء","الخميس","الجمعة","السبت"))</f>
        <v/>
      </c>
      <c r="C71" s="32"/>
      <c r="D71" s="32"/>
      <c r="E71" s="33"/>
      <c r="F71" s="9" t="str">
        <f aca="false">IF(OR(C71="",D71=""),"",ROUND(MOD(D71-C71,1)*24,2))</f>
        <v/>
      </c>
      <c r="G71" s="9" t="str">
        <f aca="false">IF(F71="","",IF(WEEKDAY(A71,1)=6,F71,ROUND(MAX(0,MIN(D71,OMR_OT_AT)-C71)*24,2)))</f>
        <v/>
      </c>
      <c r="H71" s="9" t="str">
        <f aca="false">IF(F71="","",ROUND(F71-G71,2))</f>
        <v/>
      </c>
      <c r="I71" s="10" t="str">
        <f aca="false">IF(F71="","",ROUND(G71*OMR_RATE+H71*OMR_OT+MIN(N(E71),G71)*(GYP_RATE-OMR_RATE)+MAX(0,MIN(N(E71),F71)-G71)*(GYP_RATE-OMR_OT),3))</f>
        <v/>
      </c>
      <c r="J71" s="34"/>
    </row>
    <row r="72" customFormat="false" ht="19.5" hidden="false" customHeight="true" outlineLevel="0" collapsed="false">
      <c r="A72" s="31"/>
      <c r="B72" s="8" t="str">
        <f aca="false">IF(A72="","",CHOOSE(WEEKDAY(A72,1),"الأحد","الاثنين","الثلاثاء","الأربعاء","الخميس","الجمعة","السبت"))</f>
        <v/>
      </c>
      <c r="C72" s="32"/>
      <c r="D72" s="32"/>
      <c r="E72" s="33"/>
      <c r="F72" s="9" t="str">
        <f aca="false">IF(OR(C72="",D72=""),"",ROUND(MOD(D72-C72,1)*24,2))</f>
        <v/>
      </c>
      <c r="G72" s="9" t="str">
        <f aca="false">IF(F72="","",IF(WEEKDAY(A72,1)=6,F72,ROUND(MAX(0,MIN(D72,OMR_OT_AT)-C72)*24,2)))</f>
        <v/>
      </c>
      <c r="H72" s="9" t="str">
        <f aca="false">IF(F72="","",ROUND(F72-G72,2))</f>
        <v/>
      </c>
      <c r="I72" s="10" t="str">
        <f aca="false">IF(F72="","",ROUND(G72*OMR_RATE+H72*OMR_OT+MIN(N(E72),G72)*(GYP_RATE-OMR_RATE)+MAX(0,MIN(N(E72),F72)-G72)*(GYP_RATE-OMR_OT),3))</f>
        <v/>
      </c>
      <c r="J72" s="34"/>
    </row>
    <row r="73" customFormat="false" ht="19.5" hidden="false" customHeight="true" outlineLevel="0" collapsed="false">
      <c r="A73" s="31"/>
      <c r="B73" s="8" t="str">
        <f aca="false">IF(A73="","",CHOOSE(WEEKDAY(A73,1),"الأحد","الاثنين","الثلاثاء","الأربعاء","الخميس","الجمعة","السبت"))</f>
        <v/>
      </c>
      <c r="C73" s="32"/>
      <c r="D73" s="32"/>
      <c r="E73" s="33"/>
      <c r="F73" s="9" t="str">
        <f aca="false">IF(OR(C73="",D73=""),"",ROUND(MOD(D73-C73,1)*24,2))</f>
        <v/>
      </c>
      <c r="G73" s="9" t="str">
        <f aca="false">IF(F73="","",IF(WEEKDAY(A73,1)=6,F73,ROUND(MAX(0,MIN(D73,OMR_OT_AT)-C73)*24,2)))</f>
        <v/>
      </c>
      <c r="H73" s="9" t="str">
        <f aca="false">IF(F73="","",ROUND(F73-G73,2))</f>
        <v/>
      </c>
      <c r="I73" s="10" t="str">
        <f aca="false">IF(F73="","",ROUND(G73*OMR_RATE+H73*OMR_OT+MIN(N(E73),G73)*(GYP_RATE-OMR_RATE)+MAX(0,MIN(N(E73),F73)-G73)*(GYP_RATE-OMR_OT),3))</f>
        <v/>
      </c>
      <c r="J73" s="34"/>
    </row>
    <row r="74" customFormat="false" ht="19.5" hidden="false" customHeight="true" outlineLevel="0" collapsed="false">
      <c r="A74" s="31"/>
      <c r="B74" s="8" t="str">
        <f aca="false">IF(A74="","",CHOOSE(WEEKDAY(A74,1),"الأحد","الاثنين","الثلاثاء","الأربعاء","الخميس","الجمعة","السبت"))</f>
        <v/>
      </c>
      <c r="C74" s="32"/>
      <c r="D74" s="32"/>
      <c r="E74" s="33"/>
      <c r="F74" s="9" t="str">
        <f aca="false">IF(OR(C74="",D74=""),"",ROUND(MOD(D74-C74,1)*24,2))</f>
        <v/>
      </c>
      <c r="G74" s="9" t="str">
        <f aca="false">IF(F74="","",IF(WEEKDAY(A74,1)=6,F74,ROUND(MAX(0,MIN(D74,OMR_OT_AT)-C74)*24,2)))</f>
        <v/>
      </c>
      <c r="H74" s="9" t="str">
        <f aca="false">IF(F74="","",ROUND(F74-G74,2))</f>
        <v/>
      </c>
      <c r="I74" s="10" t="str">
        <f aca="false">IF(F74="","",ROUND(G74*OMR_RATE+H74*OMR_OT+MIN(N(E74),G74)*(GYP_RATE-OMR_RATE)+MAX(0,MIN(N(E74),F74)-G74)*(GYP_RATE-OMR_OT),3))</f>
        <v/>
      </c>
      <c r="J74" s="34"/>
    </row>
    <row r="75" customFormat="false" ht="19.5" hidden="false" customHeight="true" outlineLevel="0" collapsed="false">
      <c r="A75" s="31"/>
      <c r="B75" s="8" t="str">
        <f aca="false">IF(A75="","",CHOOSE(WEEKDAY(A75,1),"الأحد","الاثنين","الثلاثاء","الأربعاء","الخميس","الجمعة","السبت"))</f>
        <v/>
      </c>
      <c r="C75" s="32"/>
      <c r="D75" s="32"/>
      <c r="E75" s="33"/>
      <c r="F75" s="9" t="str">
        <f aca="false">IF(OR(C75="",D75=""),"",ROUND(MOD(D75-C75,1)*24,2))</f>
        <v/>
      </c>
      <c r="G75" s="9" t="str">
        <f aca="false">IF(F75="","",IF(WEEKDAY(A75,1)=6,F75,ROUND(MAX(0,MIN(D75,OMR_OT_AT)-C75)*24,2)))</f>
        <v/>
      </c>
      <c r="H75" s="9" t="str">
        <f aca="false">IF(F75="","",ROUND(F75-G75,2))</f>
        <v/>
      </c>
      <c r="I75" s="10" t="str">
        <f aca="false">IF(F75="","",ROUND(G75*OMR_RATE+H75*OMR_OT+MIN(N(E75),G75)*(GYP_RATE-OMR_RATE)+MAX(0,MIN(N(E75),F75)-G75)*(GYP_RATE-OMR_OT),3))</f>
        <v/>
      </c>
      <c r="J75" s="34"/>
    </row>
    <row r="76" customFormat="false" ht="19.5" hidden="false" customHeight="true" outlineLevel="0" collapsed="false">
      <c r="A76" s="31"/>
      <c r="B76" s="8" t="str">
        <f aca="false">IF(A76="","",CHOOSE(WEEKDAY(A76,1),"الأحد","الاثنين","الثلاثاء","الأربعاء","الخميس","الجمعة","السبت"))</f>
        <v/>
      </c>
      <c r="C76" s="32"/>
      <c r="D76" s="32"/>
      <c r="E76" s="33"/>
      <c r="F76" s="9" t="str">
        <f aca="false">IF(OR(C76="",D76=""),"",ROUND(MOD(D76-C76,1)*24,2))</f>
        <v/>
      </c>
      <c r="G76" s="9" t="str">
        <f aca="false">IF(F76="","",IF(WEEKDAY(A76,1)=6,F76,ROUND(MAX(0,MIN(D76,OMR_OT_AT)-C76)*24,2)))</f>
        <v/>
      </c>
      <c r="H76" s="9" t="str">
        <f aca="false">IF(F76="","",ROUND(F76-G76,2))</f>
        <v/>
      </c>
      <c r="I76" s="10" t="str">
        <f aca="false">IF(F76="","",ROUND(G76*OMR_RATE+H76*OMR_OT+MIN(N(E76),G76)*(GYP_RATE-OMR_RATE)+MAX(0,MIN(N(E76),F76)-G76)*(GYP_RATE-OMR_OT),3))</f>
        <v/>
      </c>
      <c r="J76" s="34"/>
    </row>
    <row r="77" customFormat="false" ht="19.5" hidden="false" customHeight="true" outlineLevel="0" collapsed="false">
      <c r="A77" s="31"/>
      <c r="B77" s="8" t="str">
        <f aca="false">IF(A77="","",CHOOSE(WEEKDAY(A77,1),"الأحد","الاثنين","الثلاثاء","الأربعاء","الخميس","الجمعة","السبت"))</f>
        <v/>
      </c>
      <c r="C77" s="32"/>
      <c r="D77" s="32"/>
      <c r="E77" s="33"/>
      <c r="F77" s="9" t="str">
        <f aca="false">IF(OR(C77="",D77=""),"",ROUND(MOD(D77-C77,1)*24,2))</f>
        <v/>
      </c>
      <c r="G77" s="9" t="str">
        <f aca="false">IF(F77="","",IF(WEEKDAY(A77,1)=6,F77,ROUND(MAX(0,MIN(D77,OMR_OT_AT)-C77)*24,2)))</f>
        <v/>
      </c>
      <c r="H77" s="9" t="str">
        <f aca="false">IF(F77="","",ROUND(F77-G77,2))</f>
        <v/>
      </c>
      <c r="I77" s="10" t="str">
        <f aca="false">IF(F77="","",ROUND(G77*OMR_RATE+H77*OMR_OT+MIN(N(E77),G77)*(GYP_RATE-OMR_RATE)+MAX(0,MIN(N(E77),F77)-G77)*(GYP_RATE-OMR_OT),3))</f>
        <v/>
      </c>
      <c r="J77" s="34"/>
    </row>
    <row r="78" customFormat="false" ht="19.5" hidden="false" customHeight="true" outlineLevel="0" collapsed="false">
      <c r="A78" s="31"/>
      <c r="B78" s="8" t="str">
        <f aca="false">IF(A78="","",CHOOSE(WEEKDAY(A78,1),"الأحد","الاثنين","الثلاثاء","الأربعاء","الخميس","الجمعة","السبت"))</f>
        <v/>
      </c>
      <c r="C78" s="32"/>
      <c r="D78" s="32"/>
      <c r="E78" s="33"/>
      <c r="F78" s="9" t="str">
        <f aca="false">IF(OR(C78="",D78=""),"",ROUND(MOD(D78-C78,1)*24,2))</f>
        <v/>
      </c>
      <c r="G78" s="9" t="str">
        <f aca="false">IF(F78="","",IF(WEEKDAY(A78,1)=6,F78,ROUND(MAX(0,MIN(D78,OMR_OT_AT)-C78)*24,2)))</f>
        <v/>
      </c>
      <c r="H78" s="9" t="str">
        <f aca="false">IF(F78="","",ROUND(F78-G78,2))</f>
        <v/>
      </c>
      <c r="I78" s="10" t="str">
        <f aca="false">IF(F78="","",ROUND(G78*OMR_RATE+H78*OMR_OT+MIN(N(E78),G78)*(GYP_RATE-OMR_RATE)+MAX(0,MIN(N(E78),F78)-G78)*(GYP_RATE-OMR_OT),3))</f>
        <v/>
      </c>
      <c r="J78" s="34"/>
    </row>
    <row r="79" customFormat="false" ht="19.5" hidden="false" customHeight="true" outlineLevel="0" collapsed="false">
      <c r="A79" s="31"/>
      <c r="B79" s="8" t="str">
        <f aca="false">IF(A79="","",CHOOSE(WEEKDAY(A79,1),"الأحد","الاثنين","الثلاثاء","الأربعاء","الخميس","الجمعة","السبت"))</f>
        <v/>
      </c>
      <c r="C79" s="32"/>
      <c r="D79" s="32"/>
      <c r="E79" s="33"/>
      <c r="F79" s="9" t="str">
        <f aca="false">IF(OR(C79="",D79=""),"",ROUND(MOD(D79-C79,1)*24,2))</f>
        <v/>
      </c>
      <c r="G79" s="9" t="str">
        <f aca="false">IF(F79="","",IF(WEEKDAY(A79,1)=6,F79,ROUND(MAX(0,MIN(D79,OMR_OT_AT)-C79)*24,2)))</f>
        <v/>
      </c>
      <c r="H79" s="9" t="str">
        <f aca="false">IF(F79="","",ROUND(F79-G79,2))</f>
        <v/>
      </c>
      <c r="I79" s="10" t="str">
        <f aca="false">IF(F79="","",ROUND(G79*OMR_RATE+H79*OMR_OT+MIN(N(E79),G79)*(GYP_RATE-OMR_RATE)+MAX(0,MIN(N(E79),F79)-G79)*(GYP_RATE-OMR_OT),3))</f>
        <v/>
      </c>
      <c r="J79" s="34"/>
    </row>
    <row r="80" customFormat="false" ht="19.5" hidden="false" customHeight="true" outlineLevel="0" collapsed="false">
      <c r="A80" s="31"/>
      <c r="B80" s="8" t="str">
        <f aca="false">IF(A80="","",CHOOSE(WEEKDAY(A80,1),"الأحد","الاثنين","الثلاثاء","الأربعاء","الخميس","الجمعة","السبت"))</f>
        <v/>
      </c>
      <c r="C80" s="32"/>
      <c r="D80" s="32"/>
      <c r="E80" s="33"/>
      <c r="F80" s="9" t="str">
        <f aca="false">IF(OR(C80="",D80=""),"",ROUND(MOD(D80-C80,1)*24,2))</f>
        <v/>
      </c>
      <c r="G80" s="9" t="str">
        <f aca="false">IF(F80="","",IF(WEEKDAY(A80,1)=6,F80,ROUND(MAX(0,MIN(D80,OMR_OT_AT)-C80)*24,2)))</f>
        <v/>
      </c>
      <c r="H80" s="9" t="str">
        <f aca="false">IF(F80="","",ROUND(F80-G80,2))</f>
        <v/>
      </c>
      <c r="I80" s="10" t="str">
        <f aca="false">IF(F80="","",ROUND(G80*OMR_RATE+H80*OMR_OT+MIN(N(E80),G80)*(GYP_RATE-OMR_RATE)+MAX(0,MIN(N(E80),F80)-G80)*(GYP_RATE-OMR_OT),3))</f>
        <v/>
      </c>
      <c r="J80" s="34"/>
    </row>
    <row r="81" customFormat="false" ht="19.5" hidden="false" customHeight="true" outlineLevel="0" collapsed="false">
      <c r="A81" s="31"/>
      <c r="B81" s="8" t="str">
        <f aca="false">IF(A81="","",CHOOSE(WEEKDAY(A81,1),"الأحد","الاثنين","الثلاثاء","الأربعاء","الخميس","الجمعة","السبت"))</f>
        <v/>
      </c>
      <c r="C81" s="32"/>
      <c r="D81" s="32"/>
      <c r="E81" s="33"/>
      <c r="F81" s="9" t="str">
        <f aca="false">IF(OR(C81="",D81=""),"",ROUND(MOD(D81-C81,1)*24,2))</f>
        <v/>
      </c>
      <c r="G81" s="9" t="str">
        <f aca="false">IF(F81="","",IF(WEEKDAY(A81,1)=6,F81,ROUND(MAX(0,MIN(D81,OMR_OT_AT)-C81)*24,2)))</f>
        <v/>
      </c>
      <c r="H81" s="9" t="str">
        <f aca="false">IF(F81="","",ROUND(F81-G81,2))</f>
        <v/>
      </c>
      <c r="I81" s="10" t="str">
        <f aca="false">IF(F81="","",ROUND(G81*OMR_RATE+H81*OMR_OT+MIN(N(E81),G81)*(GYP_RATE-OMR_RATE)+MAX(0,MIN(N(E81),F81)-G81)*(GYP_RATE-OMR_OT),3))</f>
        <v/>
      </c>
      <c r="J81" s="34"/>
    </row>
    <row r="82" customFormat="false" ht="19.5" hidden="false" customHeight="true" outlineLevel="0" collapsed="false">
      <c r="A82" s="31"/>
      <c r="B82" s="8" t="str">
        <f aca="false">IF(A82="","",CHOOSE(WEEKDAY(A82,1),"الأحد","الاثنين","الثلاثاء","الأربعاء","الخميس","الجمعة","السبت"))</f>
        <v/>
      </c>
      <c r="C82" s="32"/>
      <c r="D82" s="32"/>
      <c r="E82" s="33"/>
      <c r="F82" s="9" t="str">
        <f aca="false">IF(OR(C82="",D82=""),"",ROUND(MOD(D82-C82,1)*24,2))</f>
        <v/>
      </c>
      <c r="G82" s="9" t="str">
        <f aca="false">IF(F82="","",IF(WEEKDAY(A82,1)=6,F82,ROUND(MAX(0,MIN(D82,OMR_OT_AT)-C82)*24,2)))</f>
        <v/>
      </c>
      <c r="H82" s="9" t="str">
        <f aca="false">IF(F82="","",ROUND(F82-G82,2))</f>
        <v/>
      </c>
      <c r="I82" s="10" t="str">
        <f aca="false">IF(F82="","",ROUND(G82*OMR_RATE+H82*OMR_OT+MIN(N(E82),G82)*(GYP_RATE-OMR_RATE)+MAX(0,MIN(N(E82),F82)-G82)*(GYP_RATE-OMR_OT),3))</f>
        <v/>
      </c>
      <c r="J82" s="34"/>
    </row>
    <row r="83" customFormat="false" ht="19.5" hidden="false" customHeight="true" outlineLevel="0" collapsed="false">
      <c r="A83" s="31"/>
      <c r="B83" s="8" t="str">
        <f aca="false">IF(A83="","",CHOOSE(WEEKDAY(A83,1),"الأحد","الاثنين","الثلاثاء","الأربعاء","الخميس","الجمعة","السبت"))</f>
        <v/>
      </c>
      <c r="C83" s="32"/>
      <c r="D83" s="32"/>
      <c r="E83" s="33"/>
      <c r="F83" s="9" t="str">
        <f aca="false">IF(OR(C83="",D83=""),"",ROUND(MOD(D83-C83,1)*24,2))</f>
        <v/>
      </c>
      <c r="G83" s="9" t="str">
        <f aca="false">IF(F83="","",IF(WEEKDAY(A83,1)=6,F83,ROUND(MAX(0,MIN(D83,OMR_OT_AT)-C83)*24,2)))</f>
        <v/>
      </c>
      <c r="H83" s="9" t="str">
        <f aca="false">IF(F83="","",ROUND(F83-G83,2))</f>
        <v/>
      </c>
      <c r="I83" s="10" t="str">
        <f aca="false">IF(F83="","",ROUND(G83*OMR_RATE+H83*OMR_OT+MIN(N(E83),G83)*(GYP_RATE-OMR_RATE)+MAX(0,MIN(N(E83),F83)-G83)*(GYP_RATE-OMR_OT),3))</f>
        <v/>
      </c>
      <c r="J83" s="34"/>
    </row>
    <row r="84" customFormat="false" ht="19.5" hidden="false" customHeight="true" outlineLevel="0" collapsed="false">
      <c r="A84" s="31"/>
      <c r="B84" s="8" t="str">
        <f aca="false">IF(A84="","",CHOOSE(WEEKDAY(A84,1),"الأحد","الاثنين","الثلاثاء","الأربعاء","الخميس","الجمعة","السبت"))</f>
        <v/>
      </c>
      <c r="C84" s="32"/>
      <c r="D84" s="32"/>
      <c r="E84" s="33"/>
      <c r="F84" s="9" t="str">
        <f aca="false">IF(OR(C84="",D84=""),"",ROUND(MOD(D84-C84,1)*24,2))</f>
        <v/>
      </c>
      <c r="G84" s="9" t="str">
        <f aca="false">IF(F84="","",IF(WEEKDAY(A84,1)=6,F84,ROUND(MAX(0,MIN(D84,OMR_OT_AT)-C84)*24,2)))</f>
        <v/>
      </c>
      <c r="H84" s="9" t="str">
        <f aca="false">IF(F84="","",ROUND(F84-G84,2))</f>
        <v/>
      </c>
      <c r="I84" s="10" t="str">
        <f aca="false">IF(F84="","",ROUND(G84*OMR_RATE+H84*OMR_OT+MIN(N(E84),G84)*(GYP_RATE-OMR_RATE)+MAX(0,MIN(N(E84),F84)-G84)*(GYP_RATE-OMR_OT),3))</f>
        <v/>
      </c>
      <c r="J84" s="34"/>
    </row>
    <row r="85" customFormat="false" ht="19.5" hidden="false" customHeight="true" outlineLevel="0" collapsed="false">
      <c r="A85" s="31"/>
      <c r="B85" s="8" t="str">
        <f aca="false">IF(A85="","",CHOOSE(WEEKDAY(A85,1),"الأحد","الاثنين","الثلاثاء","الأربعاء","الخميس","الجمعة","السبت"))</f>
        <v/>
      </c>
      <c r="C85" s="32"/>
      <c r="D85" s="32"/>
      <c r="E85" s="33"/>
      <c r="F85" s="9" t="str">
        <f aca="false">IF(OR(C85="",D85=""),"",ROUND(MOD(D85-C85,1)*24,2))</f>
        <v/>
      </c>
      <c r="G85" s="9" t="str">
        <f aca="false">IF(F85="","",IF(WEEKDAY(A85,1)=6,F85,ROUND(MAX(0,MIN(D85,OMR_OT_AT)-C85)*24,2)))</f>
        <v/>
      </c>
      <c r="H85" s="9" t="str">
        <f aca="false">IF(F85="","",ROUND(F85-G85,2))</f>
        <v/>
      </c>
      <c r="I85" s="10" t="str">
        <f aca="false">IF(F85="","",ROUND(G85*OMR_RATE+H85*OMR_OT+MIN(N(E85),G85)*(GYP_RATE-OMR_RATE)+MAX(0,MIN(N(E85),F85)-G85)*(GYP_RATE-OMR_OT),3))</f>
        <v/>
      </c>
      <c r="J85" s="34"/>
    </row>
    <row r="86" customFormat="false" ht="19.5" hidden="false" customHeight="true" outlineLevel="0" collapsed="false">
      <c r="A86" s="31"/>
      <c r="B86" s="8" t="str">
        <f aca="false">IF(A86="","",CHOOSE(WEEKDAY(A86,1),"الأحد","الاثنين","الثلاثاء","الأربعاء","الخميس","الجمعة","السبت"))</f>
        <v/>
      </c>
      <c r="C86" s="32"/>
      <c r="D86" s="32"/>
      <c r="E86" s="33"/>
      <c r="F86" s="9" t="str">
        <f aca="false">IF(OR(C86="",D86=""),"",ROUND(MOD(D86-C86,1)*24,2))</f>
        <v/>
      </c>
      <c r="G86" s="9" t="str">
        <f aca="false">IF(F86="","",IF(WEEKDAY(A86,1)=6,F86,ROUND(MAX(0,MIN(D86,OMR_OT_AT)-C86)*24,2)))</f>
        <v/>
      </c>
      <c r="H86" s="9" t="str">
        <f aca="false">IF(F86="","",ROUND(F86-G86,2))</f>
        <v/>
      </c>
      <c r="I86" s="10" t="str">
        <f aca="false">IF(F86="","",ROUND(G86*OMR_RATE+H86*OMR_OT+MIN(N(E86),G86)*(GYP_RATE-OMR_RATE)+MAX(0,MIN(N(E86),F86)-G86)*(GYP_RATE-OMR_OT),3))</f>
        <v/>
      </c>
      <c r="J86" s="34"/>
    </row>
    <row r="87" customFormat="false" ht="19.5" hidden="false" customHeight="true" outlineLevel="0" collapsed="false">
      <c r="A87" s="31"/>
      <c r="B87" s="8" t="str">
        <f aca="false">IF(A87="","",CHOOSE(WEEKDAY(A87,1),"الأحد","الاثنين","الثلاثاء","الأربعاء","الخميس","الجمعة","السبت"))</f>
        <v/>
      </c>
      <c r="C87" s="32"/>
      <c r="D87" s="32"/>
      <c r="E87" s="33"/>
      <c r="F87" s="9" t="str">
        <f aca="false">IF(OR(C87="",D87=""),"",ROUND(MOD(D87-C87,1)*24,2))</f>
        <v/>
      </c>
      <c r="G87" s="9" t="str">
        <f aca="false">IF(F87="","",IF(WEEKDAY(A87,1)=6,F87,ROUND(MAX(0,MIN(D87,OMR_OT_AT)-C87)*24,2)))</f>
        <v/>
      </c>
      <c r="H87" s="9" t="str">
        <f aca="false">IF(F87="","",ROUND(F87-G87,2))</f>
        <v/>
      </c>
      <c r="I87" s="10" t="str">
        <f aca="false">IF(F87="","",ROUND(G87*OMR_RATE+H87*OMR_OT+MIN(N(E87),G87)*(GYP_RATE-OMR_RATE)+MAX(0,MIN(N(E87),F87)-G87)*(GYP_RATE-OMR_OT),3))</f>
        <v/>
      </c>
      <c r="J87" s="34"/>
    </row>
    <row r="88" customFormat="false" ht="19.5" hidden="false" customHeight="true" outlineLevel="0" collapsed="false">
      <c r="A88" s="31"/>
      <c r="B88" s="8" t="str">
        <f aca="false">IF(A88="","",CHOOSE(WEEKDAY(A88,1),"الأحد","الاثنين","الثلاثاء","الأربعاء","الخميس","الجمعة","السبت"))</f>
        <v/>
      </c>
      <c r="C88" s="32"/>
      <c r="D88" s="32"/>
      <c r="E88" s="33"/>
      <c r="F88" s="9" t="str">
        <f aca="false">IF(OR(C88="",D88=""),"",ROUND(MOD(D88-C88,1)*24,2))</f>
        <v/>
      </c>
      <c r="G88" s="9" t="str">
        <f aca="false">IF(F88="","",IF(WEEKDAY(A88,1)=6,F88,ROUND(MAX(0,MIN(D88,OMR_OT_AT)-C88)*24,2)))</f>
        <v/>
      </c>
      <c r="H88" s="9" t="str">
        <f aca="false">IF(F88="","",ROUND(F88-G88,2))</f>
        <v/>
      </c>
      <c r="I88" s="10" t="str">
        <f aca="false">IF(F88="","",ROUND(G88*OMR_RATE+H88*OMR_OT+MIN(N(E88),G88)*(GYP_RATE-OMR_RATE)+MAX(0,MIN(N(E88),F88)-G88)*(GYP_RATE-OMR_OT),3))</f>
        <v/>
      </c>
      <c r="J88" s="34"/>
    </row>
    <row r="89" customFormat="false" ht="19.5" hidden="false" customHeight="true" outlineLevel="0" collapsed="false">
      <c r="A89" s="31"/>
      <c r="B89" s="8" t="str">
        <f aca="false">IF(A89="","",CHOOSE(WEEKDAY(A89,1),"الأحد","الاثنين","الثلاثاء","الأربعاء","الخميس","الجمعة","السبت"))</f>
        <v/>
      </c>
      <c r="C89" s="32"/>
      <c r="D89" s="32"/>
      <c r="E89" s="33"/>
      <c r="F89" s="9" t="str">
        <f aca="false">IF(OR(C89="",D89=""),"",ROUND(MOD(D89-C89,1)*24,2))</f>
        <v/>
      </c>
      <c r="G89" s="9" t="str">
        <f aca="false">IF(F89="","",IF(WEEKDAY(A89,1)=6,F89,ROUND(MAX(0,MIN(D89,OMR_OT_AT)-C89)*24,2)))</f>
        <v/>
      </c>
      <c r="H89" s="9" t="str">
        <f aca="false">IF(F89="","",ROUND(F89-G89,2))</f>
        <v/>
      </c>
      <c r="I89" s="10" t="str">
        <f aca="false">IF(F89="","",ROUND(G89*OMR_RATE+H89*OMR_OT+MIN(N(E89),G89)*(GYP_RATE-OMR_RATE)+MAX(0,MIN(N(E89),F89)-G89)*(GYP_RATE-OMR_OT),3))</f>
        <v/>
      </c>
      <c r="J89" s="34"/>
    </row>
    <row r="90" customFormat="false" ht="19.5" hidden="false" customHeight="true" outlineLevel="0" collapsed="false">
      <c r="A90" s="31"/>
      <c r="B90" s="8" t="str">
        <f aca="false">IF(A90="","",CHOOSE(WEEKDAY(A90,1),"الأحد","الاثنين","الثلاثاء","الأربعاء","الخميس","الجمعة","السبت"))</f>
        <v/>
      </c>
      <c r="C90" s="32"/>
      <c r="D90" s="32"/>
      <c r="E90" s="33"/>
      <c r="F90" s="9" t="str">
        <f aca="false">IF(OR(C90="",D90=""),"",ROUND(MOD(D90-C90,1)*24,2))</f>
        <v/>
      </c>
      <c r="G90" s="9" t="str">
        <f aca="false">IF(F90="","",IF(WEEKDAY(A90,1)=6,F90,ROUND(MAX(0,MIN(D90,OMR_OT_AT)-C90)*24,2)))</f>
        <v/>
      </c>
      <c r="H90" s="9" t="str">
        <f aca="false">IF(F90="","",ROUND(F90-G90,2))</f>
        <v/>
      </c>
      <c r="I90" s="10" t="str">
        <f aca="false">IF(F90="","",ROUND(G90*OMR_RATE+H90*OMR_OT+MIN(N(E90),G90)*(GYP_RATE-OMR_RATE)+MAX(0,MIN(N(E90),F90)-G90)*(GYP_RATE-OMR_OT),3))</f>
        <v/>
      </c>
      <c r="J90" s="34"/>
    </row>
    <row r="91" customFormat="false" ht="19.5" hidden="false" customHeight="true" outlineLevel="0" collapsed="false">
      <c r="A91" s="31"/>
      <c r="B91" s="8" t="str">
        <f aca="false">IF(A91="","",CHOOSE(WEEKDAY(A91,1),"الأحد","الاثنين","الثلاثاء","الأربعاء","الخميس","الجمعة","السبت"))</f>
        <v/>
      </c>
      <c r="C91" s="32"/>
      <c r="D91" s="32"/>
      <c r="E91" s="33"/>
      <c r="F91" s="9" t="str">
        <f aca="false">IF(OR(C91="",D91=""),"",ROUND(MOD(D91-C91,1)*24,2))</f>
        <v/>
      </c>
      <c r="G91" s="9" t="str">
        <f aca="false">IF(F91="","",IF(WEEKDAY(A91,1)=6,F91,ROUND(MAX(0,MIN(D91,OMR_OT_AT)-C91)*24,2)))</f>
        <v/>
      </c>
      <c r="H91" s="9" t="str">
        <f aca="false">IF(F91="","",ROUND(F91-G91,2))</f>
        <v/>
      </c>
      <c r="I91" s="10" t="str">
        <f aca="false">IF(F91="","",ROUND(G91*OMR_RATE+H91*OMR_OT+MIN(N(E91),G91)*(GYP_RATE-OMR_RATE)+MAX(0,MIN(N(E91),F91)-G91)*(GYP_RATE-OMR_OT),3))</f>
        <v/>
      </c>
      <c r="J91" s="34"/>
    </row>
    <row r="92" customFormat="false" ht="19.5" hidden="false" customHeight="true" outlineLevel="0" collapsed="false">
      <c r="A92" s="31"/>
      <c r="B92" s="8" t="str">
        <f aca="false">IF(A92="","",CHOOSE(WEEKDAY(A92,1),"الأحد","الاثنين","الثلاثاء","الأربعاء","الخميس","الجمعة","السبت"))</f>
        <v/>
      </c>
      <c r="C92" s="32"/>
      <c r="D92" s="32"/>
      <c r="E92" s="33"/>
      <c r="F92" s="9" t="str">
        <f aca="false">IF(OR(C92="",D92=""),"",ROUND(MOD(D92-C92,1)*24,2))</f>
        <v/>
      </c>
      <c r="G92" s="9" t="str">
        <f aca="false">IF(F92="","",IF(WEEKDAY(A92,1)=6,F92,ROUND(MAX(0,MIN(D92,OMR_OT_AT)-C92)*24,2)))</f>
        <v/>
      </c>
      <c r="H92" s="9" t="str">
        <f aca="false">IF(F92="","",ROUND(F92-G92,2))</f>
        <v/>
      </c>
      <c r="I92" s="10" t="str">
        <f aca="false">IF(F92="","",ROUND(G92*OMR_RATE+H92*OMR_OT+MIN(N(E92),G92)*(GYP_RATE-OMR_RATE)+MAX(0,MIN(N(E92),F92)-G92)*(GYP_RATE-OMR_OT),3))</f>
        <v/>
      </c>
      <c r="J92" s="34"/>
    </row>
    <row r="93" customFormat="false" ht="19.5" hidden="false" customHeight="true" outlineLevel="0" collapsed="false">
      <c r="A93" s="31"/>
      <c r="B93" s="8" t="str">
        <f aca="false">IF(A93="","",CHOOSE(WEEKDAY(A93,1),"الأحد","الاثنين","الثلاثاء","الأربعاء","الخميس","الجمعة","السبت"))</f>
        <v/>
      </c>
      <c r="C93" s="32"/>
      <c r="D93" s="32"/>
      <c r="E93" s="33"/>
      <c r="F93" s="9" t="str">
        <f aca="false">IF(OR(C93="",D93=""),"",ROUND(MOD(D93-C93,1)*24,2))</f>
        <v/>
      </c>
      <c r="G93" s="9" t="str">
        <f aca="false">IF(F93="","",IF(WEEKDAY(A93,1)=6,F93,ROUND(MAX(0,MIN(D93,OMR_OT_AT)-C93)*24,2)))</f>
        <v/>
      </c>
      <c r="H93" s="9" t="str">
        <f aca="false">IF(F93="","",ROUND(F93-G93,2))</f>
        <v/>
      </c>
      <c r="I93" s="10" t="str">
        <f aca="false">IF(F93="","",ROUND(G93*OMR_RATE+H93*OMR_OT+MIN(N(E93),G93)*(GYP_RATE-OMR_RATE)+MAX(0,MIN(N(E93),F93)-G93)*(GYP_RATE-OMR_OT),3))</f>
        <v/>
      </c>
      <c r="J93" s="34"/>
    </row>
    <row r="94" customFormat="false" ht="19.5" hidden="false" customHeight="true" outlineLevel="0" collapsed="false">
      <c r="A94" s="31"/>
      <c r="B94" s="8" t="str">
        <f aca="false">IF(A94="","",CHOOSE(WEEKDAY(A94,1),"الأحد","الاثنين","الثلاثاء","الأربعاء","الخميس","الجمعة","السبت"))</f>
        <v/>
      </c>
      <c r="C94" s="32"/>
      <c r="D94" s="32"/>
      <c r="E94" s="33"/>
      <c r="F94" s="9" t="str">
        <f aca="false">IF(OR(C94="",D94=""),"",ROUND(MOD(D94-C94,1)*24,2))</f>
        <v/>
      </c>
      <c r="G94" s="9" t="str">
        <f aca="false">IF(F94="","",IF(WEEKDAY(A94,1)=6,F94,ROUND(MAX(0,MIN(D94,OMR_OT_AT)-C94)*24,2)))</f>
        <v/>
      </c>
      <c r="H94" s="9" t="str">
        <f aca="false">IF(F94="","",ROUND(F94-G94,2))</f>
        <v/>
      </c>
      <c r="I94" s="10" t="str">
        <f aca="false">IF(F94="","",ROUND(G94*OMR_RATE+H94*OMR_OT+MIN(N(E94),G94)*(GYP_RATE-OMR_RATE)+MAX(0,MIN(N(E94),F94)-G94)*(GYP_RATE-OMR_OT),3))</f>
        <v/>
      </c>
      <c r="J94" s="34"/>
    </row>
    <row r="95" customFormat="false" ht="19.5" hidden="false" customHeight="true" outlineLevel="0" collapsed="false">
      <c r="A95" s="31"/>
      <c r="B95" s="8" t="str">
        <f aca="false">IF(A95="","",CHOOSE(WEEKDAY(A95,1),"الأحد","الاثنين","الثلاثاء","الأربعاء","الخميس","الجمعة","السبت"))</f>
        <v/>
      </c>
      <c r="C95" s="32"/>
      <c r="D95" s="32"/>
      <c r="E95" s="33"/>
      <c r="F95" s="9" t="str">
        <f aca="false">IF(OR(C95="",D95=""),"",ROUND(MOD(D95-C95,1)*24,2))</f>
        <v/>
      </c>
      <c r="G95" s="9" t="str">
        <f aca="false">IF(F95="","",IF(WEEKDAY(A95,1)=6,F95,ROUND(MAX(0,MIN(D95,OMR_OT_AT)-C95)*24,2)))</f>
        <v/>
      </c>
      <c r="H95" s="9" t="str">
        <f aca="false">IF(F95="","",ROUND(F95-G95,2))</f>
        <v/>
      </c>
      <c r="I95" s="10" t="str">
        <f aca="false">IF(F95="","",ROUND(G95*OMR_RATE+H95*OMR_OT+MIN(N(E95),G95)*(GYP_RATE-OMR_RATE)+MAX(0,MIN(N(E95),F95)-G95)*(GYP_RATE-OMR_OT),3))</f>
        <v/>
      </c>
      <c r="J95" s="34"/>
    </row>
    <row r="96" customFormat="false" ht="19.5" hidden="false" customHeight="true" outlineLevel="0" collapsed="false">
      <c r="A96" s="31"/>
      <c r="B96" s="8" t="str">
        <f aca="false">IF(A96="","",CHOOSE(WEEKDAY(A96,1),"الأحد","الاثنين","الثلاثاء","الأربعاء","الخميس","الجمعة","السبت"))</f>
        <v/>
      </c>
      <c r="C96" s="32"/>
      <c r="D96" s="32"/>
      <c r="E96" s="33"/>
      <c r="F96" s="9" t="str">
        <f aca="false">IF(OR(C96="",D96=""),"",ROUND(MOD(D96-C96,1)*24,2))</f>
        <v/>
      </c>
      <c r="G96" s="9" t="str">
        <f aca="false">IF(F96="","",IF(WEEKDAY(A96,1)=6,F96,ROUND(MAX(0,MIN(D96,OMR_OT_AT)-C96)*24,2)))</f>
        <v/>
      </c>
      <c r="H96" s="9" t="str">
        <f aca="false">IF(F96="","",ROUND(F96-G96,2))</f>
        <v/>
      </c>
      <c r="I96" s="10" t="str">
        <f aca="false">IF(F96="","",ROUND(G96*OMR_RATE+H96*OMR_OT+MIN(N(E96),G96)*(GYP_RATE-OMR_RATE)+MAX(0,MIN(N(E96),F96)-G96)*(GYP_RATE-OMR_OT),3))</f>
        <v/>
      </c>
      <c r="J96" s="34"/>
    </row>
    <row r="97" customFormat="false" ht="19.5" hidden="false" customHeight="true" outlineLevel="0" collapsed="false">
      <c r="A97" s="31"/>
      <c r="B97" s="8" t="str">
        <f aca="false">IF(A97="","",CHOOSE(WEEKDAY(A97,1),"الأحد","الاثنين","الثلاثاء","الأربعاء","الخميس","الجمعة","السبت"))</f>
        <v/>
      </c>
      <c r="C97" s="32"/>
      <c r="D97" s="32"/>
      <c r="E97" s="33"/>
      <c r="F97" s="9" t="str">
        <f aca="false">IF(OR(C97="",D97=""),"",ROUND(MOD(D97-C97,1)*24,2))</f>
        <v/>
      </c>
      <c r="G97" s="9" t="str">
        <f aca="false">IF(F97="","",IF(WEEKDAY(A97,1)=6,F97,ROUND(MAX(0,MIN(D97,OMR_OT_AT)-C97)*24,2)))</f>
        <v/>
      </c>
      <c r="H97" s="9" t="str">
        <f aca="false">IF(F97="","",ROUND(F97-G97,2))</f>
        <v/>
      </c>
      <c r="I97" s="10" t="str">
        <f aca="false">IF(F97="","",ROUND(G97*OMR_RATE+H97*OMR_OT+MIN(N(E97),G97)*(GYP_RATE-OMR_RATE)+MAX(0,MIN(N(E97),F97)-G97)*(GYP_RATE-OMR_OT),3))</f>
        <v/>
      </c>
      <c r="J97" s="34"/>
    </row>
    <row r="98" customFormat="false" ht="19.5" hidden="false" customHeight="true" outlineLevel="0" collapsed="false">
      <c r="A98" s="31"/>
      <c r="B98" s="8" t="str">
        <f aca="false">IF(A98="","",CHOOSE(WEEKDAY(A98,1),"الأحد","الاثنين","الثلاثاء","الأربعاء","الخميس","الجمعة","السبت"))</f>
        <v/>
      </c>
      <c r="C98" s="32"/>
      <c r="D98" s="32"/>
      <c r="E98" s="33"/>
      <c r="F98" s="9" t="str">
        <f aca="false">IF(OR(C98="",D98=""),"",ROUND(MOD(D98-C98,1)*24,2))</f>
        <v/>
      </c>
      <c r="G98" s="9" t="str">
        <f aca="false">IF(F98="","",IF(WEEKDAY(A98,1)=6,F98,ROUND(MAX(0,MIN(D98,OMR_OT_AT)-C98)*24,2)))</f>
        <v/>
      </c>
      <c r="H98" s="9" t="str">
        <f aca="false">IF(F98="","",ROUND(F98-G98,2))</f>
        <v/>
      </c>
      <c r="I98" s="10" t="str">
        <f aca="false">IF(F98="","",ROUND(G98*OMR_RATE+H98*OMR_OT+MIN(N(E98),G98)*(GYP_RATE-OMR_RATE)+MAX(0,MIN(N(E98),F98)-G98)*(GYP_RATE-OMR_OT),3))</f>
        <v/>
      </c>
      <c r="J98" s="34"/>
    </row>
    <row r="99" customFormat="false" ht="19.5" hidden="false" customHeight="true" outlineLevel="0" collapsed="false">
      <c r="A99" s="31"/>
      <c r="B99" s="8" t="str">
        <f aca="false">IF(A99="","",CHOOSE(WEEKDAY(A99,1),"الأحد","الاثنين","الثلاثاء","الأربعاء","الخميس","الجمعة","السبت"))</f>
        <v/>
      </c>
      <c r="C99" s="32"/>
      <c r="D99" s="32"/>
      <c r="E99" s="33"/>
      <c r="F99" s="9" t="str">
        <f aca="false">IF(OR(C99="",D99=""),"",ROUND(MOD(D99-C99,1)*24,2))</f>
        <v/>
      </c>
      <c r="G99" s="9" t="str">
        <f aca="false">IF(F99="","",IF(WEEKDAY(A99,1)=6,F99,ROUND(MAX(0,MIN(D99,OMR_OT_AT)-C99)*24,2)))</f>
        <v/>
      </c>
      <c r="H99" s="9" t="str">
        <f aca="false">IF(F99="","",ROUND(F99-G99,2))</f>
        <v/>
      </c>
      <c r="I99" s="10" t="str">
        <f aca="false">IF(F99="","",ROUND(G99*OMR_RATE+H99*OMR_OT+MIN(N(E99),G99)*(GYP_RATE-OMR_RATE)+MAX(0,MIN(N(E99),F99)-G99)*(GYP_RATE-OMR_OT),3))</f>
        <v/>
      </c>
      <c r="J99" s="34"/>
    </row>
    <row r="100" customFormat="false" ht="19.5" hidden="false" customHeight="true" outlineLevel="0" collapsed="false">
      <c r="A100" s="31"/>
      <c r="B100" s="8" t="str">
        <f aca="false">IF(A100="","",CHOOSE(WEEKDAY(A100,1),"الأحد","الاثنين","الثلاثاء","الأربعاء","الخميس","الجمعة","السبت"))</f>
        <v/>
      </c>
      <c r="C100" s="32"/>
      <c r="D100" s="32"/>
      <c r="E100" s="33"/>
      <c r="F100" s="9" t="str">
        <f aca="false">IF(OR(C100="",D100=""),"",ROUND(MOD(D100-C100,1)*24,2))</f>
        <v/>
      </c>
      <c r="G100" s="9" t="str">
        <f aca="false">IF(F100="","",IF(WEEKDAY(A100,1)=6,F100,ROUND(MAX(0,MIN(D100,OMR_OT_AT)-C100)*24,2)))</f>
        <v/>
      </c>
      <c r="H100" s="9" t="str">
        <f aca="false">IF(F100="","",ROUND(F100-G100,2))</f>
        <v/>
      </c>
      <c r="I100" s="10" t="str">
        <f aca="false">IF(F100="","",ROUND(G100*OMR_RATE+H100*OMR_OT+MIN(N(E100),G100)*(GYP_RATE-OMR_RATE)+MAX(0,MIN(N(E100),F100)-G100)*(GYP_RATE-OMR_OT),3))</f>
        <v/>
      </c>
      <c r="J100" s="34"/>
    </row>
    <row r="101" customFormat="false" ht="19.5" hidden="false" customHeight="true" outlineLevel="0" collapsed="false">
      <c r="A101" s="31"/>
      <c r="B101" s="8" t="str">
        <f aca="false">IF(A101="","",CHOOSE(WEEKDAY(A101,1),"الأحد","الاثنين","الثلاثاء","الأربعاء","الخميس","الجمعة","السبت"))</f>
        <v/>
      </c>
      <c r="C101" s="32"/>
      <c r="D101" s="32"/>
      <c r="E101" s="33"/>
      <c r="F101" s="9" t="str">
        <f aca="false">IF(OR(C101="",D101=""),"",ROUND(MOD(D101-C101,1)*24,2))</f>
        <v/>
      </c>
      <c r="G101" s="9" t="str">
        <f aca="false">IF(F101="","",IF(WEEKDAY(A101,1)=6,F101,ROUND(MAX(0,MIN(D101,OMR_OT_AT)-C101)*24,2)))</f>
        <v/>
      </c>
      <c r="H101" s="9" t="str">
        <f aca="false">IF(F101="","",ROUND(F101-G101,2))</f>
        <v/>
      </c>
      <c r="I101" s="10" t="str">
        <f aca="false">IF(F101="","",ROUND(G101*OMR_RATE+H101*OMR_OT+MIN(N(E101),G101)*(GYP_RATE-OMR_RATE)+MAX(0,MIN(N(E101),F101)-G101)*(GYP_RATE-OMR_OT),3))</f>
        <v/>
      </c>
      <c r="J101" s="34"/>
    </row>
    <row r="102" customFormat="false" ht="19.5" hidden="false" customHeight="true" outlineLevel="0" collapsed="false">
      <c r="A102" s="31"/>
      <c r="B102" s="8" t="str">
        <f aca="false">IF(A102="","",CHOOSE(WEEKDAY(A102,1),"الأحد","الاثنين","الثلاثاء","الأربعاء","الخميس","الجمعة","السبت"))</f>
        <v/>
      </c>
      <c r="C102" s="32"/>
      <c r="D102" s="32"/>
      <c r="E102" s="33"/>
      <c r="F102" s="9" t="str">
        <f aca="false">IF(OR(C102="",D102=""),"",ROUND(MOD(D102-C102,1)*24,2))</f>
        <v/>
      </c>
      <c r="G102" s="9" t="str">
        <f aca="false">IF(F102="","",IF(WEEKDAY(A102,1)=6,F102,ROUND(MAX(0,MIN(D102,OMR_OT_AT)-C102)*24,2)))</f>
        <v/>
      </c>
      <c r="H102" s="9" t="str">
        <f aca="false">IF(F102="","",ROUND(F102-G102,2))</f>
        <v/>
      </c>
      <c r="I102" s="10" t="str">
        <f aca="false">IF(F102="","",ROUND(G102*OMR_RATE+H102*OMR_OT+MIN(N(E102),G102)*(GYP_RATE-OMR_RATE)+MAX(0,MIN(N(E102),F102)-G102)*(GYP_RATE-OMR_OT),3))</f>
        <v/>
      </c>
      <c r="J102" s="34"/>
    </row>
    <row r="103" customFormat="false" ht="19.5" hidden="false" customHeight="true" outlineLevel="0" collapsed="false">
      <c r="A103" s="31"/>
      <c r="B103" s="8" t="str">
        <f aca="false">IF(A103="","",CHOOSE(WEEKDAY(A103,1),"الأحد","الاثنين","الثلاثاء","الأربعاء","الخميس","الجمعة","السبت"))</f>
        <v/>
      </c>
      <c r="C103" s="32"/>
      <c r="D103" s="32"/>
      <c r="E103" s="33"/>
      <c r="F103" s="9" t="str">
        <f aca="false">IF(OR(C103="",D103=""),"",ROUND(MOD(D103-C103,1)*24,2))</f>
        <v/>
      </c>
      <c r="G103" s="9" t="str">
        <f aca="false">IF(F103="","",IF(WEEKDAY(A103,1)=6,F103,ROUND(MAX(0,MIN(D103,OMR_OT_AT)-C103)*24,2)))</f>
        <v/>
      </c>
      <c r="H103" s="9" t="str">
        <f aca="false">IF(F103="","",ROUND(F103-G103,2))</f>
        <v/>
      </c>
      <c r="I103" s="10" t="str">
        <f aca="false">IF(F103="","",ROUND(G103*OMR_RATE+H103*OMR_OT+MIN(N(E103),G103)*(GYP_RATE-OMR_RATE)+MAX(0,MIN(N(E103),F103)-G103)*(GYP_RATE-OMR_OT),3))</f>
        <v/>
      </c>
      <c r="J103" s="34"/>
    </row>
    <row r="104" customFormat="false" ht="19.5" hidden="false" customHeight="true" outlineLevel="0" collapsed="false">
      <c r="A104" s="31"/>
      <c r="B104" s="8" t="str">
        <f aca="false">IF(A104="","",CHOOSE(WEEKDAY(A104,1),"الأحد","الاثنين","الثلاثاء","الأربعاء","الخميس","الجمعة","السبت"))</f>
        <v/>
      </c>
      <c r="C104" s="32"/>
      <c r="D104" s="32"/>
      <c r="E104" s="33"/>
      <c r="F104" s="9" t="str">
        <f aca="false">IF(OR(C104="",D104=""),"",ROUND(MOD(D104-C104,1)*24,2))</f>
        <v/>
      </c>
      <c r="G104" s="9" t="str">
        <f aca="false">IF(F104="","",IF(WEEKDAY(A104,1)=6,F104,ROUND(MAX(0,MIN(D104,OMR_OT_AT)-C104)*24,2)))</f>
        <v/>
      </c>
      <c r="H104" s="9" t="str">
        <f aca="false">IF(F104="","",ROUND(F104-G104,2))</f>
        <v/>
      </c>
      <c r="I104" s="10" t="str">
        <f aca="false">IF(F104="","",ROUND(G104*OMR_RATE+H104*OMR_OT+MIN(N(E104),G104)*(GYP_RATE-OMR_RATE)+MAX(0,MIN(N(E104),F104)-G104)*(GYP_RATE-OMR_OT),3))</f>
        <v/>
      </c>
      <c r="J104" s="34"/>
    </row>
    <row r="105" customFormat="false" ht="19.5" hidden="false" customHeight="true" outlineLevel="0" collapsed="false">
      <c r="A105" s="31"/>
      <c r="B105" s="8" t="str">
        <f aca="false">IF(A105="","",CHOOSE(WEEKDAY(A105,1),"الأحد","الاثنين","الثلاثاء","الأربعاء","الخميس","الجمعة","السبت"))</f>
        <v/>
      </c>
      <c r="C105" s="32"/>
      <c r="D105" s="32"/>
      <c r="E105" s="33"/>
      <c r="F105" s="9" t="str">
        <f aca="false">IF(OR(C105="",D105=""),"",ROUND(MOD(D105-C105,1)*24,2))</f>
        <v/>
      </c>
      <c r="G105" s="9" t="str">
        <f aca="false">IF(F105="","",IF(WEEKDAY(A105,1)=6,F105,ROUND(MAX(0,MIN(D105,OMR_OT_AT)-C105)*24,2)))</f>
        <v/>
      </c>
      <c r="H105" s="9" t="str">
        <f aca="false">IF(F105="","",ROUND(F105-G105,2))</f>
        <v/>
      </c>
      <c r="I105" s="10" t="str">
        <f aca="false">IF(F105="","",ROUND(G105*OMR_RATE+H105*OMR_OT+MIN(N(E105),G105)*(GYP_RATE-OMR_RATE)+MAX(0,MIN(N(E105),F105)-G105)*(GYP_RATE-OMR_OT),3))</f>
        <v/>
      </c>
      <c r="J105" s="34"/>
    </row>
    <row r="106" customFormat="false" ht="19.5" hidden="false" customHeight="true" outlineLevel="0" collapsed="false">
      <c r="A106" s="31"/>
      <c r="B106" s="8" t="str">
        <f aca="false">IF(A106="","",CHOOSE(WEEKDAY(A106,1),"الأحد","الاثنين","الثلاثاء","الأربعاء","الخميس","الجمعة","السبت"))</f>
        <v/>
      </c>
      <c r="C106" s="32"/>
      <c r="D106" s="32"/>
      <c r="E106" s="33"/>
      <c r="F106" s="9" t="str">
        <f aca="false">IF(OR(C106="",D106=""),"",ROUND(MOD(D106-C106,1)*24,2))</f>
        <v/>
      </c>
      <c r="G106" s="9" t="str">
        <f aca="false">IF(F106="","",IF(WEEKDAY(A106,1)=6,F106,ROUND(MAX(0,MIN(D106,OMR_OT_AT)-C106)*24,2)))</f>
        <v/>
      </c>
      <c r="H106" s="9" t="str">
        <f aca="false">IF(F106="","",ROUND(F106-G106,2))</f>
        <v/>
      </c>
      <c r="I106" s="10" t="str">
        <f aca="false">IF(F106="","",ROUND(G106*OMR_RATE+H106*OMR_OT+MIN(N(E106),G106)*(GYP_RATE-OMR_RATE)+MAX(0,MIN(N(E106),F106)-G106)*(GYP_RATE-OMR_OT),3))</f>
        <v/>
      </c>
      <c r="J106" s="34"/>
    </row>
    <row r="107" customFormat="false" ht="19.5" hidden="false" customHeight="true" outlineLevel="0" collapsed="false">
      <c r="A107" s="31"/>
      <c r="B107" s="8" t="str">
        <f aca="false">IF(A107="","",CHOOSE(WEEKDAY(A107,1),"الأحد","الاثنين","الثلاثاء","الأربعاء","الخميس","الجمعة","السبت"))</f>
        <v/>
      </c>
      <c r="C107" s="32"/>
      <c r="D107" s="32"/>
      <c r="E107" s="33"/>
      <c r="F107" s="9" t="str">
        <f aca="false">IF(OR(C107="",D107=""),"",ROUND(MOD(D107-C107,1)*24,2))</f>
        <v/>
      </c>
      <c r="G107" s="9" t="str">
        <f aca="false">IF(F107="","",IF(WEEKDAY(A107,1)=6,F107,ROUND(MAX(0,MIN(D107,OMR_OT_AT)-C107)*24,2)))</f>
        <v/>
      </c>
      <c r="H107" s="9" t="str">
        <f aca="false">IF(F107="","",ROUND(F107-G107,2))</f>
        <v/>
      </c>
      <c r="I107" s="10" t="str">
        <f aca="false">IF(F107="","",ROUND(G107*OMR_RATE+H107*OMR_OT+MIN(N(E107),G107)*(GYP_RATE-OMR_RATE)+MAX(0,MIN(N(E107),F107)-G107)*(GYP_RATE-OMR_OT),3))</f>
        <v/>
      </c>
      <c r="J107" s="34"/>
    </row>
    <row r="108" customFormat="false" ht="19.5" hidden="false" customHeight="true" outlineLevel="0" collapsed="false">
      <c r="A108" s="31"/>
      <c r="B108" s="8" t="str">
        <f aca="false">IF(A108="","",CHOOSE(WEEKDAY(A108,1),"الأحد","الاثنين","الثلاثاء","الأربعاء","الخميس","الجمعة","السبت"))</f>
        <v/>
      </c>
      <c r="C108" s="32"/>
      <c r="D108" s="32"/>
      <c r="E108" s="33"/>
      <c r="F108" s="9" t="str">
        <f aca="false">IF(OR(C108="",D108=""),"",ROUND(MOD(D108-C108,1)*24,2))</f>
        <v/>
      </c>
      <c r="G108" s="9" t="str">
        <f aca="false">IF(F108="","",IF(WEEKDAY(A108,1)=6,F108,ROUND(MAX(0,MIN(D108,OMR_OT_AT)-C108)*24,2)))</f>
        <v/>
      </c>
      <c r="H108" s="9" t="str">
        <f aca="false">IF(F108="","",ROUND(F108-G108,2))</f>
        <v/>
      </c>
      <c r="I108" s="10" t="str">
        <f aca="false">IF(F108="","",ROUND(G108*OMR_RATE+H108*OMR_OT+MIN(N(E108),G108)*(GYP_RATE-OMR_RATE)+MAX(0,MIN(N(E108),F108)-G108)*(GYP_RATE-OMR_OT),3))</f>
        <v/>
      </c>
      <c r="J108" s="34"/>
    </row>
    <row r="109" customFormat="false" ht="19.5" hidden="false" customHeight="true" outlineLevel="0" collapsed="false">
      <c r="A109" s="31"/>
      <c r="B109" s="8" t="str">
        <f aca="false">IF(A109="","",CHOOSE(WEEKDAY(A109,1),"الأحد","الاثنين","الثلاثاء","الأربعاء","الخميس","الجمعة","السبت"))</f>
        <v/>
      </c>
      <c r="C109" s="32"/>
      <c r="D109" s="32"/>
      <c r="E109" s="33"/>
      <c r="F109" s="9" t="str">
        <f aca="false">IF(OR(C109="",D109=""),"",ROUND(MOD(D109-C109,1)*24,2))</f>
        <v/>
      </c>
      <c r="G109" s="9" t="str">
        <f aca="false">IF(F109="","",IF(WEEKDAY(A109,1)=6,F109,ROUND(MAX(0,MIN(D109,OMR_OT_AT)-C109)*24,2)))</f>
        <v/>
      </c>
      <c r="H109" s="9" t="str">
        <f aca="false">IF(F109="","",ROUND(F109-G109,2))</f>
        <v/>
      </c>
      <c r="I109" s="10" t="str">
        <f aca="false">IF(F109="","",ROUND(G109*OMR_RATE+H109*OMR_OT+MIN(N(E109),G109)*(GYP_RATE-OMR_RATE)+MAX(0,MIN(N(E109),F109)-G109)*(GYP_RATE-OMR_OT),3))</f>
        <v/>
      </c>
      <c r="J109" s="34"/>
    </row>
    <row r="110" customFormat="false" ht="19.5" hidden="false" customHeight="true" outlineLevel="0" collapsed="false">
      <c r="A110" s="31"/>
      <c r="B110" s="8" t="str">
        <f aca="false">IF(A110="","",CHOOSE(WEEKDAY(A110,1),"الأحد","الاثنين","الثلاثاء","الأربعاء","الخميس","الجمعة","السبت"))</f>
        <v/>
      </c>
      <c r="C110" s="32"/>
      <c r="D110" s="32"/>
      <c r="E110" s="33"/>
      <c r="F110" s="9" t="str">
        <f aca="false">IF(OR(C110="",D110=""),"",ROUND(MOD(D110-C110,1)*24,2))</f>
        <v/>
      </c>
      <c r="G110" s="9" t="str">
        <f aca="false">IF(F110="","",IF(WEEKDAY(A110,1)=6,F110,ROUND(MAX(0,MIN(D110,OMR_OT_AT)-C110)*24,2)))</f>
        <v/>
      </c>
      <c r="H110" s="9" t="str">
        <f aca="false">IF(F110="","",ROUND(F110-G110,2))</f>
        <v/>
      </c>
      <c r="I110" s="10" t="str">
        <f aca="false">IF(F110="","",ROUND(G110*OMR_RATE+H110*OMR_OT+MIN(N(E110),G110)*(GYP_RATE-OMR_RATE)+MAX(0,MIN(N(E110),F110)-G110)*(GYP_RATE-OMR_OT),3))</f>
        <v/>
      </c>
      <c r="J110" s="34"/>
    </row>
    <row r="111" customFormat="false" ht="19.5" hidden="false" customHeight="true" outlineLevel="0" collapsed="false">
      <c r="A111" s="31"/>
      <c r="B111" s="8" t="str">
        <f aca="false">IF(A111="","",CHOOSE(WEEKDAY(A111,1),"الأحد","الاثنين","الثلاثاء","الأربعاء","الخميس","الجمعة","السبت"))</f>
        <v/>
      </c>
      <c r="C111" s="32"/>
      <c r="D111" s="32"/>
      <c r="E111" s="33"/>
      <c r="F111" s="9" t="str">
        <f aca="false">IF(OR(C111="",D111=""),"",ROUND(MOD(D111-C111,1)*24,2))</f>
        <v/>
      </c>
      <c r="G111" s="9" t="str">
        <f aca="false">IF(F111="","",IF(WEEKDAY(A111,1)=6,F111,ROUND(MAX(0,MIN(D111,OMR_OT_AT)-C111)*24,2)))</f>
        <v/>
      </c>
      <c r="H111" s="9" t="str">
        <f aca="false">IF(F111="","",ROUND(F111-G111,2))</f>
        <v/>
      </c>
      <c r="I111" s="10" t="str">
        <f aca="false">IF(F111="","",ROUND(G111*OMR_RATE+H111*OMR_OT+MIN(N(E111),G111)*(GYP_RATE-OMR_RATE)+MAX(0,MIN(N(E111),F111)-G111)*(GYP_RATE-OMR_OT),3))</f>
        <v/>
      </c>
      <c r="J111" s="34"/>
    </row>
    <row r="112" customFormat="false" ht="19.5" hidden="false" customHeight="true" outlineLevel="0" collapsed="false">
      <c r="A112" s="31"/>
      <c r="B112" s="8" t="str">
        <f aca="false">IF(A112="","",CHOOSE(WEEKDAY(A112,1),"الأحد","الاثنين","الثلاثاء","الأربعاء","الخميس","الجمعة","السبت"))</f>
        <v/>
      </c>
      <c r="C112" s="32"/>
      <c r="D112" s="32"/>
      <c r="E112" s="33"/>
      <c r="F112" s="9" t="str">
        <f aca="false">IF(OR(C112="",D112=""),"",ROUND(MOD(D112-C112,1)*24,2))</f>
        <v/>
      </c>
      <c r="G112" s="9" t="str">
        <f aca="false">IF(F112="","",IF(WEEKDAY(A112,1)=6,F112,ROUND(MAX(0,MIN(D112,OMR_OT_AT)-C112)*24,2)))</f>
        <v/>
      </c>
      <c r="H112" s="9" t="str">
        <f aca="false">IF(F112="","",ROUND(F112-G112,2))</f>
        <v/>
      </c>
      <c r="I112" s="10" t="str">
        <f aca="false">IF(F112="","",ROUND(G112*OMR_RATE+H112*OMR_OT+MIN(N(E112),G112)*(GYP_RATE-OMR_RATE)+MAX(0,MIN(N(E112),F112)-G112)*(GYP_RATE-OMR_OT),3))</f>
        <v/>
      </c>
      <c r="J112" s="34"/>
    </row>
    <row r="113" customFormat="false" ht="19.5" hidden="false" customHeight="true" outlineLevel="0" collapsed="false">
      <c r="A113" s="31"/>
      <c r="B113" s="8" t="str">
        <f aca="false">IF(A113="","",CHOOSE(WEEKDAY(A113,1),"الأحد","الاثنين","الثلاثاء","الأربعاء","الخميس","الجمعة","السبت"))</f>
        <v/>
      </c>
      <c r="C113" s="32"/>
      <c r="D113" s="32"/>
      <c r="E113" s="33"/>
      <c r="F113" s="9" t="str">
        <f aca="false">IF(OR(C113="",D113=""),"",ROUND(MOD(D113-C113,1)*24,2))</f>
        <v/>
      </c>
      <c r="G113" s="9" t="str">
        <f aca="false">IF(F113="","",IF(WEEKDAY(A113,1)=6,F113,ROUND(MAX(0,MIN(D113,OMR_OT_AT)-C113)*24,2)))</f>
        <v/>
      </c>
      <c r="H113" s="9" t="str">
        <f aca="false">IF(F113="","",ROUND(F113-G113,2))</f>
        <v/>
      </c>
      <c r="I113" s="10" t="str">
        <f aca="false">IF(F113="","",ROUND(G113*OMR_RATE+H113*OMR_OT+MIN(N(E113),G113)*(GYP_RATE-OMR_RATE)+MAX(0,MIN(N(E113),F113)-G113)*(GYP_RATE-OMR_OT),3))</f>
        <v/>
      </c>
      <c r="J113" s="34"/>
    </row>
    <row r="114" customFormat="false" ht="19.5" hidden="false" customHeight="true" outlineLevel="0" collapsed="false">
      <c r="A114" s="31"/>
      <c r="B114" s="8" t="str">
        <f aca="false">IF(A114="","",CHOOSE(WEEKDAY(A114,1),"الأحد","الاثنين","الثلاثاء","الأربعاء","الخميس","الجمعة","السبت"))</f>
        <v/>
      </c>
      <c r="C114" s="32"/>
      <c r="D114" s="32"/>
      <c r="E114" s="33"/>
      <c r="F114" s="9" t="str">
        <f aca="false">IF(OR(C114="",D114=""),"",ROUND(MOD(D114-C114,1)*24,2))</f>
        <v/>
      </c>
      <c r="G114" s="9" t="str">
        <f aca="false">IF(F114="","",IF(WEEKDAY(A114,1)=6,F114,ROUND(MAX(0,MIN(D114,OMR_OT_AT)-C114)*24,2)))</f>
        <v/>
      </c>
      <c r="H114" s="9" t="str">
        <f aca="false">IF(F114="","",ROUND(F114-G114,2))</f>
        <v/>
      </c>
      <c r="I114" s="10" t="str">
        <f aca="false">IF(F114="","",ROUND(G114*OMR_RATE+H114*OMR_OT+MIN(N(E114),G114)*(GYP_RATE-OMR_RATE)+MAX(0,MIN(N(E114),F114)-G114)*(GYP_RATE-OMR_OT),3))</f>
        <v/>
      </c>
      <c r="J114" s="34"/>
    </row>
    <row r="115" customFormat="false" ht="19.5" hidden="false" customHeight="true" outlineLevel="0" collapsed="false">
      <c r="A115" s="31"/>
      <c r="B115" s="8" t="str">
        <f aca="false">IF(A115="","",CHOOSE(WEEKDAY(A115,1),"الأحد","الاثنين","الثلاثاء","الأربعاء","الخميس","الجمعة","السبت"))</f>
        <v/>
      </c>
      <c r="C115" s="32"/>
      <c r="D115" s="32"/>
      <c r="E115" s="33"/>
      <c r="F115" s="9" t="str">
        <f aca="false">IF(OR(C115="",D115=""),"",ROUND(MOD(D115-C115,1)*24,2))</f>
        <v/>
      </c>
      <c r="G115" s="9" t="str">
        <f aca="false">IF(F115="","",IF(WEEKDAY(A115,1)=6,F115,ROUND(MAX(0,MIN(D115,OMR_OT_AT)-C115)*24,2)))</f>
        <v/>
      </c>
      <c r="H115" s="9" t="str">
        <f aca="false">IF(F115="","",ROUND(F115-G115,2))</f>
        <v/>
      </c>
      <c r="I115" s="10" t="str">
        <f aca="false">IF(F115="","",ROUND(G115*OMR_RATE+H115*OMR_OT+MIN(N(E115),G115)*(GYP_RATE-OMR_RATE)+MAX(0,MIN(N(E115),F115)-G115)*(GYP_RATE-OMR_OT),3))</f>
        <v/>
      </c>
      <c r="J115" s="34"/>
    </row>
    <row r="116" customFormat="false" ht="19.5" hidden="false" customHeight="true" outlineLevel="0" collapsed="false">
      <c r="A116" s="31"/>
      <c r="B116" s="8" t="str">
        <f aca="false">IF(A116="","",CHOOSE(WEEKDAY(A116,1),"الأحد","الاثنين","الثلاثاء","الأربعاء","الخميس","الجمعة","السبت"))</f>
        <v/>
      </c>
      <c r="C116" s="32"/>
      <c r="D116" s="32"/>
      <c r="E116" s="33"/>
      <c r="F116" s="9" t="str">
        <f aca="false">IF(OR(C116="",D116=""),"",ROUND(MOD(D116-C116,1)*24,2))</f>
        <v/>
      </c>
      <c r="G116" s="9" t="str">
        <f aca="false">IF(F116="","",IF(WEEKDAY(A116,1)=6,F116,ROUND(MAX(0,MIN(D116,OMR_OT_AT)-C116)*24,2)))</f>
        <v/>
      </c>
      <c r="H116" s="9" t="str">
        <f aca="false">IF(F116="","",ROUND(F116-G116,2))</f>
        <v/>
      </c>
      <c r="I116" s="10" t="str">
        <f aca="false">IF(F116="","",ROUND(G116*OMR_RATE+H116*OMR_OT+MIN(N(E116),G116)*(GYP_RATE-OMR_RATE)+MAX(0,MIN(N(E116),F116)-G116)*(GYP_RATE-OMR_OT),3))</f>
        <v/>
      </c>
      <c r="J116" s="34"/>
    </row>
    <row r="117" customFormat="false" ht="19.5" hidden="false" customHeight="true" outlineLevel="0" collapsed="false">
      <c r="A117" s="31"/>
      <c r="B117" s="8" t="str">
        <f aca="false">IF(A117="","",CHOOSE(WEEKDAY(A117,1),"الأحد","الاثنين","الثلاثاء","الأربعاء","الخميس","الجمعة","السبت"))</f>
        <v/>
      </c>
      <c r="C117" s="32"/>
      <c r="D117" s="32"/>
      <c r="E117" s="33"/>
      <c r="F117" s="9" t="str">
        <f aca="false">IF(OR(C117="",D117=""),"",ROUND(MOD(D117-C117,1)*24,2))</f>
        <v/>
      </c>
      <c r="G117" s="9" t="str">
        <f aca="false">IF(F117="","",IF(WEEKDAY(A117,1)=6,F117,ROUND(MAX(0,MIN(D117,OMR_OT_AT)-C117)*24,2)))</f>
        <v/>
      </c>
      <c r="H117" s="9" t="str">
        <f aca="false">IF(F117="","",ROUND(F117-G117,2))</f>
        <v/>
      </c>
      <c r="I117" s="10" t="str">
        <f aca="false">IF(F117="","",ROUND(G117*OMR_RATE+H117*OMR_OT+MIN(N(E117),G117)*(GYP_RATE-OMR_RATE)+MAX(0,MIN(N(E117),F117)-G117)*(GYP_RATE-OMR_OT),3))</f>
        <v/>
      </c>
      <c r="J117" s="34"/>
    </row>
    <row r="118" customFormat="false" ht="19.5" hidden="false" customHeight="true" outlineLevel="0" collapsed="false">
      <c r="A118" s="31"/>
      <c r="B118" s="8" t="str">
        <f aca="false">IF(A118="","",CHOOSE(WEEKDAY(A118,1),"الأحد","الاثنين","الثلاثاء","الأربعاء","الخميس","الجمعة","السبت"))</f>
        <v/>
      </c>
      <c r="C118" s="32"/>
      <c r="D118" s="32"/>
      <c r="E118" s="33"/>
      <c r="F118" s="9" t="str">
        <f aca="false">IF(OR(C118="",D118=""),"",ROUND(MOD(D118-C118,1)*24,2))</f>
        <v/>
      </c>
      <c r="G118" s="9" t="str">
        <f aca="false">IF(F118="","",IF(WEEKDAY(A118,1)=6,F118,ROUND(MAX(0,MIN(D118,OMR_OT_AT)-C118)*24,2)))</f>
        <v/>
      </c>
      <c r="H118" s="9" t="str">
        <f aca="false">IF(F118="","",ROUND(F118-G118,2))</f>
        <v/>
      </c>
      <c r="I118" s="10" t="str">
        <f aca="false">IF(F118="","",ROUND(G118*OMR_RATE+H118*OMR_OT+MIN(N(E118),G118)*(GYP_RATE-OMR_RATE)+MAX(0,MIN(N(E118),F118)-G118)*(GYP_RATE-OMR_OT),3))</f>
        <v/>
      </c>
      <c r="J118" s="34"/>
    </row>
    <row r="119" customFormat="false" ht="19.5" hidden="false" customHeight="true" outlineLevel="0" collapsed="false">
      <c r="A119" s="31"/>
      <c r="B119" s="8" t="str">
        <f aca="false">IF(A119="","",CHOOSE(WEEKDAY(A119,1),"الأحد","الاثنين","الثلاثاء","الأربعاء","الخميس","الجمعة","السبت"))</f>
        <v/>
      </c>
      <c r="C119" s="32"/>
      <c r="D119" s="32"/>
      <c r="E119" s="33"/>
      <c r="F119" s="9" t="str">
        <f aca="false">IF(OR(C119="",D119=""),"",ROUND(MOD(D119-C119,1)*24,2))</f>
        <v/>
      </c>
      <c r="G119" s="9" t="str">
        <f aca="false">IF(F119="","",IF(WEEKDAY(A119,1)=6,F119,ROUND(MAX(0,MIN(D119,OMR_OT_AT)-C119)*24,2)))</f>
        <v/>
      </c>
      <c r="H119" s="9" t="str">
        <f aca="false">IF(F119="","",ROUND(F119-G119,2))</f>
        <v/>
      </c>
      <c r="I119" s="10" t="str">
        <f aca="false">IF(F119="","",ROUND(G119*OMR_RATE+H119*OMR_OT+MIN(N(E119),G119)*(GYP_RATE-OMR_RATE)+MAX(0,MIN(N(E119),F119)-G119)*(GYP_RATE-OMR_OT),3))</f>
        <v/>
      </c>
      <c r="J119" s="34"/>
    </row>
    <row r="120" customFormat="false" ht="19.5" hidden="false" customHeight="true" outlineLevel="0" collapsed="false">
      <c r="A120" s="31"/>
      <c r="B120" s="8" t="str">
        <f aca="false">IF(A120="","",CHOOSE(WEEKDAY(A120,1),"الأحد","الاثنين","الثلاثاء","الأربعاء","الخميس","الجمعة","السبت"))</f>
        <v/>
      </c>
      <c r="C120" s="32"/>
      <c r="D120" s="32"/>
      <c r="E120" s="33"/>
      <c r="F120" s="9" t="str">
        <f aca="false">IF(OR(C120="",D120=""),"",ROUND(MOD(D120-C120,1)*24,2))</f>
        <v/>
      </c>
      <c r="G120" s="9" t="str">
        <f aca="false">IF(F120="","",IF(WEEKDAY(A120,1)=6,F120,ROUND(MAX(0,MIN(D120,OMR_OT_AT)-C120)*24,2)))</f>
        <v/>
      </c>
      <c r="H120" s="9" t="str">
        <f aca="false">IF(F120="","",ROUND(F120-G120,2))</f>
        <v/>
      </c>
      <c r="I120" s="10" t="str">
        <f aca="false">IF(F120="","",ROUND(G120*OMR_RATE+H120*OMR_OT+MIN(N(E120),G120)*(GYP_RATE-OMR_RATE)+MAX(0,MIN(N(E120),F120)-G120)*(GYP_RATE-OMR_OT),3))</f>
        <v/>
      </c>
      <c r="J120" s="34"/>
    </row>
    <row r="121" customFormat="false" ht="19.5" hidden="false" customHeight="true" outlineLevel="0" collapsed="false">
      <c r="A121" s="31"/>
      <c r="B121" s="8" t="str">
        <f aca="false">IF(A121="","",CHOOSE(WEEKDAY(A121,1),"الأحد","الاثنين","الثلاثاء","الأربعاء","الخميس","الجمعة","السبت"))</f>
        <v/>
      </c>
      <c r="C121" s="32"/>
      <c r="D121" s="32"/>
      <c r="E121" s="33"/>
      <c r="F121" s="9" t="str">
        <f aca="false">IF(OR(C121="",D121=""),"",ROUND(MOD(D121-C121,1)*24,2))</f>
        <v/>
      </c>
      <c r="G121" s="9" t="str">
        <f aca="false">IF(F121="","",IF(WEEKDAY(A121,1)=6,F121,ROUND(MAX(0,MIN(D121,OMR_OT_AT)-C121)*24,2)))</f>
        <v/>
      </c>
      <c r="H121" s="9" t="str">
        <f aca="false">IF(F121="","",ROUND(F121-G121,2))</f>
        <v/>
      </c>
      <c r="I121" s="10" t="str">
        <f aca="false">IF(F121="","",ROUND(G121*OMR_RATE+H121*OMR_OT+MIN(N(E121),G121)*(GYP_RATE-OMR_RATE)+MAX(0,MIN(N(E121),F121)-G121)*(GYP_RATE-OMR_OT),3))</f>
        <v/>
      </c>
      <c r="J121" s="34"/>
    </row>
    <row r="122" customFormat="false" ht="19.5" hidden="false" customHeight="true" outlineLevel="0" collapsed="false">
      <c r="A122" s="31"/>
      <c r="B122" s="8" t="str">
        <f aca="false">IF(A122="","",CHOOSE(WEEKDAY(A122,1),"الأحد","الاثنين","الثلاثاء","الأربعاء","الخميس","الجمعة","السبت"))</f>
        <v/>
      </c>
      <c r="C122" s="32"/>
      <c r="D122" s="32"/>
      <c r="E122" s="33"/>
      <c r="F122" s="9" t="str">
        <f aca="false">IF(OR(C122="",D122=""),"",ROUND(MOD(D122-C122,1)*24,2))</f>
        <v/>
      </c>
      <c r="G122" s="9" t="str">
        <f aca="false">IF(F122="","",IF(WEEKDAY(A122,1)=6,F122,ROUND(MAX(0,MIN(D122,OMR_OT_AT)-C122)*24,2)))</f>
        <v/>
      </c>
      <c r="H122" s="9" t="str">
        <f aca="false">IF(F122="","",ROUND(F122-G122,2))</f>
        <v/>
      </c>
      <c r="I122" s="10" t="str">
        <f aca="false">IF(F122="","",ROUND(G122*OMR_RATE+H122*OMR_OT+MIN(N(E122),G122)*(GYP_RATE-OMR_RATE)+MAX(0,MIN(N(E122),F122)-G122)*(GYP_RATE-OMR_OT),3))</f>
        <v/>
      </c>
      <c r="J122" s="34"/>
    </row>
    <row r="123" customFormat="false" ht="19.5" hidden="false" customHeight="true" outlineLevel="0" collapsed="false">
      <c r="A123" s="31"/>
      <c r="B123" s="8" t="str">
        <f aca="false">IF(A123="","",CHOOSE(WEEKDAY(A123,1),"الأحد","الاثنين","الثلاثاء","الأربعاء","الخميس","الجمعة","السبت"))</f>
        <v/>
      </c>
      <c r="C123" s="32"/>
      <c r="D123" s="32"/>
      <c r="E123" s="33"/>
      <c r="F123" s="9" t="str">
        <f aca="false">IF(OR(C123="",D123=""),"",ROUND(MOD(D123-C123,1)*24,2))</f>
        <v/>
      </c>
      <c r="G123" s="9" t="str">
        <f aca="false">IF(F123="","",IF(WEEKDAY(A123,1)=6,F123,ROUND(MAX(0,MIN(D123,OMR_OT_AT)-C123)*24,2)))</f>
        <v/>
      </c>
      <c r="H123" s="9" t="str">
        <f aca="false">IF(F123="","",ROUND(F123-G123,2))</f>
        <v/>
      </c>
      <c r="I123" s="10" t="str">
        <f aca="false">IF(F123="","",ROUND(G123*OMR_RATE+H123*OMR_OT+MIN(N(E123),G123)*(GYP_RATE-OMR_RATE)+MAX(0,MIN(N(E123),F123)-G123)*(GYP_RATE-OMR_OT),3))</f>
        <v/>
      </c>
      <c r="J123" s="34"/>
    </row>
    <row r="124" customFormat="false" ht="19.5" hidden="false" customHeight="true" outlineLevel="0" collapsed="false">
      <c r="A124" s="31"/>
      <c r="B124" s="8" t="str">
        <f aca="false">IF(A124="","",CHOOSE(WEEKDAY(A124,1),"الأحد","الاثنين","الثلاثاء","الأربعاء","الخميس","الجمعة","السبت"))</f>
        <v/>
      </c>
      <c r="C124" s="32"/>
      <c r="D124" s="32"/>
      <c r="E124" s="33"/>
      <c r="F124" s="9" t="str">
        <f aca="false">IF(OR(C124="",D124=""),"",ROUND(MOD(D124-C124,1)*24,2))</f>
        <v/>
      </c>
      <c r="G124" s="9" t="str">
        <f aca="false">IF(F124="","",IF(WEEKDAY(A124,1)=6,F124,ROUND(MAX(0,MIN(D124,OMR_OT_AT)-C124)*24,2)))</f>
        <v/>
      </c>
      <c r="H124" s="9" t="str">
        <f aca="false">IF(F124="","",ROUND(F124-G124,2))</f>
        <v/>
      </c>
      <c r="I124" s="10" t="str">
        <f aca="false">IF(F124="","",ROUND(G124*OMR_RATE+H124*OMR_OT+MIN(N(E124),G124)*(GYP_RATE-OMR_RATE)+MAX(0,MIN(N(E124),F124)-G124)*(GYP_RATE-OMR_OT),3))</f>
        <v/>
      </c>
      <c r="J124" s="34"/>
    </row>
    <row r="125" customFormat="false" ht="19.5" hidden="false" customHeight="true" outlineLevel="0" collapsed="false">
      <c r="A125" s="31"/>
      <c r="B125" s="8" t="str">
        <f aca="false">IF(A125="","",CHOOSE(WEEKDAY(A125,1),"الأحد","الاثنين","الثلاثاء","الأربعاء","الخميس","الجمعة","السبت"))</f>
        <v/>
      </c>
      <c r="C125" s="32"/>
      <c r="D125" s="32"/>
      <c r="E125" s="33"/>
      <c r="F125" s="9" t="str">
        <f aca="false">IF(OR(C125="",D125=""),"",ROUND(MOD(D125-C125,1)*24,2))</f>
        <v/>
      </c>
      <c r="G125" s="9" t="str">
        <f aca="false">IF(F125="","",IF(WEEKDAY(A125,1)=6,F125,ROUND(MAX(0,MIN(D125,OMR_OT_AT)-C125)*24,2)))</f>
        <v/>
      </c>
      <c r="H125" s="9" t="str">
        <f aca="false">IF(F125="","",ROUND(F125-G125,2))</f>
        <v/>
      </c>
      <c r="I125" s="10" t="str">
        <f aca="false">IF(F125="","",ROUND(G125*OMR_RATE+H125*OMR_OT+MIN(N(E125),G125)*(GYP_RATE-OMR_RATE)+MAX(0,MIN(N(E125),F125)-G125)*(GYP_RATE-OMR_OT),3))</f>
        <v/>
      </c>
      <c r="J125" s="34"/>
    </row>
    <row r="126" customFormat="false" ht="19.5" hidden="false" customHeight="true" outlineLevel="0" collapsed="false">
      <c r="A126" s="31"/>
      <c r="B126" s="8" t="str">
        <f aca="false">IF(A126="","",CHOOSE(WEEKDAY(A126,1),"الأحد","الاثنين","الثلاثاء","الأربعاء","الخميس","الجمعة","السبت"))</f>
        <v/>
      </c>
      <c r="C126" s="32"/>
      <c r="D126" s="32"/>
      <c r="E126" s="33"/>
      <c r="F126" s="9" t="str">
        <f aca="false">IF(OR(C126="",D126=""),"",ROUND(MOD(D126-C126,1)*24,2))</f>
        <v/>
      </c>
      <c r="G126" s="9" t="str">
        <f aca="false">IF(F126="","",IF(WEEKDAY(A126,1)=6,F126,ROUND(MAX(0,MIN(D126,OMR_OT_AT)-C126)*24,2)))</f>
        <v/>
      </c>
      <c r="H126" s="9" t="str">
        <f aca="false">IF(F126="","",ROUND(F126-G126,2))</f>
        <v/>
      </c>
      <c r="I126" s="10" t="str">
        <f aca="false">IF(F126="","",ROUND(G126*OMR_RATE+H126*OMR_OT+MIN(N(E126),G126)*(GYP_RATE-OMR_RATE)+MAX(0,MIN(N(E126),F126)-G126)*(GYP_RATE-OMR_OT),3))</f>
        <v/>
      </c>
      <c r="J126" s="34"/>
    </row>
    <row r="127" customFormat="false" ht="19.5" hidden="false" customHeight="true" outlineLevel="0" collapsed="false">
      <c r="A127" s="31"/>
      <c r="B127" s="8" t="str">
        <f aca="false">IF(A127="","",CHOOSE(WEEKDAY(A127,1),"الأحد","الاثنين","الثلاثاء","الأربعاء","الخميس","الجمعة","السبت"))</f>
        <v/>
      </c>
      <c r="C127" s="32"/>
      <c r="D127" s="32"/>
      <c r="E127" s="33"/>
      <c r="F127" s="9" t="str">
        <f aca="false">IF(OR(C127="",D127=""),"",ROUND(MOD(D127-C127,1)*24,2))</f>
        <v/>
      </c>
      <c r="G127" s="9" t="str">
        <f aca="false">IF(F127="","",IF(WEEKDAY(A127,1)=6,F127,ROUND(MAX(0,MIN(D127,OMR_OT_AT)-C127)*24,2)))</f>
        <v/>
      </c>
      <c r="H127" s="9" t="str">
        <f aca="false">IF(F127="","",ROUND(F127-G127,2))</f>
        <v/>
      </c>
      <c r="I127" s="10" t="str">
        <f aca="false">IF(F127="","",ROUND(G127*OMR_RATE+H127*OMR_OT+MIN(N(E127),G127)*(GYP_RATE-OMR_RATE)+MAX(0,MIN(N(E127),F127)-G127)*(GYP_RATE-OMR_OT),3))</f>
        <v/>
      </c>
      <c r="J127" s="34"/>
    </row>
    <row r="128" customFormat="false" ht="19.5" hidden="false" customHeight="true" outlineLevel="0" collapsed="false">
      <c r="A128" s="31"/>
      <c r="B128" s="8" t="str">
        <f aca="false">IF(A128="","",CHOOSE(WEEKDAY(A128,1),"الأحد","الاثنين","الثلاثاء","الأربعاء","الخميس","الجمعة","السبت"))</f>
        <v/>
      </c>
      <c r="C128" s="32"/>
      <c r="D128" s="32"/>
      <c r="E128" s="33"/>
      <c r="F128" s="9" t="str">
        <f aca="false">IF(OR(C128="",D128=""),"",ROUND(MOD(D128-C128,1)*24,2))</f>
        <v/>
      </c>
      <c r="G128" s="9" t="str">
        <f aca="false">IF(F128="","",IF(WEEKDAY(A128,1)=6,F128,ROUND(MAX(0,MIN(D128,OMR_OT_AT)-C128)*24,2)))</f>
        <v/>
      </c>
      <c r="H128" s="9" t="str">
        <f aca="false">IF(F128="","",ROUND(F128-G128,2))</f>
        <v/>
      </c>
      <c r="I128" s="10" t="str">
        <f aca="false">IF(F128="","",ROUND(G128*OMR_RATE+H128*OMR_OT+MIN(N(E128),G128)*(GYP_RATE-OMR_RATE)+MAX(0,MIN(N(E128),F128)-G128)*(GYP_RATE-OMR_OT),3))</f>
        <v/>
      </c>
      <c r="J128" s="34"/>
    </row>
    <row r="129" customFormat="false" ht="19.5" hidden="false" customHeight="true" outlineLevel="0" collapsed="false">
      <c r="A129" s="31"/>
      <c r="B129" s="8" t="str">
        <f aca="false">IF(A129="","",CHOOSE(WEEKDAY(A129,1),"الأحد","الاثنين","الثلاثاء","الأربعاء","الخميس","الجمعة","السبت"))</f>
        <v/>
      </c>
      <c r="C129" s="32"/>
      <c r="D129" s="32"/>
      <c r="E129" s="33"/>
      <c r="F129" s="9" t="str">
        <f aca="false">IF(OR(C129="",D129=""),"",ROUND(MOD(D129-C129,1)*24,2))</f>
        <v/>
      </c>
      <c r="G129" s="9" t="str">
        <f aca="false">IF(F129="","",IF(WEEKDAY(A129,1)=6,F129,ROUND(MAX(0,MIN(D129,OMR_OT_AT)-C129)*24,2)))</f>
        <v/>
      </c>
      <c r="H129" s="9" t="str">
        <f aca="false">IF(F129="","",ROUND(F129-G129,2))</f>
        <v/>
      </c>
      <c r="I129" s="10" t="str">
        <f aca="false">IF(F129="","",ROUND(G129*OMR_RATE+H129*OMR_OT+MIN(N(E129),G129)*(GYP_RATE-OMR_RATE)+MAX(0,MIN(N(E129),F129)-G129)*(GYP_RATE-OMR_OT),3))</f>
        <v/>
      </c>
      <c r="J129" s="34"/>
    </row>
    <row r="130" customFormat="false" ht="19.5" hidden="false" customHeight="true" outlineLevel="0" collapsed="false">
      <c r="A130" s="31"/>
      <c r="B130" s="8" t="str">
        <f aca="false">IF(A130="","",CHOOSE(WEEKDAY(A130,1),"الأحد","الاثنين","الثلاثاء","الأربعاء","الخميس","الجمعة","السبت"))</f>
        <v/>
      </c>
      <c r="C130" s="32"/>
      <c r="D130" s="32"/>
      <c r="E130" s="33"/>
      <c r="F130" s="9" t="str">
        <f aca="false">IF(OR(C130="",D130=""),"",ROUND(MOD(D130-C130,1)*24,2))</f>
        <v/>
      </c>
      <c r="G130" s="9" t="str">
        <f aca="false">IF(F130="","",IF(WEEKDAY(A130,1)=6,F130,ROUND(MAX(0,MIN(D130,OMR_OT_AT)-C130)*24,2)))</f>
        <v/>
      </c>
      <c r="H130" s="9" t="str">
        <f aca="false">IF(F130="","",ROUND(F130-G130,2))</f>
        <v/>
      </c>
      <c r="I130" s="10" t="str">
        <f aca="false">IF(F130="","",ROUND(G130*OMR_RATE+H130*OMR_OT+MIN(N(E130),G130)*(GYP_RATE-OMR_RATE)+MAX(0,MIN(N(E130),F130)-G130)*(GYP_RATE-OMR_OT),3))</f>
        <v/>
      </c>
      <c r="J130" s="34"/>
    </row>
    <row r="131" customFormat="false" ht="19.5" hidden="false" customHeight="true" outlineLevel="0" collapsed="false">
      <c r="A131" s="31"/>
      <c r="B131" s="8" t="str">
        <f aca="false">IF(A131="","",CHOOSE(WEEKDAY(A131,1),"الأحد","الاثنين","الثلاثاء","الأربعاء","الخميس","الجمعة","السبت"))</f>
        <v/>
      </c>
      <c r="C131" s="32"/>
      <c r="D131" s="32"/>
      <c r="E131" s="33"/>
      <c r="F131" s="9" t="str">
        <f aca="false">IF(OR(C131="",D131=""),"",ROUND(MOD(D131-C131,1)*24,2))</f>
        <v/>
      </c>
      <c r="G131" s="9" t="str">
        <f aca="false">IF(F131="","",IF(WEEKDAY(A131,1)=6,F131,ROUND(MAX(0,MIN(D131,OMR_OT_AT)-C131)*24,2)))</f>
        <v/>
      </c>
      <c r="H131" s="9" t="str">
        <f aca="false">IF(F131="","",ROUND(F131-G131,2))</f>
        <v/>
      </c>
      <c r="I131" s="10" t="str">
        <f aca="false">IF(F131="","",ROUND(G131*OMR_RATE+H131*OMR_OT+MIN(N(E131),G131)*(GYP_RATE-OMR_RATE)+MAX(0,MIN(N(E131),F131)-G131)*(GYP_RATE-OMR_OT),3))</f>
        <v/>
      </c>
      <c r="J131" s="34"/>
    </row>
    <row r="132" customFormat="false" ht="19.5" hidden="false" customHeight="true" outlineLevel="0" collapsed="false">
      <c r="A132" s="31"/>
      <c r="B132" s="8" t="str">
        <f aca="false">IF(A132="","",CHOOSE(WEEKDAY(A132,1),"الأحد","الاثنين","الثلاثاء","الأربعاء","الخميس","الجمعة","السبت"))</f>
        <v/>
      </c>
      <c r="C132" s="32"/>
      <c r="D132" s="32"/>
      <c r="E132" s="33"/>
      <c r="F132" s="9" t="str">
        <f aca="false">IF(OR(C132="",D132=""),"",ROUND(MOD(D132-C132,1)*24,2))</f>
        <v/>
      </c>
      <c r="G132" s="9" t="str">
        <f aca="false">IF(F132="","",IF(WEEKDAY(A132,1)=6,F132,ROUND(MAX(0,MIN(D132,OMR_OT_AT)-C132)*24,2)))</f>
        <v/>
      </c>
      <c r="H132" s="9" t="str">
        <f aca="false">IF(F132="","",ROUND(F132-G132,2))</f>
        <v/>
      </c>
      <c r="I132" s="10" t="str">
        <f aca="false">IF(F132="","",ROUND(G132*OMR_RATE+H132*OMR_OT+MIN(N(E132),G132)*(GYP_RATE-OMR_RATE)+MAX(0,MIN(N(E132),F132)-G132)*(GYP_RATE-OMR_OT),3))</f>
        <v/>
      </c>
      <c r="J132" s="34"/>
    </row>
    <row r="133" customFormat="false" ht="19.5" hidden="false" customHeight="true" outlineLevel="0" collapsed="false">
      <c r="A133" s="31"/>
      <c r="B133" s="8" t="str">
        <f aca="false">IF(A133="","",CHOOSE(WEEKDAY(A133,1),"الأحد","الاثنين","الثلاثاء","الأربعاء","الخميس","الجمعة","السبت"))</f>
        <v/>
      </c>
      <c r="C133" s="32"/>
      <c r="D133" s="32"/>
      <c r="E133" s="33"/>
      <c r="F133" s="9" t="str">
        <f aca="false">IF(OR(C133="",D133=""),"",ROUND(MOD(D133-C133,1)*24,2))</f>
        <v/>
      </c>
      <c r="G133" s="9" t="str">
        <f aca="false">IF(F133="","",IF(WEEKDAY(A133,1)=6,F133,ROUND(MAX(0,MIN(D133,OMR_OT_AT)-C133)*24,2)))</f>
        <v/>
      </c>
      <c r="H133" s="9" t="str">
        <f aca="false">IF(F133="","",ROUND(F133-G133,2))</f>
        <v/>
      </c>
      <c r="I133" s="10" t="str">
        <f aca="false">IF(F133="","",ROUND(G133*OMR_RATE+H133*OMR_OT+MIN(N(E133),G133)*(GYP_RATE-OMR_RATE)+MAX(0,MIN(N(E133),F133)-G133)*(GYP_RATE-OMR_OT),3))</f>
        <v/>
      </c>
      <c r="J133" s="34"/>
    </row>
    <row r="134" customFormat="false" ht="19.5" hidden="false" customHeight="true" outlineLevel="0" collapsed="false">
      <c r="A134" s="31"/>
      <c r="B134" s="8" t="str">
        <f aca="false">IF(A134="","",CHOOSE(WEEKDAY(A134,1),"الأحد","الاثنين","الثلاثاء","الأربعاء","الخميس","الجمعة","السبت"))</f>
        <v/>
      </c>
      <c r="C134" s="32"/>
      <c r="D134" s="32"/>
      <c r="E134" s="33"/>
      <c r="F134" s="9" t="str">
        <f aca="false">IF(OR(C134="",D134=""),"",ROUND(MOD(D134-C134,1)*24,2))</f>
        <v/>
      </c>
      <c r="G134" s="9" t="str">
        <f aca="false">IF(F134="","",IF(WEEKDAY(A134,1)=6,F134,ROUND(MAX(0,MIN(D134,OMR_OT_AT)-C134)*24,2)))</f>
        <v/>
      </c>
      <c r="H134" s="9" t="str">
        <f aca="false">IF(F134="","",ROUND(F134-G134,2))</f>
        <v/>
      </c>
      <c r="I134" s="10" t="str">
        <f aca="false">IF(F134="","",ROUND(G134*OMR_RATE+H134*OMR_OT+MIN(N(E134),G134)*(GYP_RATE-OMR_RATE)+MAX(0,MIN(N(E134),F134)-G134)*(GYP_RATE-OMR_OT),3))</f>
        <v/>
      </c>
      <c r="J134" s="34"/>
    </row>
    <row r="135" customFormat="false" ht="19.5" hidden="false" customHeight="true" outlineLevel="0" collapsed="false">
      <c r="A135" s="31"/>
      <c r="B135" s="8" t="str">
        <f aca="false">IF(A135="","",CHOOSE(WEEKDAY(A135,1),"الأحد","الاثنين","الثلاثاء","الأربعاء","الخميس","الجمعة","السبت"))</f>
        <v/>
      </c>
      <c r="C135" s="32"/>
      <c r="D135" s="32"/>
      <c r="E135" s="33"/>
      <c r="F135" s="9" t="str">
        <f aca="false">IF(OR(C135="",D135=""),"",ROUND(MOD(D135-C135,1)*24,2))</f>
        <v/>
      </c>
      <c r="G135" s="9" t="str">
        <f aca="false">IF(F135="","",IF(WEEKDAY(A135,1)=6,F135,ROUND(MAX(0,MIN(D135,OMR_OT_AT)-C135)*24,2)))</f>
        <v/>
      </c>
      <c r="H135" s="9" t="str">
        <f aca="false">IF(F135="","",ROUND(F135-G135,2))</f>
        <v/>
      </c>
      <c r="I135" s="10" t="str">
        <f aca="false">IF(F135="","",ROUND(G135*OMR_RATE+H135*OMR_OT+MIN(N(E135),G135)*(GYP_RATE-OMR_RATE)+MAX(0,MIN(N(E135),F135)-G135)*(GYP_RATE-OMR_OT),3))</f>
        <v/>
      </c>
      <c r="J135" s="34"/>
    </row>
    <row r="136" customFormat="false" ht="19.5" hidden="false" customHeight="true" outlineLevel="0" collapsed="false">
      <c r="A136" s="31"/>
      <c r="B136" s="8" t="str">
        <f aca="false">IF(A136="","",CHOOSE(WEEKDAY(A136,1),"الأحد","الاثنين","الثلاثاء","الأربعاء","الخميس","الجمعة","السبت"))</f>
        <v/>
      </c>
      <c r="C136" s="32"/>
      <c r="D136" s="32"/>
      <c r="E136" s="33"/>
      <c r="F136" s="9" t="str">
        <f aca="false">IF(OR(C136="",D136=""),"",ROUND(MOD(D136-C136,1)*24,2))</f>
        <v/>
      </c>
      <c r="G136" s="9" t="str">
        <f aca="false">IF(F136="","",IF(WEEKDAY(A136,1)=6,F136,ROUND(MAX(0,MIN(D136,OMR_OT_AT)-C136)*24,2)))</f>
        <v/>
      </c>
      <c r="H136" s="9" t="str">
        <f aca="false">IF(F136="","",ROUND(F136-G136,2))</f>
        <v/>
      </c>
      <c r="I136" s="10" t="str">
        <f aca="false">IF(F136="","",ROUND(G136*OMR_RATE+H136*OMR_OT+MIN(N(E136),G136)*(GYP_RATE-OMR_RATE)+MAX(0,MIN(N(E136),F136)-G136)*(GYP_RATE-OMR_OT),3))</f>
        <v/>
      </c>
      <c r="J136" s="34"/>
    </row>
    <row r="137" customFormat="false" ht="19.5" hidden="false" customHeight="true" outlineLevel="0" collapsed="false">
      <c r="A137" s="31"/>
      <c r="B137" s="8" t="str">
        <f aca="false">IF(A137="","",CHOOSE(WEEKDAY(A137,1),"الأحد","الاثنين","الثلاثاء","الأربعاء","الخميس","الجمعة","السبت"))</f>
        <v/>
      </c>
      <c r="C137" s="32"/>
      <c r="D137" s="32"/>
      <c r="E137" s="33"/>
      <c r="F137" s="9" t="str">
        <f aca="false">IF(OR(C137="",D137=""),"",ROUND(MOD(D137-C137,1)*24,2))</f>
        <v/>
      </c>
      <c r="G137" s="9" t="str">
        <f aca="false">IF(F137="","",IF(WEEKDAY(A137,1)=6,F137,ROUND(MAX(0,MIN(D137,OMR_OT_AT)-C137)*24,2)))</f>
        <v/>
      </c>
      <c r="H137" s="9" t="str">
        <f aca="false">IF(F137="","",ROUND(F137-G137,2))</f>
        <v/>
      </c>
      <c r="I137" s="10" t="str">
        <f aca="false">IF(F137="","",ROUND(G137*OMR_RATE+H137*OMR_OT+MIN(N(E137),G137)*(GYP_RATE-OMR_RATE)+MAX(0,MIN(N(E137),F137)-G137)*(GYP_RATE-OMR_OT),3))</f>
        <v/>
      </c>
      <c r="J137" s="34"/>
    </row>
    <row r="138" customFormat="false" ht="19.5" hidden="false" customHeight="true" outlineLevel="0" collapsed="false">
      <c r="A138" s="31"/>
      <c r="B138" s="8" t="str">
        <f aca="false">IF(A138="","",CHOOSE(WEEKDAY(A138,1),"الأحد","الاثنين","الثلاثاء","الأربعاء","الخميس","الجمعة","السبت"))</f>
        <v/>
      </c>
      <c r="C138" s="32"/>
      <c r="D138" s="32"/>
      <c r="E138" s="33"/>
      <c r="F138" s="9" t="str">
        <f aca="false">IF(OR(C138="",D138=""),"",ROUND(MOD(D138-C138,1)*24,2))</f>
        <v/>
      </c>
      <c r="G138" s="9" t="str">
        <f aca="false">IF(F138="","",IF(WEEKDAY(A138,1)=6,F138,ROUND(MAX(0,MIN(D138,OMR_OT_AT)-C138)*24,2)))</f>
        <v/>
      </c>
      <c r="H138" s="9" t="str">
        <f aca="false">IF(F138="","",ROUND(F138-G138,2))</f>
        <v/>
      </c>
      <c r="I138" s="10" t="str">
        <f aca="false">IF(F138="","",ROUND(G138*OMR_RATE+H138*OMR_OT+MIN(N(E138),G138)*(GYP_RATE-OMR_RATE)+MAX(0,MIN(N(E138),F138)-G138)*(GYP_RATE-OMR_OT),3))</f>
        <v/>
      </c>
      <c r="J138" s="34"/>
    </row>
    <row r="139" customFormat="false" ht="19.5" hidden="false" customHeight="true" outlineLevel="0" collapsed="false">
      <c r="A139" s="31"/>
      <c r="B139" s="8" t="str">
        <f aca="false">IF(A139="","",CHOOSE(WEEKDAY(A139,1),"الأحد","الاثنين","الثلاثاء","الأربعاء","الخميس","الجمعة","السبت"))</f>
        <v/>
      </c>
      <c r="C139" s="32"/>
      <c r="D139" s="32"/>
      <c r="E139" s="33"/>
      <c r="F139" s="9" t="str">
        <f aca="false">IF(OR(C139="",D139=""),"",ROUND(MOD(D139-C139,1)*24,2))</f>
        <v/>
      </c>
      <c r="G139" s="9" t="str">
        <f aca="false">IF(F139="","",IF(WEEKDAY(A139,1)=6,F139,ROUND(MAX(0,MIN(D139,OMR_OT_AT)-C139)*24,2)))</f>
        <v/>
      </c>
      <c r="H139" s="9" t="str">
        <f aca="false">IF(F139="","",ROUND(F139-G139,2))</f>
        <v/>
      </c>
      <c r="I139" s="10" t="str">
        <f aca="false">IF(F139="","",ROUND(G139*OMR_RATE+H139*OMR_OT+MIN(N(E139),G139)*(GYP_RATE-OMR_RATE)+MAX(0,MIN(N(E139),F139)-G139)*(GYP_RATE-OMR_OT),3))</f>
        <v/>
      </c>
      <c r="J139" s="34"/>
    </row>
    <row r="140" customFormat="false" ht="19.5" hidden="false" customHeight="true" outlineLevel="0" collapsed="false">
      <c r="A140" s="31"/>
      <c r="B140" s="8" t="str">
        <f aca="false">IF(A140="","",CHOOSE(WEEKDAY(A140,1),"الأحد","الاثنين","الثلاثاء","الأربعاء","الخميس","الجمعة","السبت"))</f>
        <v/>
      </c>
      <c r="C140" s="32"/>
      <c r="D140" s="32"/>
      <c r="E140" s="33"/>
      <c r="F140" s="9" t="str">
        <f aca="false">IF(OR(C140="",D140=""),"",ROUND(MOD(D140-C140,1)*24,2))</f>
        <v/>
      </c>
      <c r="G140" s="9" t="str">
        <f aca="false">IF(F140="","",IF(WEEKDAY(A140,1)=6,F140,ROUND(MAX(0,MIN(D140,OMR_OT_AT)-C140)*24,2)))</f>
        <v/>
      </c>
      <c r="H140" s="9" t="str">
        <f aca="false">IF(F140="","",ROUND(F140-G140,2))</f>
        <v/>
      </c>
      <c r="I140" s="10" t="str">
        <f aca="false">IF(F140="","",ROUND(G140*OMR_RATE+H140*OMR_OT+MIN(N(E140),G140)*(GYP_RATE-OMR_RATE)+MAX(0,MIN(N(E140),F140)-G140)*(GYP_RATE-OMR_OT),3))</f>
        <v/>
      </c>
      <c r="J140" s="34"/>
    </row>
    <row r="141" customFormat="false" ht="19.5" hidden="false" customHeight="true" outlineLevel="0" collapsed="false">
      <c r="A141" s="31"/>
      <c r="B141" s="8" t="str">
        <f aca="false">IF(A141="","",CHOOSE(WEEKDAY(A141,1),"الأحد","الاثنين","الثلاثاء","الأربعاء","الخميس","الجمعة","السبت"))</f>
        <v/>
      </c>
      <c r="C141" s="32"/>
      <c r="D141" s="32"/>
      <c r="E141" s="33"/>
      <c r="F141" s="9" t="str">
        <f aca="false">IF(OR(C141="",D141=""),"",ROUND(MOD(D141-C141,1)*24,2))</f>
        <v/>
      </c>
      <c r="G141" s="9" t="str">
        <f aca="false">IF(F141="","",IF(WEEKDAY(A141,1)=6,F141,ROUND(MAX(0,MIN(D141,OMR_OT_AT)-C141)*24,2)))</f>
        <v/>
      </c>
      <c r="H141" s="9" t="str">
        <f aca="false">IF(F141="","",ROUND(F141-G141,2))</f>
        <v/>
      </c>
      <c r="I141" s="10" t="str">
        <f aca="false">IF(F141="","",ROUND(G141*OMR_RATE+H141*OMR_OT+MIN(N(E141),G141)*(GYP_RATE-OMR_RATE)+MAX(0,MIN(N(E141),F141)-G141)*(GYP_RATE-OMR_OT),3))</f>
        <v/>
      </c>
      <c r="J141" s="34"/>
    </row>
    <row r="142" customFormat="false" ht="19.5" hidden="false" customHeight="true" outlineLevel="0" collapsed="false">
      <c r="A142" s="31"/>
      <c r="B142" s="8" t="str">
        <f aca="false">IF(A142="","",CHOOSE(WEEKDAY(A142,1),"الأحد","الاثنين","الثلاثاء","الأربعاء","الخميس","الجمعة","السبت"))</f>
        <v/>
      </c>
      <c r="C142" s="32"/>
      <c r="D142" s="32"/>
      <c r="E142" s="33"/>
      <c r="F142" s="9" t="str">
        <f aca="false">IF(OR(C142="",D142=""),"",ROUND(MOD(D142-C142,1)*24,2))</f>
        <v/>
      </c>
      <c r="G142" s="9" t="str">
        <f aca="false">IF(F142="","",IF(WEEKDAY(A142,1)=6,F142,ROUND(MAX(0,MIN(D142,OMR_OT_AT)-C142)*24,2)))</f>
        <v/>
      </c>
      <c r="H142" s="9" t="str">
        <f aca="false">IF(F142="","",ROUND(F142-G142,2))</f>
        <v/>
      </c>
      <c r="I142" s="10" t="str">
        <f aca="false">IF(F142="","",ROUND(G142*OMR_RATE+H142*OMR_OT+MIN(N(E142),G142)*(GYP_RATE-OMR_RATE)+MAX(0,MIN(N(E142),F142)-G142)*(GYP_RATE-OMR_OT),3))</f>
        <v/>
      </c>
      <c r="J142" s="34"/>
    </row>
    <row r="143" customFormat="false" ht="19.5" hidden="false" customHeight="true" outlineLevel="0" collapsed="false">
      <c r="A143" s="31"/>
      <c r="B143" s="8" t="str">
        <f aca="false">IF(A143="","",CHOOSE(WEEKDAY(A143,1),"الأحد","الاثنين","الثلاثاء","الأربعاء","الخميس","الجمعة","السبت"))</f>
        <v/>
      </c>
      <c r="C143" s="32"/>
      <c r="D143" s="32"/>
      <c r="E143" s="33"/>
      <c r="F143" s="9" t="str">
        <f aca="false">IF(OR(C143="",D143=""),"",ROUND(MOD(D143-C143,1)*24,2))</f>
        <v/>
      </c>
      <c r="G143" s="9" t="str">
        <f aca="false">IF(F143="","",IF(WEEKDAY(A143,1)=6,F143,ROUND(MAX(0,MIN(D143,OMR_OT_AT)-C143)*24,2)))</f>
        <v/>
      </c>
      <c r="H143" s="9" t="str">
        <f aca="false">IF(F143="","",ROUND(F143-G143,2))</f>
        <v/>
      </c>
      <c r="I143" s="10" t="str">
        <f aca="false">IF(F143="","",ROUND(G143*OMR_RATE+H143*OMR_OT+MIN(N(E143),G143)*(GYP_RATE-OMR_RATE)+MAX(0,MIN(N(E143),F143)-G143)*(GYP_RATE-OMR_OT),3))</f>
        <v/>
      </c>
      <c r="J143" s="34"/>
    </row>
    <row r="144" customFormat="false" ht="19.5" hidden="false" customHeight="true" outlineLevel="0" collapsed="false">
      <c r="A144" s="31"/>
      <c r="B144" s="8" t="str">
        <f aca="false">IF(A144="","",CHOOSE(WEEKDAY(A144,1),"الأحد","الاثنين","الثلاثاء","الأربعاء","الخميس","الجمعة","السبت"))</f>
        <v/>
      </c>
      <c r="C144" s="32"/>
      <c r="D144" s="32"/>
      <c r="E144" s="33"/>
      <c r="F144" s="9" t="str">
        <f aca="false">IF(OR(C144="",D144=""),"",ROUND(MOD(D144-C144,1)*24,2))</f>
        <v/>
      </c>
      <c r="G144" s="9" t="str">
        <f aca="false">IF(F144="","",IF(WEEKDAY(A144,1)=6,F144,ROUND(MAX(0,MIN(D144,OMR_OT_AT)-C144)*24,2)))</f>
        <v/>
      </c>
      <c r="H144" s="9" t="str">
        <f aca="false">IF(F144="","",ROUND(F144-G144,2))</f>
        <v/>
      </c>
      <c r="I144" s="10" t="str">
        <f aca="false">IF(F144="","",ROUND(G144*OMR_RATE+H144*OMR_OT+MIN(N(E144),G144)*(GYP_RATE-OMR_RATE)+MAX(0,MIN(N(E144),F144)-G144)*(GYP_RATE-OMR_OT),3))</f>
        <v/>
      </c>
      <c r="J144" s="34"/>
    </row>
    <row r="145" customFormat="false" ht="19.5" hidden="false" customHeight="true" outlineLevel="0" collapsed="false">
      <c r="A145" s="31"/>
      <c r="B145" s="8" t="str">
        <f aca="false">IF(A145="","",CHOOSE(WEEKDAY(A145,1),"الأحد","الاثنين","الثلاثاء","الأربعاء","الخميس","الجمعة","السبت"))</f>
        <v/>
      </c>
      <c r="C145" s="32"/>
      <c r="D145" s="32"/>
      <c r="E145" s="33"/>
      <c r="F145" s="9" t="str">
        <f aca="false">IF(OR(C145="",D145=""),"",ROUND(MOD(D145-C145,1)*24,2))</f>
        <v/>
      </c>
      <c r="G145" s="9" t="str">
        <f aca="false">IF(F145="","",IF(WEEKDAY(A145,1)=6,F145,ROUND(MAX(0,MIN(D145,OMR_OT_AT)-C145)*24,2)))</f>
        <v/>
      </c>
      <c r="H145" s="9" t="str">
        <f aca="false">IF(F145="","",ROUND(F145-G145,2))</f>
        <v/>
      </c>
      <c r="I145" s="10" t="str">
        <f aca="false">IF(F145="","",ROUND(G145*OMR_RATE+H145*OMR_OT+MIN(N(E145),G145)*(GYP_RATE-OMR_RATE)+MAX(0,MIN(N(E145),F145)-G145)*(GYP_RATE-OMR_OT),3))</f>
        <v/>
      </c>
      <c r="J145" s="34"/>
    </row>
    <row r="146" customFormat="false" ht="19.5" hidden="false" customHeight="true" outlineLevel="0" collapsed="false">
      <c r="A146" s="31"/>
      <c r="B146" s="8" t="str">
        <f aca="false">IF(A146="","",CHOOSE(WEEKDAY(A146,1),"الأحد","الاثنين","الثلاثاء","الأربعاء","الخميس","الجمعة","السبت"))</f>
        <v/>
      </c>
      <c r="C146" s="32"/>
      <c r="D146" s="32"/>
      <c r="E146" s="33"/>
      <c r="F146" s="9" t="str">
        <f aca="false">IF(OR(C146="",D146=""),"",ROUND(MOD(D146-C146,1)*24,2))</f>
        <v/>
      </c>
      <c r="G146" s="9" t="str">
        <f aca="false">IF(F146="","",IF(WEEKDAY(A146,1)=6,F146,ROUND(MAX(0,MIN(D146,OMR_OT_AT)-C146)*24,2)))</f>
        <v/>
      </c>
      <c r="H146" s="9" t="str">
        <f aca="false">IF(F146="","",ROUND(F146-G146,2))</f>
        <v/>
      </c>
      <c r="I146" s="10" t="str">
        <f aca="false">IF(F146="","",ROUND(G146*OMR_RATE+H146*OMR_OT+MIN(N(E146),G146)*(GYP_RATE-OMR_RATE)+MAX(0,MIN(N(E146),F146)-G146)*(GYP_RATE-OMR_OT),3))</f>
        <v/>
      </c>
      <c r="J146" s="34"/>
    </row>
    <row r="147" customFormat="false" ht="19.5" hidden="false" customHeight="true" outlineLevel="0" collapsed="false">
      <c r="A147" s="31"/>
      <c r="B147" s="8" t="str">
        <f aca="false">IF(A147="","",CHOOSE(WEEKDAY(A147,1),"الأحد","الاثنين","الثلاثاء","الأربعاء","الخميس","الجمعة","السبت"))</f>
        <v/>
      </c>
      <c r="C147" s="32"/>
      <c r="D147" s="32"/>
      <c r="E147" s="33"/>
      <c r="F147" s="9" t="str">
        <f aca="false">IF(OR(C147="",D147=""),"",ROUND(MOD(D147-C147,1)*24,2))</f>
        <v/>
      </c>
      <c r="G147" s="9" t="str">
        <f aca="false">IF(F147="","",IF(WEEKDAY(A147,1)=6,F147,ROUND(MAX(0,MIN(D147,OMR_OT_AT)-C147)*24,2)))</f>
        <v/>
      </c>
      <c r="H147" s="9" t="str">
        <f aca="false">IF(F147="","",ROUND(F147-G147,2))</f>
        <v/>
      </c>
      <c r="I147" s="10" t="str">
        <f aca="false">IF(F147="","",ROUND(G147*OMR_RATE+H147*OMR_OT+MIN(N(E147),G147)*(GYP_RATE-OMR_RATE)+MAX(0,MIN(N(E147),F147)-G147)*(GYP_RATE-OMR_OT),3))</f>
        <v/>
      </c>
      <c r="J147" s="34"/>
    </row>
    <row r="148" customFormat="false" ht="19.5" hidden="false" customHeight="true" outlineLevel="0" collapsed="false">
      <c r="A148" s="31"/>
      <c r="B148" s="8" t="str">
        <f aca="false">IF(A148="","",CHOOSE(WEEKDAY(A148,1),"الأحد","الاثنين","الثلاثاء","الأربعاء","الخميس","الجمعة","السبت"))</f>
        <v/>
      </c>
      <c r="C148" s="32"/>
      <c r="D148" s="32"/>
      <c r="E148" s="33"/>
      <c r="F148" s="9" t="str">
        <f aca="false">IF(OR(C148="",D148=""),"",ROUND(MOD(D148-C148,1)*24,2))</f>
        <v/>
      </c>
      <c r="G148" s="9" t="str">
        <f aca="false">IF(F148="","",IF(WEEKDAY(A148,1)=6,F148,ROUND(MAX(0,MIN(D148,OMR_OT_AT)-C148)*24,2)))</f>
        <v/>
      </c>
      <c r="H148" s="9" t="str">
        <f aca="false">IF(F148="","",ROUND(F148-G148,2))</f>
        <v/>
      </c>
      <c r="I148" s="10" t="str">
        <f aca="false">IF(F148="","",ROUND(G148*OMR_RATE+H148*OMR_OT+MIN(N(E148),G148)*(GYP_RATE-OMR_RATE)+MAX(0,MIN(N(E148),F148)-G148)*(GYP_RATE-OMR_OT),3))</f>
        <v/>
      </c>
      <c r="J148" s="34"/>
    </row>
    <row r="149" customFormat="false" ht="19.5" hidden="false" customHeight="true" outlineLevel="0" collapsed="false">
      <c r="A149" s="31"/>
      <c r="B149" s="8" t="str">
        <f aca="false">IF(A149="","",CHOOSE(WEEKDAY(A149,1),"الأحد","الاثنين","الثلاثاء","الأربعاء","الخميس","الجمعة","السبت"))</f>
        <v/>
      </c>
      <c r="C149" s="32"/>
      <c r="D149" s="32"/>
      <c r="E149" s="33"/>
      <c r="F149" s="9" t="str">
        <f aca="false">IF(OR(C149="",D149=""),"",ROUND(MOD(D149-C149,1)*24,2))</f>
        <v/>
      </c>
      <c r="G149" s="9" t="str">
        <f aca="false">IF(F149="","",IF(WEEKDAY(A149,1)=6,F149,ROUND(MAX(0,MIN(D149,OMR_OT_AT)-C149)*24,2)))</f>
        <v/>
      </c>
      <c r="H149" s="9" t="str">
        <f aca="false">IF(F149="","",ROUND(F149-G149,2))</f>
        <v/>
      </c>
      <c r="I149" s="10" t="str">
        <f aca="false">IF(F149="","",ROUND(G149*OMR_RATE+H149*OMR_OT+MIN(N(E149),G149)*(GYP_RATE-OMR_RATE)+MAX(0,MIN(N(E149),F149)-G149)*(GYP_RATE-OMR_OT),3))</f>
        <v/>
      </c>
      <c r="J149" s="34"/>
    </row>
    <row r="150" customFormat="false" ht="19.5" hidden="false" customHeight="true" outlineLevel="0" collapsed="false">
      <c r="A150" s="31"/>
      <c r="B150" s="8" t="str">
        <f aca="false">IF(A150="","",CHOOSE(WEEKDAY(A150,1),"الأحد","الاثنين","الثلاثاء","الأربعاء","الخميس","الجمعة","السبت"))</f>
        <v/>
      </c>
      <c r="C150" s="32"/>
      <c r="D150" s="32"/>
      <c r="E150" s="33"/>
      <c r="F150" s="9" t="str">
        <f aca="false">IF(OR(C150="",D150=""),"",ROUND(MOD(D150-C150,1)*24,2))</f>
        <v/>
      </c>
      <c r="G150" s="9" t="str">
        <f aca="false">IF(F150="","",IF(WEEKDAY(A150,1)=6,F150,ROUND(MAX(0,MIN(D150,OMR_OT_AT)-C150)*24,2)))</f>
        <v/>
      </c>
      <c r="H150" s="9" t="str">
        <f aca="false">IF(F150="","",ROUND(F150-G150,2))</f>
        <v/>
      </c>
      <c r="I150" s="10" t="str">
        <f aca="false">IF(F150="","",ROUND(G150*OMR_RATE+H150*OMR_OT+MIN(N(E150),G150)*(GYP_RATE-OMR_RATE)+MAX(0,MIN(N(E150),F150)-G150)*(GYP_RATE-OMR_OT),3))</f>
        <v/>
      </c>
      <c r="J150" s="34"/>
    </row>
    <row r="151" customFormat="false" ht="19.5" hidden="false" customHeight="true" outlineLevel="0" collapsed="false">
      <c r="A151" s="31"/>
      <c r="B151" s="8" t="str">
        <f aca="false">IF(A151="","",CHOOSE(WEEKDAY(A151,1),"الأحد","الاثنين","الثلاثاء","الأربعاء","الخميس","الجمعة","السبت"))</f>
        <v/>
      </c>
      <c r="C151" s="32"/>
      <c r="D151" s="32"/>
      <c r="E151" s="33"/>
      <c r="F151" s="9" t="str">
        <f aca="false">IF(OR(C151="",D151=""),"",ROUND(MOD(D151-C151,1)*24,2))</f>
        <v/>
      </c>
      <c r="G151" s="9" t="str">
        <f aca="false">IF(F151="","",IF(WEEKDAY(A151,1)=6,F151,ROUND(MAX(0,MIN(D151,OMR_OT_AT)-C151)*24,2)))</f>
        <v/>
      </c>
      <c r="H151" s="9" t="str">
        <f aca="false">IF(F151="","",ROUND(F151-G151,2))</f>
        <v/>
      </c>
      <c r="I151" s="10" t="str">
        <f aca="false">IF(F151="","",ROUND(G151*OMR_RATE+H151*OMR_OT+MIN(N(E151),G151)*(GYP_RATE-OMR_RATE)+MAX(0,MIN(N(E151),F151)-G151)*(GYP_RATE-OMR_OT),3))</f>
        <v/>
      </c>
      <c r="J151" s="34"/>
    </row>
    <row r="152" customFormat="false" ht="19.5" hidden="false" customHeight="true" outlineLevel="0" collapsed="false">
      <c r="A152" s="31"/>
      <c r="B152" s="8" t="str">
        <f aca="false">IF(A152="","",CHOOSE(WEEKDAY(A152,1),"الأحد","الاثنين","الثلاثاء","الأربعاء","الخميس","الجمعة","السبت"))</f>
        <v/>
      </c>
      <c r="C152" s="32"/>
      <c r="D152" s="32"/>
      <c r="E152" s="33"/>
      <c r="F152" s="9" t="str">
        <f aca="false">IF(OR(C152="",D152=""),"",ROUND(MOD(D152-C152,1)*24,2))</f>
        <v/>
      </c>
      <c r="G152" s="9" t="str">
        <f aca="false">IF(F152="","",IF(WEEKDAY(A152,1)=6,F152,ROUND(MAX(0,MIN(D152,OMR_OT_AT)-C152)*24,2)))</f>
        <v/>
      </c>
      <c r="H152" s="9" t="str">
        <f aca="false">IF(F152="","",ROUND(F152-G152,2))</f>
        <v/>
      </c>
      <c r="I152" s="10" t="str">
        <f aca="false">IF(F152="","",ROUND(G152*OMR_RATE+H152*OMR_OT+MIN(N(E152),G152)*(GYP_RATE-OMR_RATE)+MAX(0,MIN(N(E152),F152)-G152)*(GYP_RATE-OMR_OT),3))</f>
        <v/>
      </c>
      <c r="J152" s="34"/>
    </row>
    <row r="153" customFormat="false" ht="19.5" hidden="false" customHeight="true" outlineLevel="0" collapsed="false">
      <c r="A153" s="31"/>
      <c r="B153" s="8" t="str">
        <f aca="false">IF(A153="","",CHOOSE(WEEKDAY(A153,1),"الأحد","الاثنين","الثلاثاء","الأربعاء","الخميس","الجمعة","السبت"))</f>
        <v/>
      </c>
      <c r="C153" s="32"/>
      <c r="D153" s="32"/>
      <c r="E153" s="33"/>
      <c r="F153" s="9" t="str">
        <f aca="false">IF(OR(C153="",D153=""),"",ROUND(MOD(D153-C153,1)*24,2))</f>
        <v/>
      </c>
      <c r="G153" s="9" t="str">
        <f aca="false">IF(F153="","",IF(WEEKDAY(A153,1)=6,F153,ROUND(MAX(0,MIN(D153,OMR_OT_AT)-C153)*24,2)))</f>
        <v/>
      </c>
      <c r="H153" s="9" t="str">
        <f aca="false">IF(F153="","",ROUND(F153-G153,2))</f>
        <v/>
      </c>
      <c r="I153" s="10" t="str">
        <f aca="false">IF(F153="","",ROUND(G153*OMR_RATE+H153*OMR_OT+MIN(N(E153),G153)*(GYP_RATE-OMR_RATE)+MAX(0,MIN(N(E153),F153)-G153)*(GYP_RATE-OMR_OT),3))</f>
        <v/>
      </c>
      <c r="J153" s="34"/>
    </row>
    <row r="154" customFormat="false" ht="19.5" hidden="false" customHeight="true" outlineLevel="0" collapsed="false">
      <c r="A154" s="31"/>
      <c r="B154" s="8" t="str">
        <f aca="false">IF(A154="","",CHOOSE(WEEKDAY(A154,1),"الأحد","الاثنين","الثلاثاء","الأربعاء","الخميس","الجمعة","السبت"))</f>
        <v/>
      </c>
      <c r="C154" s="32"/>
      <c r="D154" s="32"/>
      <c r="E154" s="33"/>
      <c r="F154" s="9" t="str">
        <f aca="false">IF(OR(C154="",D154=""),"",ROUND(MOD(D154-C154,1)*24,2))</f>
        <v/>
      </c>
      <c r="G154" s="9" t="str">
        <f aca="false">IF(F154="","",IF(WEEKDAY(A154,1)=6,F154,ROUND(MAX(0,MIN(D154,OMR_OT_AT)-C154)*24,2)))</f>
        <v/>
      </c>
      <c r="H154" s="9" t="str">
        <f aca="false">IF(F154="","",ROUND(F154-G154,2))</f>
        <v/>
      </c>
      <c r="I154" s="10" t="str">
        <f aca="false">IF(F154="","",ROUND(G154*OMR_RATE+H154*OMR_OT+MIN(N(E154),G154)*(GYP_RATE-OMR_RATE)+MAX(0,MIN(N(E154),F154)-G154)*(GYP_RATE-OMR_OT),3))</f>
        <v/>
      </c>
      <c r="J154" s="34"/>
    </row>
    <row r="155" customFormat="false" ht="19.5" hidden="false" customHeight="true" outlineLevel="0" collapsed="false">
      <c r="A155" s="31"/>
      <c r="B155" s="8" t="str">
        <f aca="false">IF(A155="","",CHOOSE(WEEKDAY(A155,1),"الأحد","الاثنين","الثلاثاء","الأربعاء","الخميس","الجمعة","السبت"))</f>
        <v/>
      </c>
      <c r="C155" s="32"/>
      <c r="D155" s="32"/>
      <c r="E155" s="33"/>
      <c r="F155" s="9" t="str">
        <f aca="false">IF(OR(C155="",D155=""),"",ROUND(MOD(D155-C155,1)*24,2))</f>
        <v/>
      </c>
      <c r="G155" s="9" t="str">
        <f aca="false">IF(F155="","",IF(WEEKDAY(A155,1)=6,F155,ROUND(MAX(0,MIN(D155,OMR_OT_AT)-C155)*24,2)))</f>
        <v/>
      </c>
      <c r="H155" s="9" t="str">
        <f aca="false">IF(F155="","",ROUND(F155-G155,2))</f>
        <v/>
      </c>
      <c r="I155" s="10" t="str">
        <f aca="false">IF(F155="","",ROUND(G155*OMR_RATE+H155*OMR_OT+MIN(N(E155),G155)*(GYP_RATE-OMR_RATE)+MAX(0,MIN(N(E155),F155)-G155)*(GYP_RATE-OMR_OT),3))</f>
        <v/>
      </c>
      <c r="J155" s="34"/>
    </row>
    <row r="156" customFormat="false" ht="19.5" hidden="false" customHeight="true" outlineLevel="0" collapsed="false">
      <c r="A156" s="31"/>
      <c r="B156" s="8" t="str">
        <f aca="false">IF(A156="","",CHOOSE(WEEKDAY(A156,1),"الأحد","الاثنين","الثلاثاء","الأربعاء","الخميس","الجمعة","السبت"))</f>
        <v/>
      </c>
      <c r="C156" s="32"/>
      <c r="D156" s="32"/>
      <c r="E156" s="33"/>
      <c r="F156" s="9" t="str">
        <f aca="false">IF(OR(C156="",D156=""),"",ROUND(MOD(D156-C156,1)*24,2))</f>
        <v/>
      </c>
      <c r="G156" s="9" t="str">
        <f aca="false">IF(F156="","",IF(WEEKDAY(A156,1)=6,F156,ROUND(MAX(0,MIN(D156,OMR_OT_AT)-C156)*24,2)))</f>
        <v/>
      </c>
      <c r="H156" s="9" t="str">
        <f aca="false">IF(F156="","",ROUND(F156-G156,2))</f>
        <v/>
      </c>
      <c r="I156" s="10" t="str">
        <f aca="false">IF(F156="","",ROUND(G156*OMR_RATE+H156*OMR_OT+MIN(N(E156),G156)*(GYP_RATE-OMR_RATE)+MAX(0,MIN(N(E156),F156)-G156)*(GYP_RATE-OMR_OT),3))</f>
        <v/>
      </c>
      <c r="J156" s="34"/>
    </row>
    <row r="157" customFormat="false" ht="19.5" hidden="false" customHeight="true" outlineLevel="0" collapsed="false">
      <c r="A157" s="31"/>
      <c r="B157" s="8" t="str">
        <f aca="false">IF(A157="","",CHOOSE(WEEKDAY(A157,1),"الأحد","الاثنين","الثلاثاء","الأربعاء","الخميس","الجمعة","السبت"))</f>
        <v/>
      </c>
      <c r="C157" s="32"/>
      <c r="D157" s="32"/>
      <c r="E157" s="33"/>
      <c r="F157" s="9" t="str">
        <f aca="false">IF(OR(C157="",D157=""),"",ROUND(MOD(D157-C157,1)*24,2))</f>
        <v/>
      </c>
      <c r="G157" s="9" t="str">
        <f aca="false">IF(F157="","",IF(WEEKDAY(A157,1)=6,F157,ROUND(MAX(0,MIN(D157,OMR_OT_AT)-C157)*24,2)))</f>
        <v/>
      </c>
      <c r="H157" s="9" t="str">
        <f aca="false">IF(F157="","",ROUND(F157-G157,2))</f>
        <v/>
      </c>
      <c r="I157" s="10" t="str">
        <f aca="false">IF(F157="","",ROUND(G157*OMR_RATE+H157*OMR_OT+MIN(N(E157),G157)*(GYP_RATE-OMR_RATE)+MAX(0,MIN(N(E157),F157)-G157)*(GYP_RATE-OMR_OT),3))</f>
        <v/>
      </c>
      <c r="J157" s="34"/>
    </row>
    <row r="158" customFormat="false" ht="19.5" hidden="false" customHeight="true" outlineLevel="0" collapsed="false">
      <c r="A158" s="31"/>
      <c r="B158" s="8" t="str">
        <f aca="false">IF(A158="","",CHOOSE(WEEKDAY(A158,1),"الأحد","الاثنين","الثلاثاء","الأربعاء","الخميس","الجمعة","السبت"))</f>
        <v/>
      </c>
      <c r="C158" s="32"/>
      <c r="D158" s="32"/>
      <c r="E158" s="33"/>
      <c r="F158" s="9" t="str">
        <f aca="false">IF(OR(C158="",D158=""),"",ROUND(MOD(D158-C158,1)*24,2))</f>
        <v/>
      </c>
      <c r="G158" s="9" t="str">
        <f aca="false">IF(F158="","",IF(WEEKDAY(A158,1)=6,F158,ROUND(MAX(0,MIN(D158,OMR_OT_AT)-C158)*24,2)))</f>
        <v/>
      </c>
      <c r="H158" s="9" t="str">
        <f aca="false">IF(F158="","",ROUND(F158-G158,2))</f>
        <v/>
      </c>
      <c r="I158" s="10" t="str">
        <f aca="false">IF(F158="","",ROUND(G158*OMR_RATE+H158*OMR_OT+MIN(N(E158),G158)*(GYP_RATE-OMR_RATE)+MAX(0,MIN(N(E158),F158)-G158)*(GYP_RATE-OMR_OT),3))</f>
        <v/>
      </c>
      <c r="J158" s="34"/>
    </row>
    <row r="159" customFormat="false" ht="19.5" hidden="false" customHeight="true" outlineLevel="0" collapsed="false">
      <c r="A159" s="31"/>
      <c r="B159" s="8" t="str">
        <f aca="false">IF(A159="","",CHOOSE(WEEKDAY(A159,1),"الأحد","الاثنين","الثلاثاء","الأربعاء","الخميس","الجمعة","السبت"))</f>
        <v/>
      </c>
      <c r="C159" s="32"/>
      <c r="D159" s="32"/>
      <c r="E159" s="33"/>
      <c r="F159" s="9" t="str">
        <f aca="false">IF(OR(C159="",D159=""),"",ROUND(MOD(D159-C159,1)*24,2))</f>
        <v/>
      </c>
      <c r="G159" s="9" t="str">
        <f aca="false">IF(F159="","",IF(WEEKDAY(A159,1)=6,F159,ROUND(MAX(0,MIN(D159,OMR_OT_AT)-C159)*24,2)))</f>
        <v/>
      </c>
      <c r="H159" s="9" t="str">
        <f aca="false">IF(F159="","",ROUND(F159-G159,2))</f>
        <v/>
      </c>
      <c r="I159" s="10" t="str">
        <f aca="false">IF(F159="","",ROUND(G159*OMR_RATE+H159*OMR_OT+MIN(N(E159),G159)*(GYP_RATE-OMR_RATE)+MAX(0,MIN(N(E159),F159)-G159)*(GYP_RATE-OMR_OT),3))</f>
        <v/>
      </c>
      <c r="J159" s="34"/>
    </row>
    <row r="160" customFormat="false" ht="19.5" hidden="false" customHeight="true" outlineLevel="0" collapsed="false">
      <c r="A160" s="31"/>
      <c r="B160" s="8" t="str">
        <f aca="false">IF(A160="","",CHOOSE(WEEKDAY(A160,1),"الأحد","الاثنين","الثلاثاء","الأربعاء","الخميس","الجمعة","السبت"))</f>
        <v/>
      </c>
      <c r="C160" s="32"/>
      <c r="D160" s="32"/>
      <c r="E160" s="33"/>
      <c r="F160" s="9" t="str">
        <f aca="false">IF(OR(C160="",D160=""),"",ROUND(MOD(D160-C160,1)*24,2))</f>
        <v/>
      </c>
      <c r="G160" s="9" t="str">
        <f aca="false">IF(F160="","",IF(WEEKDAY(A160,1)=6,F160,ROUND(MAX(0,MIN(D160,OMR_OT_AT)-C160)*24,2)))</f>
        <v/>
      </c>
      <c r="H160" s="9" t="str">
        <f aca="false">IF(F160="","",ROUND(F160-G160,2))</f>
        <v/>
      </c>
      <c r="I160" s="10" t="str">
        <f aca="false">IF(F160="","",ROUND(G160*OMR_RATE+H160*OMR_OT+MIN(N(E160),G160)*(GYP_RATE-OMR_RATE)+MAX(0,MIN(N(E160),F160)-G160)*(GYP_RATE-OMR_OT),3))</f>
        <v/>
      </c>
      <c r="J160" s="34"/>
    </row>
    <row r="161" customFormat="false" ht="19.5" hidden="false" customHeight="true" outlineLevel="0" collapsed="false">
      <c r="A161" s="31"/>
      <c r="B161" s="8" t="str">
        <f aca="false">IF(A161="","",CHOOSE(WEEKDAY(A161,1),"الأحد","الاثنين","الثلاثاء","الأربعاء","الخميس","الجمعة","السبت"))</f>
        <v/>
      </c>
      <c r="C161" s="32"/>
      <c r="D161" s="32"/>
      <c r="E161" s="33"/>
      <c r="F161" s="9" t="str">
        <f aca="false">IF(OR(C161="",D161=""),"",ROUND(MOD(D161-C161,1)*24,2))</f>
        <v/>
      </c>
      <c r="G161" s="9" t="str">
        <f aca="false">IF(F161="","",IF(WEEKDAY(A161,1)=6,F161,ROUND(MAX(0,MIN(D161,OMR_OT_AT)-C161)*24,2)))</f>
        <v/>
      </c>
      <c r="H161" s="9" t="str">
        <f aca="false">IF(F161="","",ROUND(F161-G161,2))</f>
        <v/>
      </c>
      <c r="I161" s="10" t="str">
        <f aca="false">IF(F161="","",ROUND(G161*OMR_RATE+H161*OMR_OT+MIN(N(E161),G161)*(GYP_RATE-OMR_RATE)+MAX(0,MIN(N(E161),F161)-G161)*(GYP_RATE-OMR_OT),3))</f>
        <v/>
      </c>
      <c r="J161" s="34"/>
    </row>
    <row r="162" customFormat="false" ht="19.5" hidden="false" customHeight="true" outlineLevel="0" collapsed="false">
      <c r="A162" s="31"/>
      <c r="B162" s="8" t="str">
        <f aca="false">IF(A162="","",CHOOSE(WEEKDAY(A162,1),"الأحد","الاثنين","الثلاثاء","الأربعاء","الخميس","الجمعة","السبت"))</f>
        <v/>
      </c>
      <c r="C162" s="32"/>
      <c r="D162" s="32"/>
      <c r="E162" s="33"/>
      <c r="F162" s="9" t="str">
        <f aca="false">IF(OR(C162="",D162=""),"",ROUND(MOD(D162-C162,1)*24,2))</f>
        <v/>
      </c>
      <c r="G162" s="9" t="str">
        <f aca="false">IF(F162="","",IF(WEEKDAY(A162,1)=6,F162,ROUND(MAX(0,MIN(D162,OMR_OT_AT)-C162)*24,2)))</f>
        <v/>
      </c>
      <c r="H162" s="9" t="str">
        <f aca="false">IF(F162="","",ROUND(F162-G162,2))</f>
        <v/>
      </c>
      <c r="I162" s="10" t="str">
        <f aca="false">IF(F162="","",ROUND(G162*OMR_RATE+H162*OMR_OT+MIN(N(E162),G162)*(GYP_RATE-OMR_RATE)+MAX(0,MIN(N(E162),F162)-G162)*(GYP_RATE-OMR_OT),3))</f>
        <v/>
      </c>
      <c r="J162" s="34"/>
    </row>
    <row r="163" customFormat="false" ht="19.5" hidden="false" customHeight="true" outlineLevel="0" collapsed="false">
      <c r="A163" s="31"/>
      <c r="B163" s="8" t="str">
        <f aca="false">IF(A163="","",CHOOSE(WEEKDAY(A163,1),"الأحد","الاثنين","الثلاثاء","الأربعاء","الخميس","الجمعة","السبت"))</f>
        <v/>
      </c>
      <c r="C163" s="32"/>
      <c r="D163" s="32"/>
      <c r="E163" s="33"/>
      <c r="F163" s="9" t="str">
        <f aca="false">IF(OR(C163="",D163=""),"",ROUND(MOD(D163-C163,1)*24,2))</f>
        <v/>
      </c>
      <c r="G163" s="9" t="str">
        <f aca="false">IF(F163="","",IF(WEEKDAY(A163,1)=6,F163,ROUND(MAX(0,MIN(D163,OMR_OT_AT)-C163)*24,2)))</f>
        <v/>
      </c>
      <c r="H163" s="9" t="str">
        <f aca="false">IF(F163="","",ROUND(F163-G163,2))</f>
        <v/>
      </c>
      <c r="I163" s="10" t="str">
        <f aca="false">IF(F163="","",ROUND(G163*OMR_RATE+H163*OMR_OT+MIN(N(E163),G163)*(GYP_RATE-OMR_RATE)+MAX(0,MIN(N(E163),F163)-G163)*(GYP_RATE-OMR_OT),3))</f>
        <v/>
      </c>
      <c r="J163" s="34"/>
    </row>
    <row r="164" customFormat="false" ht="19.5" hidden="false" customHeight="true" outlineLevel="0" collapsed="false">
      <c r="A164" s="31"/>
      <c r="B164" s="8" t="str">
        <f aca="false">IF(A164="","",CHOOSE(WEEKDAY(A164,1),"الأحد","الاثنين","الثلاثاء","الأربعاء","الخميس","الجمعة","السبت"))</f>
        <v/>
      </c>
      <c r="C164" s="32"/>
      <c r="D164" s="32"/>
      <c r="E164" s="33"/>
      <c r="F164" s="9" t="str">
        <f aca="false">IF(OR(C164="",D164=""),"",ROUND(MOD(D164-C164,1)*24,2))</f>
        <v/>
      </c>
      <c r="G164" s="9" t="str">
        <f aca="false">IF(F164="","",IF(WEEKDAY(A164,1)=6,F164,ROUND(MAX(0,MIN(D164,OMR_OT_AT)-C164)*24,2)))</f>
        <v/>
      </c>
      <c r="H164" s="9" t="str">
        <f aca="false">IF(F164="","",ROUND(F164-G164,2))</f>
        <v/>
      </c>
      <c r="I164" s="10" t="str">
        <f aca="false">IF(F164="","",ROUND(G164*OMR_RATE+H164*OMR_OT+MIN(N(E164),G164)*(GYP_RATE-OMR_RATE)+MAX(0,MIN(N(E164),F164)-G164)*(GYP_RATE-OMR_OT),3))</f>
        <v/>
      </c>
      <c r="J164" s="34"/>
    </row>
    <row r="165" customFormat="false" ht="19.5" hidden="false" customHeight="true" outlineLevel="0" collapsed="false">
      <c r="A165" s="31"/>
      <c r="B165" s="8" t="str">
        <f aca="false">IF(A165="","",CHOOSE(WEEKDAY(A165,1),"الأحد","الاثنين","الثلاثاء","الأربعاء","الخميس","الجمعة","السبت"))</f>
        <v/>
      </c>
      <c r="C165" s="32"/>
      <c r="D165" s="32"/>
      <c r="E165" s="33"/>
      <c r="F165" s="9" t="str">
        <f aca="false">IF(OR(C165="",D165=""),"",ROUND(MOD(D165-C165,1)*24,2))</f>
        <v/>
      </c>
      <c r="G165" s="9" t="str">
        <f aca="false">IF(F165="","",IF(WEEKDAY(A165,1)=6,F165,ROUND(MAX(0,MIN(D165,OMR_OT_AT)-C165)*24,2)))</f>
        <v/>
      </c>
      <c r="H165" s="9" t="str">
        <f aca="false">IF(F165="","",ROUND(F165-G165,2))</f>
        <v/>
      </c>
      <c r="I165" s="10" t="str">
        <f aca="false">IF(F165="","",ROUND(G165*OMR_RATE+H165*OMR_OT+MIN(N(E165),G165)*(GYP_RATE-OMR_RATE)+MAX(0,MIN(N(E165),F165)-G165)*(GYP_RATE-OMR_OT),3))</f>
        <v/>
      </c>
      <c r="J165" s="34"/>
    </row>
    <row r="166" customFormat="false" ht="19.5" hidden="false" customHeight="true" outlineLevel="0" collapsed="false">
      <c r="A166" s="31"/>
      <c r="B166" s="8" t="str">
        <f aca="false">IF(A166="","",CHOOSE(WEEKDAY(A166,1),"الأحد","الاثنين","الثلاثاء","الأربعاء","الخميس","الجمعة","السبت"))</f>
        <v/>
      </c>
      <c r="C166" s="32"/>
      <c r="D166" s="32"/>
      <c r="E166" s="33"/>
      <c r="F166" s="9" t="str">
        <f aca="false">IF(OR(C166="",D166=""),"",ROUND(MOD(D166-C166,1)*24,2))</f>
        <v/>
      </c>
      <c r="G166" s="9" t="str">
        <f aca="false">IF(F166="","",IF(WEEKDAY(A166,1)=6,F166,ROUND(MAX(0,MIN(D166,OMR_OT_AT)-C166)*24,2)))</f>
        <v/>
      </c>
      <c r="H166" s="9" t="str">
        <f aca="false">IF(F166="","",ROUND(F166-G166,2))</f>
        <v/>
      </c>
      <c r="I166" s="10" t="str">
        <f aca="false">IF(F166="","",ROUND(G166*OMR_RATE+H166*OMR_OT+MIN(N(E166),G166)*(GYP_RATE-OMR_RATE)+MAX(0,MIN(N(E166),F166)-G166)*(GYP_RATE-OMR_OT),3))</f>
        <v/>
      </c>
      <c r="J166" s="34"/>
    </row>
    <row r="167" customFormat="false" ht="19.5" hidden="false" customHeight="true" outlineLevel="0" collapsed="false">
      <c r="A167" s="31"/>
      <c r="B167" s="8" t="str">
        <f aca="false">IF(A167="","",CHOOSE(WEEKDAY(A167,1),"الأحد","الاثنين","الثلاثاء","الأربعاء","الخميس","الجمعة","السبت"))</f>
        <v/>
      </c>
      <c r="C167" s="32"/>
      <c r="D167" s="32"/>
      <c r="E167" s="33"/>
      <c r="F167" s="9" t="str">
        <f aca="false">IF(OR(C167="",D167=""),"",ROUND(MOD(D167-C167,1)*24,2))</f>
        <v/>
      </c>
      <c r="G167" s="9" t="str">
        <f aca="false">IF(F167="","",IF(WEEKDAY(A167,1)=6,F167,ROUND(MAX(0,MIN(D167,OMR_OT_AT)-C167)*24,2)))</f>
        <v/>
      </c>
      <c r="H167" s="9" t="str">
        <f aca="false">IF(F167="","",ROUND(F167-G167,2))</f>
        <v/>
      </c>
      <c r="I167" s="10" t="str">
        <f aca="false">IF(F167="","",ROUND(G167*OMR_RATE+H167*OMR_OT+MIN(N(E167),G167)*(GYP_RATE-OMR_RATE)+MAX(0,MIN(N(E167),F167)-G167)*(GYP_RATE-OMR_OT),3))</f>
        <v/>
      </c>
      <c r="J167" s="34"/>
    </row>
    <row r="168" customFormat="false" ht="19.5" hidden="false" customHeight="true" outlineLevel="0" collapsed="false">
      <c r="A168" s="31"/>
      <c r="B168" s="8" t="str">
        <f aca="false">IF(A168="","",CHOOSE(WEEKDAY(A168,1),"الأحد","الاثنين","الثلاثاء","الأربعاء","الخميس","الجمعة","السبت"))</f>
        <v/>
      </c>
      <c r="C168" s="32"/>
      <c r="D168" s="32"/>
      <c r="E168" s="33"/>
      <c r="F168" s="9" t="str">
        <f aca="false">IF(OR(C168="",D168=""),"",ROUND(MOD(D168-C168,1)*24,2))</f>
        <v/>
      </c>
      <c r="G168" s="9" t="str">
        <f aca="false">IF(F168="","",IF(WEEKDAY(A168,1)=6,F168,ROUND(MAX(0,MIN(D168,OMR_OT_AT)-C168)*24,2)))</f>
        <v/>
      </c>
      <c r="H168" s="9" t="str">
        <f aca="false">IF(F168="","",ROUND(F168-G168,2))</f>
        <v/>
      </c>
      <c r="I168" s="10" t="str">
        <f aca="false">IF(F168="","",ROUND(G168*OMR_RATE+H168*OMR_OT+MIN(N(E168),G168)*(GYP_RATE-OMR_RATE)+MAX(0,MIN(N(E168),F168)-G168)*(GYP_RATE-OMR_OT),3))</f>
        <v/>
      </c>
      <c r="J168" s="34"/>
    </row>
    <row r="169" customFormat="false" ht="19.5" hidden="false" customHeight="true" outlineLevel="0" collapsed="false">
      <c r="A169" s="31"/>
      <c r="B169" s="8" t="str">
        <f aca="false">IF(A169="","",CHOOSE(WEEKDAY(A169,1),"الأحد","الاثنين","الثلاثاء","الأربعاء","الخميس","الجمعة","السبت"))</f>
        <v/>
      </c>
      <c r="C169" s="32"/>
      <c r="D169" s="32"/>
      <c r="E169" s="33"/>
      <c r="F169" s="9" t="str">
        <f aca="false">IF(OR(C169="",D169=""),"",ROUND(MOD(D169-C169,1)*24,2))</f>
        <v/>
      </c>
      <c r="G169" s="9" t="str">
        <f aca="false">IF(F169="","",IF(WEEKDAY(A169,1)=6,F169,ROUND(MAX(0,MIN(D169,OMR_OT_AT)-C169)*24,2)))</f>
        <v/>
      </c>
      <c r="H169" s="9" t="str">
        <f aca="false">IF(F169="","",ROUND(F169-G169,2))</f>
        <v/>
      </c>
      <c r="I169" s="10" t="str">
        <f aca="false">IF(F169="","",ROUND(G169*OMR_RATE+H169*OMR_OT+MIN(N(E169),G169)*(GYP_RATE-OMR_RATE)+MAX(0,MIN(N(E169),F169)-G169)*(GYP_RATE-OMR_OT),3))</f>
        <v/>
      </c>
      <c r="J169" s="34"/>
    </row>
    <row r="170" customFormat="false" ht="19.5" hidden="false" customHeight="true" outlineLevel="0" collapsed="false">
      <c r="A170" s="31"/>
      <c r="B170" s="8" t="str">
        <f aca="false">IF(A170="","",CHOOSE(WEEKDAY(A170,1),"الأحد","الاثنين","الثلاثاء","الأربعاء","الخميس","الجمعة","السبت"))</f>
        <v/>
      </c>
      <c r="C170" s="32"/>
      <c r="D170" s="32"/>
      <c r="E170" s="33"/>
      <c r="F170" s="9" t="str">
        <f aca="false">IF(OR(C170="",D170=""),"",ROUND(MOD(D170-C170,1)*24,2))</f>
        <v/>
      </c>
      <c r="G170" s="9" t="str">
        <f aca="false">IF(F170="","",IF(WEEKDAY(A170,1)=6,F170,ROUND(MAX(0,MIN(D170,OMR_OT_AT)-C170)*24,2)))</f>
        <v/>
      </c>
      <c r="H170" s="9" t="str">
        <f aca="false">IF(F170="","",ROUND(F170-G170,2))</f>
        <v/>
      </c>
      <c r="I170" s="10" t="str">
        <f aca="false">IF(F170="","",ROUND(G170*OMR_RATE+H170*OMR_OT+MIN(N(E170),G170)*(GYP_RATE-OMR_RATE)+MAX(0,MIN(N(E170),F170)-G170)*(GYP_RATE-OMR_OT),3))</f>
        <v/>
      </c>
      <c r="J170" s="34"/>
    </row>
    <row r="171" customFormat="false" ht="19.5" hidden="false" customHeight="true" outlineLevel="0" collapsed="false">
      <c r="A171" s="31"/>
      <c r="B171" s="8" t="str">
        <f aca="false">IF(A171="","",CHOOSE(WEEKDAY(A171,1),"الأحد","الاثنين","الثلاثاء","الأربعاء","الخميس","الجمعة","السبت"))</f>
        <v/>
      </c>
      <c r="C171" s="32"/>
      <c r="D171" s="32"/>
      <c r="E171" s="33"/>
      <c r="F171" s="9" t="str">
        <f aca="false">IF(OR(C171="",D171=""),"",ROUND(MOD(D171-C171,1)*24,2))</f>
        <v/>
      </c>
      <c r="G171" s="9" t="str">
        <f aca="false">IF(F171="","",IF(WEEKDAY(A171,1)=6,F171,ROUND(MAX(0,MIN(D171,OMR_OT_AT)-C171)*24,2)))</f>
        <v/>
      </c>
      <c r="H171" s="9" t="str">
        <f aca="false">IF(F171="","",ROUND(F171-G171,2))</f>
        <v/>
      </c>
      <c r="I171" s="10" t="str">
        <f aca="false">IF(F171="","",ROUND(G171*OMR_RATE+H171*OMR_OT+MIN(N(E171),G171)*(GYP_RATE-OMR_RATE)+MAX(0,MIN(N(E171),F171)-G171)*(GYP_RATE-OMR_OT),3))</f>
        <v/>
      </c>
      <c r="J171" s="34"/>
    </row>
    <row r="172" customFormat="false" ht="19.5" hidden="false" customHeight="true" outlineLevel="0" collapsed="false">
      <c r="A172" s="31"/>
      <c r="B172" s="8" t="str">
        <f aca="false">IF(A172="","",CHOOSE(WEEKDAY(A172,1),"الأحد","الاثنين","الثلاثاء","الأربعاء","الخميس","الجمعة","السبت"))</f>
        <v/>
      </c>
      <c r="C172" s="32"/>
      <c r="D172" s="32"/>
      <c r="E172" s="33"/>
      <c r="F172" s="9" t="str">
        <f aca="false">IF(OR(C172="",D172=""),"",ROUND(MOD(D172-C172,1)*24,2))</f>
        <v/>
      </c>
      <c r="G172" s="9" t="str">
        <f aca="false">IF(F172="","",IF(WEEKDAY(A172,1)=6,F172,ROUND(MAX(0,MIN(D172,OMR_OT_AT)-C172)*24,2)))</f>
        <v/>
      </c>
      <c r="H172" s="9" t="str">
        <f aca="false">IF(F172="","",ROUND(F172-G172,2))</f>
        <v/>
      </c>
      <c r="I172" s="10" t="str">
        <f aca="false">IF(F172="","",ROUND(G172*OMR_RATE+H172*OMR_OT+MIN(N(E172),G172)*(GYP_RATE-OMR_RATE)+MAX(0,MIN(N(E172),F172)-G172)*(GYP_RATE-OMR_OT),3))</f>
        <v/>
      </c>
      <c r="J172" s="34"/>
    </row>
    <row r="173" customFormat="false" ht="19.5" hidden="false" customHeight="true" outlineLevel="0" collapsed="false">
      <c r="A173" s="31"/>
      <c r="B173" s="8" t="str">
        <f aca="false">IF(A173="","",CHOOSE(WEEKDAY(A173,1),"الأحد","الاثنين","الثلاثاء","الأربعاء","الخميس","الجمعة","السبت"))</f>
        <v/>
      </c>
      <c r="C173" s="32"/>
      <c r="D173" s="32"/>
      <c r="E173" s="33"/>
      <c r="F173" s="9" t="str">
        <f aca="false">IF(OR(C173="",D173=""),"",ROUND(MOD(D173-C173,1)*24,2))</f>
        <v/>
      </c>
      <c r="G173" s="9" t="str">
        <f aca="false">IF(F173="","",IF(WEEKDAY(A173,1)=6,F173,ROUND(MAX(0,MIN(D173,OMR_OT_AT)-C173)*24,2)))</f>
        <v/>
      </c>
      <c r="H173" s="9" t="str">
        <f aca="false">IF(F173="","",ROUND(F173-G173,2))</f>
        <v/>
      </c>
      <c r="I173" s="10" t="str">
        <f aca="false">IF(F173="","",ROUND(G173*OMR_RATE+H173*OMR_OT+MIN(N(E173),G173)*(GYP_RATE-OMR_RATE)+MAX(0,MIN(N(E173),F173)-G173)*(GYP_RATE-OMR_OT),3))</f>
        <v/>
      </c>
      <c r="J173" s="34"/>
    </row>
    <row r="174" customFormat="false" ht="19.5" hidden="false" customHeight="true" outlineLevel="0" collapsed="false">
      <c r="A174" s="31"/>
      <c r="B174" s="8" t="str">
        <f aca="false">IF(A174="","",CHOOSE(WEEKDAY(A174,1),"الأحد","الاثنين","الثلاثاء","الأربعاء","الخميس","الجمعة","السبت"))</f>
        <v/>
      </c>
      <c r="C174" s="32"/>
      <c r="D174" s="32"/>
      <c r="E174" s="33"/>
      <c r="F174" s="9" t="str">
        <f aca="false">IF(OR(C174="",D174=""),"",ROUND(MOD(D174-C174,1)*24,2))</f>
        <v/>
      </c>
      <c r="G174" s="9" t="str">
        <f aca="false">IF(F174="","",IF(WEEKDAY(A174,1)=6,F174,ROUND(MAX(0,MIN(D174,OMR_OT_AT)-C174)*24,2)))</f>
        <v/>
      </c>
      <c r="H174" s="9" t="str">
        <f aca="false">IF(F174="","",ROUND(F174-G174,2))</f>
        <v/>
      </c>
      <c r="I174" s="10" t="str">
        <f aca="false">IF(F174="","",ROUND(G174*OMR_RATE+H174*OMR_OT+MIN(N(E174),G174)*(GYP_RATE-OMR_RATE)+MAX(0,MIN(N(E174),F174)-G174)*(GYP_RATE-OMR_OT),3))</f>
        <v/>
      </c>
      <c r="J174" s="34"/>
    </row>
    <row r="175" customFormat="false" ht="19.5" hidden="false" customHeight="true" outlineLevel="0" collapsed="false">
      <c r="A175" s="31"/>
      <c r="B175" s="8" t="str">
        <f aca="false">IF(A175="","",CHOOSE(WEEKDAY(A175,1),"الأحد","الاثنين","الثلاثاء","الأربعاء","الخميس","الجمعة","السبت"))</f>
        <v/>
      </c>
      <c r="C175" s="32"/>
      <c r="D175" s="32"/>
      <c r="E175" s="33"/>
      <c r="F175" s="9" t="str">
        <f aca="false">IF(OR(C175="",D175=""),"",ROUND(MOD(D175-C175,1)*24,2))</f>
        <v/>
      </c>
      <c r="G175" s="9" t="str">
        <f aca="false">IF(F175="","",IF(WEEKDAY(A175,1)=6,F175,ROUND(MAX(0,MIN(D175,OMR_OT_AT)-C175)*24,2)))</f>
        <v/>
      </c>
      <c r="H175" s="9" t="str">
        <f aca="false">IF(F175="","",ROUND(F175-G175,2))</f>
        <v/>
      </c>
      <c r="I175" s="10" t="str">
        <f aca="false">IF(F175="","",ROUND(G175*OMR_RATE+H175*OMR_OT+MIN(N(E175),G175)*(GYP_RATE-OMR_RATE)+MAX(0,MIN(N(E175),F175)-G175)*(GYP_RATE-OMR_OT),3))</f>
        <v/>
      </c>
      <c r="J175" s="34"/>
    </row>
    <row r="176" customFormat="false" ht="19.5" hidden="false" customHeight="true" outlineLevel="0" collapsed="false">
      <c r="A176" s="31"/>
      <c r="B176" s="8" t="str">
        <f aca="false">IF(A176="","",CHOOSE(WEEKDAY(A176,1),"الأحد","الاثنين","الثلاثاء","الأربعاء","الخميس","الجمعة","السبت"))</f>
        <v/>
      </c>
      <c r="C176" s="32"/>
      <c r="D176" s="32"/>
      <c r="E176" s="33"/>
      <c r="F176" s="9" t="str">
        <f aca="false">IF(OR(C176="",D176=""),"",ROUND(MOD(D176-C176,1)*24,2))</f>
        <v/>
      </c>
      <c r="G176" s="9" t="str">
        <f aca="false">IF(F176="","",IF(WEEKDAY(A176,1)=6,F176,ROUND(MAX(0,MIN(D176,OMR_OT_AT)-C176)*24,2)))</f>
        <v/>
      </c>
      <c r="H176" s="9" t="str">
        <f aca="false">IF(F176="","",ROUND(F176-G176,2))</f>
        <v/>
      </c>
      <c r="I176" s="10" t="str">
        <f aca="false">IF(F176="","",ROUND(G176*OMR_RATE+H176*OMR_OT+MIN(N(E176),G176)*(GYP_RATE-OMR_RATE)+MAX(0,MIN(N(E176),F176)-G176)*(GYP_RATE-OMR_OT),3))</f>
        <v/>
      </c>
      <c r="J176" s="34"/>
    </row>
    <row r="177" customFormat="false" ht="19.5" hidden="false" customHeight="true" outlineLevel="0" collapsed="false">
      <c r="A177" s="31"/>
      <c r="B177" s="8" t="str">
        <f aca="false">IF(A177="","",CHOOSE(WEEKDAY(A177,1),"الأحد","الاثنين","الثلاثاء","الأربعاء","الخميس","الجمعة","السبت"))</f>
        <v/>
      </c>
      <c r="C177" s="32"/>
      <c r="D177" s="32"/>
      <c r="E177" s="33"/>
      <c r="F177" s="9" t="str">
        <f aca="false">IF(OR(C177="",D177=""),"",ROUND(MOD(D177-C177,1)*24,2))</f>
        <v/>
      </c>
      <c r="G177" s="9" t="str">
        <f aca="false">IF(F177="","",IF(WEEKDAY(A177,1)=6,F177,ROUND(MAX(0,MIN(D177,OMR_OT_AT)-C177)*24,2)))</f>
        <v/>
      </c>
      <c r="H177" s="9" t="str">
        <f aca="false">IF(F177="","",ROUND(F177-G177,2))</f>
        <v/>
      </c>
      <c r="I177" s="10" t="str">
        <f aca="false">IF(F177="","",ROUND(G177*OMR_RATE+H177*OMR_OT+MIN(N(E177),G177)*(GYP_RATE-OMR_RATE)+MAX(0,MIN(N(E177),F177)-G177)*(GYP_RATE-OMR_OT),3))</f>
        <v/>
      </c>
      <c r="J177" s="34"/>
    </row>
    <row r="178" customFormat="false" ht="19.5" hidden="false" customHeight="true" outlineLevel="0" collapsed="false">
      <c r="A178" s="31"/>
      <c r="B178" s="8" t="str">
        <f aca="false">IF(A178="","",CHOOSE(WEEKDAY(A178,1),"الأحد","الاثنين","الثلاثاء","الأربعاء","الخميس","الجمعة","السبت"))</f>
        <v/>
      </c>
      <c r="C178" s="32"/>
      <c r="D178" s="32"/>
      <c r="E178" s="33"/>
      <c r="F178" s="9" t="str">
        <f aca="false">IF(OR(C178="",D178=""),"",ROUND(MOD(D178-C178,1)*24,2))</f>
        <v/>
      </c>
      <c r="G178" s="9" t="str">
        <f aca="false">IF(F178="","",IF(WEEKDAY(A178,1)=6,F178,ROUND(MAX(0,MIN(D178,OMR_OT_AT)-C178)*24,2)))</f>
        <v/>
      </c>
      <c r="H178" s="9" t="str">
        <f aca="false">IF(F178="","",ROUND(F178-G178,2))</f>
        <v/>
      </c>
      <c r="I178" s="10" t="str">
        <f aca="false">IF(F178="","",ROUND(G178*OMR_RATE+H178*OMR_OT+MIN(N(E178),G178)*(GYP_RATE-OMR_RATE)+MAX(0,MIN(N(E178),F178)-G178)*(GYP_RATE-OMR_OT),3))</f>
        <v/>
      </c>
      <c r="J178" s="34"/>
    </row>
    <row r="179" customFormat="false" ht="19.5" hidden="false" customHeight="true" outlineLevel="0" collapsed="false">
      <c r="A179" s="31"/>
      <c r="B179" s="8" t="str">
        <f aca="false">IF(A179="","",CHOOSE(WEEKDAY(A179,1),"الأحد","الاثنين","الثلاثاء","الأربعاء","الخميس","الجمعة","السبت"))</f>
        <v/>
      </c>
      <c r="C179" s="32"/>
      <c r="D179" s="32"/>
      <c r="E179" s="33"/>
      <c r="F179" s="9" t="str">
        <f aca="false">IF(OR(C179="",D179=""),"",ROUND(MOD(D179-C179,1)*24,2))</f>
        <v/>
      </c>
      <c r="G179" s="9" t="str">
        <f aca="false">IF(F179="","",IF(WEEKDAY(A179,1)=6,F179,ROUND(MAX(0,MIN(D179,OMR_OT_AT)-C179)*24,2)))</f>
        <v/>
      </c>
      <c r="H179" s="9" t="str">
        <f aca="false">IF(F179="","",ROUND(F179-G179,2))</f>
        <v/>
      </c>
      <c r="I179" s="10" t="str">
        <f aca="false">IF(F179="","",ROUND(G179*OMR_RATE+H179*OMR_OT+MIN(N(E179),G179)*(GYP_RATE-OMR_RATE)+MAX(0,MIN(N(E179),F179)-G179)*(GYP_RATE-OMR_OT),3))</f>
        <v/>
      </c>
      <c r="J179" s="34"/>
    </row>
    <row r="180" customFormat="false" ht="19.5" hidden="false" customHeight="true" outlineLevel="0" collapsed="false">
      <c r="A180" s="31"/>
      <c r="B180" s="8" t="str">
        <f aca="false">IF(A180="","",CHOOSE(WEEKDAY(A180,1),"الأحد","الاثنين","الثلاثاء","الأربعاء","الخميس","الجمعة","السبت"))</f>
        <v/>
      </c>
      <c r="C180" s="32"/>
      <c r="D180" s="32"/>
      <c r="E180" s="33"/>
      <c r="F180" s="9" t="str">
        <f aca="false">IF(OR(C180="",D180=""),"",ROUND(MOD(D180-C180,1)*24,2))</f>
        <v/>
      </c>
      <c r="G180" s="9" t="str">
        <f aca="false">IF(F180="","",IF(WEEKDAY(A180,1)=6,F180,ROUND(MAX(0,MIN(D180,OMR_OT_AT)-C180)*24,2)))</f>
        <v/>
      </c>
      <c r="H180" s="9" t="str">
        <f aca="false">IF(F180="","",ROUND(F180-G180,2))</f>
        <v/>
      </c>
      <c r="I180" s="10" t="str">
        <f aca="false">IF(F180="","",ROUND(G180*OMR_RATE+H180*OMR_OT+MIN(N(E180),G180)*(GYP_RATE-OMR_RATE)+MAX(0,MIN(N(E180),F180)-G180)*(GYP_RATE-OMR_OT),3))</f>
        <v/>
      </c>
      <c r="J180" s="34"/>
    </row>
    <row r="181" customFormat="false" ht="19.5" hidden="false" customHeight="true" outlineLevel="0" collapsed="false">
      <c r="A181" s="31"/>
      <c r="B181" s="8" t="str">
        <f aca="false">IF(A181="","",CHOOSE(WEEKDAY(A181,1),"الأحد","الاثنين","الثلاثاء","الأربعاء","الخميس","الجمعة","السبت"))</f>
        <v/>
      </c>
      <c r="C181" s="32"/>
      <c r="D181" s="32"/>
      <c r="E181" s="33"/>
      <c r="F181" s="9" t="str">
        <f aca="false">IF(OR(C181="",D181=""),"",ROUND(MOD(D181-C181,1)*24,2))</f>
        <v/>
      </c>
      <c r="G181" s="9" t="str">
        <f aca="false">IF(F181="","",IF(WEEKDAY(A181,1)=6,F181,ROUND(MAX(0,MIN(D181,OMR_OT_AT)-C181)*24,2)))</f>
        <v/>
      </c>
      <c r="H181" s="9" t="str">
        <f aca="false">IF(F181="","",ROUND(F181-G181,2))</f>
        <v/>
      </c>
      <c r="I181" s="10" t="str">
        <f aca="false">IF(F181="","",ROUND(G181*OMR_RATE+H181*OMR_OT+MIN(N(E181),G181)*(GYP_RATE-OMR_RATE)+MAX(0,MIN(N(E181),F181)-G181)*(GYP_RATE-OMR_OT),3))</f>
        <v/>
      </c>
      <c r="J181" s="34"/>
    </row>
    <row r="182" customFormat="false" ht="19.5" hidden="false" customHeight="true" outlineLevel="0" collapsed="false">
      <c r="A182" s="31"/>
      <c r="B182" s="8" t="str">
        <f aca="false">IF(A182="","",CHOOSE(WEEKDAY(A182,1),"الأحد","الاثنين","الثلاثاء","الأربعاء","الخميس","الجمعة","السبت"))</f>
        <v/>
      </c>
      <c r="C182" s="32"/>
      <c r="D182" s="32"/>
      <c r="E182" s="33"/>
      <c r="F182" s="9" t="str">
        <f aca="false">IF(OR(C182="",D182=""),"",ROUND(MOD(D182-C182,1)*24,2))</f>
        <v/>
      </c>
      <c r="G182" s="9" t="str">
        <f aca="false">IF(F182="","",IF(WEEKDAY(A182,1)=6,F182,ROUND(MAX(0,MIN(D182,OMR_OT_AT)-C182)*24,2)))</f>
        <v/>
      </c>
      <c r="H182" s="9" t="str">
        <f aca="false">IF(F182="","",ROUND(F182-G182,2))</f>
        <v/>
      </c>
      <c r="I182" s="10" t="str">
        <f aca="false">IF(F182="","",ROUND(G182*OMR_RATE+H182*OMR_OT+MIN(N(E182),G182)*(GYP_RATE-OMR_RATE)+MAX(0,MIN(N(E182),F182)-G182)*(GYP_RATE-OMR_OT),3))</f>
        <v/>
      </c>
      <c r="J182" s="34"/>
    </row>
    <row r="183" customFormat="false" ht="19.5" hidden="false" customHeight="true" outlineLevel="0" collapsed="false">
      <c r="A183" s="31"/>
      <c r="B183" s="8" t="str">
        <f aca="false">IF(A183="","",CHOOSE(WEEKDAY(A183,1),"الأحد","الاثنين","الثلاثاء","الأربعاء","الخميس","الجمعة","السبت"))</f>
        <v/>
      </c>
      <c r="C183" s="32"/>
      <c r="D183" s="32"/>
      <c r="E183" s="33"/>
      <c r="F183" s="9" t="str">
        <f aca="false">IF(OR(C183="",D183=""),"",ROUND(MOD(D183-C183,1)*24,2))</f>
        <v/>
      </c>
      <c r="G183" s="9" t="str">
        <f aca="false">IF(F183="","",IF(WEEKDAY(A183,1)=6,F183,ROUND(MAX(0,MIN(D183,OMR_OT_AT)-C183)*24,2)))</f>
        <v/>
      </c>
      <c r="H183" s="9" t="str">
        <f aca="false">IF(F183="","",ROUND(F183-G183,2))</f>
        <v/>
      </c>
      <c r="I183" s="10" t="str">
        <f aca="false">IF(F183="","",ROUND(G183*OMR_RATE+H183*OMR_OT+MIN(N(E183),G183)*(GYP_RATE-OMR_RATE)+MAX(0,MIN(N(E183),F183)-G183)*(GYP_RATE-OMR_OT),3))</f>
        <v/>
      </c>
      <c r="J183" s="34"/>
    </row>
    <row r="184" customFormat="false" ht="19.5" hidden="false" customHeight="true" outlineLevel="0" collapsed="false">
      <c r="A184" s="31"/>
      <c r="B184" s="8" t="str">
        <f aca="false">IF(A184="","",CHOOSE(WEEKDAY(A184,1),"الأحد","الاثنين","الثلاثاء","الأربعاء","الخميس","الجمعة","السبت"))</f>
        <v/>
      </c>
      <c r="C184" s="32"/>
      <c r="D184" s="32"/>
      <c r="E184" s="33"/>
      <c r="F184" s="9" t="str">
        <f aca="false">IF(OR(C184="",D184=""),"",ROUND(MOD(D184-C184,1)*24,2))</f>
        <v/>
      </c>
      <c r="G184" s="9" t="str">
        <f aca="false">IF(F184="","",IF(WEEKDAY(A184,1)=6,F184,ROUND(MAX(0,MIN(D184,OMR_OT_AT)-C184)*24,2)))</f>
        <v/>
      </c>
      <c r="H184" s="9" t="str">
        <f aca="false">IF(F184="","",ROUND(F184-G184,2))</f>
        <v/>
      </c>
      <c r="I184" s="10" t="str">
        <f aca="false">IF(F184="","",ROUND(G184*OMR_RATE+H184*OMR_OT+MIN(N(E184),G184)*(GYP_RATE-OMR_RATE)+MAX(0,MIN(N(E184),F184)-G184)*(GYP_RATE-OMR_OT),3))</f>
        <v/>
      </c>
      <c r="J184" s="34"/>
    </row>
    <row r="185" customFormat="false" ht="19.5" hidden="false" customHeight="true" outlineLevel="0" collapsed="false">
      <c r="A185" s="31"/>
      <c r="B185" s="8" t="str">
        <f aca="false">IF(A185="","",CHOOSE(WEEKDAY(A185,1),"الأحد","الاثنين","الثلاثاء","الأربعاء","الخميس","الجمعة","السبت"))</f>
        <v/>
      </c>
      <c r="C185" s="32"/>
      <c r="D185" s="32"/>
      <c r="E185" s="33"/>
      <c r="F185" s="9" t="str">
        <f aca="false">IF(OR(C185="",D185=""),"",ROUND(MOD(D185-C185,1)*24,2))</f>
        <v/>
      </c>
      <c r="G185" s="9" t="str">
        <f aca="false">IF(F185="","",IF(WEEKDAY(A185,1)=6,F185,ROUND(MAX(0,MIN(D185,OMR_OT_AT)-C185)*24,2)))</f>
        <v/>
      </c>
      <c r="H185" s="9" t="str">
        <f aca="false">IF(F185="","",ROUND(F185-G185,2))</f>
        <v/>
      </c>
      <c r="I185" s="10" t="str">
        <f aca="false">IF(F185="","",ROUND(G185*OMR_RATE+H185*OMR_OT+MIN(N(E185),G185)*(GYP_RATE-OMR_RATE)+MAX(0,MIN(N(E185),F185)-G185)*(GYP_RATE-OMR_OT),3))</f>
        <v/>
      </c>
      <c r="J185" s="34"/>
    </row>
    <row r="186" customFormat="false" ht="19.5" hidden="false" customHeight="true" outlineLevel="0" collapsed="false">
      <c r="A186" s="31"/>
      <c r="B186" s="8" t="str">
        <f aca="false">IF(A186="","",CHOOSE(WEEKDAY(A186,1),"الأحد","الاثنين","الثلاثاء","الأربعاء","الخميس","الجمعة","السبت"))</f>
        <v/>
      </c>
      <c r="C186" s="32"/>
      <c r="D186" s="32"/>
      <c r="E186" s="33"/>
      <c r="F186" s="9" t="str">
        <f aca="false">IF(OR(C186="",D186=""),"",ROUND(MOD(D186-C186,1)*24,2))</f>
        <v/>
      </c>
      <c r="G186" s="9" t="str">
        <f aca="false">IF(F186="","",IF(WEEKDAY(A186,1)=6,F186,ROUND(MAX(0,MIN(D186,OMR_OT_AT)-C186)*24,2)))</f>
        <v/>
      </c>
      <c r="H186" s="9" t="str">
        <f aca="false">IF(F186="","",ROUND(F186-G186,2))</f>
        <v/>
      </c>
      <c r="I186" s="10" t="str">
        <f aca="false">IF(F186="","",ROUND(G186*OMR_RATE+H186*OMR_OT+MIN(N(E186),G186)*(GYP_RATE-OMR_RATE)+MAX(0,MIN(N(E186),F186)-G186)*(GYP_RATE-OMR_OT),3))</f>
        <v/>
      </c>
      <c r="J186" s="34"/>
    </row>
    <row r="187" customFormat="false" ht="19.5" hidden="false" customHeight="true" outlineLevel="0" collapsed="false">
      <c r="A187" s="31"/>
      <c r="B187" s="8" t="str">
        <f aca="false">IF(A187="","",CHOOSE(WEEKDAY(A187,1),"الأحد","الاثنين","الثلاثاء","الأربعاء","الخميس","الجمعة","السبت"))</f>
        <v/>
      </c>
      <c r="C187" s="32"/>
      <c r="D187" s="32"/>
      <c r="E187" s="33"/>
      <c r="F187" s="9" t="str">
        <f aca="false">IF(OR(C187="",D187=""),"",ROUND(MOD(D187-C187,1)*24,2))</f>
        <v/>
      </c>
      <c r="G187" s="9" t="str">
        <f aca="false">IF(F187="","",IF(WEEKDAY(A187,1)=6,F187,ROUND(MAX(0,MIN(D187,OMR_OT_AT)-C187)*24,2)))</f>
        <v/>
      </c>
      <c r="H187" s="9" t="str">
        <f aca="false">IF(F187="","",ROUND(F187-G187,2))</f>
        <v/>
      </c>
      <c r="I187" s="10" t="str">
        <f aca="false">IF(F187="","",ROUND(G187*OMR_RATE+H187*OMR_OT+MIN(N(E187),G187)*(GYP_RATE-OMR_RATE)+MAX(0,MIN(N(E187),F187)-G187)*(GYP_RATE-OMR_OT),3))</f>
        <v/>
      </c>
      <c r="J187" s="34"/>
    </row>
    <row r="188" customFormat="false" ht="19.5" hidden="false" customHeight="true" outlineLevel="0" collapsed="false">
      <c r="A188" s="31"/>
      <c r="B188" s="8" t="str">
        <f aca="false">IF(A188="","",CHOOSE(WEEKDAY(A188,1),"الأحد","الاثنين","الثلاثاء","الأربعاء","الخميس","الجمعة","السبت"))</f>
        <v/>
      </c>
      <c r="C188" s="32"/>
      <c r="D188" s="32"/>
      <c r="E188" s="33"/>
      <c r="F188" s="9" t="str">
        <f aca="false">IF(OR(C188="",D188=""),"",ROUND(MOD(D188-C188,1)*24,2))</f>
        <v/>
      </c>
      <c r="G188" s="9" t="str">
        <f aca="false">IF(F188="","",IF(WEEKDAY(A188,1)=6,F188,ROUND(MAX(0,MIN(D188,OMR_OT_AT)-C188)*24,2)))</f>
        <v/>
      </c>
      <c r="H188" s="9" t="str">
        <f aca="false">IF(F188="","",ROUND(F188-G188,2))</f>
        <v/>
      </c>
      <c r="I188" s="10" t="str">
        <f aca="false">IF(F188="","",ROUND(G188*OMR_RATE+H188*OMR_OT+MIN(N(E188),G188)*(GYP_RATE-OMR_RATE)+MAX(0,MIN(N(E188),F188)-G188)*(GYP_RATE-OMR_OT),3))</f>
        <v/>
      </c>
      <c r="J188" s="34"/>
    </row>
    <row r="189" customFormat="false" ht="19.5" hidden="false" customHeight="true" outlineLevel="0" collapsed="false">
      <c r="A189" s="31"/>
      <c r="B189" s="8" t="str">
        <f aca="false">IF(A189="","",CHOOSE(WEEKDAY(A189,1),"الأحد","الاثنين","الثلاثاء","الأربعاء","الخميس","الجمعة","السبت"))</f>
        <v/>
      </c>
      <c r="C189" s="32"/>
      <c r="D189" s="32"/>
      <c r="E189" s="33"/>
      <c r="F189" s="9" t="str">
        <f aca="false">IF(OR(C189="",D189=""),"",ROUND(MOD(D189-C189,1)*24,2))</f>
        <v/>
      </c>
      <c r="G189" s="9" t="str">
        <f aca="false">IF(F189="","",IF(WEEKDAY(A189,1)=6,F189,ROUND(MAX(0,MIN(D189,OMR_OT_AT)-C189)*24,2)))</f>
        <v/>
      </c>
      <c r="H189" s="9" t="str">
        <f aca="false">IF(F189="","",ROUND(F189-G189,2))</f>
        <v/>
      </c>
      <c r="I189" s="10" t="str">
        <f aca="false">IF(F189="","",ROUND(G189*OMR_RATE+H189*OMR_OT+MIN(N(E189),G189)*(GYP_RATE-OMR_RATE)+MAX(0,MIN(N(E189),F189)-G189)*(GYP_RATE-OMR_OT),3))</f>
        <v/>
      </c>
      <c r="J189" s="34"/>
    </row>
    <row r="190" customFormat="false" ht="19.5" hidden="false" customHeight="true" outlineLevel="0" collapsed="false">
      <c r="A190" s="31"/>
      <c r="B190" s="8" t="str">
        <f aca="false">IF(A190="","",CHOOSE(WEEKDAY(A190,1),"الأحد","الاثنين","الثلاثاء","الأربعاء","الخميس","الجمعة","السبت"))</f>
        <v/>
      </c>
      <c r="C190" s="32"/>
      <c r="D190" s="32"/>
      <c r="E190" s="33"/>
      <c r="F190" s="9" t="str">
        <f aca="false">IF(OR(C190="",D190=""),"",ROUND(MOD(D190-C190,1)*24,2))</f>
        <v/>
      </c>
      <c r="G190" s="9" t="str">
        <f aca="false">IF(F190="","",IF(WEEKDAY(A190,1)=6,F190,ROUND(MAX(0,MIN(D190,OMR_OT_AT)-C190)*24,2)))</f>
        <v/>
      </c>
      <c r="H190" s="9" t="str">
        <f aca="false">IF(F190="","",ROUND(F190-G190,2))</f>
        <v/>
      </c>
      <c r="I190" s="10" t="str">
        <f aca="false">IF(F190="","",ROUND(G190*OMR_RATE+H190*OMR_OT+MIN(N(E190),G190)*(GYP_RATE-OMR_RATE)+MAX(0,MIN(N(E190),F190)-G190)*(GYP_RATE-OMR_OT),3))</f>
        <v/>
      </c>
      <c r="J190" s="34"/>
    </row>
    <row r="191" customFormat="false" ht="19.5" hidden="false" customHeight="true" outlineLevel="0" collapsed="false">
      <c r="A191" s="31"/>
      <c r="B191" s="8" t="str">
        <f aca="false">IF(A191="","",CHOOSE(WEEKDAY(A191,1),"الأحد","الاثنين","الثلاثاء","الأربعاء","الخميس","الجمعة","السبت"))</f>
        <v/>
      </c>
      <c r="C191" s="32"/>
      <c r="D191" s="32"/>
      <c r="E191" s="33"/>
      <c r="F191" s="9" t="str">
        <f aca="false">IF(OR(C191="",D191=""),"",ROUND(MOD(D191-C191,1)*24,2))</f>
        <v/>
      </c>
      <c r="G191" s="9" t="str">
        <f aca="false">IF(F191="","",IF(WEEKDAY(A191,1)=6,F191,ROUND(MAX(0,MIN(D191,OMR_OT_AT)-C191)*24,2)))</f>
        <v/>
      </c>
      <c r="H191" s="9" t="str">
        <f aca="false">IF(F191="","",ROUND(F191-G191,2))</f>
        <v/>
      </c>
      <c r="I191" s="10" t="str">
        <f aca="false">IF(F191="","",ROUND(G191*OMR_RATE+H191*OMR_OT+MIN(N(E191),G191)*(GYP_RATE-OMR_RATE)+MAX(0,MIN(N(E191),F191)-G191)*(GYP_RATE-OMR_OT),3))</f>
        <v/>
      </c>
      <c r="J191" s="34"/>
    </row>
    <row r="192" customFormat="false" ht="19.5" hidden="false" customHeight="true" outlineLevel="0" collapsed="false">
      <c r="A192" s="31"/>
      <c r="B192" s="8" t="str">
        <f aca="false">IF(A192="","",CHOOSE(WEEKDAY(A192,1),"الأحد","الاثنين","الثلاثاء","الأربعاء","الخميس","الجمعة","السبت"))</f>
        <v/>
      </c>
      <c r="C192" s="32"/>
      <c r="D192" s="32"/>
      <c r="E192" s="33"/>
      <c r="F192" s="9" t="str">
        <f aca="false">IF(OR(C192="",D192=""),"",ROUND(MOD(D192-C192,1)*24,2))</f>
        <v/>
      </c>
      <c r="G192" s="9" t="str">
        <f aca="false">IF(F192="","",IF(WEEKDAY(A192,1)=6,F192,ROUND(MAX(0,MIN(D192,OMR_OT_AT)-C192)*24,2)))</f>
        <v/>
      </c>
      <c r="H192" s="9" t="str">
        <f aca="false">IF(F192="","",ROUND(F192-G192,2))</f>
        <v/>
      </c>
      <c r="I192" s="10" t="str">
        <f aca="false">IF(F192="","",ROUND(G192*OMR_RATE+H192*OMR_OT+MIN(N(E192),G192)*(GYP_RATE-OMR_RATE)+MAX(0,MIN(N(E192),F192)-G192)*(GYP_RATE-OMR_OT),3))</f>
        <v/>
      </c>
      <c r="J192" s="34"/>
    </row>
    <row r="193" customFormat="false" ht="19.5" hidden="false" customHeight="true" outlineLevel="0" collapsed="false">
      <c r="A193" s="31"/>
      <c r="B193" s="8" t="str">
        <f aca="false">IF(A193="","",CHOOSE(WEEKDAY(A193,1),"الأحد","الاثنين","الثلاثاء","الأربعاء","الخميس","الجمعة","السبت"))</f>
        <v/>
      </c>
      <c r="C193" s="32"/>
      <c r="D193" s="32"/>
      <c r="E193" s="33"/>
      <c r="F193" s="9" t="str">
        <f aca="false">IF(OR(C193="",D193=""),"",ROUND(MOD(D193-C193,1)*24,2))</f>
        <v/>
      </c>
      <c r="G193" s="9" t="str">
        <f aca="false">IF(F193="","",IF(WEEKDAY(A193,1)=6,F193,ROUND(MAX(0,MIN(D193,OMR_OT_AT)-C193)*24,2)))</f>
        <v/>
      </c>
      <c r="H193" s="9" t="str">
        <f aca="false">IF(F193="","",ROUND(F193-G193,2))</f>
        <v/>
      </c>
      <c r="I193" s="10" t="str">
        <f aca="false">IF(F193="","",ROUND(G193*OMR_RATE+H193*OMR_OT+MIN(N(E193),G193)*(GYP_RATE-OMR_RATE)+MAX(0,MIN(N(E193),F193)-G193)*(GYP_RATE-OMR_OT),3))</f>
        <v/>
      </c>
      <c r="J193" s="34"/>
    </row>
    <row r="194" customFormat="false" ht="19.5" hidden="false" customHeight="true" outlineLevel="0" collapsed="false">
      <c r="A194" s="31"/>
      <c r="B194" s="8" t="str">
        <f aca="false">IF(A194="","",CHOOSE(WEEKDAY(A194,1),"الأحد","الاثنين","الثلاثاء","الأربعاء","الخميس","الجمعة","السبت"))</f>
        <v/>
      </c>
      <c r="C194" s="32"/>
      <c r="D194" s="32"/>
      <c r="E194" s="33"/>
      <c r="F194" s="9" t="str">
        <f aca="false">IF(OR(C194="",D194=""),"",ROUND(MOD(D194-C194,1)*24,2))</f>
        <v/>
      </c>
      <c r="G194" s="9" t="str">
        <f aca="false">IF(F194="","",IF(WEEKDAY(A194,1)=6,F194,ROUND(MAX(0,MIN(D194,OMR_OT_AT)-C194)*24,2)))</f>
        <v/>
      </c>
      <c r="H194" s="9" t="str">
        <f aca="false">IF(F194="","",ROUND(F194-G194,2))</f>
        <v/>
      </c>
      <c r="I194" s="10" t="str">
        <f aca="false">IF(F194="","",ROUND(G194*OMR_RATE+H194*OMR_OT+MIN(N(E194),G194)*(GYP_RATE-OMR_RATE)+MAX(0,MIN(N(E194),F194)-G194)*(GYP_RATE-OMR_OT),3))</f>
        <v/>
      </c>
      <c r="J194" s="34"/>
    </row>
    <row r="195" customFormat="false" ht="19.5" hidden="false" customHeight="true" outlineLevel="0" collapsed="false">
      <c r="A195" s="31"/>
      <c r="B195" s="8" t="str">
        <f aca="false">IF(A195="","",CHOOSE(WEEKDAY(A195,1),"الأحد","الاثنين","الثلاثاء","الأربعاء","الخميس","الجمعة","السبت"))</f>
        <v/>
      </c>
      <c r="C195" s="32"/>
      <c r="D195" s="32"/>
      <c r="E195" s="33"/>
      <c r="F195" s="9" t="str">
        <f aca="false">IF(OR(C195="",D195=""),"",ROUND(MOD(D195-C195,1)*24,2))</f>
        <v/>
      </c>
      <c r="G195" s="9" t="str">
        <f aca="false">IF(F195="","",IF(WEEKDAY(A195,1)=6,F195,ROUND(MAX(0,MIN(D195,OMR_OT_AT)-C195)*24,2)))</f>
        <v/>
      </c>
      <c r="H195" s="9" t="str">
        <f aca="false">IF(F195="","",ROUND(F195-G195,2))</f>
        <v/>
      </c>
      <c r="I195" s="10" t="str">
        <f aca="false">IF(F195="","",ROUND(G195*OMR_RATE+H195*OMR_OT+MIN(N(E195),G195)*(GYP_RATE-OMR_RATE)+MAX(0,MIN(N(E195),F195)-G195)*(GYP_RATE-OMR_OT),3))</f>
        <v/>
      </c>
      <c r="J195" s="34"/>
    </row>
    <row r="196" customFormat="false" ht="19.5" hidden="false" customHeight="true" outlineLevel="0" collapsed="false">
      <c r="A196" s="31"/>
      <c r="B196" s="8" t="str">
        <f aca="false">IF(A196="","",CHOOSE(WEEKDAY(A196,1),"الأحد","الاثنين","الثلاثاء","الأربعاء","الخميس","الجمعة","السبت"))</f>
        <v/>
      </c>
      <c r="C196" s="32"/>
      <c r="D196" s="32"/>
      <c r="E196" s="33"/>
      <c r="F196" s="9" t="str">
        <f aca="false">IF(OR(C196="",D196=""),"",ROUND(MOD(D196-C196,1)*24,2))</f>
        <v/>
      </c>
      <c r="G196" s="9" t="str">
        <f aca="false">IF(F196="","",IF(WEEKDAY(A196,1)=6,F196,ROUND(MAX(0,MIN(D196,OMR_OT_AT)-C196)*24,2)))</f>
        <v/>
      </c>
      <c r="H196" s="9" t="str">
        <f aca="false">IF(F196="","",ROUND(F196-G196,2))</f>
        <v/>
      </c>
      <c r="I196" s="10" t="str">
        <f aca="false">IF(F196="","",ROUND(G196*OMR_RATE+H196*OMR_OT+MIN(N(E196),G196)*(GYP_RATE-OMR_RATE)+MAX(0,MIN(N(E196),F196)-G196)*(GYP_RATE-OMR_OT),3))</f>
        <v/>
      </c>
      <c r="J196" s="34"/>
    </row>
    <row r="197" customFormat="false" ht="19.5" hidden="false" customHeight="true" outlineLevel="0" collapsed="false">
      <c r="A197" s="31"/>
      <c r="B197" s="8" t="str">
        <f aca="false">IF(A197="","",CHOOSE(WEEKDAY(A197,1),"الأحد","الاثنين","الثلاثاء","الأربعاء","الخميس","الجمعة","السبت"))</f>
        <v/>
      </c>
      <c r="C197" s="32"/>
      <c r="D197" s="32"/>
      <c r="E197" s="33"/>
      <c r="F197" s="9" t="str">
        <f aca="false">IF(OR(C197="",D197=""),"",ROUND(MOD(D197-C197,1)*24,2))</f>
        <v/>
      </c>
      <c r="G197" s="9" t="str">
        <f aca="false">IF(F197="","",IF(WEEKDAY(A197,1)=6,F197,ROUND(MAX(0,MIN(D197,OMR_OT_AT)-C197)*24,2)))</f>
        <v/>
      </c>
      <c r="H197" s="9" t="str">
        <f aca="false">IF(F197="","",ROUND(F197-G197,2))</f>
        <v/>
      </c>
      <c r="I197" s="10" t="str">
        <f aca="false">IF(F197="","",ROUND(G197*OMR_RATE+H197*OMR_OT+MIN(N(E197),G197)*(GYP_RATE-OMR_RATE)+MAX(0,MIN(N(E197),F197)-G197)*(GYP_RATE-OMR_OT),3))</f>
        <v/>
      </c>
      <c r="J197" s="34"/>
    </row>
    <row r="198" customFormat="false" ht="19.5" hidden="false" customHeight="true" outlineLevel="0" collapsed="false">
      <c r="A198" s="31"/>
      <c r="B198" s="8" t="str">
        <f aca="false">IF(A198="","",CHOOSE(WEEKDAY(A198,1),"الأحد","الاثنين","الثلاثاء","الأربعاء","الخميس","الجمعة","السبت"))</f>
        <v/>
      </c>
      <c r="C198" s="32"/>
      <c r="D198" s="32"/>
      <c r="E198" s="33"/>
      <c r="F198" s="9" t="str">
        <f aca="false">IF(OR(C198="",D198=""),"",ROUND(MOD(D198-C198,1)*24,2))</f>
        <v/>
      </c>
      <c r="G198" s="9" t="str">
        <f aca="false">IF(F198="","",IF(WEEKDAY(A198,1)=6,F198,ROUND(MAX(0,MIN(D198,OMR_OT_AT)-C198)*24,2)))</f>
        <v/>
      </c>
      <c r="H198" s="9" t="str">
        <f aca="false">IF(F198="","",ROUND(F198-G198,2))</f>
        <v/>
      </c>
      <c r="I198" s="10" t="str">
        <f aca="false">IF(F198="","",ROUND(G198*OMR_RATE+H198*OMR_OT+MIN(N(E198),G198)*(GYP_RATE-OMR_RATE)+MAX(0,MIN(N(E198),F198)-G198)*(GYP_RATE-OMR_OT),3))</f>
        <v/>
      </c>
      <c r="J198" s="34"/>
    </row>
    <row r="199" customFormat="false" ht="19.5" hidden="false" customHeight="true" outlineLevel="0" collapsed="false">
      <c r="A199" s="31"/>
      <c r="B199" s="8" t="str">
        <f aca="false">IF(A199="","",CHOOSE(WEEKDAY(A199,1),"الأحد","الاثنين","الثلاثاء","الأربعاء","الخميس","الجمعة","السبت"))</f>
        <v/>
      </c>
      <c r="C199" s="32"/>
      <c r="D199" s="32"/>
      <c r="E199" s="33"/>
      <c r="F199" s="9" t="str">
        <f aca="false">IF(OR(C199="",D199=""),"",ROUND(MOD(D199-C199,1)*24,2))</f>
        <v/>
      </c>
      <c r="G199" s="9" t="str">
        <f aca="false">IF(F199="","",IF(WEEKDAY(A199,1)=6,F199,ROUND(MAX(0,MIN(D199,OMR_OT_AT)-C199)*24,2)))</f>
        <v/>
      </c>
      <c r="H199" s="9" t="str">
        <f aca="false">IF(F199="","",ROUND(F199-G199,2))</f>
        <v/>
      </c>
      <c r="I199" s="10" t="str">
        <f aca="false">IF(F199="","",ROUND(G199*OMR_RATE+H199*OMR_OT+MIN(N(E199),G199)*(GYP_RATE-OMR_RATE)+MAX(0,MIN(N(E199),F199)-G199)*(GYP_RATE-OMR_OT),3))</f>
        <v/>
      </c>
      <c r="J199" s="34"/>
    </row>
    <row r="200" customFormat="false" ht="19.5" hidden="false" customHeight="true" outlineLevel="0" collapsed="false">
      <c r="A200" s="31"/>
      <c r="B200" s="8" t="str">
        <f aca="false">IF(A200="","",CHOOSE(WEEKDAY(A200,1),"الأحد","الاثنين","الثلاثاء","الأربعاء","الخميس","الجمعة","السبت"))</f>
        <v/>
      </c>
      <c r="C200" s="32"/>
      <c r="D200" s="32"/>
      <c r="E200" s="33"/>
      <c r="F200" s="9" t="str">
        <f aca="false">IF(OR(C200="",D200=""),"",ROUND(MOD(D200-C200,1)*24,2))</f>
        <v/>
      </c>
      <c r="G200" s="9" t="str">
        <f aca="false">IF(F200="","",IF(WEEKDAY(A200,1)=6,F200,ROUND(MAX(0,MIN(D200,OMR_OT_AT)-C200)*24,2)))</f>
        <v/>
      </c>
      <c r="H200" s="9" t="str">
        <f aca="false">IF(F200="","",ROUND(F200-G200,2))</f>
        <v/>
      </c>
      <c r="I200" s="10" t="str">
        <f aca="false">IF(F200="","",ROUND(G200*OMR_RATE+H200*OMR_OT+MIN(N(E200),G200)*(GYP_RATE-OMR_RATE)+MAX(0,MIN(N(E200),F200)-G200)*(GYP_RATE-OMR_OT),3))</f>
        <v/>
      </c>
      <c r="J200" s="34"/>
    </row>
    <row r="201" customFormat="false" ht="19.5" hidden="false" customHeight="true" outlineLevel="0" collapsed="false">
      <c r="A201" s="31"/>
      <c r="B201" s="8" t="str">
        <f aca="false">IF(A201="","",CHOOSE(WEEKDAY(A201,1),"الأحد","الاثنين","الثلاثاء","الأربعاء","الخميس","الجمعة","السبت"))</f>
        <v/>
      </c>
      <c r="C201" s="32"/>
      <c r="D201" s="32"/>
      <c r="E201" s="33"/>
      <c r="F201" s="9" t="str">
        <f aca="false">IF(OR(C201="",D201=""),"",ROUND(MOD(D201-C201,1)*24,2))</f>
        <v/>
      </c>
      <c r="G201" s="9" t="str">
        <f aca="false">IF(F201="","",IF(WEEKDAY(A201,1)=6,F201,ROUND(MAX(0,MIN(D201,OMR_OT_AT)-C201)*24,2)))</f>
        <v/>
      </c>
      <c r="H201" s="9" t="str">
        <f aca="false">IF(F201="","",ROUND(F201-G201,2))</f>
        <v/>
      </c>
      <c r="I201" s="10" t="str">
        <f aca="false">IF(F201="","",ROUND(G201*OMR_RATE+H201*OMR_OT+MIN(N(E201),G201)*(GYP_RATE-OMR_RATE)+MAX(0,MIN(N(E201),F201)-G201)*(GYP_RATE-OMR_OT),3))</f>
        <v/>
      </c>
      <c r="J201" s="34"/>
    </row>
    <row r="202" customFormat="false" ht="19.5" hidden="false" customHeight="true" outlineLevel="0" collapsed="false">
      <c r="A202" s="31"/>
      <c r="B202" s="8" t="str">
        <f aca="false">IF(A202="","",CHOOSE(WEEKDAY(A202,1),"الأحد","الاثنين","الثلاثاء","الأربعاء","الخميس","الجمعة","السبت"))</f>
        <v/>
      </c>
      <c r="C202" s="32"/>
      <c r="D202" s="32"/>
      <c r="E202" s="33"/>
      <c r="F202" s="9" t="str">
        <f aca="false">IF(OR(C202="",D202=""),"",ROUND(MOD(D202-C202,1)*24,2))</f>
        <v/>
      </c>
      <c r="G202" s="9" t="str">
        <f aca="false">IF(F202="","",IF(WEEKDAY(A202,1)=6,F202,ROUND(MAX(0,MIN(D202,OMR_OT_AT)-C202)*24,2)))</f>
        <v/>
      </c>
      <c r="H202" s="9" t="str">
        <f aca="false">IF(F202="","",ROUND(F202-G202,2))</f>
        <v/>
      </c>
      <c r="I202" s="10" t="str">
        <f aca="false">IF(F202="","",ROUND(G202*OMR_RATE+H202*OMR_OT+MIN(N(E202),G202)*(GYP_RATE-OMR_RATE)+MAX(0,MIN(N(E202),F202)-G202)*(GYP_RATE-OMR_OT),3))</f>
        <v/>
      </c>
      <c r="J202" s="34"/>
    </row>
    <row r="203" customFormat="false" ht="19.5" hidden="false" customHeight="true" outlineLevel="0" collapsed="false">
      <c r="A203" s="31"/>
      <c r="B203" s="8" t="str">
        <f aca="false">IF(A203="","",CHOOSE(WEEKDAY(A203,1),"الأحد","الاثنين","الثلاثاء","الأربعاء","الخميس","الجمعة","السبت"))</f>
        <v/>
      </c>
      <c r="C203" s="32"/>
      <c r="D203" s="32"/>
      <c r="E203" s="33"/>
      <c r="F203" s="9" t="str">
        <f aca="false">IF(OR(C203="",D203=""),"",ROUND(MOD(D203-C203,1)*24,2))</f>
        <v/>
      </c>
      <c r="G203" s="9" t="str">
        <f aca="false">IF(F203="","",IF(WEEKDAY(A203,1)=6,F203,ROUND(MAX(0,MIN(D203,OMR_OT_AT)-C203)*24,2)))</f>
        <v/>
      </c>
      <c r="H203" s="9" t="str">
        <f aca="false">IF(F203="","",ROUND(F203-G203,2))</f>
        <v/>
      </c>
      <c r="I203" s="10" t="str">
        <f aca="false">IF(F203="","",ROUND(G203*OMR_RATE+H203*OMR_OT+MIN(N(E203),G203)*(GYP_RATE-OMR_RATE)+MAX(0,MIN(N(E203),F203)-G203)*(GYP_RATE-OMR_OT),3))</f>
        <v/>
      </c>
      <c r="J203" s="34"/>
    </row>
    <row r="204" customFormat="false" ht="19.5" hidden="false" customHeight="true" outlineLevel="0" collapsed="false">
      <c r="A204" s="31"/>
      <c r="B204" s="8" t="str">
        <f aca="false">IF(A204="","",CHOOSE(WEEKDAY(A204,1),"الأحد","الاثنين","الثلاثاء","الأربعاء","الخميس","الجمعة","السبت"))</f>
        <v/>
      </c>
      <c r="C204" s="32"/>
      <c r="D204" s="32"/>
      <c r="E204" s="33"/>
      <c r="F204" s="9" t="str">
        <f aca="false">IF(OR(C204="",D204=""),"",ROUND(MOD(D204-C204,1)*24,2))</f>
        <v/>
      </c>
      <c r="G204" s="9" t="str">
        <f aca="false">IF(F204="","",IF(WEEKDAY(A204,1)=6,F204,ROUND(MAX(0,MIN(D204,OMR_OT_AT)-C204)*24,2)))</f>
        <v/>
      </c>
      <c r="H204" s="9" t="str">
        <f aca="false">IF(F204="","",ROUND(F204-G204,2))</f>
        <v/>
      </c>
      <c r="I204" s="10" t="str">
        <f aca="false">IF(F204="","",ROUND(G204*OMR_RATE+H204*OMR_OT+MIN(N(E204),G204)*(GYP_RATE-OMR_RATE)+MAX(0,MIN(N(E204),F204)-G204)*(GYP_RATE-OMR_OT),3))</f>
        <v/>
      </c>
      <c r="J204" s="34"/>
    </row>
    <row r="205" customFormat="false" ht="19.5" hidden="false" customHeight="true" outlineLevel="0" collapsed="false">
      <c r="A205" s="31"/>
      <c r="B205" s="8" t="str">
        <f aca="false">IF(A205="","",CHOOSE(WEEKDAY(A205,1),"الأحد","الاثنين","الثلاثاء","الأربعاء","الخميس","الجمعة","السبت"))</f>
        <v/>
      </c>
      <c r="C205" s="32"/>
      <c r="D205" s="32"/>
      <c r="E205" s="33"/>
      <c r="F205" s="9" t="str">
        <f aca="false">IF(OR(C205="",D205=""),"",ROUND(MOD(D205-C205,1)*24,2))</f>
        <v/>
      </c>
      <c r="G205" s="9" t="str">
        <f aca="false">IF(F205="","",IF(WEEKDAY(A205,1)=6,F205,ROUND(MAX(0,MIN(D205,OMR_OT_AT)-C205)*24,2)))</f>
        <v/>
      </c>
      <c r="H205" s="9" t="str">
        <f aca="false">IF(F205="","",ROUND(F205-G205,2))</f>
        <v/>
      </c>
      <c r="I205" s="10" t="str">
        <f aca="false">IF(F205="","",ROUND(G205*OMR_RATE+H205*OMR_OT+MIN(N(E205),G205)*(GYP_RATE-OMR_RATE)+MAX(0,MIN(N(E205),F205)-G205)*(GYP_RATE-OMR_OT),3))</f>
        <v/>
      </c>
      <c r="J205" s="34"/>
    </row>
    <row r="206" customFormat="false" ht="15" hidden="false" customHeight="false" outlineLevel="0" collapsed="false">
      <c r="H206" s="35" t="s">
        <v>66</v>
      </c>
      <c r="I206" s="14" t="n">
        <f aca="false">SUM(I6:I205)</f>
        <v>0</v>
      </c>
    </row>
    <row r="208" customFormat="false" ht="35.05" hidden="false" customHeight="false" outlineLevel="0" collapsed="false">
      <c r="A208" s="36" t="n">
        <v>46291</v>
      </c>
      <c r="B208" s="37" t="str">
        <f aca="false">IF(A208="","",CHOOSE(WEEKDAY(A208,1),"الأحد","الاثنين","الثلاثاء","الأربعاء","الخميس","الجمعة","السبت"))</f>
        <v>السبت</v>
      </c>
      <c r="C208" s="38" t="n">
        <v>0.291666666666667</v>
      </c>
      <c r="D208" s="38" t="n">
        <v>0.8125</v>
      </c>
      <c r="E208" s="39" t="n">
        <v>2</v>
      </c>
      <c r="F208" s="39" t="n">
        <f aca="false">IF(OR(C208="",D208=""),"",ROUND(MOD(D208-C208,1)*24,2))</f>
        <v>12.5</v>
      </c>
      <c r="G208" s="39" t="n">
        <f aca="false">IF(F208="","",IF(WEEKDAY(A208,1)=6,F208,ROUND(MAX(0,MIN(D208,OMR_OT_AT)-C208)*24,2)))</f>
        <v>11</v>
      </c>
      <c r="H208" s="39" t="n">
        <f aca="false">IF(F208="","",ROUND(F208-G208,2))</f>
        <v>1.5</v>
      </c>
      <c r="I208" s="40" t="n">
        <f aca="false">IF(F208="","",ROUND(G208*OMR_RATE+H208*OMR_OT+MIN(N(E208),G208)*(GYP_RATE-OMR_RATE)+MAX(0,MIN(N(E208),F208)-G208)*(GYP_RATE-OMR_OT),3))</f>
        <v>18.5</v>
      </c>
      <c r="J208" s="41" t="s">
        <v>67</v>
      </c>
    </row>
  </sheetData>
  <mergeCells count="3">
    <mergeCell ref="A1:J1"/>
    <mergeCell ref="A2:J2"/>
    <mergeCell ref="A3:J3"/>
  </mergeCells>
  <conditionalFormatting sqref="C6:D205">
    <cfRule type="expression" priority="2" aboveAverage="0" equalAverage="0" bottom="0" percent="0" rank="0" text="" dxfId="1">
      <formula>AND($A6&lt;&gt;"",WEEKDAY($A6,1)=6,OR($C6&lt;OMR_FRI_IN,$D6&gt;OMR_FRI_OUT))</formula>
    </cfRule>
  </conditionalFormatting>
  <conditionalFormatting sqref="E6:E205">
    <cfRule type="expression" priority="3" aboveAverage="0" equalAverage="0" bottom="0" percent="0" rank="0" text="" dxfId="2">
      <formula>AND($E6&lt;&gt;"",$F6&lt;&gt;"",$E6&gt;$F6)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15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30"/>
  </cols>
  <sheetData>
    <row r="1" customFormat="false" ht="30" hidden="false" customHeight="true" outlineLevel="0" collapsed="false">
      <c r="A1" s="42" t="s">
        <v>68</v>
      </c>
      <c r="B1" s="42"/>
      <c r="C1" s="42"/>
      <c r="D1" s="42"/>
      <c r="E1" s="42"/>
      <c r="F1" s="42"/>
      <c r="G1" s="42"/>
      <c r="H1" s="42"/>
      <c r="I1" s="42"/>
      <c r="J1" s="42"/>
    </row>
    <row r="2" customFormat="false" ht="36" hidden="false" customHeight="true" outlineLevel="0" collapsed="false">
      <c r="A2" s="29" t="s">
        <v>69</v>
      </c>
      <c r="B2" s="29"/>
      <c r="C2" s="29"/>
      <c r="D2" s="29"/>
      <c r="E2" s="29"/>
      <c r="F2" s="29"/>
      <c r="G2" s="29"/>
      <c r="H2" s="29"/>
      <c r="I2" s="29"/>
      <c r="J2" s="29"/>
    </row>
    <row r="3" customFormat="false" ht="15" hidden="false" customHeight="true" outlineLevel="0" collapsed="false">
      <c r="A3" s="30" t="s">
        <v>55</v>
      </c>
      <c r="B3" s="30"/>
      <c r="C3" s="30"/>
      <c r="D3" s="30"/>
      <c r="E3" s="30"/>
      <c r="F3" s="30"/>
      <c r="G3" s="30"/>
      <c r="H3" s="30"/>
      <c r="I3" s="30"/>
      <c r="J3" s="30"/>
    </row>
    <row r="5" customFormat="false" ht="31.5" hidden="false" customHeight="true" outlineLevel="0" collapsed="false">
      <c r="A5" s="43" t="s">
        <v>56</v>
      </c>
      <c r="B5" s="43" t="s">
        <v>57</v>
      </c>
      <c r="C5" s="43" t="s">
        <v>58</v>
      </c>
      <c r="D5" s="43" t="s">
        <v>59</v>
      </c>
      <c r="E5" s="43" t="s">
        <v>60</v>
      </c>
      <c r="F5" s="43" t="s">
        <v>61</v>
      </c>
      <c r="G5" s="43" t="s">
        <v>64</v>
      </c>
      <c r="H5" s="43" t="s">
        <v>70</v>
      </c>
      <c r="I5" s="43" t="s">
        <v>71</v>
      </c>
      <c r="J5" s="43" t="s">
        <v>65</v>
      </c>
    </row>
    <row r="6" customFormat="false" ht="19.5" hidden="false" customHeight="true" outlineLevel="0" collapsed="false">
      <c r="A6" s="31"/>
      <c r="B6" s="8" t="str">
        <f aca="false">IF(A6="","",CHOOSE(WEEKDAY(A6,1),"الأحد","الاثنين","الثلاثاء","الأربعاء","الخميس","الجمعة","السبت"))</f>
        <v/>
      </c>
      <c r="C6" s="32"/>
      <c r="D6" s="32"/>
      <c r="E6" s="33"/>
      <c r="F6" s="9" t="str">
        <f aca="false">IF(OR(C6="",D6=""),"",ROUND(MOD(D6-C6,1)*24,2))</f>
        <v/>
      </c>
      <c r="G6" s="10" t="str">
        <f aca="false">IF(F6="","",ROUND(F6*AZZ_RATE+MIN(N(E6),F6)*(GYP_RATE-AZZ_RATE),3))</f>
        <v/>
      </c>
      <c r="H6" s="34"/>
      <c r="I6" s="44"/>
      <c r="J6" s="34"/>
    </row>
    <row r="7" customFormat="false" ht="19.5" hidden="false" customHeight="true" outlineLevel="0" collapsed="false">
      <c r="A7" s="31"/>
      <c r="B7" s="8" t="str">
        <f aca="false">IF(A7="","",CHOOSE(WEEKDAY(A7,1),"الأحد","الاثنين","الثلاثاء","الأربعاء","الخميس","الجمعة","السبت"))</f>
        <v/>
      </c>
      <c r="C7" s="32"/>
      <c r="D7" s="32"/>
      <c r="E7" s="33"/>
      <c r="F7" s="9" t="str">
        <f aca="false">IF(OR(C7="",D7=""),"",ROUND(MOD(D7-C7,1)*24,2))</f>
        <v/>
      </c>
      <c r="G7" s="10" t="str">
        <f aca="false">IF(F7="","",ROUND(F7*AZZ_RATE+MIN(N(E7),F7)*(GYP_RATE-AZZ_RATE),3))</f>
        <v/>
      </c>
      <c r="H7" s="34"/>
      <c r="I7" s="44"/>
      <c r="J7" s="34"/>
    </row>
    <row r="8" customFormat="false" ht="19.5" hidden="false" customHeight="true" outlineLevel="0" collapsed="false">
      <c r="A8" s="31"/>
      <c r="B8" s="8" t="str">
        <f aca="false">IF(A8="","",CHOOSE(WEEKDAY(A8,1),"الأحد","الاثنين","الثلاثاء","الأربعاء","الخميس","الجمعة","السبت"))</f>
        <v/>
      </c>
      <c r="C8" s="32"/>
      <c r="D8" s="32"/>
      <c r="E8" s="33"/>
      <c r="F8" s="9" t="str">
        <f aca="false">IF(OR(C8="",D8=""),"",ROUND(MOD(D8-C8,1)*24,2))</f>
        <v/>
      </c>
      <c r="G8" s="10" t="str">
        <f aca="false">IF(F8="","",ROUND(F8*AZZ_RATE+MIN(N(E8),F8)*(GYP_RATE-AZZ_RATE),3))</f>
        <v/>
      </c>
      <c r="H8" s="34"/>
      <c r="I8" s="44"/>
      <c r="J8" s="34"/>
    </row>
    <row r="9" customFormat="false" ht="19.5" hidden="false" customHeight="true" outlineLevel="0" collapsed="false">
      <c r="A9" s="31"/>
      <c r="B9" s="8" t="str">
        <f aca="false">IF(A9="","",CHOOSE(WEEKDAY(A9,1),"الأحد","الاثنين","الثلاثاء","الأربعاء","الخميس","الجمعة","السبت"))</f>
        <v/>
      </c>
      <c r="C9" s="32"/>
      <c r="D9" s="32"/>
      <c r="E9" s="33"/>
      <c r="F9" s="9" t="str">
        <f aca="false">IF(OR(C9="",D9=""),"",ROUND(MOD(D9-C9,1)*24,2))</f>
        <v/>
      </c>
      <c r="G9" s="10" t="str">
        <f aca="false">IF(F9="","",ROUND(F9*AZZ_RATE+MIN(N(E9),F9)*(GYP_RATE-AZZ_RATE),3))</f>
        <v/>
      </c>
      <c r="H9" s="34"/>
      <c r="I9" s="44"/>
      <c r="J9" s="34"/>
    </row>
    <row r="10" customFormat="false" ht="19.5" hidden="false" customHeight="true" outlineLevel="0" collapsed="false">
      <c r="A10" s="31"/>
      <c r="B10" s="8" t="str">
        <f aca="false">IF(A10="","",CHOOSE(WEEKDAY(A10,1),"الأحد","الاثنين","الثلاثاء","الأربعاء","الخميس","الجمعة","السبت"))</f>
        <v/>
      </c>
      <c r="C10" s="32"/>
      <c r="D10" s="32"/>
      <c r="E10" s="33"/>
      <c r="F10" s="9" t="str">
        <f aca="false">IF(OR(C10="",D10=""),"",ROUND(MOD(D10-C10,1)*24,2))</f>
        <v/>
      </c>
      <c r="G10" s="10" t="str">
        <f aca="false">IF(F10="","",ROUND(F10*AZZ_RATE+MIN(N(E10),F10)*(GYP_RATE-AZZ_RATE),3))</f>
        <v/>
      </c>
      <c r="H10" s="34"/>
      <c r="I10" s="44"/>
      <c r="J10" s="34"/>
    </row>
    <row r="11" customFormat="false" ht="19.5" hidden="false" customHeight="true" outlineLevel="0" collapsed="false">
      <c r="A11" s="31"/>
      <c r="B11" s="8" t="str">
        <f aca="false">IF(A11="","",CHOOSE(WEEKDAY(A11,1),"الأحد","الاثنين","الثلاثاء","الأربعاء","الخميس","الجمعة","السبت"))</f>
        <v/>
      </c>
      <c r="C11" s="32"/>
      <c r="D11" s="32"/>
      <c r="E11" s="33"/>
      <c r="F11" s="9" t="str">
        <f aca="false">IF(OR(C11="",D11=""),"",ROUND(MOD(D11-C11,1)*24,2))</f>
        <v/>
      </c>
      <c r="G11" s="10" t="str">
        <f aca="false">IF(F11="","",ROUND(F11*AZZ_RATE+MIN(N(E11),F11)*(GYP_RATE-AZZ_RATE),3))</f>
        <v/>
      </c>
      <c r="H11" s="34"/>
      <c r="I11" s="44"/>
      <c r="J11" s="34"/>
    </row>
    <row r="12" customFormat="false" ht="19.5" hidden="false" customHeight="true" outlineLevel="0" collapsed="false">
      <c r="A12" s="31"/>
      <c r="B12" s="8" t="str">
        <f aca="false">IF(A12="","",CHOOSE(WEEKDAY(A12,1),"الأحد","الاثنين","الثلاثاء","الأربعاء","الخميس","الجمعة","السبت"))</f>
        <v/>
      </c>
      <c r="C12" s="32"/>
      <c r="D12" s="32"/>
      <c r="E12" s="33"/>
      <c r="F12" s="9" t="str">
        <f aca="false">IF(OR(C12="",D12=""),"",ROUND(MOD(D12-C12,1)*24,2))</f>
        <v/>
      </c>
      <c r="G12" s="10" t="str">
        <f aca="false">IF(F12="","",ROUND(F12*AZZ_RATE+MIN(N(E12),F12)*(GYP_RATE-AZZ_RATE),3))</f>
        <v/>
      </c>
      <c r="H12" s="34"/>
      <c r="I12" s="44"/>
      <c r="J12" s="34"/>
    </row>
    <row r="13" customFormat="false" ht="19.5" hidden="false" customHeight="true" outlineLevel="0" collapsed="false">
      <c r="A13" s="31"/>
      <c r="B13" s="8" t="str">
        <f aca="false">IF(A13="","",CHOOSE(WEEKDAY(A13,1),"الأحد","الاثنين","الثلاثاء","الأربعاء","الخميس","الجمعة","السبت"))</f>
        <v/>
      </c>
      <c r="C13" s="32"/>
      <c r="D13" s="32"/>
      <c r="E13" s="33"/>
      <c r="F13" s="9" t="str">
        <f aca="false">IF(OR(C13="",D13=""),"",ROUND(MOD(D13-C13,1)*24,2))</f>
        <v/>
      </c>
      <c r="G13" s="10" t="str">
        <f aca="false">IF(F13="","",ROUND(F13*AZZ_RATE+MIN(N(E13),F13)*(GYP_RATE-AZZ_RATE),3))</f>
        <v/>
      </c>
      <c r="H13" s="34"/>
      <c r="I13" s="44"/>
      <c r="J13" s="34"/>
    </row>
    <row r="14" customFormat="false" ht="19.5" hidden="false" customHeight="true" outlineLevel="0" collapsed="false">
      <c r="A14" s="31"/>
      <c r="B14" s="8" t="str">
        <f aca="false">IF(A14="","",CHOOSE(WEEKDAY(A14,1),"الأحد","الاثنين","الثلاثاء","الأربعاء","الخميس","الجمعة","السبت"))</f>
        <v/>
      </c>
      <c r="C14" s="32"/>
      <c r="D14" s="32"/>
      <c r="E14" s="33"/>
      <c r="F14" s="9" t="str">
        <f aca="false">IF(OR(C14="",D14=""),"",ROUND(MOD(D14-C14,1)*24,2))</f>
        <v/>
      </c>
      <c r="G14" s="10" t="str">
        <f aca="false">IF(F14="","",ROUND(F14*AZZ_RATE+MIN(N(E14),F14)*(GYP_RATE-AZZ_RATE),3))</f>
        <v/>
      </c>
      <c r="H14" s="34"/>
      <c r="I14" s="44"/>
      <c r="J14" s="34"/>
    </row>
    <row r="15" customFormat="false" ht="19.5" hidden="false" customHeight="true" outlineLevel="0" collapsed="false">
      <c r="A15" s="31"/>
      <c r="B15" s="8" t="str">
        <f aca="false">IF(A15="","",CHOOSE(WEEKDAY(A15,1),"الأحد","الاثنين","الثلاثاء","الأربعاء","الخميس","الجمعة","السبت"))</f>
        <v/>
      </c>
      <c r="C15" s="32"/>
      <c r="D15" s="32"/>
      <c r="E15" s="33"/>
      <c r="F15" s="9" t="str">
        <f aca="false">IF(OR(C15="",D15=""),"",ROUND(MOD(D15-C15,1)*24,2))</f>
        <v/>
      </c>
      <c r="G15" s="10" t="str">
        <f aca="false">IF(F15="","",ROUND(F15*AZZ_RATE+MIN(N(E15),F15)*(GYP_RATE-AZZ_RATE),3))</f>
        <v/>
      </c>
      <c r="H15" s="34"/>
      <c r="I15" s="44"/>
      <c r="J15" s="34"/>
    </row>
    <row r="16" customFormat="false" ht="19.5" hidden="false" customHeight="true" outlineLevel="0" collapsed="false">
      <c r="A16" s="31"/>
      <c r="B16" s="8" t="str">
        <f aca="false">IF(A16="","",CHOOSE(WEEKDAY(A16,1),"الأحد","الاثنين","الثلاثاء","الأربعاء","الخميس","الجمعة","السبت"))</f>
        <v/>
      </c>
      <c r="C16" s="32"/>
      <c r="D16" s="32"/>
      <c r="E16" s="33"/>
      <c r="F16" s="9" t="str">
        <f aca="false">IF(OR(C16="",D16=""),"",ROUND(MOD(D16-C16,1)*24,2))</f>
        <v/>
      </c>
      <c r="G16" s="10" t="str">
        <f aca="false">IF(F16="","",ROUND(F16*AZZ_RATE+MIN(N(E16),F16)*(GYP_RATE-AZZ_RATE),3))</f>
        <v/>
      </c>
      <c r="H16" s="34"/>
      <c r="I16" s="44"/>
      <c r="J16" s="34"/>
    </row>
    <row r="17" customFormat="false" ht="19.5" hidden="false" customHeight="true" outlineLevel="0" collapsed="false">
      <c r="A17" s="31"/>
      <c r="B17" s="8" t="str">
        <f aca="false">IF(A17="","",CHOOSE(WEEKDAY(A17,1),"الأحد","الاثنين","الثلاثاء","الأربعاء","الخميس","الجمعة","السبت"))</f>
        <v/>
      </c>
      <c r="C17" s="32"/>
      <c r="D17" s="32"/>
      <c r="E17" s="33"/>
      <c r="F17" s="9" t="str">
        <f aca="false">IF(OR(C17="",D17=""),"",ROUND(MOD(D17-C17,1)*24,2))</f>
        <v/>
      </c>
      <c r="G17" s="10" t="str">
        <f aca="false">IF(F17="","",ROUND(F17*AZZ_RATE+MIN(N(E17),F17)*(GYP_RATE-AZZ_RATE),3))</f>
        <v/>
      </c>
      <c r="H17" s="34"/>
      <c r="I17" s="44"/>
      <c r="J17" s="34"/>
    </row>
    <row r="18" customFormat="false" ht="19.5" hidden="false" customHeight="true" outlineLevel="0" collapsed="false">
      <c r="A18" s="31"/>
      <c r="B18" s="8" t="str">
        <f aca="false">IF(A18="","",CHOOSE(WEEKDAY(A18,1),"الأحد","الاثنين","الثلاثاء","الأربعاء","الخميس","الجمعة","السبت"))</f>
        <v/>
      </c>
      <c r="C18" s="32"/>
      <c r="D18" s="32"/>
      <c r="E18" s="33"/>
      <c r="F18" s="9" t="str">
        <f aca="false">IF(OR(C18="",D18=""),"",ROUND(MOD(D18-C18,1)*24,2))</f>
        <v/>
      </c>
      <c r="G18" s="10" t="str">
        <f aca="false">IF(F18="","",ROUND(F18*AZZ_RATE+MIN(N(E18),F18)*(GYP_RATE-AZZ_RATE),3))</f>
        <v/>
      </c>
      <c r="H18" s="34"/>
      <c r="I18" s="44"/>
      <c r="J18" s="34"/>
    </row>
    <row r="19" customFormat="false" ht="19.5" hidden="false" customHeight="true" outlineLevel="0" collapsed="false">
      <c r="A19" s="31"/>
      <c r="B19" s="8" t="str">
        <f aca="false">IF(A19="","",CHOOSE(WEEKDAY(A19,1),"الأحد","الاثنين","الثلاثاء","الأربعاء","الخميس","الجمعة","السبت"))</f>
        <v/>
      </c>
      <c r="C19" s="32"/>
      <c r="D19" s="32"/>
      <c r="E19" s="33"/>
      <c r="F19" s="9" t="str">
        <f aca="false">IF(OR(C19="",D19=""),"",ROUND(MOD(D19-C19,1)*24,2))</f>
        <v/>
      </c>
      <c r="G19" s="10" t="str">
        <f aca="false">IF(F19="","",ROUND(F19*AZZ_RATE+MIN(N(E19),F19)*(GYP_RATE-AZZ_RATE),3))</f>
        <v/>
      </c>
      <c r="H19" s="34"/>
      <c r="I19" s="44"/>
      <c r="J19" s="34"/>
    </row>
    <row r="20" customFormat="false" ht="19.5" hidden="false" customHeight="true" outlineLevel="0" collapsed="false">
      <c r="A20" s="31"/>
      <c r="B20" s="8" t="str">
        <f aca="false">IF(A20="","",CHOOSE(WEEKDAY(A20,1),"الأحد","الاثنين","الثلاثاء","الأربعاء","الخميس","الجمعة","السبت"))</f>
        <v/>
      </c>
      <c r="C20" s="32"/>
      <c r="D20" s="32"/>
      <c r="E20" s="33"/>
      <c r="F20" s="9" t="str">
        <f aca="false">IF(OR(C20="",D20=""),"",ROUND(MOD(D20-C20,1)*24,2))</f>
        <v/>
      </c>
      <c r="G20" s="10" t="str">
        <f aca="false">IF(F20="","",ROUND(F20*AZZ_RATE+MIN(N(E20),F20)*(GYP_RATE-AZZ_RATE),3))</f>
        <v/>
      </c>
      <c r="H20" s="34"/>
      <c r="I20" s="44"/>
      <c r="J20" s="34"/>
    </row>
    <row r="21" customFormat="false" ht="19.5" hidden="false" customHeight="true" outlineLevel="0" collapsed="false">
      <c r="A21" s="31"/>
      <c r="B21" s="8" t="str">
        <f aca="false">IF(A21="","",CHOOSE(WEEKDAY(A21,1),"الأحد","الاثنين","الثلاثاء","الأربعاء","الخميس","الجمعة","السبت"))</f>
        <v/>
      </c>
      <c r="C21" s="32"/>
      <c r="D21" s="32"/>
      <c r="E21" s="33"/>
      <c r="F21" s="9" t="str">
        <f aca="false">IF(OR(C21="",D21=""),"",ROUND(MOD(D21-C21,1)*24,2))</f>
        <v/>
      </c>
      <c r="G21" s="10" t="str">
        <f aca="false">IF(F21="","",ROUND(F21*AZZ_RATE+MIN(N(E21),F21)*(GYP_RATE-AZZ_RATE),3))</f>
        <v/>
      </c>
      <c r="H21" s="34"/>
      <c r="I21" s="44"/>
      <c r="J21" s="34"/>
    </row>
    <row r="22" customFormat="false" ht="19.5" hidden="false" customHeight="true" outlineLevel="0" collapsed="false">
      <c r="A22" s="31"/>
      <c r="B22" s="8" t="str">
        <f aca="false">IF(A22="","",CHOOSE(WEEKDAY(A22,1),"الأحد","الاثنين","الثلاثاء","الأربعاء","الخميس","الجمعة","السبت"))</f>
        <v/>
      </c>
      <c r="C22" s="32"/>
      <c r="D22" s="32"/>
      <c r="E22" s="33"/>
      <c r="F22" s="9" t="str">
        <f aca="false">IF(OR(C22="",D22=""),"",ROUND(MOD(D22-C22,1)*24,2))</f>
        <v/>
      </c>
      <c r="G22" s="10" t="str">
        <f aca="false">IF(F22="","",ROUND(F22*AZZ_RATE+MIN(N(E22),F22)*(GYP_RATE-AZZ_RATE),3))</f>
        <v/>
      </c>
      <c r="H22" s="34"/>
      <c r="I22" s="44"/>
      <c r="J22" s="34"/>
    </row>
    <row r="23" customFormat="false" ht="19.5" hidden="false" customHeight="true" outlineLevel="0" collapsed="false">
      <c r="A23" s="31"/>
      <c r="B23" s="8" t="str">
        <f aca="false">IF(A23="","",CHOOSE(WEEKDAY(A23,1),"الأحد","الاثنين","الثلاثاء","الأربعاء","الخميس","الجمعة","السبت"))</f>
        <v/>
      </c>
      <c r="C23" s="32"/>
      <c r="D23" s="32"/>
      <c r="E23" s="33"/>
      <c r="F23" s="9" t="str">
        <f aca="false">IF(OR(C23="",D23=""),"",ROUND(MOD(D23-C23,1)*24,2))</f>
        <v/>
      </c>
      <c r="G23" s="10" t="str">
        <f aca="false">IF(F23="","",ROUND(F23*AZZ_RATE+MIN(N(E23),F23)*(GYP_RATE-AZZ_RATE),3))</f>
        <v/>
      </c>
      <c r="H23" s="34"/>
      <c r="I23" s="44"/>
      <c r="J23" s="34"/>
    </row>
    <row r="24" customFormat="false" ht="19.5" hidden="false" customHeight="true" outlineLevel="0" collapsed="false">
      <c r="A24" s="31"/>
      <c r="B24" s="8" t="str">
        <f aca="false">IF(A24="","",CHOOSE(WEEKDAY(A24,1),"الأحد","الاثنين","الثلاثاء","الأربعاء","الخميس","الجمعة","السبت"))</f>
        <v/>
      </c>
      <c r="C24" s="32"/>
      <c r="D24" s="32"/>
      <c r="E24" s="33"/>
      <c r="F24" s="9" t="str">
        <f aca="false">IF(OR(C24="",D24=""),"",ROUND(MOD(D24-C24,1)*24,2))</f>
        <v/>
      </c>
      <c r="G24" s="10" t="str">
        <f aca="false">IF(F24="","",ROUND(F24*AZZ_RATE+MIN(N(E24),F24)*(GYP_RATE-AZZ_RATE),3))</f>
        <v/>
      </c>
      <c r="H24" s="34"/>
      <c r="I24" s="44"/>
      <c r="J24" s="34"/>
    </row>
    <row r="25" customFormat="false" ht="19.5" hidden="false" customHeight="true" outlineLevel="0" collapsed="false">
      <c r="A25" s="31"/>
      <c r="B25" s="8" t="str">
        <f aca="false">IF(A25="","",CHOOSE(WEEKDAY(A25,1),"الأحد","الاثنين","الثلاثاء","الأربعاء","الخميس","الجمعة","السبت"))</f>
        <v/>
      </c>
      <c r="C25" s="32"/>
      <c r="D25" s="32"/>
      <c r="E25" s="33"/>
      <c r="F25" s="9" t="str">
        <f aca="false">IF(OR(C25="",D25=""),"",ROUND(MOD(D25-C25,1)*24,2))</f>
        <v/>
      </c>
      <c r="G25" s="10" t="str">
        <f aca="false">IF(F25="","",ROUND(F25*AZZ_RATE+MIN(N(E25),F25)*(GYP_RATE-AZZ_RATE),3))</f>
        <v/>
      </c>
      <c r="H25" s="34"/>
      <c r="I25" s="44"/>
      <c r="J25" s="34"/>
    </row>
    <row r="26" customFormat="false" ht="19.5" hidden="false" customHeight="true" outlineLevel="0" collapsed="false">
      <c r="A26" s="31"/>
      <c r="B26" s="8" t="str">
        <f aca="false">IF(A26="","",CHOOSE(WEEKDAY(A26,1),"الأحد","الاثنين","الثلاثاء","الأربعاء","الخميس","الجمعة","السبت"))</f>
        <v/>
      </c>
      <c r="C26" s="32"/>
      <c r="D26" s="32"/>
      <c r="E26" s="33"/>
      <c r="F26" s="9" t="str">
        <f aca="false">IF(OR(C26="",D26=""),"",ROUND(MOD(D26-C26,1)*24,2))</f>
        <v/>
      </c>
      <c r="G26" s="10" t="str">
        <f aca="false">IF(F26="","",ROUND(F26*AZZ_RATE+MIN(N(E26),F26)*(GYP_RATE-AZZ_RATE),3))</f>
        <v/>
      </c>
      <c r="H26" s="34"/>
      <c r="I26" s="44"/>
      <c r="J26" s="34"/>
    </row>
    <row r="27" customFormat="false" ht="19.5" hidden="false" customHeight="true" outlineLevel="0" collapsed="false">
      <c r="A27" s="31"/>
      <c r="B27" s="8" t="str">
        <f aca="false">IF(A27="","",CHOOSE(WEEKDAY(A27,1),"الأحد","الاثنين","الثلاثاء","الأربعاء","الخميس","الجمعة","السبت"))</f>
        <v/>
      </c>
      <c r="C27" s="32"/>
      <c r="D27" s="32"/>
      <c r="E27" s="33"/>
      <c r="F27" s="9" t="str">
        <f aca="false">IF(OR(C27="",D27=""),"",ROUND(MOD(D27-C27,1)*24,2))</f>
        <v/>
      </c>
      <c r="G27" s="10" t="str">
        <f aca="false">IF(F27="","",ROUND(F27*AZZ_RATE+MIN(N(E27),F27)*(GYP_RATE-AZZ_RATE),3))</f>
        <v/>
      </c>
      <c r="H27" s="34"/>
      <c r="I27" s="44"/>
      <c r="J27" s="34"/>
    </row>
    <row r="28" customFormat="false" ht="19.5" hidden="false" customHeight="true" outlineLevel="0" collapsed="false">
      <c r="A28" s="31"/>
      <c r="B28" s="8" t="str">
        <f aca="false">IF(A28="","",CHOOSE(WEEKDAY(A28,1),"الأحد","الاثنين","الثلاثاء","الأربعاء","الخميس","الجمعة","السبت"))</f>
        <v/>
      </c>
      <c r="C28" s="32"/>
      <c r="D28" s="32"/>
      <c r="E28" s="33"/>
      <c r="F28" s="9" t="str">
        <f aca="false">IF(OR(C28="",D28=""),"",ROUND(MOD(D28-C28,1)*24,2))</f>
        <v/>
      </c>
      <c r="G28" s="10" t="str">
        <f aca="false">IF(F28="","",ROUND(F28*AZZ_RATE+MIN(N(E28),F28)*(GYP_RATE-AZZ_RATE),3))</f>
        <v/>
      </c>
      <c r="H28" s="34"/>
      <c r="I28" s="44"/>
      <c r="J28" s="34"/>
    </row>
    <row r="29" customFormat="false" ht="19.5" hidden="false" customHeight="true" outlineLevel="0" collapsed="false">
      <c r="A29" s="31"/>
      <c r="B29" s="8" t="str">
        <f aca="false">IF(A29="","",CHOOSE(WEEKDAY(A29,1),"الأحد","الاثنين","الثلاثاء","الأربعاء","الخميس","الجمعة","السبت"))</f>
        <v/>
      </c>
      <c r="C29" s="32"/>
      <c r="D29" s="32"/>
      <c r="E29" s="33"/>
      <c r="F29" s="9" t="str">
        <f aca="false">IF(OR(C29="",D29=""),"",ROUND(MOD(D29-C29,1)*24,2))</f>
        <v/>
      </c>
      <c r="G29" s="10" t="str">
        <f aca="false">IF(F29="","",ROUND(F29*AZZ_RATE+MIN(N(E29),F29)*(GYP_RATE-AZZ_RATE),3))</f>
        <v/>
      </c>
      <c r="H29" s="34"/>
      <c r="I29" s="44"/>
      <c r="J29" s="34"/>
    </row>
    <row r="30" customFormat="false" ht="19.5" hidden="false" customHeight="true" outlineLevel="0" collapsed="false">
      <c r="A30" s="31"/>
      <c r="B30" s="8" t="str">
        <f aca="false">IF(A30="","",CHOOSE(WEEKDAY(A30,1),"الأحد","الاثنين","الثلاثاء","الأربعاء","الخميس","الجمعة","السبت"))</f>
        <v/>
      </c>
      <c r="C30" s="32"/>
      <c r="D30" s="32"/>
      <c r="E30" s="33"/>
      <c r="F30" s="9" t="str">
        <f aca="false">IF(OR(C30="",D30=""),"",ROUND(MOD(D30-C30,1)*24,2))</f>
        <v/>
      </c>
      <c r="G30" s="10" t="str">
        <f aca="false">IF(F30="","",ROUND(F30*AZZ_RATE+MIN(N(E30),F30)*(GYP_RATE-AZZ_RATE),3))</f>
        <v/>
      </c>
      <c r="H30" s="34"/>
      <c r="I30" s="44"/>
      <c r="J30" s="34"/>
    </row>
    <row r="31" customFormat="false" ht="19.5" hidden="false" customHeight="true" outlineLevel="0" collapsed="false">
      <c r="A31" s="31"/>
      <c r="B31" s="8" t="str">
        <f aca="false">IF(A31="","",CHOOSE(WEEKDAY(A31,1),"الأحد","الاثنين","الثلاثاء","الأربعاء","الخميس","الجمعة","السبت"))</f>
        <v/>
      </c>
      <c r="C31" s="32"/>
      <c r="D31" s="32"/>
      <c r="E31" s="33"/>
      <c r="F31" s="9" t="str">
        <f aca="false">IF(OR(C31="",D31=""),"",ROUND(MOD(D31-C31,1)*24,2))</f>
        <v/>
      </c>
      <c r="G31" s="10" t="str">
        <f aca="false">IF(F31="","",ROUND(F31*AZZ_RATE+MIN(N(E31),F31)*(GYP_RATE-AZZ_RATE),3))</f>
        <v/>
      </c>
      <c r="H31" s="34"/>
      <c r="I31" s="44"/>
      <c r="J31" s="34"/>
    </row>
    <row r="32" customFormat="false" ht="19.5" hidden="false" customHeight="true" outlineLevel="0" collapsed="false">
      <c r="A32" s="31"/>
      <c r="B32" s="8" t="str">
        <f aca="false">IF(A32="","",CHOOSE(WEEKDAY(A32,1),"الأحد","الاثنين","الثلاثاء","الأربعاء","الخميس","الجمعة","السبت"))</f>
        <v/>
      </c>
      <c r="C32" s="32"/>
      <c r="D32" s="32"/>
      <c r="E32" s="33"/>
      <c r="F32" s="9" t="str">
        <f aca="false">IF(OR(C32="",D32=""),"",ROUND(MOD(D32-C32,1)*24,2))</f>
        <v/>
      </c>
      <c r="G32" s="10" t="str">
        <f aca="false">IF(F32="","",ROUND(F32*AZZ_RATE+MIN(N(E32),F32)*(GYP_RATE-AZZ_RATE),3))</f>
        <v/>
      </c>
      <c r="H32" s="34"/>
      <c r="I32" s="44"/>
      <c r="J32" s="34"/>
    </row>
    <row r="33" customFormat="false" ht="19.5" hidden="false" customHeight="true" outlineLevel="0" collapsed="false">
      <c r="A33" s="31"/>
      <c r="B33" s="8" t="str">
        <f aca="false">IF(A33="","",CHOOSE(WEEKDAY(A33,1),"الأحد","الاثنين","الثلاثاء","الأربعاء","الخميس","الجمعة","السبت"))</f>
        <v/>
      </c>
      <c r="C33" s="32"/>
      <c r="D33" s="32"/>
      <c r="E33" s="33"/>
      <c r="F33" s="9" t="str">
        <f aca="false">IF(OR(C33="",D33=""),"",ROUND(MOD(D33-C33,1)*24,2))</f>
        <v/>
      </c>
      <c r="G33" s="10" t="str">
        <f aca="false">IF(F33="","",ROUND(F33*AZZ_RATE+MIN(N(E33),F33)*(GYP_RATE-AZZ_RATE),3))</f>
        <v/>
      </c>
      <c r="H33" s="34"/>
      <c r="I33" s="44"/>
      <c r="J33" s="34"/>
    </row>
    <row r="34" customFormat="false" ht="19.5" hidden="false" customHeight="true" outlineLevel="0" collapsed="false">
      <c r="A34" s="31"/>
      <c r="B34" s="8" t="str">
        <f aca="false">IF(A34="","",CHOOSE(WEEKDAY(A34,1),"الأحد","الاثنين","الثلاثاء","الأربعاء","الخميس","الجمعة","السبت"))</f>
        <v/>
      </c>
      <c r="C34" s="32"/>
      <c r="D34" s="32"/>
      <c r="E34" s="33"/>
      <c r="F34" s="9" t="str">
        <f aca="false">IF(OR(C34="",D34=""),"",ROUND(MOD(D34-C34,1)*24,2))</f>
        <v/>
      </c>
      <c r="G34" s="10" t="str">
        <f aca="false">IF(F34="","",ROUND(F34*AZZ_RATE+MIN(N(E34),F34)*(GYP_RATE-AZZ_RATE),3))</f>
        <v/>
      </c>
      <c r="H34" s="34"/>
      <c r="I34" s="44"/>
      <c r="J34" s="34"/>
    </row>
    <row r="35" customFormat="false" ht="19.5" hidden="false" customHeight="true" outlineLevel="0" collapsed="false">
      <c r="A35" s="31"/>
      <c r="B35" s="8" t="str">
        <f aca="false">IF(A35="","",CHOOSE(WEEKDAY(A35,1),"الأحد","الاثنين","الثلاثاء","الأربعاء","الخميس","الجمعة","السبت"))</f>
        <v/>
      </c>
      <c r="C35" s="32"/>
      <c r="D35" s="32"/>
      <c r="E35" s="33"/>
      <c r="F35" s="9" t="str">
        <f aca="false">IF(OR(C35="",D35=""),"",ROUND(MOD(D35-C35,1)*24,2))</f>
        <v/>
      </c>
      <c r="G35" s="10" t="str">
        <f aca="false">IF(F35="","",ROUND(F35*AZZ_RATE+MIN(N(E35),F35)*(GYP_RATE-AZZ_RATE),3))</f>
        <v/>
      </c>
      <c r="H35" s="34"/>
      <c r="I35" s="44"/>
      <c r="J35" s="34"/>
    </row>
    <row r="36" customFormat="false" ht="19.5" hidden="false" customHeight="true" outlineLevel="0" collapsed="false">
      <c r="A36" s="31"/>
      <c r="B36" s="8" t="str">
        <f aca="false">IF(A36="","",CHOOSE(WEEKDAY(A36,1),"الأحد","الاثنين","الثلاثاء","الأربعاء","الخميس","الجمعة","السبت"))</f>
        <v/>
      </c>
      <c r="C36" s="32"/>
      <c r="D36" s="32"/>
      <c r="E36" s="33"/>
      <c r="F36" s="9" t="str">
        <f aca="false">IF(OR(C36="",D36=""),"",ROUND(MOD(D36-C36,1)*24,2))</f>
        <v/>
      </c>
      <c r="G36" s="10" t="str">
        <f aca="false">IF(F36="","",ROUND(F36*AZZ_RATE+MIN(N(E36),F36)*(GYP_RATE-AZZ_RATE),3))</f>
        <v/>
      </c>
      <c r="H36" s="34"/>
      <c r="I36" s="44"/>
      <c r="J36" s="34"/>
    </row>
    <row r="37" customFormat="false" ht="19.5" hidden="false" customHeight="true" outlineLevel="0" collapsed="false">
      <c r="A37" s="31"/>
      <c r="B37" s="8" t="str">
        <f aca="false">IF(A37="","",CHOOSE(WEEKDAY(A37,1),"الأحد","الاثنين","الثلاثاء","الأربعاء","الخميس","الجمعة","السبت"))</f>
        <v/>
      </c>
      <c r="C37" s="32"/>
      <c r="D37" s="32"/>
      <c r="E37" s="33"/>
      <c r="F37" s="9" t="str">
        <f aca="false">IF(OR(C37="",D37=""),"",ROUND(MOD(D37-C37,1)*24,2))</f>
        <v/>
      </c>
      <c r="G37" s="10" t="str">
        <f aca="false">IF(F37="","",ROUND(F37*AZZ_RATE+MIN(N(E37),F37)*(GYP_RATE-AZZ_RATE),3))</f>
        <v/>
      </c>
      <c r="H37" s="34"/>
      <c r="I37" s="44"/>
      <c r="J37" s="34"/>
    </row>
    <row r="38" customFormat="false" ht="19.5" hidden="false" customHeight="true" outlineLevel="0" collapsed="false">
      <c r="A38" s="31"/>
      <c r="B38" s="8" t="str">
        <f aca="false">IF(A38="","",CHOOSE(WEEKDAY(A38,1),"الأحد","الاثنين","الثلاثاء","الأربعاء","الخميس","الجمعة","السبت"))</f>
        <v/>
      </c>
      <c r="C38" s="32"/>
      <c r="D38" s="32"/>
      <c r="E38" s="33"/>
      <c r="F38" s="9" t="str">
        <f aca="false">IF(OR(C38="",D38=""),"",ROUND(MOD(D38-C38,1)*24,2))</f>
        <v/>
      </c>
      <c r="G38" s="10" t="str">
        <f aca="false">IF(F38="","",ROUND(F38*AZZ_RATE+MIN(N(E38),F38)*(GYP_RATE-AZZ_RATE),3))</f>
        <v/>
      </c>
      <c r="H38" s="34"/>
      <c r="I38" s="44"/>
      <c r="J38" s="34"/>
    </row>
    <row r="39" customFormat="false" ht="19.5" hidden="false" customHeight="true" outlineLevel="0" collapsed="false">
      <c r="A39" s="31"/>
      <c r="B39" s="8" t="str">
        <f aca="false">IF(A39="","",CHOOSE(WEEKDAY(A39,1),"الأحد","الاثنين","الثلاثاء","الأربعاء","الخميس","الجمعة","السبت"))</f>
        <v/>
      </c>
      <c r="C39" s="32"/>
      <c r="D39" s="32"/>
      <c r="E39" s="33"/>
      <c r="F39" s="9" t="str">
        <f aca="false">IF(OR(C39="",D39=""),"",ROUND(MOD(D39-C39,1)*24,2))</f>
        <v/>
      </c>
      <c r="G39" s="10" t="str">
        <f aca="false">IF(F39="","",ROUND(F39*AZZ_RATE+MIN(N(E39),F39)*(GYP_RATE-AZZ_RATE),3))</f>
        <v/>
      </c>
      <c r="H39" s="34"/>
      <c r="I39" s="44"/>
      <c r="J39" s="34"/>
    </row>
    <row r="40" customFormat="false" ht="19.5" hidden="false" customHeight="true" outlineLevel="0" collapsed="false">
      <c r="A40" s="31"/>
      <c r="B40" s="8" t="str">
        <f aca="false">IF(A40="","",CHOOSE(WEEKDAY(A40,1),"الأحد","الاثنين","الثلاثاء","الأربعاء","الخميس","الجمعة","السبت"))</f>
        <v/>
      </c>
      <c r="C40" s="32"/>
      <c r="D40" s="32"/>
      <c r="E40" s="33"/>
      <c r="F40" s="9" t="str">
        <f aca="false">IF(OR(C40="",D40=""),"",ROUND(MOD(D40-C40,1)*24,2))</f>
        <v/>
      </c>
      <c r="G40" s="10" t="str">
        <f aca="false">IF(F40="","",ROUND(F40*AZZ_RATE+MIN(N(E40),F40)*(GYP_RATE-AZZ_RATE),3))</f>
        <v/>
      </c>
      <c r="H40" s="34"/>
      <c r="I40" s="44"/>
      <c r="J40" s="34"/>
    </row>
    <row r="41" customFormat="false" ht="19.5" hidden="false" customHeight="true" outlineLevel="0" collapsed="false">
      <c r="A41" s="31"/>
      <c r="B41" s="8" t="str">
        <f aca="false">IF(A41="","",CHOOSE(WEEKDAY(A41,1),"الأحد","الاثنين","الثلاثاء","الأربعاء","الخميس","الجمعة","السبت"))</f>
        <v/>
      </c>
      <c r="C41" s="32"/>
      <c r="D41" s="32"/>
      <c r="E41" s="33"/>
      <c r="F41" s="9" t="str">
        <f aca="false">IF(OR(C41="",D41=""),"",ROUND(MOD(D41-C41,1)*24,2))</f>
        <v/>
      </c>
      <c r="G41" s="10" t="str">
        <f aca="false">IF(F41="","",ROUND(F41*AZZ_RATE+MIN(N(E41),F41)*(GYP_RATE-AZZ_RATE),3))</f>
        <v/>
      </c>
      <c r="H41" s="34"/>
      <c r="I41" s="44"/>
      <c r="J41" s="34"/>
    </row>
    <row r="42" customFormat="false" ht="19.5" hidden="false" customHeight="true" outlineLevel="0" collapsed="false">
      <c r="A42" s="31"/>
      <c r="B42" s="8" t="str">
        <f aca="false">IF(A42="","",CHOOSE(WEEKDAY(A42,1),"الأحد","الاثنين","الثلاثاء","الأربعاء","الخميس","الجمعة","السبت"))</f>
        <v/>
      </c>
      <c r="C42" s="32"/>
      <c r="D42" s="32"/>
      <c r="E42" s="33"/>
      <c r="F42" s="9" t="str">
        <f aca="false">IF(OR(C42="",D42=""),"",ROUND(MOD(D42-C42,1)*24,2))</f>
        <v/>
      </c>
      <c r="G42" s="10" t="str">
        <f aca="false">IF(F42="","",ROUND(F42*AZZ_RATE+MIN(N(E42),F42)*(GYP_RATE-AZZ_RATE),3))</f>
        <v/>
      </c>
      <c r="H42" s="34"/>
      <c r="I42" s="44"/>
      <c r="J42" s="34"/>
    </row>
    <row r="43" customFormat="false" ht="19.5" hidden="false" customHeight="true" outlineLevel="0" collapsed="false">
      <c r="A43" s="31"/>
      <c r="B43" s="8" t="str">
        <f aca="false">IF(A43="","",CHOOSE(WEEKDAY(A43,1),"الأحد","الاثنين","الثلاثاء","الأربعاء","الخميس","الجمعة","السبت"))</f>
        <v/>
      </c>
      <c r="C43" s="32"/>
      <c r="D43" s="32"/>
      <c r="E43" s="33"/>
      <c r="F43" s="9" t="str">
        <f aca="false">IF(OR(C43="",D43=""),"",ROUND(MOD(D43-C43,1)*24,2))</f>
        <v/>
      </c>
      <c r="G43" s="10" t="str">
        <f aca="false">IF(F43="","",ROUND(F43*AZZ_RATE+MIN(N(E43),F43)*(GYP_RATE-AZZ_RATE),3))</f>
        <v/>
      </c>
      <c r="H43" s="34"/>
      <c r="I43" s="44"/>
      <c r="J43" s="34"/>
    </row>
    <row r="44" customFormat="false" ht="19.5" hidden="false" customHeight="true" outlineLevel="0" collapsed="false">
      <c r="A44" s="31"/>
      <c r="B44" s="8" t="str">
        <f aca="false">IF(A44="","",CHOOSE(WEEKDAY(A44,1),"الأحد","الاثنين","الثلاثاء","الأربعاء","الخميس","الجمعة","السبت"))</f>
        <v/>
      </c>
      <c r="C44" s="32"/>
      <c r="D44" s="32"/>
      <c r="E44" s="33"/>
      <c r="F44" s="9" t="str">
        <f aca="false">IF(OR(C44="",D44=""),"",ROUND(MOD(D44-C44,1)*24,2))</f>
        <v/>
      </c>
      <c r="G44" s="10" t="str">
        <f aca="false">IF(F44="","",ROUND(F44*AZZ_RATE+MIN(N(E44),F44)*(GYP_RATE-AZZ_RATE),3))</f>
        <v/>
      </c>
      <c r="H44" s="34"/>
      <c r="I44" s="44"/>
      <c r="J44" s="34"/>
    </row>
    <row r="45" customFormat="false" ht="19.5" hidden="false" customHeight="true" outlineLevel="0" collapsed="false">
      <c r="A45" s="31"/>
      <c r="B45" s="8" t="str">
        <f aca="false">IF(A45="","",CHOOSE(WEEKDAY(A45,1),"الأحد","الاثنين","الثلاثاء","الأربعاء","الخميس","الجمعة","السبت"))</f>
        <v/>
      </c>
      <c r="C45" s="32"/>
      <c r="D45" s="32"/>
      <c r="E45" s="33"/>
      <c r="F45" s="9" t="str">
        <f aca="false">IF(OR(C45="",D45=""),"",ROUND(MOD(D45-C45,1)*24,2))</f>
        <v/>
      </c>
      <c r="G45" s="10" t="str">
        <f aca="false">IF(F45="","",ROUND(F45*AZZ_RATE+MIN(N(E45),F45)*(GYP_RATE-AZZ_RATE),3))</f>
        <v/>
      </c>
      <c r="H45" s="34"/>
      <c r="I45" s="44"/>
      <c r="J45" s="34"/>
    </row>
    <row r="46" customFormat="false" ht="19.5" hidden="false" customHeight="true" outlineLevel="0" collapsed="false">
      <c r="A46" s="31"/>
      <c r="B46" s="8" t="str">
        <f aca="false">IF(A46="","",CHOOSE(WEEKDAY(A46,1),"الأحد","الاثنين","الثلاثاء","الأربعاء","الخميس","الجمعة","السبت"))</f>
        <v/>
      </c>
      <c r="C46" s="32"/>
      <c r="D46" s="32"/>
      <c r="E46" s="33"/>
      <c r="F46" s="9" t="str">
        <f aca="false">IF(OR(C46="",D46=""),"",ROUND(MOD(D46-C46,1)*24,2))</f>
        <v/>
      </c>
      <c r="G46" s="10" t="str">
        <f aca="false">IF(F46="","",ROUND(F46*AZZ_RATE+MIN(N(E46),F46)*(GYP_RATE-AZZ_RATE),3))</f>
        <v/>
      </c>
      <c r="H46" s="34"/>
      <c r="I46" s="44"/>
      <c r="J46" s="34"/>
    </row>
    <row r="47" customFormat="false" ht="19.5" hidden="false" customHeight="true" outlineLevel="0" collapsed="false">
      <c r="A47" s="31"/>
      <c r="B47" s="8" t="str">
        <f aca="false">IF(A47="","",CHOOSE(WEEKDAY(A47,1),"الأحد","الاثنين","الثلاثاء","الأربعاء","الخميس","الجمعة","السبت"))</f>
        <v/>
      </c>
      <c r="C47" s="32"/>
      <c r="D47" s="32"/>
      <c r="E47" s="33"/>
      <c r="F47" s="9" t="str">
        <f aca="false">IF(OR(C47="",D47=""),"",ROUND(MOD(D47-C47,1)*24,2))</f>
        <v/>
      </c>
      <c r="G47" s="10" t="str">
        <f aca="false">IF(F47="","",ROUND(F47*AZZ_RATE+MIN(N(E47),F47)*(GYP_RATE-AZZ_RATE),3))</f>
        <v/>
      </c>
      <c r="H47" s="34"/>
      <c r="I47" s="44"/>
      <c r="J47" s="34"/>
    </row>
    <row r="48" customFormat="false" ht="19.5" hidden="false" customHeight="true" outlineLevel="0" collapsed="false">
      <c r="A48" s="31"/>
      <c r="B48" s="8" t="str">
        <f aca="false">IF(A48="","",CHOOSE(WEEKDAY(A48,1),"الأحد","الاثنين","الثلاثاء","الأربعاء","الخميس","الجمعة","السبت"))</f>
        <v/>
      </c>
      <c r="C48" s="32"/>
      <c r="D48" s="32"/>
      <c r="E48" s="33"/>
      <c r="F48" s="9" t="str">
        <f aca="false">IF(OR(C48="",D48=""),"",ROUND(MOD(D48-C48,1)*24,2))</f>
        <v/>
      </c>
      <c r="G48" s="10" t="str">
        <f aca="false">IF(F48="","",ROUND(F48*AZZ_RATE+MIN(N(E48),F48)*(GYP_RATE-AZZ_RATE),3))</f>
        <v/>
      </c>
      <c r="H48" s="34"/>
      <c r="I48" s="44"/>
      <c r="J48" s="34"/>
    </row>
    <row r="49" customFormat="false" ht="19.5" hidden="false" customHeight="true" outlineLevel="0" collapsed="false">
      <c r="A49" s="31"/>
      <c r="B49" s="8" t="str">
        <f aca="false">IF(A49="","",CHOOSE(WEEKDAY(A49,1),"الأحد","الاثنين","الثلاثاء","الأربعاء","الخميس","الجمعة","السبت"))</f>
        <v/>
      </c>
      <c r="C49" s="32"/>
      <c r="D49" s="32"/>
      <c r="E49" s="33"/>
      <c r="F49" s="9" t="str">
        <f aca="false">IF(OR(C49="",D49=""),"",ROUND(MOD(D49-C49,1)*24,2))</f>
        <v/>
      </c>
      <c r="G49" s="10" t="str">
        <f aca="false">IF(F49="","",ROUND(F49*AZZ_RATE+MIN(N(E49),F49)*(GYP_RATE-AZZ_RATE),3))</f>
        <v/>
      </c>
      <c r="H49" s="34"/>
      <c r="I49" s="44"/>
      <c r="J49" s="34"/>
    </row>
    <row r="50" customFormat="false" ht="19.5" hidden="false" customHeight="true" outlineLevel="0" collapsed="false">
      <c r="A50" s="31"/>
      <c r="B50" s="8" t="str">
        <f aca="false">IF(A50="","",CHOOSE(WEEKDAY(A50,1),"الأحد","الاثنين","الثلاثاء","الأربعاء","الخميس","الجمعة","السبت"))</f>
        <v/>
      </c>
      <c r="C50" s="32"/>
      <c r="D50" s="32"/>
      <c r="E50" s="33"/>
      <c r="F50" s="9" t="str">
        <f aca="false">IF(OR(C50="",D50=""),"",ROUND(MOD(D50-C50,1)*24,2))</f>
        <v/>
      </c>
      <c r="G50" s="10" t="str">
        <f aca="false">IF(F50="","",ROUND(F50*AZZ_RATE+MIN(N(E50),F50)*(GYP_RATE-AZZ_RATE),3))</f>
        <v/>
      </c>
      <c r="H50" s="34"/>
      <c r="I50" s="44"/>
      <c r="J50" s="34"/>
    </row>
    <row r="51" customFormat="false" ht="19.5" hidden="false" customHeight="true" outlineLevel="0" collapsed="false">
      <c r="A51" s="31"/>
      <c r="B51" s="8" t="str">
        <f aca="false">IF(A51="","",CHOOSE(WEEKDAY(A51,1),"الأحد","الاثنين","الثلاثاء","الأربعاء","الخميس","الجمعة","السبت"))</f>
        <v/>
      </c>
      <c r="C51" s="32"/>
      <c r="D51" s="32"/>
      <c r="E51" s="33"/>
      <c r="F51" s="9" t="str">
        <f aca="false">IF(OR(C51="",D51=""),"",ROUND(MOD(D51-C51,1)*24,2))</f>
        <v/>
      </c>
      <c r="G51" s="10" t="str">
        <f aca="false">IF(F51="","",ROUND(F51*AZZ_RATE+MIN(N(E51),F51)*(GYP_RATE-AZZ_RATE),3))</f>
        <v/>
      </c>
      <c r="H51" s="34"/>
      <c r="I51" s="44"/>
      <c r="J51" s="34"/>
    </row>
    <row r="52" customFormat="false" ht="19.5" hidden="false" customHeight="true" outlineLevel="0" collapsed="false">
      <c r="A52" s="31"/>
      <c r="B52" s="8" t="str">
        <f aca="false">IF(A52="","",CHOOSE(WEEKDAY(A52,1),"الأحد","الاثنين","الثلاثاء","الأربعاء","الخميس","الجمعة","السبت"))</f>
        <v/>
      </c>
      <c r="C52" s="32"/>
      <c r="D52" s="32"/>
      <c r="E52" s="33"/>
      <c r="F52" s="9" t="str">
        <f aca="false">IF(OR(C52="",D52=""),"",ROUND(MOD(D52-C52,1)*24,2))</f>
        <v/>
      </c>
      <c r="G52" s="10" t="str">
        <f aca="false">IF(F52="","",ROUND(F52*AZZ_RATE+MIN(N(E52),F52)*(GYP_RATE-AZZ_RATE),3))</f>
        <v/>
      </c>
      <c r="H52" s="34"/>
      <c r="I52" s="44"/>
      <c r="J52" s="34"/>
    </row>
    <row r="53" customFormat="false" ht="19.5" hidden="false" customHeight="true" outlineLevel="0" collapsed="false">
      <c r="A53" s="31"/>
      <c r="B53" s="8" t="str">
        <f aca="false">IF(A53="","",CHOOSE(WEEKDAY(A53,1),"الأحد","الاثنين","الثلاثاء","الأربعاء","الخميس","الجمعة","السبت"))</f>
        <v/>
      </c>
      <c r="C53" s="32"/>
      <c r="D53" s="32"/>
      <c r="E53" s="33"/>
      <c r="F53" s="9" t="str">
        <f aca="false">IF(OR(C53="",D53=""),"",ROUND(MOD(D53-C53,1)*24,2))</f>
        <v/>
      </c>
      <c r="G53" s="10" t="str">
        <f aca="false">IF(F53="","",ROUND(F53*AZZ_RATE+MIN(N(E53),F53)*(GYP_RATE-AZZ_RATE),3))</f>
        <v/>
      </c>
      <c r="H53" s="34"/>
      <c r="I53" s="44"/>
      <c r="J53" s="34"/>
    </row>
    <row r="54" customFormat="false" ht="19.5" hidden="false" customHeight="true" outlineLevel="0" collapsed="false">
      <c r="A54" s="31"/>
      <c r="B54" s="8" t="str">
        <f aca="false">IF(A54="","",CHOOSE(WEEKDAY(A54,1),"الأحد","الاثنين","الثلاثاء","الأربعاء","الخميس","الجمعة","السبت"))</f>
        <v/>
      </c>
      <c r="C54" s="32"/>
      <c r="D54" s="32"/>
      <c r="E54" s="33"/>
      <c r="F54" s="9" t="str">
        <f aca="false">IF(OR(C54="",D54=""),"",ROUND(MOD(D54-C54,1)*24,2))</f>
        <v/>
      </c>
      <c r="G54" s="10" t="str">
        <f aca="false">IF(F54="","",ROUND(F54*AZZ_RATE+MIN(N(E54),F54)*(GYP_RATE-AZZ_RATE),3))</f>
        <v/>
      </c>
      <c r="H54" s="34"/>
      <c r="I54" s="44"/>
      <c r="J54" s="34"/>
    </row>
    <row r="55" customFormat="false" ht="19.5" hidden="false" customHeight="true" outlineLevel="0" collapsed="false">
      <c r="A55" s="31"/>
      <c r="B55" s="8" t="str">
        <f aca="false">IF(A55="","",CHOOSE(WEEKDAY(A55,1),"الأحد","الاثنين","الثلاثاء","الأربعاء","الخميس","الجمعة","السبت"))</f>
        <v/>
      </c>
      <c r="C55" s="32"/>
      <c r="D55" s="32"/>
      <c r="E55" s="33"/>
      <c r="F55" s="9" t="str">
        <f aca="false">IF(OR(C55="",D55=""),"",ROUND(MOD(D55-C55,1)*24,2))</f>
        <v/>
      </c>
      <c r="G55" s="10" t="str">
        <f aca="false">IF(F55="","",ROUND(F55*AZZ_RATE+MIN(N(E55),F55)*(GYP_RATE-AZZ_RATE),3))</f>
        <v/>
      </c>
      <c r="H55" s="34"/>
      <c r="I55" s="44"/>
      <c r="J55" s="34"/>
    </row>
    <row r="56" customFormat="false" ht="19.5" hidden="false" customHeight="true" outlineLevel="0" collapsed="false">
      <c r="A56" s="31"/>
      <c r="B56" s="8" t="str">
        <f aca="false">IF(A56="","",CHOOSE(WEEKDAY(A56,1),"الأحد","الاثنين","الثلاثاء","الأربعاء","الخميس","الجمعة","السبت"))</f>
        <v/>
      </c>
      <c r="C56" s="32"/>
      <c r="D56" s="32"/>
      <c r="E56" s="33"/>
      <c r="F56" s="9" t="str">
        <f aca="false">IF(OR(C56="",D56=""),"",ROUND(MOD(D56-C56,1)*24,2))</f>
        <v/>
      </c>
      <c r="G56" s="10" t="str">
        <f aca="false">IF(F56="","",ROUND(F56*AZZ_RATE+MIN(N(E56),F56)*(GYP_RATE-AZZ_RATE),3))</f>
        <v/>
      </c>
      <c r="H56" s="34"/>
      <c r="I56" s="44"/>
      <c r="J56" s="34"/>
    </row>
    <row r="57" customFormat="false" ht="19.5" hidden="false" customHeight="true" outlineLevel="0" collapsed="false">
      <c r="A57" s="31"/>
      <c r="B57" s="8" t="str">
        <f aca="false">IF(A57="","",CHOOSE(WEEKDAY(A57,1),"الأحد","الاثنين","الثلاثاء","الأربعاء","الخميس","الجمعة","السبت"))</f>
        <v/>
      </c>
      <c r="C57" s="32"/>
      <c r="D57" s="32"/>
      <c r="E57" s="33"/>
      <c r="F57" s="9" t="str">
        <f aca="false">IF(OR(C57="",D57=""),"",ROUND(MOD(D57-C57,1)*24,2))</f>
        <v/>
      </c>
      <c r="G57" s="10" t="str">
        <f aca="false">IF(F57="","",ROUND(F57*AZZ_RATE+MIN(N(E57),F57)*(GYP_RATE-AZZ_RATE),3))</f>
        <v/>
      </c>
      <c r="H57" s="34"/>
      <c r="I57" s="44"/>
      <c r="J57" s="34"/>
    </row>
    <row r="58" customFormat="false" ht="19.5" hidden="false" customHeight="true" outlineLevel="0" collapsed="false">
      <c r="A58" s="31"/>
      <c r="B58" s="8" t="str">
        <f aca="false">IF(A58="","",CHOOSE(WEEKDAY(A58,1),"الأحد","الاثنين","الثلاثاء","الأربعاء","الخميس","الجمعة","السبت"))</f>
        <v/>
      </c>
      <c r="C58" s="32"/>
      <c r="D58" s="32"/>
      <c r="E58" s="33"/>
      <c r="F58" s="9" t="str">
        <f aca="false">IF(OR(C58="",D58=""),"",ROUND(MOD(D58-C58,1)*24,2))</f>
        <v/>
      </c>
      <c r="G58" s="10" t="str">
        <f aca="false">IF(F58="","",ROUND(F58*AZZ_RATE+MIN(N(E58),F58)*(GYP_RATE-AZZ_RATE),3))</f>
        <v/>
      </c>
      <c r="H58" s="34"/>
      <c r="I58" s="44"/>
      <c r="J58" s="34"/>
    </row>
    <row r="59" customFormat="false" ht="19.5" hidden="false" customHeight="true" outlineLevel="0" collapsed="false">
      <c r="A59" s="31"/>
      <c r="B59" s="8" t="str">
        <f aca="false">IF(A59="","",CHOOSE(WEEKDAY(A59,1),"الأحد","الاثنين","الثلاثاء","الأربعاء","الخميس","الجمعة","السبت"))</f>
        <v/>
      </c>
      <c r="C59" s="32"/>
      <c r="D59" s="32"/>
      <c r="E59" s="33"/>
      <c r="F59" s="9" t="str">
        <f aca="false">IF(OR(C59="",D59=""),"",ROUND(MOD(D59-C59,1)*24,2))</f>
        <v/>
      </c>
      <c r="G59" s="10" t="str">
        <f aca="false">IF(F59="","",ROUND(F59*AZZ_RATE+MIN(N(E59),F59)*(GYP_RATE-AZZ_RATE),3))</f>
        <v/>
      </c>
      <c r="H59" s="34"/>
      <c r="I59" s="44"/>
      <c r="J59" s="34"/>
    </row>
    <row r="60" customFormat="false" ht="19.5" hidden="false" customHeight="true" outlineLevel="0" collapsed="false">
      <c r="A60" s="31"/>
      <c r="B60" s="8" t="str">
        <f aca="false">IF(A60="","",CHOOSE(WEEKDAY(A60,1),"الأحد","الاثنين","الثلاثاء","الأربعاء","الخميس","الجمعة","السبت"))</f>
        <v/>
      </c>
      <c r="C60" s="32"/>
      <c r="D60" s="32"/>
      <c r="E60" s="33"/>
      <c r="F60" s="9" t="str">
        <f aca="false">IF(OR(C60="",D60=""),"",ROUND(MOD(D60-C60,1)*24,2))</f>
        <v/>
      </c>
      <c r="G60" s="10" t="str">
        <f aca="false">IF(F60="","",ROUND(F60*AZZ_RATE+MIN(N(E60),F60)*(GYP_RATE-AZZ_RATE),3))</f>
        <v/>
      </c>
      <c r="H60" s="34"/>
      <c r="I60" s="44"/>
      <c r="J60" s="34"/>
    </row>
    <row r="61" customFormat="false" ht="19.5" hidden="false" customHeight="true" outlineLevel="0" collapsed="false">
      <c r="A61" s="31"/>
      <c r="B61" s="8" t="str">
        <f aca="false">IF(A61="","",CHOOSE(WEEKDAY(A61,1),"الأحد","الاثنين","الثلاثاء","الأربعاء","الخميس","الجمعة","السبت"))</f>
        <v/>
      </c>
      <c r="C61" s="32"/>
      <c r="D61" s="32"/>
      <c r="E61" s="33"/>
      <c r="F61" s="9" t="str">
        <f aca="false">IF(OR(C61="",D61=""),"",ROUND(MOD(D61-C61,1)*24,2))</f>
        <v/>
      </c>
      <c r="G61" s="10" t="str">
        <f aca="false">IF(F61="","",ROUND(F61*AZZ_RATE+MIN(N(E61),F61)*(GYP_RATE-AZZ_RATE),3))</f>
        <v/>
      </c>
      <c r="H61" s="34"/>
      <c r="I61" s="44"/>
      <c r="J61" s="34"/>
    </row>
    <row r="62" customFormat="false" ht="19.5" hidden="false" customHeight="true" outlineLevel="0" collapsed="false">
      <c r="A62" s="31"/>
      <c r="B62" s="8" t="str">
        <f aca="false">IF(A62="","",CHOOSE(WEEKDAY(A62,1),"الأحد","الاثنين","الثلاثاء","الأربعاء","الخميس","الجمعة","السبت"))</f>
        <v/>
      </c>
      <c r="C62" s="32"/>
      <c r="D62" s="32"/>
      <c r="E62" s="33"/>
      <c r="F62" s="9" t="str">
        <f aca="false">IF(OR(C62="",D62=""),"",ROUND(MOD(D62-C62,1)*24,2))</f>
        <v/>
      </c>
      <c r="G62" s="10" t="str">
        <f aca="false">IF(F62="","",ROUND(F62*AZZ_RATE+MIN(N(E62),F62)*(GYP_RATE-AZZ_RATE),3))</f>
        <v/>
      </c>
      <c r="H62" s="34"/>
      <c r="I62" s="44"/>
      <c r="J62" s="34"/>
    </row>
    <row r="63" customFormat="false" ht="19.5" hidden="false" customHeight="true" outlineLevel="0" collapsed="false">
      <c r="A63" s="31"/>
      <c r="B63" s="8" t="str">
        <f aca="false">IF(A63="","",CHOOSE(WEEKDAY(A63,1),"الأحد","الاثنين","الثلاثاء","الأربعاء","الخميس","الجمعة","السبت"))</f>
        <v/>
      </c>
      <c r="C63" s="32"/>
      <c r="D63" s="32"/>
      <c r="E63" s="33"/>
      <c r="F63" s="9" t="str">
        <f aca="false">IF(OR(C63="",D63=""),"",ROUND(MOD(D63-C63,1)*24,2))</f>
        <v/>
      </c>
      <c r="G63" s="10" t="str">
        <f aca="false">IF(F63="","",ROUND(F63*AZZ_RATE+MIN(N(E63),F63)*(GYP_RATE-AZZ_RATE),3))</f>
        <v/>
      </c>
      <c r="H63" s="34"/>
      <c r="I63" s="44"/>
      <c r="J63" s="34"/>
    </row>
    <row r="64" customFormat="false" ht="19.5" hidden="false" customHeight="true" outlineLevel="0" collapsed="false">
      <c r="A64" s="31"/>
      <c r="B64" s="8" t="str">
        <f aca="false">IF(A64="","",CHOOSE(WEEKDAY(A64,1),"الأحد","الاثنين","الثلاثاء","الأربعاء","الخميس","الجمعة","السبت"))</f>
        <v/>
      </c>
      <c r="C64" s="32"/>
      <c r="D64" s="32"/>
      <c r="E64" s="33"/>
      <c r="F64" s="9" t="str">
        <f aca="false">IF(OR(C64="",D64=""),"",ROUND(MOD(D64-C64,1)*24,2))</f>
        <v/>
      </c>
      <c r="G64" s="10" t="str">
        <f aca="false">IF(F64="","",ROUND(F64*AZZ_RATE+MIN(N(E64),F64)*(GYP_RATE-AZZ_RATE),3))</f>
        <v/>
      </c>
      <c r="H64" s="34"/>
      <c r="I64" s="44"/>
      <c r="J64" s="34"/>
    </row>
    <row r="65" customFormat="false" ht="19.5" hidden="false" customHeight="true" outlineLevel="0" collapsed="false">
      <c r="A65" s="31"/>
      <c r="B65" s="8" t="str">
        <f aca="false">IF(A65="","",CHOOSE(WEEKDAY(A65,1),"الأحد","الاثنين","الثلاثاء","الأربعاء","الخميس","الجمعة","السبت"))</f>
        <v/>
      </c>
      <c r="C65" s="32"/>
      <c r="D65" s="32"/>
      <c r="E65" s="33"/>
      <c r="F65" s="9" t="str">
        <f aca="false">IF(OR(C65="",D65=""),"",ROUND(MOD(D65-C65,1)*24,2))</f>
        <v/>
      </c>
      <c r="G65" s="10" t="str">
        <f aca="false">IF(F65="","",ROUND(F65*AZZ_RATE+MIN(N(E65),F65)*(GYP_RATE-AZZ_RATE),3))</f>
        <v/>
      </c>
      <c r="H65" s="34"/>
      <c r="I65" s="44"/>
      <c r="J65" s="34"/>
    </row>
    <row r="66" customFormat="false" ht="19.5" hidden="false" customHeight="true" outlineLevel="0" collapsed="false">
      <c r="A66" s="31"/>
      <c r="B66" s="8" t="str">
        <f aca="false">IF(A66="","",CHOOSE(WEEKDAY(A66,1),"الأحد","الاثنين","الثلاثاء","الأربعاء","الخميس","الجمعة","السبت"))</f>
        <v/>
      </c>
      <c r="C66" s="32"/>
      <c r="D66" s="32"/>
      <c r="E66" s="33"/>
      <c r="F66" s="9" t="str">
        <f aca="false">IF(OR(C66="",D66=""),"",ROUND(MOD(D66-C66,1)*24,2))</f>
        <v/>
      </c>
      <c r="G66" s="10" t="str">
        <f aca="false">IF(F66="","",ROUND(F66*AZZ_RATE+MIN(N(E66),F66)*(GYP_RATE-AZZ_RATE),3))</f>
        <v/>
      </c>
      <c r="H66" s="34"/>
      <c r="I66" s="44"/>
      <c r="J66" s="34"/>
    </row>
    <row r="67" customFormat="false" ht="19.5" hidden="false" customHeight="true" outlineLevel="0" collapsed="false">
      <c r="A67" s="31"/>
      <c r="B67" s="8" t="str">
        <f aca="false">IF(A67="","",CHOOSE(WEEKDAY(A67,1),"الأحد","الاثنين","الثلاثاء","الأربعاء","الخميس","الجمعة","السبت"))</f>
        <v/>
      </c>
      <c r="C67" s="32"/>
      <c r="D67" s="32"/>
      <c r="E67" s="33"/>
      <c r="F67" s="9" t="str">
        <f aca="false">IF(OR(C67="",D67=""),"",ROUND(MOD(D67-C67,1)*24,2))</f>
        <v/>
      </c>
      <c r="G67" s="10" t="str">
        <f aca="false">IF(F67="","",ROUND(F67*AZZ_RATE+MIN(N(E67),F67)*(GYP_RATE-AZZ_RATE),3))</f>
        <v/>
      </c>
      <c r="H67" s="34"/>
      <c r="I67" s="44"/>
      <c r="J67" s="34"/>
    </row>
    <row r="68" customFormat="false" ht="19.5" hidden="false" customHeight="true" outlineLevel="0" collapsed="false">
      <c r="A68" s="31"/>
      <c r="B68" s="8" t="str">
        <f aca="false">IF(A68="","",CHOOSE(WEEKDAY(A68,1),"الأحد","الاثنين","الثلاثاء","الأربعاء","الخميس","الجمعة","السبت"))</f>
        <v/>
      </c>
      <c r="C68" s="32"/>
      <c r="D68" s="32"/>
      <c r="E68" s="33"/>
      <c r="F68" s="9" t="str">
        <f aca="false">IF(OR(C68="",D68=""),"",ROUND(MOD(D68-C68,1)*24,2))</f>
        <v/>
      </c>
      <c r="G68" s="10" t="str">
        <f aca="false">IF(F68="","",ROUND(F68*AZZ_RATE+MIN(N(E68),F68)*(GYP_RATE-AZZ_RATE),3))</f>
        <v/>
      </c>
      <c r="H68" s="34"/>
      <c r="I68" s="44"/>
      <c r="J68" s="34"/>
    </row>
    <row r="69" customFormat="false" ht="19.5" hidden="false" customHeight="true" outlineLevel="0" collapsed="false">
      <c r="A69" s="31"/>
      <c r="B69" s="8" t="str">
        <f aca="false">IF(A69="","",CHOOSE(WEEKDAY(A69,1),"الأحد","الاثنين","الثلاثاء","الأربعاء","الخميس","الجمعة","السبت"))</f>
        <v/>
      </c>
      <c r="C69" s="32"/>
      <c r="D69" s="32"/>
      <c r="E69" s="33"/>
      <c r="F69" s="9" t="str">
        <f aca="false">IF(OR(C69="",D69=""),"",ROUND(MOD(D69-C69,1)*24,2))</f>
        <v/>
      </c>
      <c r="G69" s="10" t="str">
        <f aca="false">IF(F69="","",ROUND(F69*AZZ_RATE+MIN(N(E69),F69)*(GYP_RATE-AZZ_RATE),3))</f>
        <v/>
      </c>
      <c r="H69" s="34"/>
      <c r="I69" s="44"/>
      <c r="J69" s="34"/>
    </row>
    <row r="70" customFormat="false" ht="19.5" hidden="false" customHeight="true" outlineLevel="0" collapsed="false">
      <c r="A70" s="31"/>
      <c r="B70" s="8" t="str">
        <f aca="false">IF(A70="","",CHOOSE(WEEKDAY(A70,1),"الأحد","الاثنين","الثلاثاء","الأربعاء","الخميس","الجمعة","السبت"))</f>
        <v/>
      </c>
      <c r="C70" s="32"/>
      <c r="D70" s="32"/>
      <c r="E70" s="33"/>
      <c r="F70" s="9" t="str">
        <f aca="false">IF(OR(C70="",D70=""),"",ROUND(MOD(D70-C70,1)*24,2))</f>
        <v/>
      </c>
      <c r="G70" s="10" t="str">
        <f aca="false">IF(F70="","",ROUND(F70*AZZ_RATE+MIN(N(E70),F70)*(GYP_RATE-AZZ_RATE),3))</f>
        <v/>
      </c>
      <c r="H70" s="34"/>
      <c r="I70" s="44"/>
      <c r="J70" s="34"/>
    </row>
    <row r="71" customFormat="false" ht="19.5" hidden="false" customHeight="true" outlineLevel="0" collapsed="false">
      <c r="A71" s="31"/>
      <c r="B71" s="8" t="str">
        <f aca="false">IF(A71="","",CHOOSE(WEEKDAY(A71,1),"الأحد","الاثنين","الثلاثاء","الأربعاء","الخميس","الجمعة","السبت"))</f>
        <v/>
      </c>
      <c r="C71" s="32"/>
      <c r="D71" s="32"/>
      <c r="E71" s="33"/>
      <c r="F71" s="9" t="str">
        <f aca="false">IF(OR(C71="",D71=""),"",ROUND(MOD(D71-C71,1)*24,2))</f>
        <v/>
      </c>
      <c r="G71" s="10" t="str">
        <f aca="false">IF(F71="","",ROUND(F71*AZZ_RATE+MIN(N(E71),F71)*(GYP_RATE-AZZ_RATE),3))</f>
        <v/>
      </c>
      <c r="H71" s="34"/>
      <c r="I71" s="44"/>
      <c r="J71" s="34"/>
    </row>
    <row r="72" customFormat="false" ht="19.5" hidden="false" customHeight="true" outlineLevel="0" collapsed="false">
      <c r="A72" s="31"/>
      <c r="B72" s="8" t="str">
        <f aca="false">IF(A72="","",CHOOSE(WEEKDAY(A72,1),"الأحد","الاثنين","الثلاثاء","الأربعاء","الخميس","الجمعة","السبت"))</f>
        <v/>
      </c>
      <c r="C72" s="32"/>
      <c r="D72" s="32"/>
      <c r="E72" s="33"/>
      <c r="F72" s="9" t="str">
        <f aca="false">IF(OR(C72="",D72=""),"",ROUND(MOD(D72-C72,1)*24,2))</f>
        <v/>
      </c>
      <c r="G72" s="10" t="str">
        <f aca="false">IF(F72="","",ROUND(F72*AZZ_RATE+MIN(N(E72),F72)*(GYP_RATE-AZZ_RATE),3))</f>
        <v/>
      </c>
      <c r="H72" s="34"/>
      <c r="I72" s="44"/>
      <c r="J72" s="34"/>
    </row>
    <row r="73" customFormat="false" ht="19.5" hidden="false" customHeight="true" outlineLevel="0" collapsed="false">
      <c r="A73" s="31"/>
      <c r="B73" s="8" t="str">
        <f aca="false">IF(A73="","",CHOOSE(WEEKDAY(A73,1),"الأحد","الاثنين","الثلاثاء","الأربعاء","الخميس","الجمعة","السبت"))</f>
        <v/>
      </c>
      <c r="C73" s="32"/>
      <c r="D73" s="32"/>
      <c r="E73" s="33"/>
      <c r="F73" s="9" t="str">
        <f aca="false">IF(OR(C73="",D73=""),"",ROUND(MOD(D73-C73,1)*24,2))</f>
        <v/>
      </c>
      <c r="G73" s="10" t="str">
        <f aca="false">IF(F73="","",ROUND(F73*AZZ_RATE+MIN(N(E73),F73)*(GYP_RATE-AZZ_RATE),3))</f>
        <v/>
      </c>
      <c r="H73" s="34"/>
      <c r="I73" s="44"/>
      <c r="J73" s="34"/>
    </row>
    <row r="74" customFormat="false" ht="19.5" hidden="false" customHeight="true" outlineLevel="0" collapsed="false">
      <c r="A74" s="31"/>
      <c r="B74" s="8" t="str">
        <f aca="false">IF(A74="","",CHOOSE(WEEKDAY(A74,1),"الأحد","الاثنين","الثلاثاء","الأربعاء","الخميس","الجمعة","السبت"))</f>
        <v/>
      </c>
      <c r="C74" s="32"/>
      <c r="D74" s="32"/>
      <c r="E74" s="33"/>
      <c r="F74" s="9" t="str">
        <f aca="false">IF(OR(C74="",D74=""),"",ROUND(MOD(D74-C74,1)*24,2))</f>
        <v/>
      </c>
      <c r="G74" s="10" t="str">
        <f aca="false">IF(F74="","",ROUND(F74*AZZ_RATE+MIN(N(E74),F74)*(GYP_RATE-AZZ_RATE),3))</f>
        <v/>
      </c>
      <c r="H74" s="34"/>
      <c r="I74" s="44"/>
      <c r="J74" s="34"/>
    </row>
    <row r="75" customFormat="false" ht="19.5" hidden="false" customHeight="true" outlineLevel="0" collapsed="false">
      <c r="A75" s="31"/>
      <c r="B75" s="8" t="str">
        <f aca="false">IF(A75="","",CHOOSE(WEEKDAY(A75,1),"الأحد","الاثنين","الثلاثاء","الأربعاء","الخميس","الجمعة","السبت"))</f>
        <v/>
      </c>
      <c r="C75" s="32"/>
      <c r="D75" s="32"/>
      <c r="E75" s="33"/>
      <c r="F75" s="9" t="str">
        <f aca="false">IF(OR(C75="",D75=""),"",ROUND(MOD(D75-C75,1)*24,2))</f>
        <v/>
      </c>
      <c r="G75" s="10" t="str">
        <f aca="false">IF(F75="","",ROUND(F75*AZZ_RATE+MIN(N(E75),F75)*(GYP_RATE-AZZ_RATE),3))</f>
        <v/>
      </c>
      <c r="H75" s="34"/>
      <c r="I75" s="44"/>
      <c r="J75" s="34"/>
    </row>
    <row r="76" customFormat="false" ht="19.5" hidden="false" customHeight="true" outlineLevel="0" collapsed="false">
      <c r="A76" s="31"/>
      <c r="B76" s="8" t="str">
        <f aca="false">IF(A76="","",CHOOSE(WEEKDAY(A76,1),"الأحد","الاثنين","الثلاثاء","الأربعاء","الخميس","الجمعة","السبت"))</f>
        <v/>
      </c>
      <c r="C76" s="32"/>
      <c r="D76" s="32"/>
      <c r="E76" s="33"/>
      <c r="F76" s="9" t="str">
        <f aca="false">IF(OR(C76="",D76=""),"",ROUND(MOD(D76-C76,1)*24,2))</f>
        <v/>
      </c>
      <c r="G76" s="10" t="str">
        <f aca="false">IF(F76="","",ROUND(F76*AZZ_RATE+MIN(N(E76),F76)*(GYP_RATE-AZZ_RATE),3))</f>
        <v/>
      </c>
      <c r="H76" s="34"/>
      <c r="I76" s="44"/>
      <c r="J76" s="34"/>
    </row>
    <row r="77" customFormat="false" ht="19.5" hidden="false" customHeight="true" outlineLevel="0" collapsed="false">
      <c r="A77" s="31"/>
      <c r="B77" s="8" t="str">
        <f aca="false">IF(A77="","",CHOOSE(WEEKDAY(A77,1),"الأحد","الاثنين","الثلاثاء","الأربعاء","الخميس","الجمعة","السبت"))</f>
        <v/>
      </c>
      <c r="C77" s="32"/>
      <c r="D77" s="32"/>
      <c r="E77" s="33"/>
      <c r="F77" s="9" t="str">
        <f aca="false">IF(OR(C77="",D77=""),"",ROUND(MOD(D77-C77,1)*24,2))</f>
        <v/>
      </c>
      <c r="G77" s="10" t="str">
        <f aca="false">IF(F77="","",ROUND(F77*AZZ_RATE+MIN(N(E77),F77)*(GYP_RATE-AZZ_RATE),3))</f>
        <v/>
      </c>
      <c r="H77" s="34"/>
      <c r="I77" s="44"/>
      <c r="J77" s="34"/>
    </row>
    <row r="78" customFormat="false" ht="19.5" hidden="false" customHeight="true" outlineLevel="0" collapsed="false">
      <c r="A78" s="31"/>
      <c r="B78" s="8" t="str">
        <f aca="false">IF(A78="","",CHOOSE(WEEKDAY(A78,1),"الأحد","الاثنين","الثلاثاء","الأربعاء","الخميس","الجمعة","السبت"))</f>
        <v/>
      </c>
      <c r="C78" s="32"/>
      <c r="D78" s="32"/>
      <c r="E78" s="33"/>
      <c r="F78" s="9" t="str">
        <f aca="false">IF(OR(C78="",D78=""),"",ROUND(MOD(D78-C78,1)*24,2))</f>
        <v/>
      </c>
      <c r="G78" s="10" t="str">
        <f aca="false">IF(F78="","",ROUND(F78*AZZ_RATE+MIN(N(E78),F78)*(GYP_RATE-AZZ_RATE),3))</f>
        <v/>
      </c>
      <c r="H78" s="34"/>
      <c r="I78" s="44"/>
      <c r="J78" s="34"/>
    </row>
    <row r="79" customFormat="false" ht="19.5" hidden="false" customHeight="true" outlineLevel="0" collapsed="false">
      <c r="A79" s="31"/>
      <c r="B79" s="8" t="str">
        <f aca="false">IF(A79="","",CHOOSE(WEEKDAY(A79,1),"الأحد","الاثنين","الثلاثاء","الأربعاء","الخميس","الجمعة","السبت"))</f>
        <v/>
      </c>
      <c r="C79" s="32"/>
      <c r="D79" s="32"/>
      <c r="E79" s="33"/>
      <c r="F79" s="9" t="str">
        <f aca="false">IF(OR(C79="",D79=""),"",ROUND(MOD(D79-C79,1)*24,2))</f>
        <v/>
      </c>
      <c r="G79" s="10" t="str">
        <f aca="false">IF(F79="","",ROUND(F79*AZZ_RATE+MIN(N(E79),F79)*(GYP_RATE-AZZ_RATE),3))</f>
        <v/>
      </c>
      <c r="H79" s="34"/>
      <c r="I79" s="44"/>
      <c r="J79" s="34"/>
    </row>
    <row r="80" customFormat="false" ht="19.5" hidden="false" customHeight="true" outlineLevel="0" collapsed="false">
      <c r="A80" s="31"/>
      <c r="B80" s="8" t="str">
        <f aca="false">IF(A80="","",CHOOSE(WEEKDAY(A80,1),"الأحد","الاثنين","الثلاثاء","الأربعاء","الخميس","الجمعة","السبت"))</f>
        <v/>
      </c>
      <c r="C80" s="32"/>
      <c r="D80" s="32"/>
      <c r="E80" s="33"/>
      <c r="F80" s="9" t="str">
        <f aca="false">IF(OR(C80="",D80=""),"",ROUND(MOD(D80-C80,1)*24,2))</f>
        <v/>
      </c>
      <c r="G80" s="10" t="str">
        <f aca="false">IF(F80="","",ROUND(F80*AZZ_RATE+MIN(N(E80),F80)*(GYP_RATE-AZZ_RATE),3))</f>
        <v/>
      </c>
      <c r="H80" s="34"/>
      <c r="I80" s="44"/>
      <c r="J80" s="34"/>
    </row>
    <row r="81" customFormat="false" ht="19.5" hidden="false" customHeight="true" outlineLevel="0" collapsed="false">
      <c r="A81" s="31"/>
      <c r="B81" s="8" t="str">
        <f aca="false">IF(A81="","",CHOOSE(WEEKDAY(A81,1),"الأحد","الاثنين","الثلاثاء","الأربعاء","الخميس","الجمعة","السبت"))</f>
        <v/>
      </c>
      <c r="C81" s="32"/>
      <c r="D81" s="32"/>
      <c r="E81" s="33"/>
      <c r="F81" s="9" t="str">
        <f aca="false">IF(OR(C81="",D81=""),"",ROUND(MOD(D81-C81,1)*24,2))</f>
        <v/>
      </c>
      <c r="G81" s="10" t="str">
        <f aca="false">IF(F81="","",ROUND(F81*AZZ_RATE+MIN(N(E81),F81)*(GYP_RATE-AZZ_RATE),3))</f>
        <v/>
      </c>
      <c r="H81" s="34"/>
      <c r="I81" s="44"/>
      <c r="J81" s="34"/>
    </row>
    <row r="82" customFormat="false" ht="19.5" hidden="false" customHeight="true" outlineLevel="0" collapsed="false">
      <c r="A82" s="31"/>
      <c r="B82" s="8" t="str">
        <f aca="false">IF(A82="","",CHOOSE(WEEKDAY(A82,1),"الأحد","الاثنين","الثلاثاء","الأربعاء","الخميس","الجمعة","السبت"))</f>
        <v/>
      </c>
      <c r="C82" s="32"/>
      <c r="D82" s="32"/>
      <c r="E82" s="33"/>
      <c r="F82" s="9" t="str">
        <f aca="false">IF(OR(C82="",D82=""),"",ROUND(MOD(D82-C82,1)*24,2))</f>
        <v/>
      </c>
      <c r="G82" s="10" t="str">
        <f aca="false">IF(F82="","",ROUND(F82*AZZ_RATE+MIN(N(E82),F82)*(GYP_RATE-AZZ_RATE),3))</f>
        <v/>
      </c>
      <c r="H82" s="34"/>
      <c r="I82" s="44"/>
      <c r="J82" s="34"/>
    </row>
    <row r="83" customFormat="false" ht="19.5" hidden="false" customHeight="true" outlineLevel="0" collapsed="false">
      <c r="A83" s="31"/>
      <c r="B83" s="8" t="str">
        <f aca="false">IF(A83="","",CHOOSE(WEEKDAY(A83,1),"الأحد","الاثنين","الثلاثاء","الأربعاء","الخميس","الجمعة","السبت"))</f>
        <v/>
      </c>
      <c r="C83" s="32"/>
      <c r="D83" s="32"/>
      <c r="E83" s="33"/>
      <c r="F83" s="9" t="str">
        <f aca="false">IF(OR(C83="",D83=""),"",ROUND(MOD(D83-C83,1)*24,2))</f>
        <v/>
      </c>
      <c r="G83" s="10" t="str">
        <f aca="false">IF(F83="","",ROUND(F83*AZZ_RATE+MIN(N(E83),F83)*(GYP_RATE-AZZ_RATE),3))</f>
        <v/>
      </c>
      <c r="H83" s="34"/>
      <c r="I83" s="44"/>
      <c r="J83" s="34"/>
    </row>
    <row r="84" customFormat="false" ht="19.5" hidden="false" customHeight="true" outlineLevel="0" collapsed="false">
      <c r="A84" s="31"/>
      <c r="B84" s="8" t="str">
        <f aca="false">IF(A84="","",CHOOSE(WEEKDAY(A84,1),"الأحد","الاثنين","الثلاثاء","الأربعاء","الخميس","الجمعة","السبت"))</f>
        <v/>
      </c>
      <c r="C84" s="32"/>
      <c r="D84" s="32"/>
      <c r="E84" s="33"/>
      <c r="F84" s="9" t="str">
        <f aca="false">IF(OR(C84="",D84=""),"",ROUND(MOD(D84-C84,1)*24,2))</f>
        <v/>
      </c>
      <c r="G84" s="10" t="str">
        <f aca="false">IF(F84="","",ROUND(F84*AZZ_RATE+MIN(N(E84),F84)*(GYP_RATE-AZZ_RATE),3))</f>
        <v/>
      </c>
      <c r="H84" s="34"/>
      <c r="I84" s="44"/>
      <c r="J84" s="34"/>
    </row>
    <row r="85" customFormat="false" ht="19.5" hidden="false" customHeight="true" outlineLevel="0" collapsed="false">
      <c r="A85" s="31"/>
      <c r="B85" s="8" t="str">
        <f aca="false">IF(A85="","",CHOOSE(WEEKDAY(A85,1),"الأحد","الاثنين","الثلاثاء","الأربعاء","الخميس","الجمعة","السبت"))</f>
        <v/>
      </c>
      <c r="C85" s="32"/>
      <c r="D85" s="32"/>
      <c r="E85" s="33"/>
      <c r="F85" s="9" t="str">
        <f aca="false">IF(OR(C85="",D85=""),"",ROUND(MOD(D85-C85,1)*24,2))</f>
        <v/>
      </c>
      <c r="G85" s="10" t="str">
        <f aca="false">IF(F85="","",ROUND(F85*AZZ_RATE+MIN(N(E85),F85)*(GYP_RATE-AZZ_RATE),3))</f>
        <v/>
      </c>
      <c r="H85" s="34"/>
      <c r="I85" s="44"/>
      <c r="J85" s="34"/>
    </row>
    <row r="86" customFormat="false" ht="19.5" hidden="false" customHeight="true" outlineLevel="0" collapsed="false">
      <c r="A86" s="31"/>
      <c r="B86" s="8" t="str">
        <f aca="false">IF(A86="","",CHOOSE(WEEKDAY(A86,1),"الأحد","الاثنين","الثلاثاء","الأربعاء","الخميس","الجمعة","السبت"))</f>
        <v/>
      </c>
      <c r="C86" s="32"/>
      <c r="D86" s="32"/>
      <c r="E86" s="33"/>
      <c r="F86" s="9" t="str">
        <f aca="false">IF(OR(C86="",D86=""),"",ROUND(MOD(D86-C86,1)*24,2))</f>
        <v/>
      </c>
      <c r="G86" s="10" t="str">
        <f aca="false">IF(F86="","",ROUND(F86*AZZ_RATE+MIN(N(E86),F86)*(GYP_RATE-AZZ_RATE),3))</f>
        <v/>
      </c>
      <c r="H86" s="34"/>
      <c r="I86" s="44"/>
      <c r="J86" s="34"/>
    </row>
    <row r="87" customFormat="false" ht="19.5" hidden="false" customHeight="true" outlineLevel="0" collapsed="false">
      <c r="A87" s="31"/>
      <c r="B87" s="8" t="str">
        <f aca="false">IF(A87="","",CHOOSE(WEEKDAY(A87,1),"الأحد","الاثنين","الثلاثاء","الأربعاء","الخميس","الجمعة","السبت"))</f>
        <v/>
      </c>
      <c r="C87" s="32"/>
      <c r="D87" s="32"/>
      <c r="E87" s="33"/>
      <c r="F87" s="9" t="str">
        <f aca="false">IF(OR(C87="",D87=""),"",ROUND(MOD(D87-C87,1)*24,2))</f>
        <v/>
      </c>
      <c r="G87" s="10" t="str">
        <f aca="false">IF(F87="","",ROUND(F87*AZZ_RATE+MIN(N(E87),F87)*(GYP_RATE-AZZ_RATE),3))</f>
        <v/>
      </c>
      <c r="H87" s="34"/>
      <c r="I87" s="44"/>
      <c r="J87" s="34"/>
    </row>
    <row r="88" customFormat="false" ht="19.5" hidden="false" customHeight="true" outlineLevel="0" collapsed="false">
      <c r="A88" s="31"/>
      <c r="B88" s="8" t="str">
        <f aca="false">IF(A88="","",CHOOSE(WEEKDAY(A88,1),"الأحد","الاثنين","الثلاثاء","الأربعاء","الخميس","الجمعة","السبت"))</f>
        <v/>
      </c>
      <c r="C88" s="32"/>
      <c r="D88" s="32"/>
      <c r="E88" s="33"/>
      <c r="F88" s="9" t="str">
        <f aca="false">IF(OR(C88="",D88=""),"",ROUND(MOD(D88-C88,1)*24,2))</f>
        <v/>
      </c>
      <c r="G88" s="10" t="str">
        <f aca="false">IF(F88="","",ROUND(F88*AZZ_RATE+MIN(N(E88),F88)*(GYP_RATE-AZZ_RATE),3))</f>
        <v/>
      </c>
      <c r="H88" s="34"/>
      <c r="I88" s="44"/>
      <c r="J88" s="34"/>
    </row>
    <row r="89" customFormat="false" ht="19.5" hidden="false" customHeight="true" outlineLevel="0" collapsed="false">
      <c r="A89" s="31"/>
      <c r="B89" s="8" t="str">
        <f aca="false">IF(A89="","",CHOOSE(WEEKDAY(A89,1),"الأحد","الاثنين","الثلاثاء","الأربعاء","الخميس","الجمعة","السبت"))</f>
        <v/>
      </c>
      <c r="C89" s="32"/>
      <c r="D89" s="32"/>
      <c r="E89" s="33"/>
      <c r="F89" s="9" t="str">
        <f aca="false">IF(OR(C89="",D89=""),"",ROUND(MOD(D89-C89,1)*24,2))</f>
        <v/>
      </c>
      <c r="G89" s="10" t="str">
        <f aca="false">IF(F89="","",ROUND(F89*AZZ_RATE+MIN(N(E89),F89)*(GYP_RATE-AZZ_RATE),3))</f>
        <v/>
      </c>
      <c r="H89" s="34"/>
      <c r="I89" s="44"/>
      <c r="J89" s="34"/>
    </row>
    <row r="90" customFormat="false" ht="19.5" hidden="false" customHeight="true" outlineLevel="0" collapsed="false">
      <c r="A90" s="31"/>
      <c r="B90" s="8" t="str">
        <f aca="false">IF(A90="","",CHOOSE(WEEKDAY(A90,1),"الأحد","الاثنين","الثلاثاء","الأربعاء","الخميس","الجمعة","السبت"))</f>
        <v/>
      </c>
      <c r="C90" s="32"/>
      <c r="D90" s="32"/>
      <c r="E90" s="33"/>
      <c r="F90" s="9" t="str">
        <f aca="false">IF(OR(C90="",D90=""),"",ROUND(MOD(D90-C90,1)*24,2))</f>
        <v/>
      </c>
      <c r="G90" s="10" t="str">
        <f aca="false">IF(F90="","",ROUND(F90*AZZ_RATE+MIN(N(E90),F90)*(GYP_RATE-AZZ_RATE),3))</f>
        <v/>
      </c>
      <c r="H90" s="34"/>
      <c r="I90" s="44"/>
      <c r="J90" s="34"/>
    </row>
    <row r="91" customFormat="false" ht="19.5" hidden="false" customHeight="true" outlineLevel="0" collapsed="false">
      <c r="A91" s="31"/>
      <c r="B91" s="8" t="str">
        <f aca="false">IF(A91="","",CHOOSE(WEEKDAY(A91,1),"الأحد","الاثنين","الثلاثاء","الأربعاء","الخميس","الجمعة","السبت"))</f>
        <v/>
      </c>
      <c r="C91" s="32"/>
      <c r="D91" s="32"/>
      <c r="E91" s="33"/>
      <c r="F91" s="9" t="str">
        <f aca="false">IF(OR(C91="",D91=""),"",ROUND(MOD(D91-C91,1)*24,2))</f>
        <v/>
      </c>
      <c r="G91" s="10" t="str">
        <f aca="false">IF(F91="","",ROUND(F91*AZZ_RATE+MIN(N(E91),F91)*(GYP_RATE-AZZ_RATE),3))</f>
        <v/>
      </c>
      <c r="H91" s="34"/>
      <c r="I91" s="44"/>
      <c r="J91" s="34"/>
    </row>
    <row r="92" customFormat="false" ht="19.5" hidden="false" customHeight="true" outlineLevel="0" collapsed="false">
      <c r="A92" s="31"/>
      <c r="B92" s="8" t="str">
        <f aca="false">IF(A92="","",CHOOSE(WEEKDAY(A92,1),"الأحد","الاثنين","الثلاثاء","الأربعاء","الخميس","الجمعة","السبت"))</f>
        <v/>
      </c>
      <c r="C92" s="32"/>
      <c r="D92" s="32"/>
      <c r="E92" s="33"/>
      <c r="F92" s="9" t="str">
        <f aca="false">IF(OR(C92="",D92=""),"",ROUND(MOD(D92-C92,1)*24,2))</f>
        <v/>
      </c>
      <c r="G92" s="10" t="str">
        <f aca="false">IF(F92="","",ROUND(F92*AZZ_RATE+MIN(N(E92),F92)*(GYP_RATE-AZZ_RATE),3))</f>
        <v/>
      </c>
      <c r="H92" s="34"/>
      <c r="I92" s="44"/>
      <c r="J92" s="34"/>
    </row>
    <row r="93" customFormat="false" ht="19.5" hidden="false" customHeight="true" outlineLevel="0" collapsed="false">
      <c r="A93" s="31"/>
      <c r="B93" s="8" t="str">
        <f aca="false">IF(A93="","",CHOOSE(WEEKDAY(A93,1),"الأحد","الاثنين","الثلاثاء","الأربعاء","الخميس","الجمعة","السبت"))</f>
        <v/>
      </c>
      <c r="C93" s="32"/>
      <c r="D93" s="32"/>
      <c r="E93" s="33"/>
      <c r="F93" s="9" t="str">
        <f aca="false">IF(OR(C93="",D93=""),"",ROUND(MOD(D93-C93,1)*24,2))</f>
        <v/>
      </c>
      <c r="G93" s="10" t="str">
        <f aca="false">IF(F93="","",ROUND(F93*AZZ_RATE+MIN(N(E93),F93)*(GYP_RATE-AZZ_RATE),3))</f>
        <v/>
      </c>
      <c r="H93" s="34"/>
      <c r="I93" s="44"/>
      <c r="J93" s="34"/>
    </row>
    <row r="94" customFormat="false" ht="19.5" hidden="false" customHeight="true" outlineLevel="0" collapsed="false">
      <c r="A94" s="31"/>
      <c r="B94" s="8" t="str">
        <f aca="false">IF(A94="","",CHOOSE(WEEKDAY(A94,1),"الأحد","الاثنين","الثلاثاء","الأربعاء","الخميس","الجمعة","السبت"))</f>
        <v/>
      </c>
      <c r="C94" s="32"/>
      <c r="D94" s="32"/>
      <c r="E94" s="33"/>
      <c r="F94" s="9" t="str">
        <f aca="false">IF(OR(C94="",D94=""),"",ROUND(MOD(D94-C94,1)*24,2))</f>
        <v/>
      </c>
      <c r="G94" s="10" t="str">
        <f aca="false">IF(F94="","",ROUND(F94*AZZ_RATE+MIN(N(E94),F94)*(GYP_RATE-AZZ_RATE),3))</f>
        <v/>
      </c>
      <c r="H94" s="34"/>
      <c r="I94" s="44"/>
      <c r="J94" s="34"/>
    </row>
    <row r="95" customFormat="false" ht="19.5" hidden="false" customHeight="true" outlineLevel="0" collapsed="false">
      <c r="A95" s="31"/>
      <c r="B95" s="8" t="str">
        <f aca="false">IF(A95="","",CHOOSE(WEEKDAY(A95,1),"الأحد","الاثنين","الثلاثاء","الأربعاء","الخميس","الجمعة","السبت"))</f>
        <v/>
      </c>
      <c r="C95" s="32"/>
      <c r="D95" s="32"/>
      <c r="E95" s="33"/>
      <c r="F95" s="9" t="str">
        <f aca="false">IF(OR(C95="",D95=""),"",ROUND(MOD(D95-C95,1)*24,2))</f>
        <v/>
      </c>
      <c r="G95" s="10" t="str">
        <f aca="false">IF(F95="","",ROUND(F95*AZZ_RATE+MIN(N(E95),F95)*(GYP_RATE-AZZ_RATE),3))</f>
        <v/>
      </c>
      <c r="H95" s="34"/>
      <c r="I95" s="44"/>
      <c r="J95" s="34"/>
    </row>
    <row r="96" customFormat="false" ht="19.5" hidden="false" customHeight="true" outlineLevel="0" collapsed="false">
      <c r="A96" s="31"/>
      <c r="B96" s="8" t="str">
        <f aca="false">IF(A96="","",CHOOSE(WEEKDAY(A96,1),"الأحد","الاثنين","الثلاثاء","الأربعاء","الخميس","الجمعة","السبت"))</f>
        <v/>
      </c>
      <c r="C96" s="32"/>
      <c r="D96" s="32"/>
      <c r="E96" s="33"/>
      <c r="F96" s="9" t="str">
        <f aca="false">IF(OR(C96="",D96=""),"",ROUND(MOD(D96-C96,1)*24,2))</f>
        <v/>
      </c>
      <c r="G96" s="10" t="str">
        <f aca="false">IF(F96="","",ROUND(F96*AZZ_RATE+MIN(N(E96),F96)*(GYP_RATE-AZZ_RATE),3))</f>
        <v/>
      </c>
      <c r="H96" s="34"/>
      <c r="I96" s="44"/>
      <c r="J96" s="34"/>
    </row>
    <row r="97" customFormat="false" ht="19.5" hidden="false" customHeight="true" outlineLevel="0" collapsed="false">
      <c r="A97" s="31"/>
      <c r="B97" s="8" t="str">
        <f aca="false">IF(A97="","",CHOOSE(WEEKDAY(A97,1),"الأحد","الاثنين","الثلاثاء","الأربعاء","الخميس","الجمعة","السبت"))</f>
        <v/>
      </c>
      <c r="C97" s="32"/>
      <c r="D97" s="32"/>
      <c r="E97" s="33"/>
      <c r="F97" s="9" t="str">
        <f aca="false">IF(OR(C97="",D97=""),"",ROUND(MOD(D97-C97,1)*24,2))</f>
        <v/>
      </c>
      <c r="G97" s="10" t="str">
        <f aca="false">IF(F97="","",ROUND(F97*AZZ_RATE+MIN(N(E97),F97)*(GYP_RATE-AZZ_RATE),3))</f>
        <v/>
      </c>
      <c r="H97" s="34"/>
      <c r="I97" s="44"/>
      <c r="J97" s="34"/>
    </row>
    <row r="98" customFormat="false" ht="19.5" hidden="false" customHeight="true" outlineLevel="0" collapsed="false">
      <c r="A98" s="31"/>
      <c r="B98" s="8" t="str">
        <f aca="false">IF(A98="","",CHOOSE(WEEKDAY(A98,1),"الأحد","الاثنين","الثلاثاء","الأربعاء","الخميس","الجمعة","السبت"))</f>
        <v/>
      </c>
      <c r="C98" s="32"/>
      <c r="D98" s="32"/>
      <c r="E98" s="33"/>
      <c r="F98" s="9" t="str">
        <f aca="false">IF(OR(C98="",D98=""),"",ROUND(MOD(D98-C98,1)*24,2))</f>
        <v/>
      </c>
      <c r="G98" s="10" t="str">
        <f aca="false">IF(F98="","",ROUND(F98*AZZ_RATE+MIN(N(E98),F98)*(GYP_RATE-AZZ_RATE),3))</f>
        <v/>
      </c>
      <c r="H98" s="34"/>
      <c r="I98" s="44"/>
      <c r="J98" s="34"/>
    </row>
    <row r="99" customFormat="false" ht="19.5" hidden="false" customHeight="true" outlineLevel="0" collapsed="false">
      <c r="A99" s="31"/>
      <c r="B99" s="8" t="str">
        <f aca="false">IF(A99="","",CHOOSE(WEEKDAY(A99,1),"الأحد","الاثنين","الثلاثاء","الأربعاء","الخميس","الجمعة","السبت"))</f>
        <v/>
      </c>
      <c r="C99" s="32"/>
      <c r="D99" s="32"/>
      <c r="E99" s="33"/>
      <c r="F99" s="9" t="str">
        <f aca="false">IF(OR(C99="",D99=""),"",ROUND(MOD(D99-C99,1)*24,2))</f>
        <v/>
      </c>
      <c r="G99" s="10" t="str">
        <f aca="false">IF(F99="","",ROUND(F99*AZZ_RATE+MIN(N(E99),F99)*(GYP_RATE-AZZ_RATE),3))</f>
        <v/>
      </c>
      <c r="H99" s="34"/>
      <c r="I99" s="44"/>
      <c r="J99" s="34"/>
    </row>
    <row r="100" customFormat="false" ht="19.5" hidden="false" customHeight="true" outlineLevel="0" collapsed="false">
      <c r="A100" s="31"/>
      <c r="B100" s="8" t="str">
        <f aca="false">IF(A100="","",CHOOSE(WEEKDAY(A100,1),"الأحد","الاثنين","الثلاثاء","الأربعاء","الخميس","الجمعة","السبت"))</f>
        <v/>
      </c>
      <c r="C100" s="32"/>
      <c r="D100" s="32"/>
      <c r="E100" s="33"/>
      <c r="F100" s="9" t="str">
        <f aca="false">IF(OR(C100="",D100=""),"",ROUND(MOD(D100-C100,1)*24,2))</f>
        <v/>
      </c>
      <c r="G100" s="10" t="str">
        <f aca="false">IF(F100="","",ROUND(F100*AZZ_RATE+MIN(N(E100),F100)*(GYP_RATE-AZZ_RATE),3))</f>
        <v/>
      </c>
      <c r="H100" s="34"/>
      <c r="I100" s="44"/>
      <c r="J100" s="34"/>
    </row>
    <row r="101" customFormat="false" ht="19.5" hidden="false" customHeight="true" outlineLevel="0" collapsed="false">
      <c r="A101" s="31"/>
      <c r="B101" s="8" t="str">
        <f aca="false">IF(A101="","",CHOOSE(WEEKDAY(A101,1),"الأحد","الاثنين","الثلاثاء","الأربعاء","الخميس","الجمعة","السبت"))</f>
        <v/>
      </c>
      <c r="C101" s="32"/>
      <c r="D101" s="32"/>
      <c r="E101" s="33"/>
      <c r="F101" s="9" t="str">
        <f aca="false">IF(OR(C101="",D101=""),"",ROUND(MOD(D101-C101,1)*24,2))</f>
        <v/>
      </c>
      <c r="G101" s="10" t="str">
        <f aca="false">IF(F101="","",ROUND(F101*AZZ_RATE+MIN(N(E101),F101)*(GYP_RATE-AZZ_RATE),3))</f>
        <v/>
      </c>
      <c r="H101" s="34"/>
      <c r="I101" s="44"/>
      <c r="J101" s="34"/>
    </row>
    <row r="102" customFormat="false" ht="19.5" hidden="false" customHeight="true" outlineLevel="0" collapsed="false">
      <c r="A102" s="31"/>
      <c r="B102" s="8" t="str">
        <f aca="false">IF(A102="","",CHOOSE(WEEKDAY(A102,1),"الأحد","الاثنين","الثلاثاء","الأربعاء","الخميس","الجمعة","السبت"))</f>
        <v/>
      </c>
      <c r="C102" s="32"/>
      <c r="D102" s="32"/>
      <c r="E102" s="33"/>
      <c r="F102" s="9" t="str">
        <f aca="false">IF(OR(C102="",D102=""),"",ROUND(MOD(D102-C102,1)*24,2))</f>
        <v/>
      </c>
      <c r="G102" s="10" t="str">
        <f aca="false">IF(F102="","",ROUND(F102*AZZ_RATE+MIN(N(E102),F102)*(GYP_RATE-AZZ_RATE),3))</f>
        <v/>
      </c>
      <c r="H102" s="34"/>
      <c r="I102" s="44"/>
      <c r="J102" s="34"/>
    </row>
    <row r="103" customFormat="false" ht="19.5" hidden="false" customHeight="true" outlineLevel="0" collapsed="false">
      <c r="A103" s="31"/>
      <c r="B103" s="8" t="str">
        <f aca="false">IF(A103="","",CHOOSE(WEEKDAY(A103,1),"الأحد","الاثنين","الثلاثاء","الأربعاء","الخميس","الجمعة","السبت"))</f>
        <v/>
      </c>
      <c r="C103" s="32"/>
      <c r="D103" s="32"/>
      <c r="E103" s="33"/>
      <c r="F103" s="9" t="str">
        <f aca="false">IF(OR(C103="",D103=""),"",ROUND(MOD(D103-C103,1)*24,2))</f>
        <v/>
      </c>
      <c r="G103" s="10" t="str">
        <f aca="false">IF(F103="","",ROUND(F103*AZZ_RATE+MIN(N(E103),F103)*(GYP_RATE-AZZ_RATE),3))</f>
        <v/>
      </c>
      <c r="H103" s="34"/>
      <c r="I103" s="44"/>
      <c r="J103" s="34"/>
    </row>
    <row r="104" customFormat="false" ht="19.5" hidden="false" customHeight="true" outlineLevel="0" collapsed="false">
      <c r="A104" s="31"/>
      <c r="B104" s="8" t="str">
        <f aca="false">IF(A104="","",CHOOSE(WEEKDAY(A104,1),"الأحد","الاثنين","الثلاثاء","الأربعاء","الخميس","الجمعة","السبت"))</f>
        <v/>
      </c>
      <c r="C104" s="32"/>
      <c r="D104" s="32"/>
      <c r="E104" s="33"/>
      <c r="F104" s="9" t="str">
        <f aca="false">IF(OR(C104="",D104=""),"",ROUND(MOD(D104-C104,1)*24,2))</f>
        <v/>
      </c>
      <c r="G104" s="10" t="str">
        <f aca="false">IF(F104="","",ROUND(F104*AZZ_RATE+MIN(N(E104),F104)*(GYP_RATE-AZZ_RATE),3))</f>
        <v/>
      </c>
      <c r="H104" s="34"/>
      <c r="I104" s="44"/>
      <c r="J104" s="34"/>
    </row>
    <row r="105" customFormat="false" ht="19.5" hidden="false" customHeight="true" outlineLevel="0" collapsed="false">
      <c r="A105" s="31"/>
      <c r="B105" s="8" t="str">
        <f aca="false">IF(A105="","",CHOOSE(WEEKDAY(A105,1),"الأحد","الاثنين","الثلاثاء","الأربعاء","الخميس","الجمعة","السبت"))</f>
        <v/>
      </c>
      <c r="C105" s="32"/>
      <c r="D105" s="32"/>
      <c r="E105" s="33"/>
      <c r="F105" s="9" t="str">
        <f aca="false">IF(OR(C105="",D105=""),"",ROUND(MOD(D105-C105,1)*24,2))</f>
        <v/>
      </c>
      <c r="G105" s="10" t="str">
        <f aca="false">IF(F105="","",ROUND(F105*AZZ_RATE+MIN(N(E105),F105)*(GYP_RATE-AZZ_RATE),3))</f>
        <v/>
      </c>
      <c r="H105" s="34"/>
      <c r="I105" s="44"/>
      <c r="J105" s="34"/>
    </row>
    <row r="106" customFormat="false" ht="19.5" hidden="false" customHeight="true" outlineLevel="0" collapsed="false">
      <c r="A106" s="31"/>
      <c r="B106" s="8" t="str">
        <f aca="false">IF(A106="","",CHOOSE(WEEKDAY(A106,1),"الأحد","الاثنين","الثلاثاء","الأربعاء","الخميس","الجمعة","السبت"))</f>
        <v/>
      </c>
      <c r="C106" s="32"/>
      <c r="D106" s="32"/>
      <c r="E106" s="33"/>
      <c r="F106" s="9" t="str">
        <f aca="false">IF(OR(C106="",D106=""),"",ROUND(MOD(D106-C106,1)*24,2))</f>
        <v/>
      </c>
      <c r="G106" s="10" t="str">
        <f aca="false">IF(F106="","",ROUND(F106*AZZ_RATE+MIN(N(E106),F106)*(GYP_RATE-AZZ_RATE),3))</f>
        <v/>
      </c>
      <c r="H106" s="34"/>
      <c r="I106" s="44"/>
      <c r="J106" s="34"/>
    </row>
    <row r="107" customFormat="false" ht="19.5" hidden="false" customHeight="true" outlineLevel="0" collapsed="false">
      <c r="A107" s="31"/>
      <c r="B107" s="8" t="str">
        <f aca="false">IF(A107="","",CHOOSE(WEEKDAY(A107,1),"الأحد","الاثنين","الثلاثاء","الأربعاء","الخميس","الجمعة","السبت"))</f>
        <v/>
      </c>
      <c r="C107" s="32"/>
      <c r="D107" s="32"/>
      <c r="E107" s="33"/>
      <c r="F107" s="9" t="str">
        <f aca="false">IF(OR(C107="",D107=""),"",ROUND(MOD(D107-C107,1)*24,2))</f>
        <v/>
      </c>
      <c r="G107" s="10" t="str">
        <f aca="false">IF(F107="","",ROUND(F107*AZZ_RATE+MIN(N(E107),F107)*(GYP_RATE-AZZ_RATE),3))</f>
        <v/>
      </c>
      <c r="H107" s="34"/>
      <c r="I107" s="44"/>
      <c r="J107" s="34"/>
    </row>
    <row r="108" customFormat="false" ht="19.5" hidden="false" customHeight="true" outlineLevel="0" collapsed="false">
      <c r="A108" s="31"/>
      <c r="B108" s="8" t="str">
        <f aca="false">IF(A108="","",CHOOSE(WEEKDAY(A108,1),"الأحد","الاثنين","الثلاثاء","الأربعاء","الخميس","الجمعة","السبت"))</f>
        <v/>
      </c>
      <c r="C108" s="32"/>
      <c r="D108" s="32"/>
      <c r="E108" s="33"/>
      <c r="F108" s="9" t="str">
        <f aca="false">IF(OR(C108="",D108=""),"",ROUND(MOD(D108-C108,1)*24,2))</f>
        <v/>
      </c>
      <c r="G108" s="10" t="str">
        <f aca="false">IF(F108="","",ROUND(F108*AZZ_RATE+MIN(N(E108),F108)*(GYP_RATE-AZZ_RATE),3))</f>
        <v/>
      </c>
      <c r="H108" s="34"/>
      <c r="I108" s="44"/>
      <c r="J108" s="34"/>
    </row>
    <row r="109" customFormat="false" ht="19.5" hidden="false" customHeight="true" outlineLevel="0" collapsed="false">
      <c r="A109" s="31"/>
      <c r="B109" s="8" t="str">
        <f aca="false">IF(A109="","",CHOOSE(WEEKDAY(A109,1),"الأحد","الاثنين","الثلاثاء","الأربعاء","الخميس","الجمعة","السبت"))</f>
        <v/>
      </c>
      <c r="C109" s="32"/>
      <c r="D109" s="32"/>
      <c r="E109" s="33"/>
      <c r="F109" s="9" t="str">
        <f aca="false">IF(OR(C109="",D109=""),"",ROUND(MOD(D109-C109,1)*24,2))</f>
        <v/>
      </c>
      <c r="G109" s="10" t="str">
        <f aca="false">IF(F109="","",ROUND(F109*AZZ_RATE+MIN(N(E109),F109)*(GYP_RATE-AZZ_RATE),3))</f>
        <v/>
      </c>
      <c r="H109" s="34"/>
      <c r="I109" s="44"/>
      <c r="J109" s="34"/>
    </row>
    <row r="110" customFormat="false" ht="19.5" hidden="false" customHeight="true" outlineLevel="0" collapsed="false">
      <c r="A110" s="31"/>
      <c r="B110" s="8" t="str">
        <f aca="false">IF(A110="","",CHOOSE(WEEKDAY(A110,1),"الأحد","الاثنين","الثلاثاء","الأربعاء","الخميس","الجمعة","السبت"))</f>
        <v/>
      </c>
      <c r="C110" s="32"/>
      <c r="D110" s="32"/>
      <c r="E110" s="33"/>
      <c r="F110" s="9" t="str">
        <f aca="false">IF(OR(C110="",D110=""),"",ROUND(MOD(D110-C110,1)*24,2))</f>
        <v/>
      </c>
      <c r="G110" s="10" t="str">
        <f aca="false">IF(F110="","",ROUND(F110*AZZ_RATE+MIN(N(E110),F110)*(GYP_RATE-AZZ_RATE),3))</f>
        <v/>
      </c>
      <c r="H110" s="34"/>
      <c r="I110" s="44"/>
      <c r="J110" s="34"/>
    </row>
    <row r="111" customFormat="false" ht="19.5" hidden="false" customHeight="true" outlineLevel="0" collapsed="false">
      <c r="A111" s="31"/>
      <c r="B111" s="8" t="str">
        <f aca="false">IF(A111="","",CHOOSE(WEEKDAY(A111,1),"الأحد","الاثنين","الثلاثاء","الأربعاء","الخميس","الجمعة","السبت"))</f>
        <v/>
      </c>
      <c r="C111" s="32"/>
      <c r="D111" s="32"/>
      <c r="E111" s="33"/>
      <c r="F111" s="9" t="str">
        <f aca="false">IF(OR(C111="",D111=""),"",ROUND(MOD(D111-C111,1)*24,2))</f>
        <v/>
      </c>
      <c r="G111" s="10" t="str">
        <f aca="false">IF(F111="","",ROUND(F111*AZZ_RATE+MIN(N(E111),F111)*(GYP_RATE-AZZ_RATE),3))</f>
        <v/>
      </c>
      <c r="H111" s="34"/>
      <c r="I111" s="44"/>
      <c r="J111" s="34"/>
    </row>
    <row r="112" customFormat="false" ht="19.5" hidden="false" customHeight="true" outlineLevel="0" collapsed="false">
      <c r="A112" s="31"/>
      <c r="B112" s="8" t="str">
        <f aca="false">IF(A112="","",CHOOSE(WEEKDAY(A112,1),"الأحد","الاثنين","الثلاثاء","الأربعاء","الخميس","الجمعة","السبت"))</f>
        <v/>
      </c>
      <c r="C112" s="32"/>
      <c r="D112" s="32"/>
      <c r="E112" s="33"/>
      <c r="F112" s="9" t="str">
        <f aca="false">IF(OR(C112="",D112=""),"",ROUND(MOD(D112-C112,1)*24,2))</f>
        <v/>
      </c>
      <c r="G112" s="10" t="str">
        <f aca="false">IF(F112="","",ROUND(F112*AZZ_RATE+MIN(N(E112),F112)*(GYP_RATE-AZZ_RATE),3))</f>
        <v/>
      </c>
      <c r="H112" s="34"/>
      <c r="I112" s="44"/>
      <c r="J112" s="34"/>
    </row>
    <row r="113" customFormat="false" ht="19.5" hidden="false" customHeight="true" outlineLevel="0" collapsed="false">
      <c r="A113" s="31"/>
      <c r="B113" s="8" t="str">
        <f aca="false">IF(A113="","",CHOOSE(WEEKDAY(A113,1),"الأحد","الاثنين","الثلاثاء","الأربعاء","الخميس","الجمعة","السبت"))</f>
        <v/>
      </c>
      <c r="C113" s="32"/>
      <c r="D113" s="32"/>
      <c r="E113" s="33"/>
      <c r="F113" s="9" t="str">
        <f aca="false">IF(OR(C113="",D113=""),"",ROUND(MOD(D113-C113,1)*24,2))</f>
        <v/>
      </c>
      <c r="G113" s="10" t="str">
        <f aca="false">IF(F113="","",ROUND(F113*AZZ_RATE+MIN(N(E113),F113)*(GYP_RATE-AZZ_RATE),3))</f>
        <v/>
      </c>
      <c r="H113" s="34"/>
      <c r="I113" s="44"/>
      <c r="J113" s="34"/>
    </row>
    <row r="114" customFormat="false" ht="19.5" hidden="false" customHeight="true" outlineLevel="0" collapsed="false">
      <c r="A114" s="31"/>
      <c r="B114" s="8" t="str">
        <f aca="false">IF(A114="","",CHOOSE(WEEKDAY(A114,1),"الأحد","الاثنين","الثلاثاء","الأربعاء","الخميس","الجمعة","السبت"))</f>
        <v/>
      </c>
      <c r="C114" s="32"/>
      <c r="D114" s="32"/>
      <c r="E114" s="33"/>
      <c r="F114" s="9" t="str">
        <f aca="false">IF(OR(C114="",D114=""),"",ROUND(MOD(D114-C114,1)*24,2))</f>
        <v/>
      </c>
      <c r="G114" s="10" t="str">
        <f aca="false">IF(F114="","",ROUND(F114*AZZ_RATE+MIN(N(E114),F114)*(GYP_RATE-AZZ_RATE),3))</f>
        <v/>
      </c>
      <c r="H114" s="34"/>
      <c r="I114" s="44"/>
      <c r="J114" s="34"/>
    </row>
    <row r="115" customFormat="false" ht="19.5" hidden="false" customHeight="true" outlineLevel="0" collapsed="false">
      <c r="A115" s="31"/>
      <c r="B115" s="8" t="str">
        <f aca="false">IF(A115="","",CHOOSE(WEEKDAY(A115,1),"الأحد","الاثنين","الثلاثاء","الأربعاء","الخميس","الجمعة","السبت"))</f>
        <v/>
      </c>
      <c r="C115" s="32"/>
      <c r="D115" s="32"/>
      <c r="E115" s="33"/>
      <c r="F115" s="9" t="str">
        <f aca="false">IF(OR(C115="",D115=""),"",ROUND(MOD(D115-C115,1)*24,2))</f>
        <v/>
      </c>
      <c r="G115" s="10" t="str">
        <f aca="false">IF(F115="","",ROUND(F115*AZZ_RATE+MIN(N(E115),F115)*(GYP_RATE-AZZ_RATE),3))</f>
        <v/>
      </c>
      <c r="H115" s="34"/>
      <c r="I115" s="44"/>
      <c r="J115" s="34"/>
    </row>
    <row r="116" customFormat="false" ht="19.5" hidden="false" customHeight="true" outlineLevel="0" collapsed="false">
      <c r="A116" s="31"/>
      <c r="B116" s="8" t="str">
        <f aca="false">IF(A116="","",CHOOSE(WEEKDAY(A116,1),"الأحد","الاثنين","الثلاثاء","الأربعاء","الخميس","الجمعة","السبت"))</f>
        <v/>
      </c>
      <c r="C116" s="32"/>
      <c r="D116" s="32"/>
      <c r="E116" s="33"/>
      <c r="F116" s="9" t="str">
        <f aca="false">IF(OR(C116="",D116=""),"",ROUND(MOD(D116-C116,1)*24,2))</f>
        <v/>
      </c>
      <c r="G116" s="10" t="str">
        <f aca="false">IF(F116="","",ROUND(F116*AZZ_RATE+MIN(N(E116),F116)*(GYP_RATE-AZZ_RATE),3))</f>
        <v/>
      </c>
      <c r="H116" s="34"/>
      <c r="I116" s="44"/>
      <c r="J116" s="34"/>
    </row>
    <row r="117" customFormat="false" ht="19.5" hidden="false" customHeight="true" outlineLevel="0" collapsed="false">
      <c r="A117" s="31"/>
      <c r="B117" s="8" t="str">
        <f aca="false">IF(A117="","",CHOOSE(WEEKDAY(A117,1),"الأحد","الاثنين","الثلاثاء","الأربعاء","الخميس","الجمعة","السبت"))</f>
        <v/>
      </c>
      <c r="C117" s="32"/>
      <c r="D117" s="32"/>
      <c r="E117" s="33"/>
      <c r="F117" s="9" t="str">
        <f aca="false">IF(OR(C117="",D117=""),"",ROUND(MOD(D117-C117,1)*24,2))</f>
        <v/>
      </c>
      <c r="G117" s="10" t="str">
        <f aca="false">IF(F117="","",ROUND(F117*AZZ_RATE+MIN(N(E117),F117)*(GYP_RATE-AZZ_RATE),3))</f>
        <v/>
      </c>
      <c r="H117" s="34"/>
      <c r="I117" s="44"/>
      <c r="J117" s="34"/>
    </row>
    <row r="118" customFormat="false" ht="19.5" hidden="false" customHeight="true" outlineLevel="0" collapsed="false">
      <c r="A118" s="31"/>
      <c r="B118" s="8" t="str">
        <f aca="false">IF(A118="","",CHOOSE(WEEKDAY(A118,1),"الأحد","الاثنين","الثلاثاء","الأربعاء","الخميس","الجمعة","السبت"))</f>
        <v/>
      </c>
      <c r="C118" s="32"/>
      <c r="D118" s="32"/>
      <c r="E118" s="33"/>
      <c r="F118" s="9" t="str">
        <f aca="false">IF(OR(C118="",D118=""),"",ROUND(MOD(D118-C118,1)*24,2))</f>
        <v/>
      </c>
      <c r="G118" s="10" t="str">
        <f aca="false">IF(F118="","",ROUND(F118*AZZ_RATE+MIN(N(E118),F118)*(GYP_RATE-AZZ_RATE),3))</f>
        <v/>
      </c>
      <c r="H118" s="34"/>
      <c r="I118" s="44"/>
      <c r="J118" s="34"/>
    </row>
    <row r="119" customFormat="false" ht="19.5" hidden="false" customHeight="true" outlineLevel="0" collapsed="false">
      <c r="A119" s="31"/>
      <c r="B119" s="8" t="str">
        <f aca="false">IF(A119="","",CHOOSE(WEEKDAY(A119,1),"الأحد","الاثنين","الثلاثاء","الأربعاء","الخميس","الجمعة","السبت"))</f>
        <v/>
      </c>
      <c r="C119" s="32"/>
      <c r="D119" s="32"/>
      <c r="E119" s="33"/>
      <c r="F119" s="9" t="str">
        <f aca="false">IF(OR(C119="",D119=""),"",ROUND(MOD(D119-C119,1)*24,2))</f>
        <v/>
      </c>
      <c r="G119" s="10" t="str">
        <f aca="false">IF(F119="","",ROUND(F119*AZZ_RATE+MIN(N(E119),F119)*(GYP_RATE-AZZ_RATE),3))</f>
        <v/>
      </c>
      <c r="H119" s="34"/>
      <c r="I119" s="44"/>
      <c r="J119" s="34"/>
    </row>
    <row r="120" customFormat="false" ht="19.5" hidden="false" customHeight="true" outlineLevel="0" collapsed="false">
      <c r="A120" s="31"/>
      <c r="B120" s="8" t="str">
        <f aca="false">IF(A120="","",CHOOSE(WEEKDAY(A120,1),"الأحد","الاثنين","الثلاثاء","الأربعاء","الخميس","الجمعة","السبت"))</f>
        <v/>
      </c>
      <c r="C120" s="32"/>
      <c r="D120" s="32"/>
      <c r="E120" s="33"/>
      <c r="F120" s="9" t="str">
        <f aca="false">IF(OR(C120="",D120=""),"",ROUND(MOD(D120-C120,1)*24,2))</f>
        <v/>
      </c>
      <c r="G120" s="10" t="str">
        <f aca="false">IF(F120="","",ROUND(F120*AZZ_RATE+MIN(N(E120),F120)*(GYP_RATE-AZZ_RATE),3))</f>
        <v/>
      </c>
      <c r="H120" s="34"/>
      <c r="I120" s="44"/>
      <c r="J120" s="34"/>
    </row>
    <row r="121" customFormat="false" ht="19.5" hidden="false" customHeight="true" outlineLevel="0" collapsed="false">
      <c r="A121" s="31"/>
      <c r="B121" s="8" t="str">
        <f aca="false">IF(A121="","",CHOOSE(WEEKDAY(A121,1),"الأحد","الاثنين","الثلاثاء","الأربعاء","الخميس","الجمعة","السبت"))</f>
        <v/>
      </c>
      <c r="C121" s="32"/>
      <c r="D121" s="32"/>
      <c r="E121" s="33"/>
      <c r="F121" s="9" t="str">
        <f aca="false">IF(OR(C121="",D121=""),"",ROUND(MOD(D121-C121,1)*24,2))</f>
        <v/>
      </c>
      <c r="G121" s="10" t="str">
        <f aca="false">IF(F121="","",ROUND(F121*AZZ_RATE+MIN(N(E121),F121)*(GYP_RATE-AZZ_RATE),3))</f>
        <v/>
      </c>
      <c r="H121" s="34"/>
      <c r="I121" s="44"/>
      <c r="J121" s="34"/>
    </row>
    <row r="122" customFormat="false" ht="19.5" hidden="false" customHeight="true" outlineLevel="0" collapsed="false">
      <c r="A122" s="31"/>
      <c r="B122" s="8" t="str">
        <f aca="false">IF(A122="","",CHOOSE(WEEKDAY(A122,1),"الأحد","الاثنين","الثلاثاء","الأربعاء","الخميس","الجمعة","السبت"))</f>
        <v/>
      </c>
      <c r="C122" s="32"/>
      <c r="D122" s="32"/>
      <c r="E122" s="33"/>
      <c r="F122" s="9" t="str">
        <f aca="false">IF(OR(C122="",D122=""),"",ROUND(MOD(D122-C122,1)*24,2))</f>
        <v/>
      </c>
      <c r="G122" s="10" t="str">
        <f aca="false">IF(F122="","",ROUND(F122*AZZ_RATE+MIN(N(E122),F122)*(GYP_RATE-AZZ_RATE),3))</f>
        <v/>
      </c>
      <c r="H122" s="34"/>
      <c r="I122" s="44"/>
      <c r="J122" s="34"/>
    </row>
    <row r="123" customFormat="false" ht="19.5" hidden="false" customHeight="true" outlineLevel="0" collapsed="false">
      <c r="A123" s="31"/>
      <c r="B123" s="8" t="str">
        <f aca="false">IF(A123="","",CHOOSE(WEEKDAY(A123,1),"الأحد","الاثنين","الثلاثاء","الأربعاء","الخميس","الجمعة","السبت"))</f>
        <v/>
      </c>
      <c r="C123" s="32"/>
      <c r="D123" s="32"/>
      <c r="E123" s="33"/>
      <c r="F123" s="9" t="str">
        <f aca="false">IF(OR(C123="",D123=""),"",ROUND(MOD(D123-C123,1)*24,2))</f>
        <v/>
      </c>
      <c r="G123" s="10" t="str">
        <f aca="false">IF(F123="","",ROUND(F123*AZZ_RATE+MIN(N(E123),F123)*(GYP_RATE-AZZ_RATE),3))</f>
        <v/>
      </c>
      <c r="H123" s="34"/>
      <c r="I123" s="44"/>
      <c r="J123" s="34"/>
    </row>
    <row r="124" customFormat="false" ht="19.5" hidden="false" customHeight="true" outlineLevel="0" collapsed="false">
      <c r="A124" s="31"/>
      <c r="B124" s="8" t="str">
        <f aca="false">IF(A124="","",CHOOSE(WEEKDAY(A124,1),"الأحد","الاثنين","الثلاثاء","الأربعاء","الخميس","الجمعة","السبت"))</f>
        <v/>
      </c>
      <c r="C124" s="32"/>
      <c r="D124" s="32"/>
      <c r="E124" s="33"/>
      <c r="F124" s="9" t="str">
        <f aca="false">IF(OR(C124="",D124=""),"",ROUND(MOD(D124-C124,1)*24,2))</f>
        <v/>
      </c>
      <c r="G124" s="10" t="str">
        <f aca="false">IF(F124="","",ROUND(F124*AZZ_RATE+MIN(N(E124),F124)*(GYP_RATE-AZZ_RATE),3))</f>
        <v/>
      </c>
      <c r="H124" s="34"/>
      <c r="I124" s="44"/>
      <c r="J124" s="34"/>
    </row>
    <row r="125" customFormat="false" ht="19.5" hidden="false" customHeight="true" outlineLevel="0" collapsed="false">
      <c r="A125" s="31"/>
      <c r="B125" s="8" t="str">
        <f aca="false">IF(A125="","",CHOOSE(WEEKDAY(A125,1),"الأحد","الاثنين","الثلاثاء","الأربعاء","الخميس","الجمعة","السبت"))</f>
        <v/>
      </c>
      <c r="C125" s="32"/>
      <c r="D125" s="32"/>
      <c r="E125" s="33"/>
      <c r="F125" s="9" t="str">
        <f aca="false">IF(OR(C125="",D125=""),"",ROUND(MOD(D125-C125,1)*24,2))</f>
        <v/>
      </c>
      <c r="G125" s="10" t="str">
        <f aca="false">IF(F125="","",ROUND(F125*AZZ_RATE+MIN(N(E125),F125)*(GYP_RATE-AZZ_RATE),3))</f>
        <v/>
      </c>
      <c r="H125" s="34"/>
      <c r="I125" s="44"/>
      <c r="J125" s="34"/>
    </row>
    <row r="126" customFormat="false" ht="19.5" hidden="false" customHeight="true" outlineLevel="0" collapsed="false">
      <c r="A126" s="31"/>
      <c r="B126" s="8" t="str">
        <f aca="false">IF(A126="","",CHOOSE(WEEKDAY(A126,1),"الأحد","الاثنين","الثلاثاء","الأربعاء","الخميس","الجمعة","السبت"))</f>
        <v/>
      </c>
      <c r="C126" s="32"/>
      <c r="D126" s="32"/>
      <c r="E126" s="33"/>
      <c r="F126" s="9" t="str">
        <f aca="false">IF(OR(C126="",D126=""),"",ROUND(MOD(D126-C126,1)*24,2))</f>
        <v/>
      </c>
      <c r="G126" s="10" t="str">
        <f aca="false">IF(F126="","",ROUND(F126*AZZ_RATE+MIN(N(E126),F126)*(GYP_RATE-AZZ_RATE),3))</f>
        <v/>
      </c>
      <c r="H126" s="34"/>
      <c r="I126" s="44"/>
      <c r="J126" s="34"/>
    </row>
    <row r="127" customFormat="false" ht="19.5" hidden="false" customHeight="true" outlineLevel="0" collapsed="false">
      <c r="A127" s="31"/>
      <c r="B127" s="8" t="str">
        <f aca="false">IF(A127="","",CHOOSE(WEEKDAY(A127,1),"الأحد","الاثنين","الثلاثاء","الأربعاء","الخميس","الجمعة","السبت"))</f>
        <v/>
      </c>
      <c r="C127" s="32"/>
      <c r="D127" s="32"/>
      <c r="E127" s="33"/>
      <c r="F127" s="9" t="str">
        <f aca="false">IF(OR(C127="",D127=""),"",ROUND(MOD(D127-C127,1)*24,2))</f>
        <v/>
      </c>
      <c r="G127" s="10" t="str">
        <f aca="false">IF(F127="","",ROUND(F127*AZZ_RATE+MIN(N(E127),F127)*(GYP_RATE-AZZ_RATE),3))</f>
        <v/>
      </c>
      <c r="H127" s="34"/>
      <c r="I127" s="44"/>
      <c r="J127" s="34"/>
    </row>
    <row r="128" customFormat="false" ht="19.5" hidden="false" customHeight="true" outlineLevel="0" collapsed="false">
      <c r="A128" s="31"/>
      <c r="B128" s="8" t="str">
        <f aca="false">IF(A128="","",CHOOSE(WEEKDAY(A128,1),"الأحد","الاثنين","الثلاثاء","الأربعاء","الخميس","الجمعة","السبت"))</f>
        <v/>
      </c>
      <c r="C128" s="32"/>
      <c r="D128" s="32"/>
      <c r="E128" s="33"/>
      <c r="F128" s="9" t="str">
        <f aca="false">IF(OR(C128="",D128=""),"",ROUND(MOD(D128-C128,1)*24,2))</f>
        <v/>
      </c>
      <c r="G128" s="10" t="str">
        <f aca="false">IF(F128="","",ROUND(F128*AZZ_RATE+MIN(N(E128),F128)*(GYP_RATE-AZZ_RATE),3))</f>
        <v/>
      </c>
      <c r="H128" s="34"/>
      <c r="I128" s="44"/>
      <c r="J128" s="34"/>
    </row>
    <row r="129" customFormat="false" ht="19.5" hidden="false" customHeight="true" outlineLevel="0" collapsed="false">
      <c r="A129" s="31"/>
      <c r="B129" s="8" t="str">
        <f aca="false">IF(A129="","",CHOOSE(WEEKDAY(A129,1),"الأحد","الاثنين","الثلاثاء","الأربعاء","الخميس","الجمعة","السبت"))</f>
        <v/>
      </c>
      <c r="C129" s="32"/>
      <c r="D129" s="32"/>
      <c r="E129" s="33"/>
      <c r="F129" s="9" t="str">
        <f aca="false">IF(OR(C129="",D129=""),"",ROUND(MOD(D129-C129,1)*24,2))</f>
        <v/>
      </c>
      <c r="G129" s="10" t="str">
        <f aca="false">IF(F129="","",ROUND(F129*AZZ_RATE+MIN(N(E129),F129)*(GYP_RATE-AZZ_RATE),3))</f>
        <v/>
      </c>
      <c r="H129" s="34"/>
      <c r="I129" s="44"/>
      <c r="J129" s="34"/>
    </row>
    <row r="130" customFormat="false" ht="19.5" hidden="false" customHeight="true" outlineLevel="0" collapsed="false">
      <c r="A130" s="31"/>
      <c r="B130" s="8" t="str">
        <f aca="false">IF(A130="","",CHOOSE(WEEKDAY(A130,1),"الأحد","الاثنين","الثلاثاء","الأربعاء","الخميس","الجمعة","السبت"))</f>
        <v/>
      </c>
      <c r="C130" s="32"/>
      <c r="D130" s="32"/>
      <c r="E130" s="33"/>
      <c r="F130" s="9" t="str">
        <f aca="false">IF(OR(C130="",D130=""),"",ROUND(MOD(D130-C130,1)*24,2))</f>
        <v/>
      </c>
      <c r="G130" s="10" t="str">
        <f aca="false">IF(F130="","",ROUND(F130*AZZ_RATE+MIN(N(E130),F130)*(GYP_RATE-AZZ_RATE),3))</f>
        <v/>
      </c>
      <c r="H130" s="34"/>
      <c r="I130" s="44"/>
      <c r="J130" s="34"/>
    </row>
    <row r="131" customFormat="false" ht="19.5" hidden="false" customHeight="true" outlineLevel="0" collapsed="false">
      <c r="A131" s="31"/>
      <c r="B131" s="8" t="str">
        <f aca="false">IF(A131="","",CHOOSE(WEEKDAY(A131,1),"الأحد","الاثنين","الثلاثاء","الأربعاء","الخميس","الجمعة","السبت"))</f>
        <v/>
      </c>
      <c r="C131" s="32"/>
      <c r="D131" s="32"/>
      <c r="E131" s="33"/>
      <c r="F131" s="9" t="str">
        <f aca="false">IF(OR(C131="",D131=""),"",ROUND(MOD(D131-C131,1)*24,2))</f>
        <v/>
      </c>
      <c r="G131" s="10" t="str">
        <f aca="false">IF(F131="","",ROUND(F131*AZZ_RATE+MIN(N(E131),F131)*(GYP_RATE-AZZ_RATE),3))</f>
        <v/>
      </c>
      <c r="H131" s="34"/>
      <c r="I131" s="44"/>
      <c r="J131" s="34"/>
    </row>
    <row r="132" customFormat="false" ht="19.5" hidden="false" customHeight="true" outlineLevel="0" collapsed="false">
      <c r="A132" s="31"/>
      <c r="B132" s="8" t="str">
        <f aca="false">IF(A132="","",CHOOSE(WEEKDAY(A132,1),"الأحد","الاثنين","الثلاثاء","الأربعاء","الخميس","الجمعة","السبت"))</f>
        <v/>
      </c>
      <c r="C132" s="32"/>
      <c r="D132" s="32"/>
      <c r="E132" s="33"/>
      <c r="F132" s="9" t="str">
        <f aca="false">IF(OR(C132="",D132=""),"",ROUND(MOD(D132-C132,1)*24,2))</f>
        <v/>
      </c>
      <c r="G132" s="10" t="str">
        <f aca="false">IF(F132="","",ROUND(F132*AZZ_RATE+MIN(N(E132),F132)*(GYP_RATE-AZZ_RATE),3))</f>
        <v/>
      </c>
      <c r="H132" s="34"/>
      <c r="I132" s="44"/>
      <c r="J132" s="34"/>
    </row>
    <row r="133" customFormat="false" ht="19.5" hidden="false" customHeight="true" outlineLevel="0" collapsed="false">
      <c r="A133" s="31"/>
      <c r="B133" s="8" t="str">
        <f aca="false">IF(A133="","",CHOOSE(WEEKDAY(A133,1),"الأحد","الاثنين","الثلاثاء","الأربعاء","الخميس","الجمعة","السبت"))</f>
        <v/>
      </c>
      <c r="C133" s="32"/>
      <c r="D133" s="32"/>
      <c r="E133" s="33"/>
      <c r="F133" s="9" t="str">
        <f aca="false">IF(OR(C133="",D133=""),"",ROUND(MOD(D133-C133,1)*24,2))</f>
        <v/>
      </c>
      <c r="G133" s="10" t="str">
        <f aca="false">IF(F133="","",ROUND(F133*AZZ_RATE+MIN(N(E133),F133)*(GYP_RATE-AZZ_RATE),3))</f>
        <v/>
      </c>
      <c r="H133" s="34"/>
      <c r="I133" s="44"/>
      <c r="J133" s="34"/>
    </row>
    <row r="134" customFormat="false" ht="19.5" hidden="false" customHeight="true" outlineLevel="0" collapsed="false">
      <c r="A134" s="31"/>
      <c r="B134" s="8" t="str">
        <f aca="false">IF(A134="","",CHOOSE(WEEKDAY(A134,1),"الأحد","الاثنين","الثلاثاء","الأربعاء","الخميس","الجمعة","السبت"))</f>
        <v/>
      </c>
      <c r="C134" s="32"/>
      <c r="D134" s="32"/>
      <c r="E134" s="33"/>
      <c r="F134" s="9" t="str">
        <f aca="false">IF(OR(C134="",D134=""),"",ROUND(MOD(D134-C134,1)*24,2))</f>
        <v/>
      </c>
      <c r="G134" s="10" t="str">
        <f aca="false">IF(F134="","",ROUND(F134*AZZ_RATE+MIN(N(E134),F134)*(GYP_RATE-AZZ_RATE),3))</f>
        <v/>
      </c>
      <c r="H134" s="34"/>
      <c r="I134" s="44"/>
      <c r="J134" s="34"/>
    </row>
    <row r="135" customFormat="false" ht="19.5" hidden="false" customHeight="true" outlineLevel="0" collapsed="false">
      <c r="A135" s="31"/>
      <c r="B135" s="8" t="str">
        <f aca="false">IF(A135="","",CHOOSE(WEEKDAY(A135,1),"الأحد","الاثنين","الثلاثاء","الأربعاء","الخميس","الجمعة","السبت"))</f>
        <v/>
      </c>
      <c r="C135" s="32"/>
      <c r="D135" s="32"/>
      <c r="E135" s="33"/>
      <c r="F135" s="9" t="str">
        <f aca="false">IF(OR(C135="",D135=""),"",ROUND(MOD(D135-C135,1)*24,2))</f>
        <v/>
      </c>
      <c r="G135" s="10" t="str">
        <f aca="false">IF(F135="","",ROUND(F135*AZZ_RATE+MIN(N(E135),F135)*(GYP_RATE-AZZ_RATE),3))</f>
        <v/>
      </c>
      <c r="H135" s="34"/>
      <c r="I135" s="44"/>
      <c r="J135" s="34"/>
    </row>
    <row r="136" customFormat="false" ht="19.5" hidden="false" customHeight="true" outlineLevel="0" collapsed="false">
      <c r="A136" s="31"/>
      <c r="B136" s="8" t="str">
        <f aca="false">IF(A136="","",CHOOSE(WEEKDAY(A136,1),"الأحد","الاثنين","الثلاثاء","الأربعاء","الخميس","الجمعة","السبت"))</f>
        <v/>
      </c>
      <c r="C136" s="32"/>
      <c r="D136" s="32"/>
      <c r="E136" s="33"/>
      <c r="F136" s="9" t="str">
        <f aca="false">IF(OR(C136="",D136=""),"",ROUND(MOD(D136-C136,1)*24,2))</f>
        <v/>
      </c>
      <c r="G136" s="10" t="str">
        <f aca="false">IF(F136="","",ROUND(F136*AZZ_RATE+MIN(N(E136),F136)*(GYP_RATE-AZZ_RATE),3))</f>
        <v/>
      </c>
      <c r="H136" s="34"/>
      <c r="I136" s="44"/>
      <c r="J136" s="34"/>
    </row>
    <row r="137" customFormat="false" ht="19.5" hidden="false" customHeight="true" outlineLevel="0" collapsed="false">
      <c r="A137" s="31"/>
      <c r="B137" s="8" t="str">
        <f aca="false">IF(A137="","",CHOOSE(WEEKDAY(A137,1),"الأحد","الاثنين","الثلاثاء","الأربعاء","الخميس","الجمعة","السبت"))</f>
        <v/>
      </c>
      <c r="C137" s="32"/>
      <c r="D137" s="32"/>
      <c r="E137" s="33"/>
      <c r="F137" s="9" t="str">
        <f aca="false">IF(OR(C137="",D137=""),"",ROUND(MOD(D137-C137,1)*24,2))</f>
        <v/>
      </c>
      <c r="G137" s="10" t="str">
        <f aca="false">IF(F137="","",ROUND(F137*AZZ_RATE+MIN(N(E137),F137)*(GYP_RATE-AZZ_RATE),3))</f>
        <v/>
      </c>
      <c r="H137" s="34"/>
      <c r="I137" s="44"/>
      <c r="J137" s="34"/>
    </row>
    <row r="138" customFormat="false" ht="19.5" hidden="false" customHeight="true" outlineLevel="0" collapsed="false">
      <c r="A138" s="31"/>
      <c r="B138" s="8" t="str">
        <f aca="false">IF(A138="","",CHOOSE(WEEKDAY(A138,1),"الأحد","الاثنين","الثلاثاء","الأربعاء","الخميس","الجمعة","السبت"))</f>
        <v/>
      </c>
      <c r="C138" s="32"/>
      <c r="D138" s="32"/>
      <c r="E138" s="33"/>
      <c r="F138" s="9" t="str">
        <f aca="false">IF(OR(C138="",D138=""),"",ROUND(MOD(D138-C138,1)*24,2))</f>
        <v/>
      </c>
      <c r="G138" s="10" t="str">
        <f aca="false">IF(F138="","",ROUND(F138*AZZ_RATE+MIN(N(E138),F138)*(GYP_RATE-AZZ_RATE),3))</f>
        <v/>
      </c>
      <c r="H138" s="34"/>
      <c r="I138" s="44"/>
      <c r="J138" s="34"/>
    </row>
    <row r="139" customFormat="false" ht="19.5" hidden="false" customHeight="true" outlineLevel="0" collapsed="false">
      <c r="A139" s="31"/>
      <c r="B139" s="8" t="str">
        <f aca="false">IF(A139="","",CHOOSE(WEEKDAY(A139,1),"الأحد","الاثنين","الثلاثاء","الأربعاء","الخميس","الجمعة","السبت"))</f>
        <v/>
      </c>
      <c r="C139" s="32"/>
      <c r="D139" s="32"/>
      <c r="E139" s="33"/>
      <c r="F139" s="9" t="str">
        <f aca="false">IF(OR(C139="",D139=""),"",ROUND(MOD(D139-C139,1)*24,2))</f>
        <v/>
      </c>
      <c r="G139" s="10" t="str">
        <f aca="false">IF(F139="","",ROUND(F139*AZZ_RATE+MIN(N(E139),F139)*(GYP_RATE-AZZ_RATE),3))</f>
        <v/>
      </c>
      <c r="H139" s="34"/>
      <c r="I139" s="44"/>
      <c r="J139" s="34"/>
    </row>
    <row r="140" customFormat="false" ht="19.5" hidden="false" customHeight="true" outlineLevel="0" collapsed="false">
      <c r="A140" s="31"/>
      <c r="B140" s="8" t="str">
        <f aca="false">IF(A140="","",CHOOSE(WEEKDAY(A140,1),"الأحد","الاثنين","الثلاثاء","الأربعاء","الخميس","الجمعة","السبت"))</f>
        <v/>
      </c>
      <c r="C140" s="32"/>
      <c r="D140" s="32"/>
      <c r="E140" s="33"/>
      <c r="F140" s="9" t="str">
        <f aca="false">IF(OR(C140="",D140=""),"",ROUND(MOD(D140-C140,1)*24,2))</f>
        <v/>
      </c>
      <c r="G140" s="10" t="str">
        <f aca="false">IF(F140="","",ROUND(F140*AZZ_RATE+MIN(N(E140),F140)*(GYP_RATE-AZZ_RATE),3))</f>
        <v/>
      </c>
      <c r="H140" s="34"/>
      <c r="I140" s="44"/>
      <c r="J140" s="34"/>
    </row>
    <row r="141" customFormat="false" ht="19.5" hidden="false" customHeight="true" outlineLevel="0" collapsed="false">
      <c r="A141" s="31"/>
      <c r="B141" s="8" t="str">
        <f aca="false">IF(A141="","",CHOOSE(WEEKDAY(A141,1),"الأحد","الاثنين","الثلاثاء","الأربعاء","الخميس","الجمعة","السبت"))</f>
        <v/>
      </c>
      <c r="C141" s="32"/>
      <c r="D141" s="32"/>
      <c r="E141" s="33"/>
      <c r="F141" s="9" t="str">
        <f aca="false">IF(OR(C141="",D141=""),"",ROUND(MOD(D141-C141,1)*24,2))</f>
        <v/>
      </c>
      <c r="G141" s="10" t="str">
        <f aca="false">IF(F141="","",ROUND(F141*AZZ_RATE+MIN(N(E141),F141)*(GYP_RATE-AZZ_RATE),3))</f>
        <v/>
      </c>
      <c r="H141" s="34"/>
      <c r="I141" s="44"/>
      <c r="J141" s="34"/>
    </row>
    <row r="142" customFormat="false" ht="19.5" hidden="false" customHeight="true" outlineLevel="0" collapsed="false">
      <c r="A142" s="31"/>
      <c r="B142" s="8" t="str">
        <f aca="false">IF(A142="","",CHOOSE(WEEKDAY(A142,1),"الأحد","الاثنين","الثلاثاء","الأربعاء","الخميس","الجمعة","السبت"))</f>
        <v/>
      </c>
      <c r="C142" s="32"/>
      <c r="D142" s="32"/>
      <c r="E142" s="33"/>
      <c r="F142" s="9" t="str">
        <f aca="false">IF(OR(C142="",D142=""),"",ROUND(MOD(D142-C142,1)*24,2))</f>
        <v/>
      </c>
      <c r="G142" s="10" t="str">
        <f aca="false">IF(F142="","",ROUND(F142*AZZ_RATE+MIN(N(E142),F142)*(GYP_RATE-AZZ_RATE),3))</f>
        <v/>
      </c>
      <c r="H142" s="34"/>
      <c r="I142" s="44"/>
      <c r="J142" s="34"/>
    </row>
    <row r="143" customFormat="false" ht="19.5" hidden="false" customHeight="true" outlineLevel="0" collapsed="false">
      <c r="A143" s="31"/>
      <c r="B143" s="8" t="str">
        <f aca="false">IF(A143="","",CHOOSE(WEEKDAY(A143,1),"الأحد","الاثنين","الثلاثاء","الأربعاء","الخميس","الجمعة","السبت"))</f>
        <v/>
      </c>
      <c r="C143" s="32"/>
      <c r="D143" s="32"/>
      <c r="E143" s="33"/>
      <c r="F143" s="9" t="str">
        <f aca="false">IF(OR(C143="",D143=""),"",ROUND(MOD(D143-C143,1)*24,2))</f>
        <v/>
      </c>
      <c r="G143" s="10" t="str">
        <f aca="false">IF(F143="","",ROUND(F143*AZZ_RATE+MIN(N(E143),F143)*(GYP_RATE-AZZ_RATE),3))</f>
        <v/>
      </c>
      <c r="H143" s="34"/>
      <c r="I143" s="44"/>
      <c r="J143" s="34"/>
    </row>
    <row r="144" customFormat="false" ht="19.5" hidden="false" customHeight="true" outlineLevel="0" collapsed="false">
      <c r="A144" s="31"/>
      <c r="B144" s="8" t="str">
        <f aca="false">IF(A144="","",CHOOSE(WEEKDAY(A144,1),"الأحد","الاثنين","الثلاثاء","الأربعاء","الخميس","الجمعة","السبت"))</f>
        <v/>
      </c>
      <c r="C144" s="32"/>
      <c r="D144" s="32"/>
      <c r="E144" s="33"/>
      <c r="F144" s="9" t="str">
        <f aca="false">IF(OR(C144="",D144=""),"",ROUND(MOD(D144-C144,1)*24,2))</f>
        <v/>
      </c>
      <c r="G144" s="10" t="str">
        <f aca="false">IF(F144="","",ROUND(F144*AZZ_RATE+MIN(N(E144),F144)*(GYP_RATE-AZZ_RATE),3))</f>
        <v/>
      </c>
      <c r="H144" s="34"/>
      <c r="I144" s="44"/>
      <c r="J144" s="34"/>
    </row>
    <row r="145" customFormat="false" ht="19.5" hidden="false" customHeight="true" outlineLevel="0" collapsed="false">
      <c r="A145" s="31"/>
      <c r="B145" s="8" t="str">
        <f aca="false">IF(A145="","",CHOOSE(WEEKDAY(A145,1),"الأحد","الاثنين","الثلاثاء","الأربعاء","الخميس","الجمعة","السبت"))</f>
        <v/>
      </c>
      <c r="C145" s="32"/>
      <c r="D145" s="32"/>
      <c r="E145" s="33"/>
      <c r="F145" s="9" t="str">
        <f aca="false">IF(OR(C145="",D145=""),"",ROUND(MOD(D145-C145,1)*24,2))</f>
        <v/>
      </c>
      <c r="G145" s="10" t="str">
        <f aca="false">IF(F145="","",ROUND(F145*AZZ_RATE+MIN(N(E145),F145)*(GYP_RATE-AZZ_RATE),3))</f>
        <v/>
      </c>
      <c r="H145" s="34"/>
      <c r="I145" s="44"/>
      <c r="J145" s="34"/>
    </row>
    <row r="146" customFormat="false" ht="19.5" hidden="false" customHeight="true" outlineLevel="0" collapsed="false">
      <c r="A146" s="31"/>
      <c r="B146" s="8" t="str">
        <f aca="false">IF(A146="","",CHOOSE(WEEKDAY(A146,1),"الأحد","الاثنين","الثلاثاء","الأربعاء","الخميس","الجمعة","السبت"))</f>
        <v/>
      </c>
      <c r="C146" s="32"/>
      <c r="D146" s="32"/>
      <c r="E146" s="33"/>
      <c r="F146" s="9" t="str">
        <f aca="false">IF(OR(C146="",D146=""),"",ROUND(MOD(D146-C146,1)*24,2))</f>
        <v/>
      </c>
      <c r="G146" s="10" t="str">
        <f aca="false">IF(F146="","",ROUND(F146*AZZ_RATE+MIN(N(E146),F146)*(GYP_RATE-AZZ_RATE),3))</f>
        <v/>
      </c>
      <c r="H146" s="34"/>
      <c r="I146" s="44"/>
      <c r="J146" s="34"/>
    </row>
    <row r="147" customFormat="false" ht="19.5" hidden="false" customHeight="true" outlineLevel="0" collapsed="false">
      <c r="A147" s="31"/>
      <c r="B147" s="8" t="str">
        <f aca="false">IF(A147="","",CHOOSE(WEEKDAY(A147,1),"الأحد","الاثنين","الثلاثاء","الأربعاء","الخميس","الجمعة","السبت"))</f>
        <v/>
      </c>
      <c r="C147" s="32"/>
      <c r="D147" s="32"/>
      <c r="E147" s="33"/>
      <c r="F147" s="9" t="str">
        <f aca="false">IF(OR(C147="",D147=""),"",ROUND(MOD(D147-C147,1)*24,2))</f>
        <v/>
      </c>
      <c r="G147" s="10" t="str">
        <f aca="false">IF(F147="","",ROUND(F147*AZZ_RATE+MIN(N(E147),F147)*(GYP_RATE-AZZ_RATE),3))</f>
        <v/>
      </c>
      <c r="H147" s="34"/>
      <c r="I147" s="44"/>
      <c r="J147" s="34"/>
    </row>
    <row r="148" customFormat="false" ht="19.5" hidden="false" customHeight="true" outlineLevel="0" collapsed="false">
      <c r="A148" s="31"/>
      <c r="B148" s="8" t="str">
        <f aca="false">IF(A148="","",CHOOSE(WEEKDAY(A148,1),"الأحد","الاثنين","الثلاثاء","الأربعاء","الخميس","الجمعة","السبت"))</f>
        <v/>
      </c>
      <c r="C148" s="32"/>
      <c r="D148" s="32"/>
      <c r="E148" s="33"/>
      <c r="F148" s="9" t="str">
        <f aca="false">IF(OR(C148="",D148=""),"",ROUND(MOD(D148-C148,1)*24,2))</f>
        <v/>
      </c>
      <c r="G148" s="10" t="str">
        <f aca="false">IF(F148="","",ROUND(F148*AZZ_RATE+MIN(N(E148),F148)*(GYP_RATE-AZZ_RATE),3))</f>
        <v/>
      </c>
      <c r="H148" s="34"/>
      <c r="I148" s="44"/>
      <c r="J148" s="34"/>
    </row>
    <row r="149" customFormat="false" ht="19.5" hidden="false" customHeight="true" outlineLevel="0" collapsed="false">
      <c r="A149" s="31"/>
      <c r="B149" s="8" t="str">
        <f aca="false">IF(A149="","",CHOOSE(WEEKDAY(A149,1),"الأحد","الاثنين","الثلاثاء","الأربعاء","الخميس","الجمعة","السبت"))</f>
        <v/>
      </c>
      <c r="C149" s="32"/>
      <c r="D149" s="32"/>
      <c r="E149" s="33"/>
      <c r="F149" s="9" t="str">
        <f aca="false">IF(OR(C149="",D149=""),"",ROUND(MOD(D149-C149,1)*24,2))</f>
        <v/>
      </c>
      <c r="G149" s="10" t="str">
        <f aca="false">IF(F149="","",ROUND(F149*AZZ_RATE+MIN(N(E149),F149)*(GYP_RATE-AZZ_RATE),3))</f>
        <v/>
      </c>
      <c r="H149" s="34"/>
      <c r="I149" s="44"/>
      <c r="J149" s="34"/>
    </row>
    <row r="150" customFormat="false" ht="19.5" hidden="false" customHeight="true" outlineLevel="0" collapsed="false">
      <c r="A150" s="31"/>
      <c r="B150" s="8" t="str">
        <f aca="false">IF(A150="","",CHOOSE(WEEKDAY(A150,1),"الأحد","الاثنين","الثلاثاء","الأربعاء","الخميس","الجمعة","السبت"))</f>
        <v/>
      </c>
      <c r="C150" s="32"/>
      <c r="D150" s="32"/>
      <c r="E150" s="33"/>
      <c r="F150" s="9" t="str">
        <f aca="false">IF(OR(C150="",D150=""),"",ROUND(MOD(D150-C150,1)*24,2))</f>
        <v/>
      </c>
      <c r="G150" s="10" t="str">
        <f aca="false">IF(F150="","",ROUND(F150*AZZ_RATE+MIN(N(E150),F150)*(GYP_RATE-AZZ_RATE),3))</f>
        <v/>
      </c>
      <c r="H150" s="34"/>
      <c r="I150" s="44"/>
      <c r="J150" s="34"/>
    </row>
    <row r="151" customFormat="false" ht="19.5" hidden="false" customHeight="true" outlineLevel="0" collapsed="false">
      <c r="A151" s="31"/>
      <c r="B151" s="8" t="str">
        <f aca="false">IF(A151="","",CHOOSE(WEEKDAY(A151,1),"الأحد","الاثنين","الثلاثاء","الأربعاء","الخميس","الجمعة","السبت"))</f>
        <v/>
      </c>
      <c r="C151" s="32"/>
      <c r="D151" s="32"/>
      <c r="E151" s="33"/>
      <c r="F151" s="9" t="str">
        <f aca="false">IF(OR(C151="",D151=""),"",ROUND(MOD(D151-C151,1)*24,2))</f>
        <v/>
      </c>
      <c r="G151" s="10" t="str">
        <f aca="false">IF(F151="","",ROUND(F151*AZZ_RATE+MIN(N(E151),F151)*(GYP_RATE-AZZ_RATE),3))</f>
        <v/>
      </c>
      <c r="H151" s="34"/>
      <c r="I151" s="44"/>
      <c r="J151" s="34"/>
    </row>
    <row r="152" customFormat="false" ht="19.5" hidden="false" customHeight="true" outlineLevel="0" collapsed="false">
      <c r="A152" s="31"/>
      <c r="B152" s="8" t="str">
        <f aca="false">IF(A152="","",CHOOSE(WEEKDAY(A152,1),"الأحد","الاثنين","الثلاثاء","الأربعاء","الخميس","الجمعة","السبت"))</f>
        <v/>
      </c>
      <c r="C152" s="32"/>
      <c r="D152" s="32"/>
      <c r="E152" s="33"/>
      <c r="F152" s="9" t="str">
        <f aca="false">IF(OR(C152="",D152=""),"",ROUND(MOD(D152-C152,1)*24,2))</f>
        <v/>
      </c>
      <c r="G152" s="10" t="str">
        <f aca="false">IF(F152="","",ROUND(F152*AZZ_RATE+MIN(N(E152),F152)*(GYP_RATE-AZZ_RATE),3))</f>
        <v/>
      </c>
      <c r="H152" s="34"/>
      <c r="I152" s="44"/>
      <c r="J152" s="34"/>
    </row>
    <row r="153" customFormat="false" ht="19.5" hidden="false" customHeight="true" outlineLevel="0" collapsed="false">
      <c r="A153" s="31"/>
      <c r="B153" s="8" t="str">
        <f aca="false">IF(A153="","",CHOOSE(WEEKDAY(A153,1),"الأحد","الاثنين","الثلاثاء","الأربعاء","الخميس","الجمعة","السبت"))</f>
        <v/>
      </c>
      <c r="C153" s="32"/>
      <c r="D153" s="32"/>
      <c r="E153" s="33"/>
      <c r="F153" s="9" t="str">
        <f aca="false">IF(OR(C153="",D153=""),"",ROUND(MOD(D153-C153,1)*24,2))</f>
        <v/>
      </c>
      <c r="G153" s="10" t="str">
        <f aca="false">IF(F153="","",ROUND(F153*AZZ_RATE+MIN(N(E153),F153)*(GYP_RATE-AZZ_RATE),3))</f>
        <v/>
      </c>
      <c r="H153" s="34"/>
      <c r="I153" s="44"/>
      <c r="J153" s="34"/>
    </row>
    <row r="154" customFormat="false" ht="19.5" hidden="false" customHeight="true" outlineLevel="0" collapsed="false">
      <c r="A154" s="31"/>
      <c r="B154" s="8" t="str">
        <f aca="false">IF(A154="","",CHOOSE(WEEKDAY(A154,1),"الأحد","الاثنين","الثلاثاء","الأربعاء","الخميس","الجمعة","السبت"))</f>
        <v/>
      </c>
      <c r="C154" s="32"/>
      <c r="D154" s="32"/>
      <c r="E154" s="33"/>
      <c r="F154" s="9" t="str">
        <f aca="false">IF(OR(C154="",D154=""),"",ROUND(MOD(D154-C154,1)*24,2))</f>
        <v/>
      </c>
      <c r="G154" s="10" t="str">
        <f aca="false">IF(F154="","",ROUND(F154*AZZ_RATE+MIN(N(E154),F154)*(GYP_RATE-AZZ_RATE),3))</f>
        <v/>
      </c>
      <c r="H154" s="34"/>
      <c r="I154" s="44"/>
      <c r="J154" s="34"/>
    </row>
    <row r="155" customFormat="false" ht="19.5" hidden="false" customHeight="true" outlineLevel="0" collapsed="false">
      <c r="A155" s="31"/>
      <c r="B155" s="8" t="str">
        <f aca="false">IF(A155="","",CHOOSE(WEEKDAY(A155,1),"الأحد","الاثنين","الثلاثاء","الأربعاء","الخميس","الجمعة","السبت"))</f>
        <v/>
      </c>
      <c r="C155" s="32"/>
      <c r="D155" s="32"/>
      <c r="E155" s="33"/>
      <c r="F155" s="9" t="str">
        <f aca="false">IF(OR(C155="",D155=""),"",ROUND(MOD(D155-C155,1)*24,2))</f>
        <v/>
      </c>
      <c r="G155" s="10" t="str">
        <f aca="false">IF(F155="","",ROUND(F155*AZZ_RATE+MIN(N(E155),F155)*(GYP_RATE-AZZ_RATE),3))</f>
        <v/>
      </c>
      <c r="H155" s="34"/>
      <c r="I155" s="44"/>
      <c r="J155" s="34"/>
    </row>
    <row r="156" customFormat="false" ht="19.5" hidden="false" customHeight="true" outlineLevel="0" collapsed="false">
      <c r="A156" s="31"/>
      <c r="B156" s="8" t="str">
        <f aca="false">IF(A156="","",CHOOSE(WEEKDAY(A156,1),"الأحد","الاثنين","الثلاثاء","الأربعاء","الخميس","الجمعة","السبت"))</f>
        <v/>
      </c>
      <c r="C156" s="32"/>
      <c r="D156" s="32"/>
      <c r="E156" s="33"/>
      <c r="F156" s="9" t="str">
        <f aca="false">IF(OR(C156="",D156=""),"",ROUND(MOD(D156-C156,1)*24,2))</f>
        <v/>
      </c>
      <c r="G156" s="10" t="str">
        <f aca="false">IF(F156="","",ROUND(F156*AZZ_RATE+MIN(N(E156),F156)*(GYP_RATE-AZZ_RATE),3))</f>
        <v/>
      </c>
      <c r="H156" s="34"/>
      <c r="I156" s="44"/>
      <c r="J156" s="34"/>
    </row>
    <row r="157" customFormat="false" ht="19.5" hidden="false" customHeight="true" outlineLevel="0" collapsed="false">
      <c r="A157" s="31"/>
      <c r="B157" s="8" t="str">
        <f aca="false">IF(A157="","",CHOOSE(WEEKDAY(A157,1),"الأحد","الاثنين","الثلاثاء","الأربعاء","الخميس","الجمعة","السبت"))</f>
        <v/>
      </c>
      <c r="C157" s="32"/>
      <c r="D157" s="32"/>
      <c r="E157" s="33"/>
      <c r="F157" s="9" t="str">
        <f aca="false">IF(OR(C157="",D157=""),"",ROUND(MOD(D157-C157,1)*24,2))</f>
        <v/>
      </c>
      <c r="G157" s="10" t="str">
        <f aca="false">IF(F157="","",ROUND(F157*AZZ_RATE+MIN(N(E157),F157)*(GYP_RATE-AZZ_RATE),3))</f>
        <v/>
      </c>
      <c r="H157" s="34"/>
      <c r="I157" s="44"/>
      <c r="J157" s="34"/>
    </row>
    <row r="158" customFormat="false" ht="19.5" hidden="false" customHeight="true" outlineLevel="0" collapsed="false">
      <c r="A158" s="31"/>
      <c r="B158" s="8" t="str">
        <f aca="false">IF(A158="","",CHOOSE(WEEKDAY(A158,1),"الأحد","الاثنين","الثلاثاء","الأربعاء","الخميس","الجمعة","السبت"))</f>
        <v/>
      </c>
      <c r="C158" s="32"/>
      <c r="D158" s="32"/>
      <c r="E158" s="33"/>
      <c r="F158" s="9" t="str">
        <f aca="false">IF(OR(C158="",D158=""),"",ROUND(MOD(D158-C158,1)*24,2))</f>
        <v/>
      </c>
      <c r="G158" s="10" t="str">
        <f aca="false">IF(F158="","",ROUND(F158*AZZ_RATE+MIN(N(E158),F158)*(GYP_RATE-AZZ_RATE),3))</f>
        <v/>
      </c>
      <c r="H158" s="34"/>
      <c r="I158" s="44"/>
      <c r="J158" s="34"/>
    </row>
    <row r="159" customFormat="false" ht="19.5" hidden="false" customHeight="true" outlineLevel="0" collapsed="false">
      <c r="A159" s="31"/>
      <c r="B159" s="8" t="str">
        <f aca="false">IF(A159="","",CHOOSE(WEEKDAY(A159,1),"الأحد","الاثنين","الثلاثاء","الأربعاء","الخميس","الجمعة","السبت"))</f>
        <v/>
      </c>
      <c r="C159" s="32"/>
      <c r="D159" s="32"/>
      <c r="E159" s="33"/>
      <c r="F159" s="9" t="str">
        <f aca="false">IF(OR(C159="",D159=""),"",ROUND(MOD(D159-C159,1)*24,2))</f>
        <v/>
      </c>
      <c r="G159" s="10" t="str">
        <f aca="false">IF(F159="","",ROUND(F159*AZZ_RATE+MIN(N(E159),F159)*(GYP_RATE-AZZ_RATE),3))</f>
        <v/>
      </c>
      <c r="H159" s="34"/>
      <c r="I159" s="44"/>
      <c r="J159" s="34"/>
    </row>
    <row r="160" customFormat="false" ht="19.5" hidden="false" customHeight="true" outlineLevel="0" collapsed="false">
      <c r="A160" s="31"/>
      <c r="B160" s="8" t="str">
        <f aca="false">IF(A160="","",CHOOSE(WEEKDAY(A160,1),"الأحد","الاثنين","الثلاثاء","الأربعاء","الخميس","الجمعة","السبت"))</f>
        <v/>
      </c>
      <c r="C160" s="32"/>
      <c r="D160" s="32"/>
      <c r="E160" s="33"/>
      <c r="F160" s="9" t="str">
        <f aca="false">IF(OR(C160="",D160=""),"",ROUND(MOD(D160-C160,1)*24,2))</f>
        <v/>
      </c>
      <c r="G160" s="10" t="str">
        <f aca="false">IF(F160="","",ROUND(F160*AZZ_RATE+MIN(N(E160),F160)*(GYP_RATE-AZZ_RATE),3))</f>
        <v/>
      </c>
      <c r="H160" s="34"/>
      <c r="I160" s="44"/>
      <c r="J160" s="34"/>
    </row>
    <row r="161" customFormat="false" ht="19.5" hidden="false" customHeight="true" outlineLevel="0" collapsed="false">
      <c r="A161" s="31"/>
      <c r="B161" s="8" t="str">
        <f aca="false">IF(A161="","",CHOOSE(WEEKDAY(A161,1),"الأحد","الاثنين","الثلاثاء","الأربعاء","الخميس","الجمعة","السبت"))</f>
        <v/>
      </c>
      <c r="C161" s="32"/>
      <c r="D161" s="32"/>
      <c r="E161" s="33"/>
      <c r="F161" s="9" t="str">
        <f aca="false">IF(OR(C161="",D161=""),"",ROUND(MOD(D161-C161,1)*24,2))</f>
        <v/>
      </c>
      <c r="G161" s="10" t="str">
        <f aca="false">IF(F161="","",ROUND(F161*AZZ_RATE+MIN(N(E161),F161)*(GYP_RATE-AZZ_RATE),3))</f>
        <v/>
      </c>
      <c r="H161" s="34"/>
      <c r="I161" s="44"/>
      <c r="J161" s="34"/>
    </row>
    <row r="162" customFormat="false" ht="19.5" hidden="false" customHeight="true" outlineLevel="0" collapsed="false">
      <c r="A162" s="31"/>
      <c r="B162" s="8" t="str">
        <f aca="false">IF(A162="","",CHOOSE(WEEKDAY(A162,1),"الأحد","الاثنين","الثلاثاء","الأربعاء","الخميس","الجمعة","السبت"))</f>
        <v/>
      </c>
      <c r="C162" s="32"/>
      <c r="D162" s="32"/>
      <c r="E162" s="33"/>
      <c r="F162" s="9" t="str">
        <f aca="false">IF(OR(C162="",D162=""),"",ROUND(MOD(D162-C162,1)*24,2))</f>
        <v/>
      </c>
      <c r="G162" s="10" t="str">
        <f aca="false">IF(F162="","",ROUND(F162*AZZ_RATE+MIN(N(E162),F162)*(GYP_RATE-AZZ_RATE),3))</f>
        <v/>
      </c>
      <c r="H162" s="34"/>
      <c r="I162" s="44"/>
      <c r="J162" s="34"/>
    </row>
    <row r="163" customFormat="false" ht="19.5" hidden="false" customHeight="true" outlineLevel="0" collapsed="false">
      <c r="A163" s="31"/>
      <c r="B163" s="8" t="str">
        <f aca="false">IF(A163="","",CHOOSE(WEEKDAY(A163,1),"الأحد","الاثنين","الثلاثاء","الأربعاء","الخميس","الجمعة","السبت"))</f>
        <v/>
      </c>
      <c r="C163" s="32"/>
      <c r="D163" s="32"/>
      <c r="E163" s="33"/>
      <c r="F163" s="9" t="str">
        <f aca="false">IF(OR(C163="",D163=""),"",ROUND(MOD(D163-C163,1)*24,2))</f>
        <v/>
      </c>
      <c r="G163" s="10" t="str">
        <f aca="false">IF(F163="","",ROUND(F163*AZZ_RATE+MIN(N(E163),F163)*(GYP_RATE-AZZ_RATE),3))</f>
        <v/>
      </c>
      <c r="H163" s="34"/>
      <c r="I163" s="44"/>
      <c r="J163" s="34"/>
    </row>
    <row r="164" customFormat="false" ht="19.5" hidden="false" customHeight="true" outlineLevel="0" collapsed="false">
      <c r="A164" s="31"/>
      <c r="B164" s="8" t="str">
        <f aca="false">IF(A164="","",CHOOSE(WEEKDAY(A164,1),"الأحد","الاثنين","الثلاثاء","الأربعاء","الخميس","الجمعة","السبت"))</f>
        <v/>
      </c>
      <c r="C164" s="32"/>
      <c r="D164" s="32"/>
      <c r="E164" s="33"/>
      <c r="F164" s="9" t="str">
        <f aca="false">IF(OR(C164="",D164=""),"",ROUND(MOD(D164-C164,1)*24,2))</f>
        <v/>
      </c>
      <c r="G164" s="10" t="str">
        <f aca="false">IF(F164="","",ROUND(F164*AZZ_RATE+MIN(N(E164),F164)*(GYP_RATE-AZZ_RATE),3))</f>
        <v/>
      </c>
      <c r="H164" s="34"/>
      <c r="I164" s="44"/>
      <c r="J164" s="34"/>
    </row>
    <row r="165" customFormat="false" ht="19.5" hidden="false" customHeight="true" outlineLevel="0" collapsed="false">
      <c r="A165" s="31"/>
      <c r="B165" s="8" t="str">
        <f aca="false">IF(A165="","",CHOOSE(WEEKDAY(A165,1),"الأحد","الاثنين","الثلاثاء","الأربعاء","الخميس","الجمعة","السبت"))</f>
        <v/>
      </c>
      <c r="C165" s="32"/>
      <c r="D165" s="32"/>
      <c r="E165" s="33"/>
      <c r="F165" s="9" t="str">
        <f aca="false">IF(OR(C165="",D165=""),"",ROUND(MOD(D165-C165,1)*24,2))</f>
        <v/>
      </c>
      <c r="G165" s="10" t="str">
        <f aca="false">IF(F165="","",ROUND(F165*AZZ_RATE+MIN(N(E165),F165)*(GYP_RATE-AZZ_RATE),3))</f>
        <v/>
      </c>
      <c r="H165" s="34"/>
      <c r="I165" s="44"/>
      <c r="J165" s="34"/>
    </row>
    <row r="166" customFormat="false" ht="19.5" hidden="false" customHeight="true" outlineLevel="0" collapsed="false">
      <c r="A166" s="31"/>
      <c r="B166" s="8" t="str">
        <f aca="false">IF(A166="","",CHOOSE(WEEKDAY(A166,1),"الأحد","الاثنين","الثلاثاء","الأربعاء","الخميس","الجمعة","السبت"))</f>
        <v/>
      </c>
      <c r="C166" s="32"/>
      <c r="D166" s="32"/>
      <c r="E166" s="33"/>
      <c r="F166" s="9" t="str">
        <f aca="false">IF(OR(C166="",D166=""),"",ROUND(MOD(D166-C166,1)*24,2))</f>
        <v/>
      </c>
      <c r="G166" s="10" t="str">
        <f aca="false">IF(F166="","",ROUND(F166*AZZ_RATE+MIN(N(E166),F166)*(GYP_RATE-AZZ_RATE),3))</f>
        <v/>
      </c>
      <c r="H166" s="34"/>
      <c r="I166" s="44"/>
      <c r="J166" s="34"/>
    </row>
    <row r="167" customFormat="false" ht="19.5" hidden="false" customHeight="true" outlineLevel="0" collapsed="false">
      <c r="A167" s="31"/>
      <c r="B167" s="8" t="str">
        <f aca="false">IF(A167="","",CHOOSE(WEEKDAY(A167,1),"الأحد","الاثنين","الثلاثاء","الأربعاء","الخميس","الجمعة","السبت"))</f>
        <v/>
      </c>
      <c r="C167" s="32"/>
      <c r="D167" s="32"/>
      <c r="E167" s="33"/>
      <c r="F167" s="9" t="str">
        <f aca="false">IF(OR(C167="",D167=""),"",ROUND(MOD(D167-C167,1)*24,2))</f>
        <v/>
      </c>
      <c r="G167" s="10" t="str">
        <f aca="false">IF(F167="","",ROUND(F167*AZZ_RATE+MIN(N(E167),F167)*(GYP_RATE-AZZ_RATE),3))</f>
        <v/>
      </c>
      <c r="H167" s="34"/>
      <c r="I167" s="44"/>
      <c r="J167" s="34"/>
    </row>
    <row r="168" customFormat="false" ht="19.5" hidden="false" customHeight="true" outlineLevel="0" collapsed="false">
      <c r="A168" s="31"/>
      <c r="B168" s="8" t="str">
        <f aca="false">IF(A168="","",CHOOSE(WEEKDAY(A168,1),"الأحد","الاثنين","الثلاثاء","الأربعاء","الخميس","الجمعة","السبت"))</f>
        <v/>
      </c>
      <c r="C168" s="32"/>
      <c r="D168" s="32"/>
      <c r="E168" s="33"/>
      <c r="F168" s="9" t="str">
        <f aca="false">IF(OR(C168="",D168=""),"",ROUND(MOD(D168-C168,1)*24,2))</f>
        <v/>
      </c>
      <c r="G168" s="10" t="str">
        <f aca="false">IF(F168="","",ROUND(F168*AZZ_RATE+MIN(N(E168),F168)*(GYP_RATE-AZZ_RATE),3))</f>
        <v/>
      </c>
      <c r="H168" s="34"/>
      <c r="I168" s="44"/>
      <c r="J168" s="34"/>
    </row>
    <row r="169" customFormat="false" ht="19.5" hidden="false" customHeight="true" outlineLevel="0" collapsed="false">
      <c r="A169" s="31"/>
      <c r="B169" s="8" t="str">
        <f aca="false">IF(A169="","",CHOOSE(WEEKDAY(A169,1),"الأحد","الاثنين","الثلاثاء","الأربعاء","الخميس","الجمعة","السبت"))</f>
        <v/>
      </c>
      <c r="C169" s="32"/>
      <c r="D169" s="32"/>
      <c r="E169" s="33"/>
      <c r="F169" s="9" t="str">
        <f aca="false">IF(OR(C169="",D169=""),"",ROUND(MOD(D169-C169,1)*24,2))</f>
        <v/>
      </c>
      <c r="G169" s="10" t="str">
        <f aca="false">IF(F169="","",ROUND(F169*AZZ_RATE+MIN(N(E169),F169)*(GYP_RATE-AZZ_RATE),3))</f>
        <v/>
      </c>
      <c r="H169" s="34"/>
      <c r="I169" s="44"/>
      <c r="J169" s="34"/>
    </row>
    <row r="170" customFormat="false" ht="19.5" hidden="false" customHeight="true" outlineLevel="0" collapsed="false">
      <c r="A170" s="31"/>
      <c r="B170" s="8" t="str">
        <f aca="false">IF(A170="","",CHOOSE(WEEKDAY(A170,1),"الأحد","الاثنين","الثلاثاء","الأربعاء","الخميس","الجمعة","السبت"))</f>
        <v/>
      </c>
      <c r="C170" s="32"/>
      <c r="D170" s="32"/>
      <c r="E170" s="33"/>
      <c r="F170" s="9" t="str">
        <f aca="false">IF(OR(C170="",D170=""),"",ROUND(MOD(D170-C170,1)*24,2))</f>
        <v/>
      </c>
      <c r="G170" s="10" t="str">
        <f aca="false">IF(F170="","",ROUND(F170*AZZ_RATE+MIN(N(E170),F170)*(GYP_RATE-AZZ_RATE),3))</f>
        <v/>
      </c>
      <c r="H170" s="34"/>
      <c r="I170" s="44"/>
      <c r="J170" s="34"/>
    </row>
    <row r="171" customFormat="false" ht="19.5" hidden="false" customHeight="true" outlineLevel="0" collapsed="false">
      <c r="A171" s="31"/>
      <c r="B171" s="8" t="str">
        <f aca="false">IF(A171="","",CHOOSE(WEEKDAY(A171,1),"الأحد","الاثنين","الثلاثاء","الأربعاء","الخميس","الجمعة","السبت"))</f>
        <v/>
      </c>
      <c r="C171" s="32"/>
      <c r="D171" s="32"/>
      <c r="E171" s="33"/>
      <c r="F171" s="9" t="str">
        <f aca="false">IF(OR(C171="",D171=""),"",ROUND(MOD(D171-C171,1)*24,2))</f>
        <v/>
      </c>
      <c r="G171" s="10" t="str">
        <f aca="false">IF(F171="","",ROUND(F171*AZZ_RATE+MIN(N(E171),F171)*(GYP_RATE-AZZ_RATE),3))</f>
        <v/>
      </c>
      <c r="H171" s="34"/>
      <c r="I171" s="44"/>
      <c r="J171" s="34"/>
    </row>
    <row r="172" customFormat="false" ht="19.5" hidden="false" customHeight="true" outlineLevel="0" collapsed="false">
      <c r="A172" s="31"/>
      <c r="B172" s="8" t="str">
        <f aca="false">IF(A172="","",CHOOSE(WEEKDAY(A172,1),"الأحد","الاثنين","الثلاثاء","الأربعاء","الخميس","الجمعة","السبت"))</f>
        <v/>
      </c>
      <c r="C172" s="32"/>
      <c r="D172" s="32"/>
      <c r="E172" s="33"/>
      <c r="F172" s="9" t="str">
        <f aca="false">IF(OR(C172="",D172=""),"",ROUND(MOD(D172-C172,1)*24,2))</f>
        <v/>
      </c>
      <c r="G172" s="10" t="str">
        <f aca="false">IF(F172="","",ROUND(F172*AZZ_RATE+MIN(N(E172),F172)*(GYP_RATE-AZZ_RATE),3))</f>
        <v/>
      </c>
      <c r="H172" s="34"/>
      <c r="I172" s="44"/>
      <c r="J172" s="34"/>
    </row>
    <row r="173" customFormat="false" ht="19.5" hidden="false" customHeight="true" outlineLevel="0" collapsed="false">
      <c r="A173" s="31"/>
      <c r="B173" s="8" t="str">
        <f aca="false">IF(A173="","",CHOOSE(WEEKDAY(A173,1),"الأحد","الاثنين","الثلاثاء","الأربعاء","الخميس","الجمعة","السبت"))</f>
        <v/>
      </c>
      <c r="C173" s="32"/>
      <c r="D173" s="32"/>
      <c r="E173" s="33"/>
      <c r="F173" s="9" t="str">
        <f aca="false">IF(OR(C173="",D173=""),"",ROUND(MOD(D173-C173,1)*24,2))</f>
        <v/>
      </c>
      <c r="G173" s="10" t="str">
        <f aca="false">IF(F173="","",ROUND(F173*AZZ_RATE+MIN(N(E173),F173)*(GYP_RATE-AZZ_RATE),3))</f>
        <v/>
      </c>
      <c r="H173" s="34"/>
      <c r="I173" s="44"/>
      <c r="J173" s="34"/>
    </row>
    <row r="174" customFormat="false" ht="19.5" hidden="false" customHeight="true" outlineLevel="0" collapsed="false">
      <c r="A174" s="31"/>
      <c r="B174" s="8" t="str">
        <f aca="false">IF(A174="","",CHOOSE(WEEKDAY(A174,1),"الأحد","الاثنين","الثلاثاء","الأربعاء","الخميس","الجمعة","السبت"))</f>
        <v/>
      </c>
      <c r="C174" s="32"/>
      <c r="D174" s="32"/>
      <c r="E174" s="33"/>
      <c r="F174" s="9" t="str">
        <f aca="false">IF(OR(C174="",D174=""),"",ROUND(MOD(D174-C174,1)*24,2))</f>
        <v/>
      </c>
      <c r="G174" s="10" t="str">
        <f aca="false">IF(F174="","",ROUND(F174*AZZ_RATE+MIN(N(E174),F174)*(GYP_RATE-AZZ_RATE),3))</f>
        <v/>
      </c>
      <c r="H174" s="34"/>
      <c r="I174" s="44"/>
      <c r="J174" s="34"/>
    </row>
    <row r="175" customFormat="false" ht="19.5" hidden="false" customHeight="true" outlineLevel="0" collapsed="false">
      <c r="A175" s="31"/>
      <c r="B175" s="8" t="str">
        <f aca="false">IF(A175="","",CHOOSE(WEEKDAY(A175,1),"الأحد","الاثنين","الثلاثاء","الأربعاء","الخميس","الجمعة","السبت"))</f>
        <v/>
      </c>
      <c r="C175" s="32"/>
      <c r="D175" s="32"/>
      <c r="E175" s="33"/>
      <c r="F175" s="9" t="str">
        <f aca="false">IF(OR(C175="",D175=""),"",ROUND(MOD(D175-C175,1)*24,2))</f>
        <v/>
      </c>
      <c r="G175" s="10" t="str">
        <f aca="false">IF(F175="","",ROUND(F175*AZZ_RATE+MIN(N(E175),F175)*(GYP_RATE-AZZ_RATE),3))</f>
        <v/>
      </c>
      <c r="H175" s="34"/>
      <c r="I175" s="44"/>
      <c r="J175" s="34"/>
    </row>
    <row r="176" customFormat="false" ht="19.5" hidden="false" customHeight="true" outlineLevel="0" collapsed="false">
      <c r="A176" s="31"/>
      <c r="B176" s="8" t="str">
        <f aca="false">IF(A176="","",CHOOSE(WEEKDAY(A176,1),"الأحد","الاثنين","الثلاثاء","الأربعاء","الخميس","الجمعة","السبت"))</f>
        <v/>
      </c>
      <c r="C176" s="32"/>
      <c r="D176" s="32"/>
      <c r="E176" s="33"/>
      <c r="F176" s="9" t="str">
        <f aca="false">IF(OR(C176="",D176=""),"",ROUND(MOD(D176-C176,1)*24,2))</f>
        <v/>
      </c>
      <c r="G176" s="10" t="str">
        <f aca="false">IF(F176="","",ROUND(F176*AZZ_RATE+MIN(N(E176),F176)*(GYP_RATE-AZZ_RATE),3))</f>
        <v/>
      </c>
      <c r="H176" s="34"/>
      <c r="I176" s="44"/>
      <c r="J176" s="34"/>
    </row>
    <row r="177" customFormat="false" ht="19.5" hidden="false" customHeight="true" outlineLevel="0" collapsed="false">
      <c r="A177" s="31"/>
      <c r="B177" s="8" t="str">
        <f aca="false">IF(A177="","",CHOOSE(WEEKDAY(A177,1),"الأحد","الاثنين","الثلاثاء","الأربعاء","الخميس","الجمعة","السبت"))</f>
        <v/>
      </c>
      <c r="C177" s="32"/>
      <c r="D177" s="32"/>
      <c r="E177" s="33"/>
      <c r="F177" s="9" t="str">
        <f aca="false">IF(OR(C177="",D177=""),"",ROUND(MOD(D177-C177,1)*24,2))</f>
        <v/>
      </c>
      <c r="G177" s="10" t="str">
        <f aca="false">IF(F177="","",ROUND(F177*AZZ_RATE+MIN(N(E177),F177)*(GYP_RATE-AZZ_RATE),3))</f>
        <v/>
      </c>
      <c r="H177" s="34"/>
      <c r="I177" s="44"/>
      <c r="J177" s="34"/>
    </row>
    <row r="178" customFormat="false" ht="19.5" hidden="false" customHeight="true" outlineLevel="0" collapsed="false">
      <c r="A178" s="31"/>
      <c r="B178" s="8" t="str">
        <f aca="false">IF(A178="","",CHOOSE(WEEKDAY(A178,1),"الأحد","الاثنين","الثلاثاء","الأربعاء","الخميس","الجمعة","السبت"))</f>
        <v/>
      </c>
      <c r="C178" s="32"/>
      <c r="D178" s="32"/>
      <c r="E178" s="33"/>
      <c r="F178" s="9" t="str">
        <f aca="false">IF(OR(C178="",D178=""),"",ROUND(MOD(D178-C178,1)*24,2))</f>
        <v/>
      </c>
      <c r="G178" s="10" t="str">
        <f aca="false">IF(F178="","",ROUND(F178*AZZ_RATE+MIN(N(E178),F178)*(GYP_RATE-AZZ_RATE),3))</f>
        <v/>
      </c>
      <c r="H178" s="34"/>
      <c r="I178" s="44"/>
      <c r="J178" s="34"/>
    </row>
    <row r="179" customFormat="false" ht="19.5" hidden="false" customHeight="true" outlineLevel="0" collapsed="false">
      <c r="A179" s="31"/>
      <c r="B179" s="8" t="str">
        <f aca="false">IF(A179="","",CHOOSE(WEEKDAY(A179,1),"الأحد","الاثنين","الثلاثاء","الأربعاء","الخميس","الجمعة","السبت"))</f>
        <v/>
      </c>
      <c r="C179" s="32"/>
      <c r="D179" s="32"/>
      <c r="E179" s="33"/>
      <c r="F179" s="9" t="str">
        <f aca="false">IF(OR(C179="",D179=""),"",ROUND(MOD(D179-C179,1)*24,2))</f>
        <v/>
      </c>
      <c r="G179" s="10" t="str">
        <f aca="false">IF(F179="","",ROUND(F179*AZZ_RATE+MIN(N(E179),F179)*(GYP_RATE-AZZ_RATE),3))</f>
        <v/>
      </c>
      <c r="H179" s="34"/>
      <c r="I179" s="44"/>
      <c r="J179" s="34"/>
    </row>
    <row r="180" customFormat="false" ht="19.5" hidden="false" customHeight="true" outlineLevel="0" collapsed="false">
      <c r="A180" s="31"/>
      <c r="B180" s="8" t="str">
        <f aca="false">IF(A180="","",CHOOSE(WEEKDAY(A180,1),"الأحد","الاثنين","الثلاثاء","الأربعاء","الخميس","الجمعة","السبت"))</f>
        <v/>
      </c>
      <c r="C180" s="32"/>
      <c r="D180" s="32"/>
      <c r="E180" s="33"/>
      <c r="F180" s="9" t="str">
        <f aca="false">IF(OR(C180="",D180=""),"",ROUND(MOD(D180-C180,1)*24,2))</f>
        <v/>
      </c>
      <c r="G180" s="10" t="str">
        <f aca="false">IF(F180="","",ROUND(F180*AZZ_RATE+MIN(N(E180),F180)*(GYP_RATE-AZZ_RATE),3))</f>
        <v/>
      </c>
      <c r="H180" s="34"/>
      <c r="I180" s="44"/>
      <c r="J180" s="34"/>
    </row>
    <row r="181" customFormat="false" ht="19.5" hidden="false" customHeight="true" outlineLevel="0" collapsed="false">
      <c r="A181" s="31"/>
      <c r="B181" s="8" t="str">
        <f aca="false">IF(A181="","",CHOOSE(WEEKDAY(A181,1),"الأحد","الاثنين","الثلاثاء","الأربعاء","الخميس","الجمعة","السبت"))</f>
        <v/>
      </c>
      <c r="C181" s="32"/>
      <c r="D181" s="32"/>
      <c r="E181" s="33"/>
      <c r="F181" s="9" t="str">
        <f aca="false">IF(OR(C181="",D181=""),"",ROUND(MOD(D181-C181,1)*24,2))</f>
        <v/>
      </c>
      <c r="G181" s="10" t="str">
        <f aca="false">IF(F181="","",ROUND(F181*AZZ_RATE+MIN(N(E181),F181)*(GYP_RATE-AZZ_RATE),3))</f>
        <v/>
      </c>
      <c r="H181" s="34"/>
      <c r="I181" s="44"/>
      <c r="J181" s="34"/>
    </row>
    <row r="182" customFormat="false" ht="19.5" hidden="false" customHeight="true" outlineLevel="0" collapsed="false">
      <c r="A182" s="31"/>
      <c r="B182" s="8" t="str">
        <f aca="false">IF(A182="","",CHOOSE(WEEKDAY(A182,1),"الأحد","الاثنين","الثلاثاء","الأربعاء","الخميس","الجمعة","السبت"))</f>
        <v/>
      </c>
      <c r="C182" s="32"/>
      <c r="D182" s="32"/>
      <c r="E182" s="33"/>
      <c r="F182" s="9" t="str">
        <f aca="false">IF(OR(C182="",D182=""),"",ROUND(MOD(D182-C182,1)*24,2))</f>
        <v/>
      </c>
      <c r="G182" s="10" t="str">
        <f aca="false">IF(F182="","",ROUND(F182*AZZ_RATE+MIN(N(E182),F182)*(GYP_RATE-AZZ_RATE),3))</f>
        <v/>
      </c>
      <c r="H182" s="34"/>
      <c r="I182" s="44"/>
      <c r="J182" s="34"/>
    </row>
    <row r="183" customFormat="false" ht="19.5" hidden="false" customHeight="true" outlineLevel="0" collapsed="false">
      <c r="A183" s="31"/>
      <c r="B183" s="8" t="str">
        <f aca="false">IF(A183="","",CHOOSE(WEEKDAY(A183,1),"الأحد","الاثنين","الثلاثاء","الأربعاء","الخميس","الجمعة","السبت"))</f>
        <v/>
      </c>
      <c r="C183" s="32"/>
      <c r="D183" s="32"/>
      <c r="E183" s="33"/>
      <c r="F183" s="9" t="str">
        <f aca="false">IF(OR(C183="",D183=""),"",ROUND(MOD(D183-C183,1)*24,2))</f>
        <v/>
      </c>
      <c r="G183" s="10" t="str">
        <f aca="false">IF(F183="","",ROUND(F183*AZZ_RATE+MIN(N(E183),F183)*(GYP_RATE-AZZ_RATE),3))</f>
        <v/>
      </c>
      <c r="H183" s="34"/>
      <c r="I183" s="44"/>
      <c r="J183" s="34"/>
    </row>
    <row r="184" customFormat="false" ht="19.5" hidden="false" customHeight="true" outlineLevel="0" collapsed="false">
      <c r="A184" s="31"/>
      <c r="B184" s="8" t="str">
        <f aca="false">IF(A184="","",CHOOSE(WEEKDAY(A184,1),"الأحد","الاثنين","الثلاثاء","الأربعاء","الخميس","الجمعة","السبت"))</f>
        <v/>
      </c>
      <c r="C184" s="32"/>
      <c r="D184" s="32"/>
      <c r="E184" s="33"/>
      <c r="F184" s="9" t="str">
        <f aca="false">IF(OR(C184="",D184=""),"",ROUND(MOD(D184-C184,1)*24,2))</f>
        <v/>
      </c>
      <c r="G184" s="10" t="str">
        <f aca="false">IF(F184="","",ROUND(F184*AZZ_RATE+MIN(N(E184),F184)*(GYP_RATE-AZZ_RATE),3))</f>
        <v/>
      </c>
      <c r="H184" s="34"/>
      <c r="I184" s="44"/>
      <c r="J184" s="34"/>
    </row>
    <row r="185" customFormat="false" ht="19.5" hidden="false" customHeight="true" outlineLevel="0" collapsed="false">
      <c r="A185" s="31"/>
      <c r="B185" s="8" t="str">
        <f aca="false">IF(A185="","",CHOOSE(WEEKDAY(A185,1),"الأحد","الاثنين","الثلاثاء","الأربعاء","الخميس","الجمعة","السبت"))</f>
        <v/>
      </c>
      <c r="C185" s="32"/>
      <c r="D185" s="32"/>
      <c r="E185" s="33"/>
      <c r="F185" s="9" t="str">
        <f aca="false">IF(OR(C185="",D185=""),"",ROUND(MOD(D185-C185,1)*24,2))</f>
        <v/>
      </c>
      <c r="G185" s="10" t="str">
        <f aca="false">IF(F185="","",ROUND(F185*AZZ_RATE+MIN(N(E185),F185)*(GYP_RATE-AZZ_RATE),3))</f>
        <v/>
      </c>
      <c r="H185" s="34"/>
      <c r="I185" s="44"/>
      <c r="J185" s="34"/>
    </row>
    <row r="186" customFormat="false" ht="19.5" hidden="false" customHeight="true" outlineLevel="0" collapsed="false">
      <c r="A186" s="31"/>
      <c r="B186" s="8" t="str">
        <f aca="false">IF(A186="","",CHOOSE(WEEKDAY(A186,1),"الأحد","الاثنين","الثلاثاء","الأربعاء","الخميس","الجمعة","السبت"))</f>
        <v/>
      </c>
      <c r="C186" s="32"/>
      <c r="D186" s="32"/>
      <c r="E186" s="33"/>
      <c r="F186" s="9" t="str">
        <f aca="false">IF(OR(C186="",D186=""),"",ROUND(MOD(D186-C186,1)*24,2))</f>
        <v/>
      </c>
      <c r="G186" s="10" t="str">
        <f aca="false">IF(F186="","",ROUND(F186*AZZ_RATE+MIN(N(E186),F186)*(GYP_RATE-AZZ_RATE),3))</f>
        <v/>
      </c>
      <c r="H186" s="34"/>
      <c r="I186" s="44"/>
      <c r="J186" s="34"/>
    </row>
    <row r="187" customFormat="false" ht="19.5" hidden="false" customHeight="true" outlineLevel="0" collapsed="false">
      <c r="A187" s="31"/>
      <c r="B187" s="8" t="str">
        <f aca="false">IF(A187="","",CHOOSE(WEEKDAY(A187,1),"الأحد","الاثنين","الثلاثاء","الأربعاء","الخميس","الجمعة","السبت"))</f>
        <v/>
      </c>
      <c r="C187" s="32"/>
      <c r="D187" s="32"/>
      <c r="E187" s="33"/>
      <c r="F187" s="9" t="str">
        <f aca="false">IF(OR(C187="",D187=""),"",ROUND(MOD(D187-C187,1)*24,2))</f>
        <v/>
      </c>
      <c r="G187" s="10" t="str">
        <f aca="false">IF(F187="","",ROUND(F187*AZZ_RATE+MIN(N(E187),F187)*(GYP_RATE-AZZ_RATE),3))</f>
        <v/>
      </c>
      <c r="H187" s="34"/>
      <c r="I187" s="44"/>
      <c r="J187" s="34"/>
    </row>
    <row r="188" customFormat="false" ht="19.5" hidden="false" customHeight="true" outlineLevel="0" collapsed="false">
      <c r="A188" s="31"/>
      <c r="B188" s="8" t="str">
        <f aca="false">IF(A188="","",CHOOSE(WEEKDAY(A188,1),"الأحد","الاثنين","الثلاثاء","الأربعاء","الخميس","الجمعة","السبت"))</f>
        <v/>
      </c>
      <c r="C188" s="32"/>
      <c r="D188" s="32"/>
      <c r="E188" s="33"/>
      <c r="F188" s="9" t="str">
        <f aca="false">IF(OR(C188="",D188=""),"",ROUND(MOD(D188-C188,1)*24,2))</f>
        <v/>
      </c>
      <c r="G188" s="10" t="str">
        <f aca="false">IF(F188="","",ROUND(F188*AZZ_RATE+MIN(N(E188),F188)*(GYP_RATE-AZZ_RATE),3))</f>
        <v/>
      </c>
      <c r="H188" s="34"/>
      <c r="I188" s="44"/>
      <c r="J188" s="34"/>
    </row>
    <row r="189" customFormat="false" ht="19.5" hidden="false" customHeight="true" outlineLevel="0" collapsed="false">
      <c r="A189" s="31"/>
      <c r="B189" s="8" t="str">
        <f aca="false">IF(A189="","",CHOOSE(WEEKDAY(A189,1),"الأحد","الاثنين","الثلاثاء","الأربعاء","الخميس","الجمعة","السبت"))</f>
        <v/>
      </c>
      <c r="C189" s="32"/>
      <c r="D189" s="32"/>
      <c r="E189" s="33"/>
      <c r="F189" s="9" t="str">
        <f aca="false">IF(OR(C189="",D189=""),"",ROUND(MOD(D189-C189,1)*24,2))</f>
        <v/>
      </c>
      <c r="G189" s="10" t="str">
        <f aca="false">IF(F189="","",ROUND(F189*AZZ_RATE+MIN(N(E189),F189)*(GYP_RATE-AZZ_RATE),3))</f>
        <v/>
      </c>
      <c r="H189" s="34"/>
      <c r="I189" s="44"/>
      <c r="J189" s="34"/>
    </row>
    <row r="190" customFormat="false" ht="19.5" hidden="false" customHeight="true" outlineLevel="0" collapsed="false">
      <c r="A190" s="31"/>
      <c r="B190" s="8" t="str">
        <f aca="false">IF(A190="","",CHOOSE(WEEKDAY(A190,1),"الأحد","الاثنين","الثلاثاء","الأربعاء","الخميس","الجمعة","السبت"))</f>
        <v/>
      </c>
      <c r="C190" s="32"/>
      <c r="D190" s="32"/>
      <c r="E190" s="33"/>
      <c r="F190" s="9" t="str">
        <f aca="false">IF(OR(C190="",D190=""),"",ROUND(MOD(D190-C190,1)*24,2))</f>
        <v/>
      </c>
      <c r="G190" s="10" t="str">
        <f aca="false">IF(F190="","",ROUND(F190*AZZ_RATE+MIN(N(E190),F190)*(GYP_RATE-AZZ_RATE),3))</f>
        <v/>
      </c>
      <c r="H190" s="34"/>
      <c r="I190" s="44"/>
      <c r="J190" s="34"/>
    </row>
    <row r="191" customFormat="false" ht="19.5" hidden="false" customHeight="true" outlineLevel="0" collapsed="false">
      <c r="A191" s="31"/>
      <c r="B191" s="8" t="str">
        <f aca="false">IF(A191="","",CHOOSE(WEEKDAY(A191,1),"الأحد","الاثنين","الثلاثاء","الأربعاء","الخميس","الجمعة","السبت"))</f>
        <v/>
      </c>
      <c r="C191" s="32"/>
      <c r="D191" s="32"/>
      <c r="E191" s="33"/>
      <c r="F191" s="9" t="str">
        <f aca="false">IF(OR(C191="",D191=""),"",ROUND(MOD(D191-C191,1)*24,2))</f>
        <v/>
      </c>
      <c r="G191" s="10" t="str">
        <f aca="false">IF(F191="","",ROUND(F191*AZZ_RATE+MIN(N(E191),F191)*(GYP_RATE-AZZ_RATE),3))</f>
        <v/>
      </c>
      <c r="H191" s="34"/>
      <c r="I191" s="44"/>
      <c r="J191" s="34"/>
    </row>
    <row r="192" customFormat="false" ht="19.5" hidden="false" customHeight="true" outlineLevel="0" collapsed="false">
      <c r="A192" s="31"/>
      <c r="B192" s="8" t="str">
        <f aca="false">IF(A192="","",CHOOSE(WEEKDAY(A192,1),"الأحد","الاثنين","الثلاثاء","الأربعاء","الخميس","الجمعة","السبت"))</f>
        <v/>
      </c>
      <c r="C192" s="32"/>
      <c r="D192" s="32"/>
      <c r="E192" s="33"/>
      <c r="F192" s="9" t="str">
        <f aca="false">IF(OR(C192="",D192=""),"",ROUND(MOD(D192-C192,1)*24,2))</f>
        <v/>
      </c>
      <c r="G192" s="10" t="str">
        <f aca="false">IF(F192="","",ROUND(F192*AZZ_RATE+MIN(N(E192),F192)*(GYP_RATE-AZZ_RATE),3))</f>
        <v/>
      </c>
      <c r="H192" s="34"/>
      <c r="I192" s="44"/>
      <c r="J192" s="34"/>
    </row>
    <row r="193" customFormat="false" ht="19.5" hidden="false" customHeight="true" outlineLevel="0" collapsed="false">
      <c r="A193" s="31"/>
      <c r="B193" s="8" t="str">
        <f aca="false">IF(A193="","",CHOOSE(WEEKDAY(A193,1),"الأحد","الاثنين","الثلاثاء","الأربعاء","الخميس","الجمعة","السبت"))</f>
        <v/>
      </c>
      <c r="C193" s="32"/>
      <c r="D193" s="32"/>
      <c r="E193" s="33"/>
      <c r="F193" s="9" t="str">
        <f aca="false">IF(OR(C193="",D193=""),"",ROUND(MOD(D193-C193,1)*24,2))</f>
        <v/>
      </c>
      <c r="G193" s="10" t="str">
        <f aca="false">IF(F193="","",ROUND(F193*AZZ_RATE+MIN(N(E193),F193)*(GYP_RATE-AZZ_RATE),3))</f>
        <v/>
      </c>
      <c r="H193" s="34"/>
      <c r="I193" s="44"/>
      <c r="J193" s="34"/>
    </row>
    <row r="194" customFormat="false" ht="19.5" hidden="false" customHeight="true" outlineLevel="0" collapsed="false">
      <c r="A194" s="31"/>
      <c r="B194" s="8" t="str">
        <f aca="false">IF(A194="","",CHOOSE(WEEKDAY(A194,1),"الأحد","الاثنين","الثلاثاء","الأربعاء","الخميس","الجمعة","السبت"))</f>
        <v/>
      </c>
      <c r="C194" s="32"/>
      <c r="D194" s="32"/>
      <c r="E194" s="33"/>
      <c r="F194" s="9" t="str">
        <f aca="false">IF(OR(C194="",D194=""),"",ROUND(MOD(D194-C194,1)*24,2))</f>
        <v/>
      </c>
      <c r="G194" s="10" t="str">
        <f aca="false">IF(F194="","",ROUND(F194*AZZ_RATE+MIN(N(E194),F194)*(GYP_RATE-AZZ_RATE),3))</f>
        <v/>
      </c>
      <c r="H194" s="34"/>
      <c r="I194" s="44"/>
      <c r="J194" s="34"/>
    </row>
    <row r="195" customFormat="false" ht="19.5" hidden="false" customHeight="true" outlineLevel="0" collapsed="false">
      <c r="A195" s="31"/>
      <c r="B195" s="8" t="str">
        <f aca="false">IF(A195="","",CHOOSE(WEEKDAY(A195,1),"الأحد","الاثنين","الثلاثاء","الأربعاء","الخميس","الجمعة","السبت"))</f>
        <v/>
      </c>
      <c r="C195" s="32"/>
      <c r="D195" s="32"/>
      <c r="E195" s="33"/>
      <c r="F195" s="9" t="str">
        <f aca="false">IF(OR(C195="",D195=""),"",ROUND(MOD(D195-C195,1)*24,2))</f>
        <v/>
      </c>
      <c r="G195" s="10" t="str">
        <f aca="false">IF(F195="","",ROUND(F195*AZZ_RATE+MIN(N(E195),F195)*(GYP_RATE-AZZ_RATE),3))</f>
        <v/>
      </c>
      <c r="H195" s="34"/>
      <c r="I195" s="44"/>
      <c r="J195" s="34"/>
    </row>
    <row r="196" customFormat="false" ht="19.5" hidden="false" customHeight="true" outlineLevel="0" collapsed="false">
      <c r="A196" s="31"/>
      <c r="B196" s="8" t="str">
        <f aca="false">IF(A196="","",CHOOSE(WEEKDAY(A196,1),"الأحد","الاثنين","الثلاثاء","الأربعاء","الخميس","الجمعة","السبت"))</f>
        <v/>
      </c>
      <c r="C196" s="32"/>
      <c r="D196" s="32"/>
      <c r="E196" s="33"/>
      <c r="F196" s="9" t="str">
        <f aca="false">IF(OR(C196="",D196=""),"",ROUND(MOD(D196-C196,1)*24,2))</f>
        <v/>
      </c>
      <c r="G196" s="10" t="str">
        <f aca="false">IF(F196="","",ROUND(F196*AZZ_RATE+MIN(N(E196),F196)*(GYP_RATE-AZZ_RATE),3))</f>
        <v/>
      </c>
      <c r="H196" s="34"/>
      <c r="I196" s="44"/>
      <c r="J196" s="34"/>
    </row>
    <row r="197" customFormat="false" ht="19.5" hidden="false" customHeight="true" outlineLevel="0" collapsed="false">
      <c r="A197" s="31"/>
      <c r="B197" s="8" t="str">
        <f aca="false">IF(A197="","",CHOOSE(WEEKDAY(A197,1),"الأحد","الاثنين","الثلاثاء","الأربعاء","الخميس","الجمعة","السبت"))</f>
        <v/>
      </c>
      <c r="C197" s="32"/>
      <c r="D197" s="32"/>
      <c r="E197" s="33"/>
      <c r="F197" s="9" t="str">
        <f aca="false">IF(OR(C197="",D197=""),"",ROUND(MOD(D197-C197,1)*24,2))</f>
        <v/>
      </c>
      <c r="G197" s="10" t="str">
        <f aca="false">IF(F197="","",ROUND(F197*AZZ_RATE+MIN(N(E197),F197)*(GYP_RATE-AZZ_RATE),3))</f>
        <v/>
      </c>
      <c r="H197" s="34"/>
      <c r="I197" s="44"/>
      <c r="J197" s="34"/>
    </row>
    <row r="198" customFormat="false" ht="19.5" hidden="false" customHeight="true" outlineLevel="0" collapsed="false">
      <c r="A198" s="31"/>
      <c r="B198" s="8" t="str">
        <f aca="false">IF(A198="","",CHOOSE(WEEKDAY(A198,1),"الأحد","الاثنين","الثلاثاء","الأربعاء","الخميس","الجمعة","السبت"))</f>
        <v/>
      </c>
      <c r="C198" s="32"/>
      <c r="D198" s="32"/>
      <c r="E198" s="33"/>
      <c r="F198" s="9" t="str">
        <f aca="false">IF(OR(C198="",D198=""),"",ROUND(MOD(D198-C198,1)*24,2))</f>
        <v/>
      </c>
      <c r="G198" s="10" t="str">
        <f aca="false">IF(F198="","",ROUND(F198*AZZ_RATE+MIN(N(E198),F198)*(GYP_RATE-AZZ_RATE),3))</f>
        <v/>
      </c>
      <c r="H198" s="34"/>
      <c r="I198" s="44"/>
      <c r="J198" s="34"/>
    </row>
    <row r="199" customFormat="false" ht="19.5" hidden="false" customHeight="true" outlineLevel="0" collapsed="false">
      <c r="A199" s="31"/>
      <c r="B199" s="8" t="str">
        <f aca="false">IF(A199="","",CHOOSE(WEEKDAY(A199,1),"الأحد","الاثنين","الثلاثاء","الأربعاء","الخميس","الجمعة","السبت"))</f>
        <v/>
      </c>
      <c r="C199" s="32"/>
      <c r="D199" s="32"/>
      <c r="E199" s="33"/>
      <c r="F199" s="9" t="str">
        <f aca="false">IF(OR(C199="",D199=""),"",ROUND(MOD(D199-C199,1)*24,2))</f>
        <v/>
      </c>
      <c r="G199" s="10" t="str">
        <f aca="false">IF(F199="","",ROUND(F199*AZZ_RATE+MIN(N(E199),F199)*(GYP_RATE-AZZ_RATE),3))</f>
        <v/>
      </c>
      <c r="H199" s="34"/>
      <c r="I199" s="44"/>
      <c r="J199" s="34"/>
    </row>
    <row r="200" customFormat="false" ht="19.5" hidden="false" customHeight="true" outlineLevel="0" collapsed="false">
      <c r="A200" s="31"/>
      <c r="B200" s="8" t="str">
        <f aca="false">IF(A200="","",CHOOSE(WEEKDAY(A200,1),"الأحد","الاثنين","الثلاثاء","الأربعاء","الخميس","الجمعة","السبت"))</f>
        <v/>
      </c>
      <c r="C200" s="32"/>
      <c r="D200" s="32"/>
      <c r="E200" s="33"/>
      <c r="F200" s="9" t="str">
        <f aca="false">IF(OR(C200="",D200=""),"",ROUND(MOD(D200-C200,1)*24,2))</f>
        <v/>
      </c>
      <c r="G200" s="10" t="str">
        <f aca="false">IF(F200="","",ROUND(F200*AZZ_RATE+MIN(N(E200),F200)*(GYP_RATE-AZZ_RATE),3))</f>
        <v/>
      </c>
      <c r="H200" s="34"/>
      <c r="I200" s="44"/>
      <c r="J200" s="34"/>
    </row>
    <row r="201" customFormat="false" ht="19.5" hidden="false" customHeight="true" outlineLevel="0" collapsed="false">
      <c r="A201" s="31"/>
      <c r="B201" s="8" t="str">
        <f aca="false">IF(A201="","",CHOOSE(WEEKDAY(A201,1),"الأحد","الاثنين","الثلاثاء","الأربعاء","الخميس","الجمعة","السبت"))</f>
        <v/>
      </c>
      <c r="C201" s="32"/>
      <c r="D201" s="32"/>
      <c r="E201" s="33"/>
      <c r="F201" s="9" t="str">
        <f aca="false">IF(OR(C201="",D201=""),"",ROUND(MOD(D201-C201,1)*24,2))</f>
        <v/>
      </c>
      <c r="G201" s="10" t="str">
        <f aca="false">IF(F201="","",ROUND(F201*AZZ_RATE+MIN(N(E201),F201)*(GYP_RATE-AZZ_RATE),3))</f>
        <v/>
      </c>
      <c r="H201" s="34"/>
      <c r="I201" s="44"/>
      <c r="J201" s="34"/>
    </row>
    <row r="202" customFormat="false" ht="19.5" hidden="false" customHeight="true" outlineLevel="0" collapsed="false">
      <c r="A202" s="31"/>
      <c r="B202" s="8" t="str">
        <f aca="false">IF(A202="","",CHOOSE(WEEKDAY(A202,1),"الأحد","الاثنين","الثلاثاء","الأربعاء","الخميس","الجمعة","السبت"))</f>
        <v/>
      </c>
      <c r="C202" s="32"/>
      <c r="D202" s="32"/>
      <c r="E202" s="33"/>
      <c r="F202" s="9" t="str">
        <f aca="false">IF(OR(C202="",D202=""),"",ROUND(MOD(D202-C202,1)*24,2))</f>
        <v/>
      </c>
      <c r="G202" s="10" t="str">
        <f aca="false">IF(F202="","",ROUND(F202*AZZ_RATE+MIN(N(E202),F202)*(GYP_RATE-AZZ_RATE),3))</f>
        <v/>
      </c>
      <c r="H202" s="34"/>
      <c r="I202" s="44"/>
      <c r="J202" s="34"/>
    </row>
    <row r="203" customFormat="false" ht="19.5" hidden="false" customHeight="true" outlineLevel="0" collapsed="false">
      <c r="A203" s="31"/>
      <c r="B203" s="8" t="str">
        <f aca="false">IF(A203="","",CHOOSE(WEEKDAY(A203,1),"الأحد","الاثنين","الثلاثاء","الأربعاء","الخميس","الجمعة","السبت"))</f>
        <v/>
      </c>
      <c r="C203" s="32"/>
      <c r="D203" s="32"/>
      <c r="E203" s="33"/>
      <c r="F203" s="9" t="str">
        <f aca="false">IF(OR(C203="",D203=""),"",ROUND(MOD(D203-C203,1)*24,2))</f>
        <v/>
      </c>
      <c r="G203" s="10" t="str">
        <f aca="false">IF(F203="","",ROUND(F203*AZZ_RATE+MIN(N(E203),F203)*(GYP_RATE-AZZ_RATE),3))</f>
        <v/>
      </c>
      <c r="H203" s="34"/>
      <c r="I203" s="44"/>
      <c r="J203" s="34"/>
    </row>
    <row r="204" customFormat="false" ht="19.5" hidden="false" customHeight="true" outlineLevel="0" collapsed="false">
      <c r="A204" s="31"/>
      <c r="B204" s="8" t="str">
        <f aca="false">IF(A204="","",CHOOSE(WEEKDAY(A204,1),"الأحد","الاثنين","الثلاثاء","الأربعاء","الخميس","الجمعة","السبت"))</f>
        <v/>
      </c>
      <c r="C204" s="32"/>
      <c r="D204" s="32"/>
      <c r="E204" s="33"/>
      <c r="F204" s="9" t="str">
        <f aca="false">IF(OR(C204="",D204=""),"",ROUND(MOD(D204-C204,1)*24,2))</f>
        <v/>
      </c>
      <c r="G204" s="10" t="str">
        <f aca="false">IF(F204="","",ROUND(F204*AZZ_RATE+MIN(N(E204),F204)*(GYP_RATE-AZZ_RATE),3))</f>
        <v/>
      </c>
      <c r="H204" s="34"/>
      <c r="I204" s="44"/>
      <c r="J204" s="34"/>
    </row>
    <row r="205" customFormat="false" ht="19.5" hidden="false" customHeight="true" outlineLevel="0" collapsed="false">
      <c r="A205" s="31"/>
      <c r="B205" s="8" t="str">
        <f aca="false">IF(A205="","",CHOOSE(WEEKDAY(A205,1),"الأحد","الاثنين","الثلاثاء","الأربعاء","الخميس","الجمعة","السبت"))</f>
        <v/>
      </c>
      <c r="C205" s="32"/>
      <c r="D205" s="32"/>
      <c r="E205" s="33"/>
      <c r="F205" s="9" t="str">
        <f aca="false">IF(OR(C205="",D205=""),"",ROUND(MOD(D205-C205,1)*24,2))</f>
        <v/>
      </c>
      <c r="G205" s="10" t="str">
        <f aca="false">IF(F205="","",ROUND(F205*AZZ_RATE+MIN(N(E205),F205)*(GYP_RATE-AZZ_RATE),3))</f>
        <v/>
      </c>
      <c r="H205" s="34"/>
      <c r="I205" s="44"/>
      <c r="J205" s="34"/>
    </row>
    <row r="206" customFormat="false" ht="15" hidden="false" customHeight="false" outlineLevel="0" collapsed="false">
      <c r="F206" s="35" t="s">
        <v>66</v>
      </c>
      <c r="G206" s="14" t="n">
        <f aca="false">SUM(G6:G205)</f>
        <v>0</v>
      </c>
      <c r="I206" s="14" t="n">
        <f aca="false">SUM(I6:I205)</f>
        <v>0</v>
      </c>
    </row>
    <row r="208" customFormat="false" ht="23.85" hidden="false" customHeight="false" outlineLevel="0" collapsed="false">
      <c r="A208" s="36" t="n">
        <v>46291</v>
      </c>
      <c r="B208" s="37" t="str">
        <f aca="false">IF(A208="","",CHOOSE(WEEKDAY(A208,1),"الأحد","الاثنين","الثلاثاء","الأربعاء","الخميس","الجمعة","السبت"))</f>
        <v>السبت</v>
      </c>
      <c r="C208" s="38" t="n">
        <v>0.333333333333333</v>
      </c>
      <c r="D208" s="38" t="n">
        <v>0.666666666666667</v>
      </c>
      <c r="E208" s="39" t="n">
        <v>1</v>
      </c>
      <c r="F208" s="39" t="n">
        <f aca="false">IF(OR(C208="",D208=""),"",ROUND(MOD(D208-C208,1)*24,2))</f>
        <v>8</v>
      </c>
      <c r="G208" s="40" t="n">
        <f aca="false">IF(F208="","",ROUND(F208*AZZ_RATE+MIN(N(E208),F208)*(GYP_RATE-AZZ_RATE),3))</f>
        <v>9.5</v>
      </c>
      <c r="H208" s="37" t="s">
        <v>72</v>
      </c>
      <c r="I208" s="40" t="n">
        <v>9.5</v>
      </c>
      <c r="J208" s="41" t="s">
        <v>73</v>
      </c>
    </row>
  </sheetData>
  <mergeCells count="3">
    <mergeCell ref="A1:J1"/>
    <mergeCell ref="A2:J2"/>
    <mergeCell ref="A3:J3"/>
  </mergeCells>
  <conditionalFormatting sqref="I6:I205">
    <cfRule type="expression" priority="2" aboveAverage="0" equalAverage="0" bottom="0" percent="0" rank="0" text="" dxfId="1">
      <formula>AND($H6="نعم",$I6&lt;&gt;$G6)</formula>
    </cfRule>
  </conditionalFormatting>
  <dataValidations count="1">
    <dataValidation allowBlank="true" errorStyle="stop" operator="between" showDropDown="false" showErrorMessage="false" showInputMessage="false" sqref="H6:H205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8"/>
    <col collapsed="false" customWidth="true" hidden="false" outlineLevel="0" max="4" min="4" style="0" width="14"/>
    <col collapsed="false" customWidth="true" hidden="false" outlineLevel="0" max="5" min="5" style="0" width="50"/>
  </cols>
  <sheetData>
    <row r="1" customFormat="false" ht="30" hidden="false" customHeight="true" outlineLevel="0" collapsed="false">
      <c r="A1" s="45" t="s">
        <v>74</v>
      </c>
      <c r="B1" s="45"/>
      <c r="C1" s="45"/>
      <c r="D1" s="45"/>
      <c r="E1" s="45"/>
    </row>
    <row r="2" customFormat="false" ht="36" hidden="false" customHeight="true" outlineLevel="0" collapsed="false">
      <c r="A2" s="29" t="s">
        <v>75</v>
      </c>
      <c r="B2" s="29"/>
      <c r="C2" s="29"/>
      <c r="D2" s="29"/>
      <c r="E2" s="29"/>
    </row>
    <row r="3" customFormat="false" ht="15" hidden="false" customHeight="true" outlineLevel="0" collapsed="false">
      <c r="A3" s="30" t="s">
        <v>55</v>
      </c>
      <c r="B3" s="30"/>
      <c r="C3" s="30"/>
      <c r="D3" s="30"/>
      <c r="E3" s="30"/>
    </row>
    <row r="5" customFormat="false" ht="31.5" hidden="false" customHeight="true" outlineLevel="0" collapsed="false">
      <c r="A5" s="46" t="s">
        <v>56</v>
      </c>
      <c r="B5" s="46" t="s">
        <v>4</v>
      </c>
      <c r="C5" s="46" t="s">
        <v>76</v>
      </c>
      <c r="D5" s="46" t="s">
        <v>77</v>
      </c>
      <c r="E5" s="46" t="s">
        <v>78</v>
      </c>
    </row>
    <row r="6" customFormat="false" ht="19.5" hidden="false" customHeight="true" outlineLevel="0" collapsed="false">
      <c r="A6" s="31"/>
      <c r="B6" s="34"/>
      <c r="C6" s="34"/>
      <c r="D6" s="44"/>
      <c r="E6" s="34"/>
    </row>
    <row r="7" customFormat="false" ht="19.5" hidden="false" customHeight="true" outlineLevel="0" collapsed="false">
      <c r="A7" s="31"/>
      <c r="B7" s="34"/>
      <c r="C7" s="34"/>
      <c r="D7" s="44"/>
      <c r="E7" s="34"/>
    </row>
    <row r="8" customFormat="false" ht="19.5" hidden="false" customHeight="true" outlineLevel="0" collapsed="false">
      <c r="A8" s="31"/>
      <c r="B8" s="34"/>
      <c r="C8" s="34"/>
      <c r="D8" s="44"/>
      <c r="E8" s="34"/>
    </row>
    <row r="9" customFormat="false" ht="19.5" hidden="false" customHeight="true" outlineLevel="0" collapsed="false">
      <c r="A9" s="31"/>
      <c r="B9" s="34"/>
      <c r="C9" s="34"/>
      <c r="D9" s="44"/>
      <c r="E9" s="34"/>
    </row>
    <row r="10" customFormat="false" ht="19.5" hidden="false" customHeight="true" outlineLevel="0" collapsed="false">
      <c r="A10" s="31"/>
      <c r="B10" s="34"/>
      <c r="C10" s="34"/>
      <c r="D10" s="44"/>
      <c r="E10" s="34"/>
    </row>
    <row r="11" customFormat="false" ht="19.5" hidden="false" customHeight="true" outlineLevel="0" collapsed="false">
      <c r="A11" s="31"/>
      <c r="B11" s="34"/>
      <c r="C11" s="34"/>
      <c r="D11" s="44"/>
      <c r="E11" s="34"/>
    </row>
    <row r="12" customFormat="false" ht="19.5" hidden="false" customHeight="true" outlineLevel="0" collapsed="false">
      <c r="A12" s="31"/>
      <c r="B12" s="34"/>
      <c r="C12" s="34"/>
      <c r="D12" s="44"/>
      <c r="E12" s="34"/>
    </row>
    <row r="13" customFormat="false" ht="19.5" hidden="false" customHeight="true" outlineLevel="0" collapsed="false">
      <c r="A13" s="31"/>
      <c r="B13" s="34"/>
      <c r="C13" s="34"/>
      <c r="D13" s="44"/>
      <c r="E13" s="34"/>
    </row>
    <row r="14" customFormat="false" ht="19.5" hidden="false" customHeight="true" outlineLevel="0" collapsed="false">
      <c r="A14" s="31"/>
      <c r="B14" s="34"/>
      <c r="C14" s="34"/>
      <c r="D14" s="44"/>
      <c r="E14" s="34"/>
    </row>
    <row r="15" customFormat="false" ht="19.5" hidden="false" customHeight="true" outlineLevel="0" collapsed="false">
      <c r="A15" s="31"/>
      <c r="B15" s="34"/>
      <c r="C15" s="34"/>
      <c r="D15" s="44"/>
      <c r="E15" s="34"/>
    </row>
    <row r="16" customFormat="false" ht="19.5" hidden="false" customHeight="true" outlineLevel="0" collapsed="false">
      <c r="A16" s="31"/>
      <c r="B16" s="34"/>
      <c r="C16" s="34"/>
      <c r="D16" s="44"/>
      <c r="E16" s="34"/>
    </row>
    <row r="17" customFormat="false" ht="19.5" hidden="false" customHeight="true" outlineLevel="0" collapsed="false">
      <c r="A17" s="31"/>
      <c r="B17" s="34"/>
      <c r="C17" s="34"/>
      <c r="D17" s="44"/>
      <c r="E17" s="34"/>
    </row>
    <row r="18" customFormat="false" ht="19.5" hidden="false" customHeight="true" outlineLevel="0" collapsed="false">
      <c r="A18" s="31"/>
      <c r="B18" s="34"/>
      <c r="C18" s="34"/>
      <c r="D18" s="44"/>
      <c r="E18" s="34"/>
    </row>
    <row r="19" customFormat="false" ht="19.5" hidden="false" customHeight="true" outlineLevel="0" collapsed="false">
      <c r="A19" s="31"/>
      <c r="B19" s="34"/>
      <c r="C19" s="34"/>
      <c r="D19" s="44"/>
      <c r="E19" s="34"/>
    </row>
    <row r="20" customFormat="false" ht="19.5" hidden="false" customHeight="true" outlineLevel="0" collapsed="false">
      <c r="A20" s="31"/>
      <c r="B20" s="34"/>
      <c r="C20" s="34"/>
      <c r="D20" s="44"/>
      <c r="E20" s="34"/>
    </row>
    <row r="21" customFormat="false" ht="19.5" hidden="false" customHeight="true" outlineLevel="0" collapsed="false">
      <c r="A21" s="31"/>
      <c r="B21" s="34"/>
      <c r="C21" s="34"/>
      <c r="D21" s="44"/>
      <c r="E21" s="34"/>
    </row>
    <row r="22" customFormat="false" ht="19.5" hidden="false" customHeight="true" outlineLevel="0" collapsed="false">
      <c r="A22" s="31"/>
      <c r="B22" s="34"/>
      <c r="C22" s="34"/>
      <c r="D22" s="44"/>
      <c r="E22" s="34"/>
    </row>
    <row r="23" customFormat="false" ht="19.5" hidden="false" customHeight="true" outlineLevel="0" collapsed="false">
      <c r="A23" s="31"/>
      <c r="B23" s="34"/>
      <c r="C23" s="34"/>
      <c r="D23" s="44"/>
      <c r="E23" s="34"/>
    </row>
    <row r="24" customFormat="false" ht="19.5" hidden="false" customHeight="true" outlineLevel="0" collapsed="false">
      <c r="A24" s="31"/>
      <c r="B24" s="34"/>
      <c r="C24" s="34"/>
      <c r="D24" s="44"/>
      <c r="E24" s="34"/>
    </row>
    <row r="25" customFormat="false" ht="19.5" hidden="false" customHeight="true" outlineLevel="0" collapsed="false">
      <c r="A25" s="31"/>
      <c r="B25" s="34"/>
      <c r="C25" s="34"/>
      <c r="D25" s="44"/>
      <c r="E25" s="34"/>
    </row>
    <row r="26" customFormat="false" ht="19.5" hidden="false" customHeight="true" outlineLevel="0" collapsed="false">
      <c r="A26" s="31"/>
      <c r="B26" s="34"/>
      <c r="C26" s="34"/>
      <c r="D26" s="44"/>
      <c r="E26" s="34"/>
    </row>
    <row r="27" customFormat="false" ht="19.5" hidden="false" customHeight="true" outlineLevel="0" collapsed="false">
      <c r="A27" s="31"/>
      <c r="B27" s="34"/>
      <c r="C27" s="34"/>
      <c r="D27" s="44"/>
      <c r="E27" s="34"/>
    </row>
    <row r="28" customFormat="false" ht="19.5" hidden="false" customHeight="true" outlineLevel="0" collapsed="false">
      <c r="A28" s="31"/>
      <c r="B28" s="34"/>
      <c r="C28" s="34"/>
      <c r="D28" s="44"/>
      <c r="E28" s="34"/>
    </row>
    <row r="29" customFormat="false" ht="19.5" hidden="false" customHeight="true" outlineLevel="0" collapsed="false">
      <c r="A29" s="31"/>
      <c r="B29" s="34"/>
      <c r="C29" s="34"/>
      <c r="D29" s="44"/>
      <c r="E29" s="34"/>
    </row>
    <row r="30" customFormat="false" ht="19.5" hidden="false" customHeight="true" outlineLevel="0" collapsed="false">
      <c r="A30" s="31"/>
      <c r="B30" s="34"/>
      <c r="C30" s="34"/>
      <c r="D30" s="44"/>
      <c r="E30" s="34"/>
    </row>
    <row r="31" customFormat="false" ht="19.5" hidden="false" customHeight="true" outlineLevel="0" collapsed="false">
      <c r="A31" s="31"/>
      <c r="B31" s="34"/>
      <c r="C31" s="34"/>
      <c r="D31" s="44"/>
      <c r="E31" s="34"/>
    </row>
    <row r="32" customFormat="false" ht="19.5" hidden="false" customHeight="true" outlineLevel="0" collapsed="false">
      <c r="A32" s="31"/>
      <c r="B32" s="34"/>
      <c r="C32" s="34"/>
      <c r="D32" s="44"/>
      <c r="E32" s="34"/>
    </row>
    <row r="33" customFormat="false" ht="19.5" hidden="false" customHeight="true" outlineLevel="0" collapsed="false">
      <c r="A33" s="31"/>
      <c r="B33" s="34"/>
      <c r="C33" s="34"/>
      <c r="D33" s="44"/>
      <c r="E33" s="34"/>
    </row>
    <row r="34" customFormat="false" ht="19.5" hidden="false" customHeight="true" outlineLevel="0" collapsed="false">
      <c r="A34" s="31"/>
      <c r="B34" s="34"/>
      <c r="C34" s="34"/>
      <c r="D34" s="44"/>
      <c r="E34" s="34"/>
    </row>
    <row r="35" customFormat="false" ht="19.5" hidden="false" customHeight="true" outlineLevel="0" collapsed="false">
      <c r="A35" s="31"/>
      <c r="B35" s="34"/>
      <c r="C35" s="34"/>
      <c r="D35" s="44"/>
      <c r="E35" s="34"/>
    </row>
    <row r="36" customFormat="false" ht="19.5" hidden="false" customHeight="true" outlineLevel="0" collapsed="false">
      <c r="A36" s="31"/>
      <c r="B36" s="34"/>
      <c r="C36" s="34"/>
      <c r="D36" s="44"/>
      <c r="E36" s="34"/>
    </row>
    <row r="37" customFormat="false" ht="19.5" hidden="false" customHeight="true" outlineLevel="0" collapsed="false">
      <c r="A37" s="31"/>
      <c r="B37" s="34"/>
      <c r="C37" s="34"/>
      <c r="D37" s="44"/>
      <c r="E37" s="34"/>
    </row>
    <row r="38" customFormat="false" ht="19.5" hidden="false" customHeight="true" outlineLevel="0" collapsed="false">
      <c r="A38" s="31"/>
      <c r="B38" s="34"/>
      <c r="C38" s="34"/>
      <c r="D38" s="44"/>
      <c r="E38" s="34"/>
    </row>
    <row r="39" customFormat="false" ht="19.5" hidden="false" customHeight="true" outlineLevel="0" collapsed="false">
      <c r="A39" s="31"/>
      <c r="B39" s="34"/>
      <c r="C39" s="34"/>
      <c r="D39" s="44"/>
      <c r="E39" s="34"/>
    </row>
    <row r="40" customFormat="false" ht="19.5" hidden="false" customHeight="true" outlineLevel="0" collapsed="false">
      <c r="A40" s="31"/>
      <c r="B40" s="34"/>
      <c r="C40" s="34"/>
      <c r="D40" s="44"/>
      <c r="E40" s="34"/>
    </row>
    <row r="41" customFormat="false" ht="19.5" hidden="false" customHeight="true" outlineLevel="0" collapsed="false">
      <c r="A41" s="31"/>
      <c r="B41" s="34"/>
      <c r="C41" s="34"/>
      <c r="D41" s="44"/>
      <c r="E41" s="34"/>
    </row>
    <row r="42" customFormat="false" ht="19.5" hidden="false" customHeight="true" outlineLevel="0" collapsed="false">
      <c r="A42" s="31"/>
      <c r="B42" s="34"/>
      <c r="C42" s="34"/>
      <c r="D42" s="44"/>
      <c r="E42" s="34"/>
    </row>
    <row r="43" customFormat="false" ht="19.5" hidden="false" customHeight="true" outlineLevel="0" collapsed="false">
      <c r="A43" s="31"/>
      <c r="B43" s="34"/>
      <c r="C43" s="34"/>
      <c r="D43" s="44"/>
      <c r="E43" s="34"/>
    </row>
    <row r="44" customFormat="false" ht="19.5" hidden="false" customHeight="true" outlineLevel="0" collapsed="false">
      <c r="A44" s="31"/>
      <c r="B44" s="34"/>
      <c r="C44" s="34"/>
      <c r="D44" s="44"/>
      <c r="E44" s="34"/>
    </row>
    <row r="45" customFormat="false" ht="19.5" hidden="false" customHeight="true" outlineLevel="0" collapsed="false">
      <c r="A45" s="31"/>
      <c r="B45" s="34"/>
      <c r="C45" s="34"/>
      <c r="D45" s="44"/>
      <c r="E45" s="34"/>
    </row>
    <row r="46" customFormat="false" ht="19.5" hidden="false" customHeight="true" outlineLevel="0" collapsed="false">
      <c r="A46" s="31"/>
      <c r="B46" s="34"/>
      <c r="C46" s="34"/>
      <c r="D46" s="44"/>
      <c r="E46" s="34"/>
    </row>
    <row r="47" customFormat="false" ht="19.5" hidden="false" customHeight="true" outlineLevel="0" collapsed="false">
      <c r="A47" s="31"/>
      <c r="B47" s="34"/>
      <c r="C47" s="34"/>
      <c r="D47" s="44"/>
      <c r="E47" s="34"/>
    </row>
    <row r="48" customFormat="false" ht="19.5" hidden="false" customHeight="true" outlineLevel="0" collapsed="false">
      <c r="A48" s="31"/>
      <c r="B48" s="34"/>
      <c r="C48" s="34"/>
      <c r="D48" s="44"/>
      <c r="E48" s="34"/>
    </row>
    <row r="49" customFormat="false" ht="19.5" hidden="false" customHeight="true" outlineLevel="0" collapsed="false">
      <c r="A49" s="31"/>
      <c r="B49" s="34"/>
      <c r="C49" s="34"/>
      <c r="D49" s="44"/>
      <c r="E49" s="34"/>
    </row>
    <row r="50" customFormat="false" ht="19.5" hidden="false" customHeight="true" outlineLevel="0" collapsed="false">
      <c r="A50" s="31"/>
      <c r="B50" s="34"/>
      <c r="C50" s="34"/>
      <c r="D50" s="44"/>
      <c r="E50" s="34"/>
    </row>
    <row r="51" customFormat="false" ht="19.5" hidden="false" customHeight="true" outlineLevel="0" collapsed="false">
      <c r="A51" s="31"/>
      <c r="B51" s="34"/>
      <c r="C51" s="34"/>
      <c r="D51" s="44"/>
      <c r="E51" s="34"/>
    </row>
    <row r="52" customFormat="false" ht="19.5" hidden="false" customHeight="true" outlineLevel="0" collapsed="false">
      <c r="A52" s="31"/>
      <c r="B52" s="34"/>
      <c r="C52" s="34"/>
      <c r="D52" s="44"/>
      <c r="E52" s="34"/>
    </row>
    <row r="53" customFormat="false" ht="19.5" hidden="false" customHeight="true" outlineLevel="0" collapsed="false">
      <c r="A53" s="31"/>
      <c r="B53" s="34"/>
      <c r="C53" s="34"/>
      <c r="D53" s="44"/>
      <c r="E53" s="34"/>
    </row>
    <row r="54" customFormat="false" ht="19.5" hidden="false" customHeight="true" outlineLevel="0" collapsed="false">
      <c r="A54" s="31"/>
      <c r="B54" s="34"/>
      <c r="C54" s="34"/>
      <c r="D54" s="44"/>
      <c r="E54" s="34"/>
    </row>
    <row r="55" customFormat="false" ht="19.5" hidden="false" customHeight="true" outlineLevel="0" collapsed="false">
      <c r="A55" s="31"/>
      <c r="B55" s="34"/>
      <c r="C55" s="34"/>
      <c r="D55" s="44"/>
      <c r="E55" s="34"/>
    </row>
    <row r="56" customFormat="false" ht="19.5" hidden="false" customHeight="true" outlineLevel="0" collapsed="false">
      <c r="A56" s="31"/>
      <c r="B56" s="34"/>
      <c r="C56" s="34"/>
      <c r="D56" s="44"/>
      <c r="E56" s="34"/>
    </row>
    <row r="57" customFormat="false" ht="19.5" hidden="false" customHeight="true" outlineLevel="0" collapsed="false">
      <c r="A57" s="31"/>
      <c r="B57" s="34"/>
      <c r="C57" s="34"/>
      <c r="D57" s="44"/>
      <c r="E57" s="34"/>
    </row>
    <row r="58" customFormat="false" ht="19.5" hidden="false" customHeight="true" outlineLevel="0" collapsed="false">
      <c r="A58" s="31"/>
      <c r="B58" s="34"/>
      <c r="C58" s="34"/>
      <c r="D58" s="44"/>
      <c r="E58" s="34"/>
    </row>
    <row r="59" customFormat="false" ht="19.5" hidden="false" customHeight="true" outlineLevel="0" collapsed="false">
      <c r="A59" s="31"/>
      <c r="B59" s="34"/>
      <c r="C59" s="34"/>
      <c r="D59" s="44"/>
      <c r="E59" s="34"/>
    </row>
    <row r="60" customFormat="false" ht="19.5" hidden="false" customHeight="true" outlineLevel="0" collapsed="false">
      <c r="A60" s="31"/>
      <c r="B60" s="34"/>
      <c r="C60" s="34"/>
      <c r="D60" s="44"/>
      <c r="E60" s="34"/>
    </row>
    <row r="61" customFormat="false" ht="19.5" hidden="false" customHeight="true" outlineLevel="0" collapsed="false">
      <c r="A61" s="31"/>
      <c r="B61" s="34"/>
      <c r="C61" s="34"/>
      <c r="D61" s="44"/>
      <c r="E61" s="34"/>
    </row>
    <row r="62" customFormat="false" ht="19.5" hidden="false" customHeight="true" outlineLevel="0" collapsed="false">
      <c r="A62" s="31"/>
      <c r="B62" s="34"/>
      <c r="C62" s="34"/>
      <c r="D62" s="44"/>
      <c r="E62" s="34"/>
    </row>
    <row r="63" customFormat="false" ht="19.5" hidden="false" customHeight="true" outlineLevel="0" collapsed="false">
      <c r="A63" s="31"/>
      <c r="B63" s="34"/>
      <c r="C63" s="34"/>
      <c r="D63" s="44"/>
      <c r="E63" s="34"/>
    </row>
    <row r="64" customFormat="false" ht="19.5" hidden="false" customHeight="true" outlineLevel="0" collapsed="false">
      <c r="A64" s="31"/>
      <c r="B64" s="34"/>
      <c r="C64" s="34"/>
      <c r="D64" s="44"/>
      <c r="E64" s="34"/>
    </row>
    <row r="65" customFormat="false" ht="19.5" hidden="false" customHeight="true" outlineLevel="0" collapsed="false">
      <c r="A65" s="31"/>
      <c r="B65" s="34"/>
      <c r="C65" s="34"/>
      <c r="D65" s="44"/>
      <c r="E65" s="34"/>
    </row>
    <row r="66" customFormat="false" ht="19.5" hidden="false" customHeight="true" outlineLevel="0" collapsed="false">
      <c r="A66" s="31"/>
      <c r="B66" s="34"/>
      <c r="C66" s="34"/>
      <c r="D66" s="44"/>
      <c r="E66" s="34"/>
    </row>
    <row r="67" customFormat="false" ht="19.5" hidden="false" customHeight="true" outlineLevel="0" collapsed="false">
      <c r="A67" s="31"/>
      <c r="B67" s="34"/>
      <c r="C67" s="34"/>
      <c r="D67" s="44"/>
      <c r="E67" s="34"/>
    </row>
    <row r="68" customFormat="false" ht="19.5" hidden="false" customHeight="true" outlineLevel="0" collapsed="false">
      <c r="A68" s="31"/>
      <c r="B68" s="34"/>
      <c r="C68" s="34"/>
      <c r="D68" s="44"/>
      <c r="E68" s="34"/>
    </row>
    <row r="69" customFormat="false" ht="19.5" hidden="false" customHeight="true" outlineLevel="0" collapsed="false">
      <c r="A69" s="31"/>
      <c r="B69" s="34"/>
      <c r="C69" s="34"/>
      <c r="D69" s="44"/>
      <c r="E69" s="34"/>
    </row>
    <row r="70" customFormat="false" ht="19.5" hidden="false" customHeight="true" outlineLevel="0" collapsed="false">
      <c r="A70" s="31"/>
      <c r="B70" s="34"/>
      <c r="C70" s="34"/>
      <c r="D70" s="44"/>
      <c r="E70" s="34"/>
    </row>
    <row r="71" customFormat="false" ht="19.5" hidden="false" customHeight="true" outlineLevel="0" collapsed="false">
      <c r="A71" s="31"/>
      <c r="B71" s="34"/>
      <c r="C71" s="34"/>
      <c r="D71" s="44"/>
      <c r="E71" s="34"/>
    </row>
    <row r="72" customFormat="false" ht="19.5" hidden="false" customHeight="true" outlineLevel="0" collapsed="false">
      <c r="A72" s="31"/>
      <c r="B72" s="34"/>
      <c r="C72" s="34"/>
      <c r="D72" s="44"/>
      <c r="E72" s="34"/>
    </row>
    <row r="73" customFormat="false" ht="19.5" hidden="false" customHeight="true" outlineLevel="0" collapsed="false">
      <c r="A73" s="31"/>
      <c r="B73" s="34"/>
      <c r="C73" s="34"/>
      <c r="D73" s="44"/>
      <c r="E73" s="34"/>
    </row>
    <row r="74" customFormat="false" ht="19.5" hidden="false" customHeight="true" outlineLevel="0" collapsed="false">
      <c r="A74" s="31"/>
      <c r="B74" s="34"/>
      <c r="C74" s="34"/>
      <c r="D74" s="44"/>
      <c r="E74" s="34"/>
    </row>
    <row r="75" customFormat="false" ht="19.5" hidden="false" customHeight="true" outlineLevel="0" collapsed="false">
      <c r="A75" s="31"/>
      <c r="B75" s="34"/>
      <c r="C75" s="34"/>
      <c r="D75" s="44"/>
      <c r="E75" s="34"/>
    </row>
    <row r="76" customFormat="false" ht="19.5" hidden="false" customHeight="true" outlineLevel="0" collapsed="false">
      <c r="A76" s="31"/>
      <c r="B76" s="34"/>
      <c r="C76" s="34"/>
      <c r="D76" s="44"/>
      <c r="E76" s="34"/>
    </row>
    <row r="77" customFormat="false" ht="19.5" hidden="false" customHeight="true" outlineLevel="0" collapsed="false">
      <c r="A77" s="31"/>
      <c r="B77" s="34"/>
      <c r="C77" s="34"/>
      <c r="D77" s="44"/>
      <c r="E77" s="34"/>
    </row>
    <row r="78" customFormat="false" ht="19.5" hidden="false" customHeight="true" outlineLevel="0" collapsed="false">
      <c r="A78" s="31"/>
      <c r="B78" s="34"/>
      <c r="C78" s="34"/>
      <c r="D78" s="44"/>
      <c r="E78" s="34"/>
    </row>
    <row r="79" customFormat="false" ht="19.5" hidden="false" customHeight="true" outlineLevel="0" collapsed="false">
      <c r="A79" s="31"/>
      <c r="B79" s="34"/>
      <c r="C79" s="34"/>
      <c r="D79" s="44"/>
      <c r="E79" s="34"/>
    </row>
    <row r="80" customFormat="false" ht="19.5" hidden="false" customHeight="true" outlineLevel="0" collapsed="false">
      <c r="A80" s="31"/>
      <c r="B80" s="34"/>
      <c r="C80" s="34"/>
      <c r="D80" s="44"/>
      <c r="E80" s="34"/>
    </row>
    <row r="81" customFormat="false" ht="19.5" hidden="false" customHeight="true" outlineLevel="0" collapsed="false">
      <c r="A81" s="31"/>
      <c r="B81" s="34"/>
      <c r="C81" s="34"/>
      <c r="D81" s="44"/>
      <c r="E81" s="34"/>
    </row>
    <row r="82" customFormat="false" ht="19.5" hidden="false" customHeight="true" outlineLevel="0" collapsed="false">
      <c r="A82" s="31"/>
      <c r="B82" s="34"/>
      <c r="C82" s="34"/>
      <c r="D82" s="44"/>
      <c r="E82" s="34"/>
    </row>
    <row r="83" customFormat="false" ht="19.5" hidden="false" customHeight="true" outlineLevel="0" collapsed="false">
      <c r="A83" s="31"/>
      <c r="B83" s="34"/>
      <c r="C83" s="34"/>
      <c r="D83" s="44"/>
      <c r="E83" s="34"/>
    </row>
    <row r="84" customFormat="false" ht="19.5" hidden="false" customHeight="true" outlineLevel="0" collapsed="false">
      <c r="A84" s="31"/>
      <c r="B84" s="34"/>
      <c r="C84" s="34"/>
      <c r="D84" s="44"/>
      <c r="E84" s="34"/>
    </row>
    <row r="85" customFormat="false" ht="19.5" hidden="false" customHeight="true" outlineLevel="0" collapsed="false">
      <c r="A85" s="31"/>
      <c r="B85" s="34"/>
      <c r="C85" s="34"/>
      <c r="D85" s="44"/>
      <c r="E85" s="34"/>
    </row>
    <row r="86" customFormat="false" ht="19.5" hidden="false" customHeight="true" outlineLevel="0" collapsed="false">
      <c r="A86" s="31"/>
      <c r="B86" s="34"/>
      <c r="C86" s="34"/>
      <c r="D86" s="44"/>
      <c r="E86" s="34"/>
    </row>
    <row r="87" customFormat="false" ht="19.5" hidden="false" customHeight="true" outlineLevel="0" collapsed="false">
      <c r="A87" s="31"/>
      <c r="B87" s="34"/>
      <c r="C87" s="34"/>
      <c r="D87" s="44"/>
      <c r="E87" s="34"/>
    </row>
    <row r="88" customFormat="false" ht="19.5" hidden="false" customHeight="true" outlineLevel="0" collapsed="false">
      <c r="A88" s="31"/>
      <c r="B88" s="34"/>
      <c r="C88" s="34"/>
      <c r="D88" s="44"/>
      <c r="E88" s="34"/>
    </row>
    <row r="89" customFormat="false" ht="19.5" hidden="false" customHeight="true" outlineLevel="0" collapsed="false">
      <c r="A89" s="31"/>
      <c r="B89" s="34"/>
      <c r="C89" s="34"/>
      <c r="D89" s="44"/>
      <c r="E89" s="34"/>
    </row>
    <row r="90" customFormat="false" ht="19.5" hidden="false" customHeight="true" outlineLevel="0" collapsed="false">
      <c r="A90" s="31"/>
      <c r="B90" s="34"/>
      <c r="C90" s="34"/>
      <c r="D90" s="44"/>
      <c r="E90" s="34"/>
    </row>
    <row r="91" customFormat="false" ht="19.5" hidden="false" customHeight="true" outlineLevel="0" collapsed="false">
      <c r="A91" s="31"/>
      <c r="B91" s="34"/>
      <c r="C91" s="34"/>
      <c r="D91" s="44"/>
      <c r="E91" s="34"/>
    </row>
    <row r="92" customFormat="false" ht="19.5" hidden="false" customHeight="true" outlineLevel="0" collapsed="false">
      <c r="A92" s="31"/>
      <c r="B92" s="34"/>
      <c r="C92" s="34"/>
      <c r="D92" s="44"/>
      <c r="E92" s="34"/>
    </row>
    <row r="93" customFormat="false" ht="19.5" hidden="false" customHeight="true" outlineLevel="0" collapsed="false">
      <c r="A93" s="31"/>
      <c r="B93" s="34"/>
      <c r="C93" s="34"/>
      <c r="D93" s="44"/>
      <c r="E93" s="34"/>
    </row>
    <row r="94" customFormat="false" ht="19.5" hidden="false" customHeight="true" outlineLevel="0" collapsed="false">
      <c r="A94" s="31"/>
      <c r="B94" s="34"/>
      <c r="C94" s="34"/>
      <c r="D94" s="44"/>
      <c r="E94" s="34"/>
    </row>
    <row r="95" customFormat="false" ht="19.5" hidden="false" customHeight="true" outlineLevel="0" collapsed="false">
      <c r="A95" s="31"/>
      <c r="B95" s="34"/>
      <c r="C95" s="34"/>
      <c r="D95" s="44"/>
      <c r="E95" s="34"/>
    </row>
    <row r="96" customFormat="false" ht="19.5" hidden="false" customHeight="true" outlineLevel="0" collapsed="false">
      <c r="A96" s="31"/>
      <c r="B96" s="34"/>
      <c r="C96" s="34"/>
      <c r="D96" s="44"/>
      <c r="E96" s="34"/>
    </row>
    <row r="97" customFormat="false" ht="19.5" hidden="false" customHeight="true" outlineLevel="0" collapsed="false">
      <c r="A97" s="31"/>
      <c r="B97" s="34"/>
      <c r="C97" s="34"/>
      <c r="D97" s="44"/>
      <c r="E97" s="34"/>
    </row>
    <row r="98" customFormat="false" ht="19.5" hidden="false" customHeight="true" outlineLevel="0" collapsed="false">
      <c r="A98" s="31"/>
      <c r="B98" s="34"/>
      <c r="C98" s="34"/>
      <c r="D98" s="44"/>
      <c r="E98" s="34"/>
    </row>
    <row r="99" customFormat="false" ht="19.5" hidden="false" customHeight="true" outlineLevel="0" collapsed="false">
      <c r="A99" s="31"/>
      <c r="B99" s="34"/>
      <c r="C99" s="34"/>
      <c r="D99" s="44"/>
      <c r="E99" s="34"/>
    </row>
    <row r="100" customFormat="false" ht="19.5" hidden="false" customHeight="true" outlineLevel="0" collapsed="false">
      <c r="A100" s="31"/>
      <c r="B100" s="34"/>
      <c r="C100" s="34"/>
      <c r="D100" s="44"/>
      <c r="E100" s="34"/>
    </row>
    <row r="101" customFormat="false" ht="19.5" hidden="false" customHeight="true" outlineLevel="0" collapsed="false">
      <c r="A101" s="31"/>
      <c r="B101" s="34"/>
      <c r="C101" s="34"/>
      <c r="D101" s="44"/>
      <c r="E101" s="34"/>
    </row>
    <row r="102" customFormat="false" ht="19.5" hidden="false" customHeight="true" outlineLevel="0" collapsed="false">
      <c r="A102" s="31"/>
      <c r="B102" s="34"/>
      <c r="C102" s="34"/>
      <c r="D102" s="44"/>
      <c r="E102" s="34"/>
    </row>
    <row r="103" customFormat="false" ht="19.5" hidden="false" customHeight="true" outlineLevel="0" collapsed="false">
      <c r="A103" s="31"/>
      <c r="B103" s="34"/>
      <c r="C103" s="34"/>
      <c r="D103" s="44"/>
      <c r="E103" s="34"/>
    </row>
    <row r="104" customFormat="false" ht="19.5" hidden="false" customHeight="true" outlineLevel="0" collapsed="false">
      <c r="A104" s="31"/>
      <c r="B104" s="34"/>
      <c r="C104" s="34"/>
      <c r="D104" s="44"/>
      <c r="E104" s="34"/>
    </row>
    <row r="105" customFormat="false" ht="19.5" hidden="false" customHeight="true" outlineLevel="0" collapsed="false">
      <c r="A105" s="31"/>
      <c r="B105" s="34"/>
      <c r="C105" s="34"/>
      <c r="D105" s="44"/>
      <c r="E105" s="34"/>
    </row>
    <row r="106" customFormat="false" ht="19.5" hidden="false" customHeight="true" outlineLevel="0" collapsed="false">
      <c r="A106" s="31"/>
      <c r="B106" s="34"/>
      <c r="C106" s="34"/>
      <c r="D106" s="44"/>
      <c r="E106" s="34"/>
    </row>
    <row r="107" customFormat="false" ht="19.5" hidden="false" customHeight="true" outlineLevel="0" collapsed="false">
      <c r="A107" s="31"/>
      <c r="B107" s="34"/>
      <c r="C107" s="34"/>
      <c r="D107" s="44"/>
      <c r="E107" s="34"/>
    </row>
    <row r="108" customFormat="false" ht="19.5" hidden="false" customHeight="true" outlineLevel="0" collapsed="false">
      <c r="A108" s="31"/>
      <c r="B108" s="34"/>
      <c r="C108" s="34"/>
      <c r="D108" s="44"/>
      <c r="E108" s="34"/>
    </row>
    <row r="109" customFormat="false" ht="19.5" hidden="false" customHeight="true" outlineLevel="0" collapsed="false">
      <c r="A109" s="31"/>
      <c r="B109" s="34"/>
      <c r="C109" s="34"/>
      <c r="D109" s="44"/>
      <c r="E109" s="34"/>
    </row>
    <row r="110" customFormat="false" ht="19.5" hidden="false" customHeight="true" outlineLevel="0" collapsed="false">
      <c r="A110" s="31"/>
      <c r="B110" s="34"/>
      <c r="C110" s="34"/>
      <c r="D110" s="44"/>
      <c r="E110" s="34"/>
    </row>
    <row r="111" customFormat="false" ht="19.5" hidden="false" customHeight="true" outlineLevel="0" collapsed="false">
      <c r="A111" s="31"/>
      <c r="B111" s="34"/>
      <c r="C111" s="34"/>
      <c r="D111" s="44"/>
      <c r="E111" s="34"/>
    </row>
    <row r="112" customFormat="false" ht="19.5" hidden="false" customHeight="true" outlineLevel="0" collapsed="false">
      <c r="A112" s="31"/>
      <c r="B112" s="34"/>
      <c r="C112" s="34"/>
      <c r="D112" s="44"/>
      <c r="E112" s="34"/>
    </row>
    <row r="113" customFormat="false" ht="19.5" hidden="false" customHeight="true" outlineLevel="0" collapsed="false">
      <c r="A113" s="31"/>
      <c r="B113" s="34"/>
      <c r="C113" s="34"/>
      <c r="D113" s="44"/>
      <c r="E113" s="34"/>
    </row>
    <row r="114" customFormat="false" ht="19.5" hidden="false" customHeight="true" outlineLevel="0" collapsed="false">
      <c r="A114" s="31"/>
      <c r="B114" s="34"/>
      <c r="C114" s="34"/>
      <c r="D114" s="44"/>
      <c r="E114" s="34"/>
    </row>
    <row r="115" customFormat="false" ht="19.5" hidden="false" customHeight="true" outlineLevel="0" collapsed="false">
      <c r="A115" s="31"/>
      <c r="B115" s="34"/>
      <c r="C115" s="34"/>
      <c r="D115" s="44"/>
      <c r="E115" s="34"/>
    </row>
    <row r="116" customFormat="false" ht="19.5" hidden="false" customHeight="true" outlineLevel="0" collapsed="false">
      <c r="A116" s="31"/>
      <c r="B116" s="34"/>
      <c r="C116" s="34"/>
      <c r="D116" s="44"/>
      <c r="E116" s="34"/>
    </row>
    <row r="117" customFormat="false" ht="19.5" hidden="false" customHeight="true" outlineLevel="0" collapsed="false">
      <c r="A117" s="31"/>
      <c r="B117" s="34"/>
      <c r="C117" s="34"/>
      <c r="D117" s="44"/>
      <c r="E117" s="34"/>
    </row>
    <row r="118" customFormat="false" ht="19.5" hidden="false" customHeight="true" outlineLevel="0" collapsed="false">
      <c r="A118" s="31"/>
      <c r="B118" s="34"/>
      <c r="C118" s="34"/>
      <c r="D118" s="44"/>
      <c r="E118" s="34"/>
    </row>
    <row r="119" customFormat="false" ht="19.5" hidden="false" customHeight="true" outlineLevel="0" collapsed="false">
      <c r="A119" s="31"/>
      <c r="B119" s="34"/>
      <c r="C119" s="34"/>
      <c r="D119" s="44"/>
      <c r="E119" s="34"/>
    </row>
    <row r="120" customFormat="false" ht="19.5" hidden="false" customHeight="true" outlineLevel="0" collapsed="false">
      <c r="A120" s="31"/>
      <c r="B120" s="34"/>
      <c r="C120" s="34"/>
      <c r="D120" s="44"/>
      <c r="E120" s="34"/>
    </row>
    <row r="121" customFormat="false" ht="19.5" hidden="false" customHeight="true" outlineLevel="0" collapsed="false">
      <c r="A121" s="31"/>
      <c r="B121" s="34"/>
      <c r="C121" s="34"/>
      <c r="D121" s="44"/>
      <c r="E121" s="34"/>
    </row>
    <row r="122" customFormat="false" ht="19.5" hidden="false" customHeight="true" outlineLevel="0" collapsed="false">
      <c r="A122" s="31"/>
      <c r="B122" s="34"/>
      <c r="C122" s="34"/>
      <c r="D122" s="44"/>
      <c r="E122" s="34"/>
    </row>
    <row r="123" customFormat="false" ht="19.5" hidden="false" customHeight="true" outlineLevel="0" collapsed="false">
      <c r="A123" s="31"/>
      <c r="B123" s="34"/>
      <c r="C123" s="34"/>
      <c r="D123" s="44"/>
      <c r="E123" s="34"/>
    </row>
    <row r="124" customFormat="false" ht="19.5" hidden="false" customHeight="true" outlineLevel="0" collapsed="false">
      <c r="A124" s="31"/>
      <c r="B124" s="34"/>
      <c r="C124" s="34"/>
      <c r="D124" s="44"/>
      <c r="E124" s="34"/>
    </row>
    <row r="125" customFormat="false" ht="19.5" hidden="false" customHeight="true" outlineLevel="0" collapsed="false">
      <c r="A125" s="31"/>
      <c r="B125" s="34"/>
      <c r="C125" s="34"/>
      <c r="D125" s="44"/>
      <c r="E125" s="34"/>
    </row>
    <row r="126" customFormat="false" ht="19.5" hidden="false" customHeight="true" outlineLevel="0" collapsed="false">
      <c r="A126" s="31"/>
      <c r="B126" s="34"/>
      <c r="C126" s="34"/>
      <c r="D126" s="44"/>
      <c r="E126" s="34"/>
    </row>
    <row r="127" customFormat="false" ht="19.5" hidden="false" customHeight="true" outlineLevel="0" collapsed="false">
      <c r="A127" s="31"/>
      <c r="B127" s="34"/>
      <c r="C127" s="34"/>
      <c r="D127" s="44"/>
      <c r="E127" s="34"/>
    </row>
    <row r="128" customFormat="false" ht="19.5" hidden="false" customHeight="true" outlineLevel="0" collapsed="false">
      <c r="A128" s="31"/>
      <c r="B128" s="34"/>
      <c r="C128" s="34"/>
      <c r="D128" s="44"/>
      <c r="E128" s="34"/>
    </row>
    <row r="129" customFormat="false" ht="19.5" hidden="false" customHeight="true" outlineLevel="0" collapsed="false">
      <c r="A129" s="31"/>
      <c r="B129" s="34"/>
      <c r="C129" s="34"/>
      <c r="D129" s="44"/>
      <c r="E129" s="34"/>
    </row>
    <row r="130" customFormat="false" ht="19.5" hidden="false" customHeight="true" outlineLevel="0" collapsed="false">
      <c r="A130" s="31"/>
      <c r="B130" s="34"/>
      <c r="C130" s="34"/>
      <c r="D130" s="44"/>
      <c r="E130" s="34"/>
    </row>
    <row r="131" customFormat="false" ht="19.5" hidden="false" customHeight="true" outlineLevel="0" collapsed="false">
      <c r="A131" s="31"/>
      <c r="B131" s="34"/>
      <c r="C131" s="34"/>
      <c r="D131" s="44"/>
      <c r="E131" s="34"/>
    </row>
    <row r="132" customFormat="false" ht="19.5" hidden="false" customHeight="true" outlineLevel="0" collapsed="false">
      <c r="A132" s="31"/>
      <c r="B132" s="34"/>
      <c r="C132" s="34"/>
      <c r="D132" s="44"/>
      <c r="E132" s="34"/>
    </row>
    <row r="133" customFormat="false" ht="19.5" hidden="false" customHeight="true" outlineLevel="0" collapsed="false">
      <c r="A133" s="31"/>
      <c r="B133" s="34"/>
      <c r="C133" s="34"/>
      <c r="D133" s="44"/>
      <c r="E133" s="34"/>
    </row>
    <row r="134" customFormat="false" ht="19.5" hidden="false" customHeight="true" outlineLevel="0" collapsed="false">
      <c r="A134" s="31"/>
      <c r="B134" s="34"/>
      <c r="C134" s="34"/>
      <c r="D134" s="44"/>
      <c r="E134" s="34"/>
    </row>
    <row r="135" customFormat="false" ht="19.5" hidden="false" customHeight="true" outlineLevel="0" collapsed="false">
      <c r="A135" s="31"/>
      <c r="B135" s="34"/>
      <c r="C135" s="34"/>
      <c r="D135" s="44"/>
      <c r="E135" s="34"/>
    </row>
    <row r="136" customFormat="false" ht="19.5" hidden="false" customHeight="true" outlineLevel="0" collapsed="false">
      <c r="A136" s="31"/>
      <c r="B136" s="34"/>
      <c r="C136" s="34"/>
      <c r="D136" s="44"/>
      <c r="E136" s="34"/>
    </row>
    <row r="137" customFormat="false" ht="19.5" hidden="false" customHeight="true" outlineLevel="0" collapsed="false">
      <c r="A137" s="31"/>
      <c r="B137" s="34"/>
      <c r="C137" s="34"/>
      <c r="D137" s="44"/>
      <c r="E137" s="34"/>
    </row>
    <row r="138" customFormat="false" ht="19.5" hidden="false" customHeight="true" outlineLevel="0" collapsed="false">
      <c r="A138" s="31"/>
      <c r="B138" s="34"/>
      <c r="C138" s="34"/>
      <c r="D138" s="44"/>
      <c r="E138" s="34"/>
    </row>
    <row r="139" customFormat="false" ht="19.5" hidden="false" customHeight="true" outlineLevel="0" collapsed="false">
      <c r="A139" s="31"/>
      <c r="B139" s="34"/>
      <c r="C139" s="34"/>
      <c r="D139" s="44"/>
      <c r="E139" s="34"/>
    </row>
    <row r="140" customFormat="false" ht="19.5" hidden="false" customHeight="true" outlineLevel="0" collapsed="false">
      <c r="A140" s="31"/>
      <c r="B140" s="34"/>
      <c r="C140" s="34"/>
      <c r="D140" s="44"/>
      <c r="E140" s="34"/>
    </row>
    <row r="141" customFormat="false" ht="19.5" hidden="false" customHeight="true" outlineLevel="0" collapsed="false">
      <c r="A141" s="31"/>
      <c r="B141" s="34"/>
      <c r="C141" s="34"/>
      <c r="D141" s="44"/>
      <c r="E141" s="34"/>
    </row>
    <row r="142" customFormat="false" ht="19.5" hidden="false" customHeight="true" outlineLevel="0" collapsed="false">
      <c r="A142" s="31"/>
      <c r="B142" s="34"/>
      <c r="C142" s="34"/>
      <c r="D142" s="44"/>
      <c r="E142" s="34"/>
    </row>
    <row r="143" customFormat="false" ht="19.5" hidden="false" customHeight="true" outlineLevel="0" collapsed="false">
      <c r="A143" s="31"/>
      <c r="B143" s="34"/>
      <c r="C143" s="34"/>
      <c r="D143" s="44"/>
      <c r="E143" s="34"/>
    </row>
    <row r="144" customFormat="false" ht="19.5" hidden="false" customHeight="true" outlineLevel="0" collapsed="false">
      <c r="A144" s="31"/>
      <c r="B144" s="34"/>
      <c r="C144" s="34"/>
      <c r="D144" s="44"/>
      <c r="E144" s="34"/>
    </row>
    <row r="145" customFormat="false" ht="19.5" hidden="false" customHeight="true" outlineLevel="0" collapsed="false">
      <c r="A145" s="31"/>
      <c r="B145" s="34"/>
      <c r="C145" s="34"/>
      <c r="D145" s="44"/>
      <c r="E145" s="34"/>
    </row>
    <row r="146" customFormat="false" ht="19.5" hidden="false" customHeight="true" outlineLevel="0" collapsed="false">
      <c r="A146" s="31"/>
      <c r="B146" s="34"/>
      <c r="C146" s="34"/>
      <c r="D146" s="44"/>
      <c r="E146" s="34"/>
    </row>
    <row r="147" customFormat="false" ht="19.5" hidden="false" customHeight="true" outlineLevel="0" collapsed="false">
      <c r="A147" s="31"/>
      <c r="B147" s="34"/>
      <c r="C147" s="34"/>
      <c r="D147" s="44"/>
      <c r="E147" s="34"/>
    </row>
    <row r="148" customFormat="false" ht="19.5" hidden="false" customHeight="true" outlineLevel="0" collapsed="false">
      <c r="A148" s="31"/>
      <c r="B148" s="34"/>
      <c r="C148" s="34"/>
      <c r="D148" s="44"/>
      <c r="E148" s="34"/>
    </row>
    <row r="149" customFormat="false" ht="19.5" hidden="false" customHeight="true" outlineLevel="0" collapsed="false">
      <c r="A149" s="31"/>
      <c r="B149" s="34"/>
      <c r="C149" s="34"/>
      <c r="D149" s="44"/>
      <c r="E149" s="34"/>
    </row>
    <row r="150" customFormat="false" ht="19.5" hidden="false" customHeight="true" outlineLevel="0" collapsed="false">
      <c r="A150" s="31"/>
      <c r="B150" s="34"/>
      <c r="C150" s="34"/>
      <c r="D150" s="44"/>
      <c r="E150" s="34"/>
    </row>
    <row r="151" customFormat="false" ht="19.5" hidden="false" customHeight="true" outlineLevel="0" collapsed="false">
      <c r="A151" s="31"/>
      <c r="B151" s="34"/>
      <c r="C151" s="34"/>
      <c r="D151" s="44"/>
      <c r="E151" s="34"/>
    </row>
    <row r="152" customFormat="false" ht="19.5" hidden="false" customHeight="true" outlineLevel="0" collapsed="false">
      <c r="A152" s="31"/>
      <c r="B152" s="34"/>
      <c r="C152" s="34"/>
      <c r="D152" s="44"/>
      <c r="E152" s="34"/>
    </row>
    <row r="153" customFormat="false" ht="19.5" hidden="false" customHeight="true" outlineLevel="0" collapsed="false">
      <c r="A153" s="31"/>
      <c r="B153" s="34"/>
      <c r="C153" s="34"/>
      <c r="D153" s="44"/>
      <c r="E153" s="34"/>
    </row>
    <row r="154" customFormat="false" ht="19.5" hidden="false" customHeight="true" outlineLevel="0" collapsed="false">
      <c r="A154" s="31"/>
      <c r="B154" s="34"/>
      <c r="C154" s="34"/>
      <c r="D154" s="44"/>
      <c r="E154" s="34"/>
    </row>
    <row r="155" customFormat="false" ht="19.5" hidden="false" customHeight="true" outlineLevel="0" collapsed="false">
      <c r="A155" s="31"/>
      <c r="B155" s="34"/>
      <c r="C155" s="34"/>
      <c r="D155" s="44"/>
      <c r="E155" s="34"/>
    </row>
    <row r="156" customFormat="false" ht="19.5" hidden="false" customHeight="true" outlineLevel="0" collapsed="false">
      <c r="A156" s="31"/>
      <c r="B156" s="34"/>
      <c r="C156" s="34"/>
      <c r="D156" s="44"/>
      <c r="E156" s="34"/>
    </row>
    <row r="157" customFormat="false" ht="19.5" hidden="false" customHeight="true" outlineLevel="0" collapsed="false">
      <c r="A157" s="31"/>
      <c r="B157" s="34"/>
      <c r="C157" s="34"/>
      <c r="D157" s="44"/>
      <c r="E157" s="34"/>
    </row>
    <row r="158" customFormat="false" ht="19.5" hidden="false" customHeight="true" outlineLevel="0" collapsed="false">
      <c r="A158" s="31"/>
      <c r="B158" s="34"/>
      <c r="C158" s="34"/>
      <c r="D158" s="44"/>
      <c r="E158" s="34"/>
    </row>
    <row r="159" customFormat="false" ht="19.5" hidden="false" customHeight="true" outlineLevel="0" collapsed="false">
      <c r="A159" s="31"/>
      <c r="B159" s="34"/>
      <c r="C159" s="34"/>
      <c r="D159" s="44"/>
      <c r="E159" s="34"/>
    </row>
    <row r="160" customFormat="false" ht="19.5" hidden="false" customHeight="true" outlineLevel="0" collapsed="false">
      <c r="A160" s="31"/>
      <c r="B160" s="34"/>
      <c r="C160" s="34"/>
      <c r="D160" s="44"/>
      <c r="E160" s="34"/>
    </row>
    <row r="161" customFormat="false" ht="19.5" hidden="false" customHeight="true" outlineLevel="0" collapsed="false">
      <c r="A161" s="31"/>
      <c r="B161" s="34"/>
      <c r="C161" s="34"/>
      <c r="D161" s="44"/>
      <c r="E161" s="34"/>
    </row>
    <row r="162" customFormat="false" ht="19.5" hidden="false" customHeight="true" outlineLevel="0" collapsed="false">
      <c r="A162" s="31"/>
      <c r="B162" s="34"/>
      <c r="C162" s="34"/>
      <c r="D162" s="44"/>
      <c r="E162" s="34"/>
    </row>
    <row r="163" customFormat="false" ht="19.5" hidden="false" customHeight="true" outlineLevel="0" collapsed="false">
      <c r="A163" s="31"/>
      <c r="B163" s="34"/>
      <c r="C163" s="34"/>
      <c r="D163" s="44"/>
      <c r="E163" s="34"/>
    </row>
    <row r="164" customFormat="false" ht="19.5" hidden="false" customHeight="true" outlineLevel="0" collapsed="false">
      <c r="A164" s="31"/>
      <c r="B164" s="34"/>
      <c r="C164" s="34"/>
      <c r="D164" s="44"/>
      <c r="E164" s="34"/>
    </row>
    <row r="165" customFormat="false" ht="19.5" hidden="false" customHeight="true" outlineLevel="0" collapsed="false">
      <c r="A165" s="31"/>
      <c r="B165" s="34"/>
      <c r="C165" s="34"/>
      <c r="D165" s="44"/>
      <c r="E165" s="34"/>
    </row>
    <row r="166" customFormat="false" ht="19.5" hidden="false" customHeight="true" outlineLevel="0" collapsed="false">
      <c r="A166" s="31"/>
      <c r="B166" s="34"/>
      <c r="C166" s="34"/>
      <c r="D166" s="44"/>
      <c r="E166" s="34"/>
    </row>
    <row r="167" customFormat="false" ht="19.5" hidden="false" customHeight="true" outlineLevel="0" collapsed="false">
      <c r="A167" s="31"/>
      <c r="B167" s="34"/>
      <c r="C167" s="34"/>
      <c r="D167" s="44"/>
      <c r="E167" s="34"/>
    </row>
    <row r="168" customFormat="false" ht="19.5" hidden="false" customHeight="true" outlineLevel="0" collapsed="false">
      <c r="A168" s="31"/>
      <c r="B168" s="34"/>
      <c r="C168" s="34"/>
      <c r="D168" s="44"/>
      <c r="E168" s="34"/>
    </row>
    <row r="169" customFormat="false" ht="19.5" hidden="false" customHeight="true" outlineLevel="0" collapsed="false">
      <c r="A169" s="31"/>
      <c r="B169" s="34"/>
      <c r="C169" s="34"/>
      <c r="D169" s="44"/>
      <c r="E169" s="34"/>
    </row>
    <row r="170" customFormat="false" ht="19.5" hidden="false" customHeight="true" outlineLevel="0" collapsed="false">
      <c r="A170" s="31"/>
      <c r="B170" s="34"/>
      <c r="C170" s="34"/>
      <c r="D170" s="44"/>
      <c r="E170" s="34"/>
    </row>
    <row r="171" customFormat="false" ht="19.5" hidden="false" customHeight="true" outlineLevel="0" collapsed="false">
      <c r="A171" s="31"/>
      <c r="B171" s="34"/>
      <c r="C171" s="34"/>
      <c r="D171" s="44"/>
      <c r="E171" s="34"/>
    </row>
    <row r="172" customFormat="false" ht="19.5" hidden="false" customHeight="true" outlineLevel="0" collapsed="false">
      <c r="A172" s="31"/>
      <c r="B172" s="34"/>
      <c r="C172" s="34"/>
      <c r="D172" s="44"/>
      <c r="E172" s="34"/>
    </row>
    <row r="173" customFormat="false" ht="19.5" hidden="false" customHeight="true" outlineLevel="0" collapsed="false">
      <c r="A173" s="31"/>
      <c r="B173" s="34"/>
      <c r="C173" s="34"/>
      <c r="D173" s="44"/>
      <c r="E173" s="34"/>
    </row>
    <row r="174" customFormat="false" ht="19.5" hidden="false" customHeight="true" outlineLevel="0" collapsed="false">
      <c r="A174" s="31"/>
      <c r="B174" s="34"/>
      <c r="C174" s="34"/>
      <c r="D174" s="44"/>
      <c r="E174" s="34"/>
    </row>
    <row r="175" customFormat="false" ht="19.5" hidden="false" customHeight="true" outlineLevel="0" collapsed="false">
      <c r="A175" s="31"/>
      <c r="B175" s="34"/>
      <c r="C175" s="34"/>
      <c r="D175" s="44"/>
      <c r="E175" s="34"/>
    </row>
    <row r="176" customFormat="false" ht="19.5" hidden="false" customHeight="true" outlineLevel="0" collapsed="false">
      <c r="A176" s="31"/>
      <c r="B176" s="34"/>
      <c r="C176" s="34"/>
      <c r="D176" s="44"/>
      <c r="E176" s="34"/>
    </row>
    <row r="177" customFormat="false" ht="19.5" hidden="false" customHeight="true" outlineLevel="0" collapsed="false">
      <c r="A177" s="31"/>
      <c r="B177" s="34"/>
      <c r="C177" s="34"/>
      <c r="D177" s="44"/>
      <c r="E177" s="34"/>
    </row>
    <row r="178" customFormat="false" ht="19.5" hidden="false" customHeight="true" outlineLevel="0" collapsed="false">
      <c r="A178" s="31"/>
      <c r="B178" s="34"/>
      <c r="C178" s="34"/>
      <c r="D178" s="44"/>
      <c r="E178" s="34"/>
    </row>
    <row r="179" customFormat="false" ht="19.5" hidden="false" customHeight="true" outlineLevel="0" collapsed="false">
      <c r="A179" s="31"/>
      <c r="B179" s="34"/>
      <c r="C179" s="34"/>
      <c r="D179" s="44"/>
      <c r="E179" s="34"/>
    </row>
    <row r="180" customFormat="false" ht="19.5" hidden="false" customHeight="true" outlineLevel="0" collapsed="false">
      <c r="A180" s="31"/>
      <c r="B180" s="34"/>
      <c r="C180" s="34"/>
      <c r="D180" s="44"/>
      <c r="E180" s="34"/>
    </row>
    <row r="181" customFormat="false" ht="19.5" hidden="false" customHeight="true" outlineLevel="0" collapsed="false">
      <c r="A181" s="31"/>
      <c r="B181" s="34"/>
      <c r="C181" s="34"/>
      <c r="D181" s="44"/>
      <c r="E181" s="34"/>
    </row>
    <row r="182" customFormat="false" ht="19.5" hidden="false" customHeight="true" outlineLevel="0" collapsed="false">
      <c r="A182" s="31"/>
      <c r="B182" s="34"/>
      <c r="C182" s="34"/>
      <c r="D182" s="44"/>
      <c r="E182" s="34"/>
    </row>
    <row r="183" customFormat="false" ht="19.5" hidden="false" customHeight="true" outlineLevel="0" collapsed="false">
      <c r="A183" s="31"/>
      <c r="B183" s="34"/>
      <c r="C183" s="34"/>
      <c r="D183" s="44"/>
      <c r="E183" s="34"/>
    </row>
    <row r="184" customFormat="false" ht="19.5" hidden="false" customHeight="true" outlineLevel="0" collapsed="false">
      <c r="A184" s="31"/>
      <c r="B184" s="34"/>
      <c r="C184" s="34"/>
      <c r="D184" s="44"/>
      <c r="E184" s="34"/>
    </row>
    <row r="185" customFormat="false" ht="19.5" hidden="false" customHeight="true" outlineLevel="0" collapsed="false">
      <c r="A185" s="31"/>
      <c r="B185" s="34"/>
      <c r="C185" s="34"/>
      <c r="D185" s="44"/>
      <c r="E185" s="34"/>
    </row>
    <row r="186" customFormat="false" ht="19.5" hidden="false" customHeight="true" outlineLevel="0" collapsed="false">
      <c r="A186" s="31"/>
      <c r="B186" s="34"/>
      <c r="C186" s="34"/>
      <c r="D186" s="44"/>
      <c r="E186" s="34"/>
    </row>
    <row r="187" customFormat="false" ht="19.5" hidden="false" customHeight="true" outlineLevel="0" collapsed="false">
      <c r="A187" s="31"/>
      <c r="B187" s="34"/>
      <c r="C187" s="34"/>
      <c r="D187" s="44"/>
      <c r="E187" s="34"/>
    </row>
    <row r="188" customFormat="false" ht="19.5" hidden="false" customHeight="true" outlineLevel="0" collapsed="false">
      <c r="A188" s="31"/>
      <c r="B188" s="34"/>
      <c r="C188" s="34"/>
      <c r="D188" s="44"/>
      <c r="E188" s="34"/>
    </row>
    <row r="189" customFormat="false" ht="19.5" hidden="false" customHeight="true" outlineLevel="0" collapsed="false">
      <c r="A189" s="31"/>
      <c r="B189" s="34"/>
      <c r="C189" s="34"/>
      <c r="D189" s="44"/>
      <c r="E189" s="34"/>
    </row>
    <row r="190" customFormat="false" ht="19.5" hidden="false" customHeight="true" outlineLevel="0" collapsed="false">
      <c r="A190" s="31"/>
      <c r="B190" s="34"/>
      <c r="C190" s="34"/>
      <c r="D190" s="44"/>
      <c r="E190" s="34"/>
    </row>
    <row r="191" customFormat="false" ht="19.5" hidden="false" customHeight="true" outlineLevel="0" collapsed="false">
      <c r="A191" s="31"/>
      <c r="B191" s="34"/>
      <c r="C191" s="34"/>
      <c r="D191" s="44"/>
      <c r="E191" s="34"/>
    </row>
    <row r="192" customFormat="false" ht="19.5" hidden="false" customHeight="true" outlineLevel="0" collapsed="false">
      <c r="A192" s="31"/>
      <c r="B192" s="34"/>
      <c r="C192" s="34"/>
      <c r="D192" s="44"/>
      <c r="E192" s="34"/>
    </row>
    <row r="193" customFormat="false" ht="19.5" hidden="false" customHeight="true" outlineLevel="0" collapsed="false">
      <c r="A193" s="31"/>
      <c r="B193" s="34"/>
      <c r="C193" s="34"/>
      <c r="D193" s="44"/>
      <c r="E193" s="34"/>
    </row>
    <row r="194" customFormat="false" ht="19.5" hidden="false" customHeight="true" outlineLevel="0" collapsed="false">
      <c r="A194" s="31"/>
      <c r="B194" s="34"/>
      <c r="C194" s="34"/>
      <c r="D194" s="44"/>
      <c r="E194" s="34"/>
    </row>
    <row r="195" customFormat="false" ht="19.5" hidden="false" customHeight="true" outlineLevel="0" collapsed="false">
      <c r="A195" s="31"/>
      <c r="B195" s="34"/>
      <c r="C195" s="34"/>
      <c r="D195" s="44"/>
      <c r="E195" s="34"/>
    </row>
    <row r="196" customFormat="false" ht="19.5" hidden="false" customHeight="true" outlineLevel="0" collapsed="false">
      <c r="A196" s="31"/>
      <c r="B196" s="34"/>
      <c r="C196" s="34"/>
      <c r="D196" s="44"/>
      <c r="E196" s="34"/>
    </row>
    <row r="197" customFormat="false" ht="19.5" hidden="false" customHeight="true" outlineLevel="0" collapsed="false">
      <c r="A197" s="31"/>
      <c r="B197" s="34"/>
      <c r="C197" s="34"/>
      <c r="D197" s="44"/>
      <c r="E197" s="34"/>
    </row>
    <row r="198" customFormat="false" ht="19.5" hidden="false" customHeight="true" outlineLevel="0" collapsed="false">
      <c r="A198" s="31"/>
      <c r="B198" s="34"/>
      <c r="C198" s="34"/>
      <c r="D198" s="44"/>
      <c r="E198" s="34"/>
    </row>
    <row r="199" customFormat="false" ht="19.5" hidden="false" customHeight="true" outlineLevel="0" collapsed="false">
      <c r="A199" s="31"/>
      <c r="B199" s="34"/>
      <c r="C199" s="34"/>
      <c r="D199" s="44"/>
      <c r="E199" s="34"/>
    </row>
    <row r="200" customFormat="false" ht="19.5" hidden="false" customHeight="true" outlineLevel="0" collapsed="false">
      <c r="A200" s="31"/>
      <c r="B200" s="34"/>
      <c r="C200" s="34"/>
      <c r="D200" s="44"/>
      <c r="E200" s="34"/>
    </row>
    <row r="201" customFormat="false" ht="19.5" hidden="false" customHeight="true" outlineLevel="0" collapsed="false">
      <c r="A201" s="31"/>
      <c r="B201" s="34"/>
      <c r="C201" s="34"/>
      <c r="D201" s="44"/>
      <c r="E201" s="34"/>
    </row>
    <row r="202" customFormat="false" ht="19.5" hidden="false" customHeight="true" outlineLevel="0" collapsed="false">
      <c r="A202" s="31"/>
      <c r="B202" s="34"/>
      <c r="C202" s="34"/>
      <c r="D202" s="44"/>
      <c r="E202" s="34"/>
    </row>
    <row r="203" customFormat="false" ht="19.5" hidden="false" customHeight="true" outlineLevel="0" collapsed="false">
      <c r="A203" s="31"/>
      <c r="B203" s="34"/>
      <c r="C203" s="34"/>
      <c r="D203" s="44"/>
      <c r="E203" s="34"/>
    </row>
    <row r="204" customFormat="false" ht="19.5" hidden="false" customHeight="true" outlineLevel="0" collapsed="false">
      <c r="A204" s="31"/>
      <c r="B204" s="34"/>
      <c r="C204" s="34"/>
      <c r="D204" s="44"/>
      <c r="E204" s="34"/>
    </row>
    <row r="205" customFormat="false" ht="19.5" hidden="false" customHeight="true" outlineLevel="0" collapsed="false">
      <c r="A205" s="31"/>
      <c r="B205" s="34"/>
      <c r="C205" s="34"/>
      <c r="D205" s="44"/>
      <c r="E205" s="34"/>
    </row>
    <row r="206" customFormat="false" ht="19.5" hidden="false" customHeight="true" outlineLevel="0" collapsed="false">
      <c r="A206" s="31"/>
      <c r="B206" s="34"/>
      <c r="C206" s="34"/>
      <c r="D206" s="44"/>
      <c r="E206" s="34"/>
    </row>
    <row r="207" customFormat="false" ht="19.5" hidden="false" customHeight="true" outlineLevel="0" collapsed="false">
      <c r="A207" s="31"/>
      <c r="B207" s="34"/>
      <c r="C207" s="34"/>
      <c r="D207" s="44"/>
      <c r="E207" s="34"/>
    </row>
    <row r="208" customFormat="false" ht="19.5" hidden="false" customHeight="true" outlineLevel="0" collapsed="false">
      <c r="A208" s="31"/>
      <c r="B208" s="34"/>
      <c r="C208" s="34"/>
      <c r="D208" s="44"/>
      <c r="E208" s="34"/>
    </row>
    <row r="209" customFormat="false" ht="19.5" hidden="false" customHeight="true" outlineLevel="0" collapsed="false">
      <c r="A209" s="31"/>
      <c r="B209" s="34"/>
      <c r="C209" s="34"/>
      <c r="D209" s="44"/>
      <c r="E209" s="34"/>
    </row>
    <row r="210" customFormat="false" ht="19.5" hidden="false" customHeight="true" outlineLevel="0" collapsed="false">
      <c r="A210" s="31"/>
      <c r="B210" s="34"/>
      <c r="C210" s="34"/>
      <c r="D210" s="44"/>
      <c r="E210" s="34"/>
    </row>
    <row r="211" customFormat="false" ht="19.5" hidden="false" customHeight="true" outlineLevel="0" collapsed="false">
      <c r="A211" s="31"/>
      <c r="B211" s="34"/>
      <c r="C211" s="34"/>
      <c r="D211" s="44"/>
      <c r="E211" s="34"/>
    </row>
    <row r="212" customFormat="false" ht="19.5" hidden="false" customHeight="true" outlineLevel="0" collapsed="false">
      <c r="A212" s="31"/>
      <c r="B212" s="34"/>
      <c r="C212" s="34"/>
      <c r="D212" s="44"/>
      <c r="E212" s="34"/>
    </row>
    <row r="213" customFormat="false" ht="19.5" hidden="false" customHeight="true" outlineLevel="0" collapsed="false">
      <c r="A213" s="31"/>
      <c r="B213" s="34"/>
      <c r="C213" s="34"/>
      <c r="D213" s="44"/>
      <c r="E213" s="34"/>
    </row>
    <row r="214" customFormat="false" ht="19.5" hidden="false" customHeight="true" outlineLevel="0" collapsed="false">
      <c r="A214" s="31"/>
      <c r="B214" s="34"/>
      <c r="C214" s="34"/>
      <c r="D214" s="44"/>
      <c r="E214" s="34"/>
    </row>
    <row r="215" customFormat="false" ht="19.5" hidden="false" customHeight="true" outlineLevel="0" collapsed="false">
      <c r="A215" s="31"/>
      <c r="B215" s="34"/>
      <c r="C215" s="34"/>
      <c r="D215" s="44"/>
      <c r="E215" s="34"/>
    </row>
    <row r="216" customFormat="false" ht="19.5" hidden="false" customHeight="true" outlineLevel="0" collapsed="false">
      <c r="A216" s="31"/>
      <c r="B216" s="34"/>
      <c r="C216" s="34"/>
      <c r="D216" s="44"/>
      <c r="E216" s="34"/>
    </row>
    <row r="217" customFormat="false" ht="19.5" hidden="false" customHeight="true" outlineLevel="0" collapsed="false">
      <c r="A217" s="31"/>
      <c r="B217" s="34"/>
      <c r="C217" s="34"/>
      <c r="D217" s="44"/>
      <c r="E217" s="34"/>
    </row>
    <row r="218" customFormat="false" ht="19.5" hidden="false" customHeight="true" outlineLevel="0" collapsed="false">
      <c r="A218" s="31"/>
      <c r="B218" s="34"/>
      <c r="C218" s="34"/>
      <c r="D218" s="44"/>
      <c r="E218" s="34"/>
    </row>
    <row r="219" customFormat="false" ht="19.5" hidden="false" customHeight="true" outlineLevel="0" collapsed="false">
      <c r="A219" s="31"/>
      <c r="B219" s="34"/>
      <c r="C219" s="34"/>
      <c r="D219" s="44"/>
      <c r="E219" s="34"/>
    </row>
    <row r="220" customFormat="false" ht="19.5" hidden="false" customHeight="true" outlineLevel="0" collapsed="false">
      <c r="A220" s="31"/>
      <c r="B220" s="34"/>
      <c r="C220" s="34"/>
      <c r="D220" s="44"/>
      <c r="E220" s="34"/>
    </row>
    <row r="221" customFormat="false" ht="19.5" hidden="false" customHeight="true" outlineLevel="0" collapsed="false">
      <c r="A221" s="31"/>
      <c r="B221" s="34"/>
      <c r="C221" s="34"/>
      <c r="D221" s="44"/>
      <c r="E221" s="34"/>
    </row>
    <row r="222" customFormat="false" ht="19.5" hidden="false" customHeight="true" outlineLevel="0" collapsed="false">
      <c r="A222" s="31"/>
      <c r="B222" s="34"/>
      <c r="C222" s="34"/>
      <c r="D222" s="44"/>
      <c r="E222" s="34"/>
    </row>
    <row r="223" customFormat="false" ht="19.5" hidden="false" customHeight="true" outlineLevel="0" collapsed="false">
      <c r="A223" s="31"/>
      <c r="B223" s="34"/>
      <c r="C223" s="34"/>
      <c r="D223" s="44"/>
      <c r="E223" s="34"/>
    </row>
    <row r="224" customFormat="false" ht="19.5" hidden="false" customHeight="true" outlineLevel="0" collapsed="false">
      <c r="A224" s="31"/>
      <c r="B224" s="34"/>
      <c r="C224" s="34"/>
      <c r="D224" s="44"/>
      <c r="E224" s="34"/>
    </row>
    <row r="225" customFormat="false" ht="19.5" hidden="false" customHeight="true" outlineLevel="0" collapsed="false">
      <c r="A225" s="31"/>
      <c r="B225" s="34"/>
      <c r="C225" s="34"/>
      <c r="D225" s="44"/>
      <c r="E225" s="34"/>
    </row>
    <row r="226" customFormat="false" ht="19.5" hidden="false" customHeight="true" outlineLevel="0" collapsed="false">
      <c r="A226" s="31"/>
      <c r="B226" s="34"/>
      <c r="C226" s="34"/>
      <c r="D226" s="44"/>
      <c r="E226" s="34"/>
    </row>
    <row r="227" customFormat="false" ht="19.5" hidden="false" customHeight="true" outlineLevel="0" collapsed="false">
      <c r="A227" s="31"/>
      <c r="B227" s="34"/>
      <c r="C227" s="34"/>
      <c r="D227" s="44"/>
      <c r="E227" s="34"/>
    </row>
    <row r="228" customFormat="false" ht="19.5" hidden="false" customHeight="true" outlineLevel="0" collapsed="false">
      <c r="A228" s="31"/>
      <c r="B228" s="34"/>
      <c r="C228" s="34"/>
      <c r="D228" s="44"/>
      <c r="E228" s="34"/>
    </row>
    <row r="229" customFormat="false" ht="19.5" hidden="false" customHeight="true" outlineLevel="0" collapsed="false">
      <c r="A229" s="31"/>
      <c r="B229" s="34"/>
      <c r="C229" s="34"/>
      <c r="D229" s="44"/>
      <c r="E229" s="34"/>
    </row>
    <row r="230" customFormat="false" ht="19.5" hidden="false" customHeight="true" outlineLevel="0" collapsed="false">
      <c r="A230" s="31"/>
      <c r="B230" s="34"/>
      <c r="C230" s="34"/>
      <c r="D230" s="44"/>
      <c r="E230" s="34"/>
    </row>
    <row r="231" customFormat="false" ht="19.5" hidden="false" customHeight="true" outlineLevel="0" collapsed="false">
      <c r="A231" s="31"/>
      <c r="B231" s="34"/>
      <c r="C231" s="34"/>
      <c r="D231" s="44"/>
      <c r="E231" s="34"/>
    </row>
    <row r="232" customFormat="false" ht="19.5" hidden="false" customHeight="true" outlineLevel="0" collapsed="false">
      <c r="A232" s="31"/>
      <c r="B232" s="34"/>
      <c r="C232" s="34"/>
      <c r="D232" s="44"/>
      <c r="E232" s="34"/>
    </row>
    <row r="233" customFormat="false" ht="19.5" hidden="false" customHeight="true" outlineLevel="0" collapsed="false">
      <c r="A233" s="31"/>
      <c r="B233" s="34"/>
      <c r="C233" s="34"/>
      <c r="D233" s="44"/>
      <c r="E233" s="34"/>
    </row>
    <row r="234" customFormat="false" ht="19.5" hidden="false" customHeight="true" outlineLevel="0" collapsed="false">
      <c r="A234" s="31"/>
      <c r="B234" s="34"/>
      <c r="C234" s="34"/>
      <c r="D234" s="44"/>
      <c r="E234" s="34"/>
    </row>
    <row r="235" customFormat="false" ht="19.5" hidden="false" customHeight="true" outlineLevel="0" collapsed="false">
      <c r="A235" s="31"/>
      <c r="B235" s="34"/>
      <c r="C235" s="34"/>
      <c r="D235" s="44"/>
      <c r="E235" s="34"/>
    </row>
    <row r="236" customFormat="false" ht="19.5" hidden="false" customHeight="true" outlineLevel="0" collapsed="false">
      <c r="A236" s="31"/>
      <c r="B236" s="34"/>
      <c r="C236" s="34"/>
      <c r="D236" s="44"/>
      <c r="E236" s="34"/>
    </row>
    <row r="237" customFormat="false" ht="19.5" hidden="false" customHeight="true" outlineLevel="0" collapsed="false">
      <c r="A237" s="31"/>
      <c r="B237" s="34"/>
      <c r="C237" s="34"/>
      <c r="D237" s="44"/>
      <c r="E237" s="34"/>
    </row>
    <row r="238" customFormat="false" ht="19.5" hidden="false" customHeight="true" outlineLevel="0" collapsed="false">
      <c r="A238" s="31"/>
      <c r="B238" s="34"/>
      <c r="C238" s="34"/>
      <c r="D238" s="44"/>
      <c r="E238" s="34"/>
    </row>
    <row r="239" customFormat="false" ht="19.5" hidden="false" customHeight="true" outlineLevel="0" collapsed="false">
      <c r="A239" s="31"/>
      <c r="B239" s="34"/>
      <c r="C239" s="34"/>
      <c r="D239" s="44"/>
      <c r="E239" s="34"/>
    </row>
    <row r="240" customFormat="false" ht="19.5" hidden="false" customHeight="true" outlineLevel="0" collapsed="false">
      <c r="A240" s="31"/>
      <c r="B240" s="34"/>
      <c r="C240" s="34"/>
      <c r="D240" s="44"/>
      <c r="E240" s="34"/>
    </row>
    <row r="241" customFormat="false" ht="19.5" hidden="false" customHeight="true" outlineLevel="0" collapsed="false">
      <c r="A241" s="31"/>
      <c r="B241" s="34"/>
      <c r="C241" s="34"/>
      <c r="D241" s="44"/>
      <c r="E241" s="34"/>
    </row>
    <row r="242" customFormat="false" ht="19.5" hidden="false" customHeight="true" outlineLevel="0" collapsed="false">
      <c r="A242" s="31"/>
      <c r="B242" s="34"/>
      <c r="C242" s="34"/>
      <c r="D242" s="44"/>
      <c r="E242" s="34"/>
    </row>
    <row r="243" customFormat="false" ht="19.5" hidden="false" customHeight="true" outlineLevel="0" collapsed="false">
      <c r="A243" s="31"/>
      <c r="B243" s="34"/>
      <c r="C243" s="34"/>
      <c r="D243" s="44"/>
      <c r="E243" s="34"/>
    </row>
    <row r="244" customFormat="false" ht="19.5" hidden="false" customHeight="true" outlineLevel="0" collapsed="false">
      <c r="A244" s="31"/>
      <c r="B244" s="34"/>
      <c r="C244" s="34"/>
      <c r="D244" s="44"/>
      <c r="E244" s="34"/>
    </row>
    <row r="245" customFormat="false" ht="19.5" hidden="false" customHeight="true" outlineLevel="0" collapsed="false">
      <c r="A245" s="31"/>
      <c r="B245" s="34"/>
      <c r="C245" s="34"/>
      <c r="D245" s="44"/>
      <c r="E245" s="34"/>
    </row>
    <row r="246" customFormat="false" ht="19.5" hidden="false" customHeight="true" outlineLevel="0" collapsed="false">
      <c r="A246" s="31"/>
      <c r="B246" s="34"/>
      <c r="C246" s="34"/>
      <c r="D246" s="44"/>
      <c r="E246" s="34"/>
    </row>
    <row r="247" customFormat="false" ht="19.5" hidden="false" customHeight="true" outlineLevel="0" collapsed="false">
      <c r="A247" s="31"/>
      <c r="B247" s="34"/>
      <c r="C247" s="34"/>
      <c r="D247" s="44"/>
      <c r="E247" s="34"/>
    </row>
    <row r="248" customFormat="false" ht="19.5" hidden="false" customHeight="true" outlineLevel="0" collapsed="false">
      <c r="A248" s="31"/>
      <c r="B248" s="34"/>
      <c r="C248" s="34"/>
      <c r="D248" s="44"/>
      <c r="E248" s="34"/>
    </row>
    <row r="249" customFormat="false" ht="19.5" hidden="false" customHeight="true" outlineLevel="0" collapsed="false">
      <c r="A249" s="31"/>
      <c r="B249" s="34"/>
      <c r="C249" s="34"/>
      <c r="D249" s="44"/>
      <c r="E249" s="34"/>
    </row>
    <row r="250" customFormat="false" ht="19.5" hidden="false" customHeight="true" outlineLevel="0" collapsed="false">
      <c r="A250" s="31"/>
      <c r="B250" s="34"/>
      <c r="C250" s="34"/>
      <c r="D250" s="44"/>
      <c r="E250" s="34"/>
    </row>
    <row r="251" customFormat="false" ht="19.5" hidden="false" customHeight="true" outlineLevel="0" collapsed="false">
      <c r="A251" s="31"/>
      <c r="B251" s="34"/>
      <c r="C251" s="34"/>
      <c r="D251" s="44"/>
      <c r="E251" s="34"/>
    </row>
    <row r="252" customFormat="false" ht="19.5" hidden="false" customHeight="true" outlineLevel="0" collapsed="false">
      <c r="A252" s="31"/>
      <c r="B252" s="34"/>
      <c r="C252" s="34"/>
      <c r="D252" s="44"/>
      <c r="E252" s="34"/>
    </row>
    <row r="253" customFormat="false" ht="19.5" hidden="false" customHeight="true" outlineLevel="0" collapsed="false">
      <c r="A253" s="31"/>
      <c r="B253" s="34"/>
      <c r="C253" s="34"/>
      <c r="D253" s="44"/>
      <c r="E253" s="34"/>
    </row>
    <row r="254" customFormat="false" ht="19.5" hidden="false" customHeight="true" outlineLevel="0" collapsed="false">
      <c r="A254" s="31"/>
      <c r="B254" s="34"/>
      <c r="C254" s="34"/>
      <c r="D254" s="44"/>
      <c r="E254" s="34"/>
    </row>
    <row r="255" customFormat="false" ht="19.5" hidden="false" customHeight="true" outlineLevel="0" collapsed="false">
      <c r="A255" s="31"/>
      <c r="B255" s="34"/>
      <c r="C255" s="34"/>
      <c r="D255" s="44"/>
      <c r="E255" s="34"/>
    </row>
    <row r="256" customFormat="false" ht="19.5" hidden="false" customHeight="true" outlineLevel="0" collapsed="false">
      <c r="A256" s="31"/>
      <c r="B256" s="34"/>
      <c r="C256" s="34"/>
      <c r="D256" s="44"/>
      <c r="E256" s="34"/>
    </row>
    <row r="257" customFormat="false" ht="19.5" hidden="false" customHeight="true" outlineLevel="0" collapsed="false">
      <c r="A257" s="31"/>
      <c r="B257" s="34"/>
      <c r="C257" s="34"/>
      <c r="D257" s="44"/>
      <c r="E257" s="34"/>
    </row>
    <row r="258" customFormat="false" ht="19.5" hidden="false" customHeight="true" outlineLevel="0" collapsed="false">
      <c r="A258" s="31"/>
      <c r="B258" s="34"/>
      <c r="C258" s="34"/>
      <c r="D258" s="44"/>
      <c r="E258" s="34"/>
    </row>
    <row r="259" customFormat="false" ht="19.5" hidden="false" customHeight="true" outlineLevel="0" collapsed="false">
      <c r="A259" s="31"/>
      <c r="B259" s="34"/>
      <c r="C259" s="34"/>
      <c r="D259" s="44"/>
      <c r="E259" s="34"/>
    </row>
    <row r="260" customFormat="false" ht="19.5" hidden="false" customHeight="true" outlineLevel="0" collapsed="false">
      <c r="A260" s="31"/>
      <c r="B260" s="34"/>
      <c r="C260" s="34"/>
      <c r="D260" s="44"/>
      <c r="E260" s="34"/>
    </row>
    <row r="261" customFormat="false" ht="19.5" hidden="false" customHeight="true" outlineLevel="0" collapsed="false">
      <c r="A261" s="31"/>
      <c r="B261" s="34"/>
      <c r="C261" s="34"/>
      <c r="D261" s="44"/>
      <c r="E261" s="34"/>
    </row>
    <row r="262" customFormat="false" ht="19.5" hidden="false" customHeight="true" outlineLevel="0" collapsed="false">
      <c r="A262" s="31"/>
      <c r="B262" s="34"/>
      <c r="C262" s="34"/>
      <c r="D262" s="44"/>
      <c r="E262" s="34"/>
    </row>
    <row r="263" customFormat="false" ht="19.5" hidden="false" customHeight="true" outlineLevel="0" collapsed="false">
      <c r="A263" s="31"/>
      <c r="B263" s="34"/>
      <c r="C263" s="34"/>
      <c r="D263" s="44"/>
      <c r="E263" s="34"/>
    </row>
    <row r="264" customFormat="false" ht="19.5" hidden="false" customHeight="true" outlineLevel="0" collapsed="false">
      <c r="A264" s="31"/>
      <c r="B264" s="34"/>
      <c r="C264" s="34"/>
      <c r="D264" s="44"/>
      <c r="E264" s="34"/>
    </row>
    <row r="265" customFormat="false" ht="19.5" hidden="false" customHeight="true" outlineLevel="0" collapsed="false">
      <c r="A265" s="31"/>
      <c r="B265" s="34"/>
      <c r="C265" s="34"/>
      <c r="D265" s="44"/>
      <c r="E265" s="34"/>
    </row>
    <row r="266" customFormat="false" ht="19.5" hidden="false" customHeight="true" outlineLevel="0" collapsed="false">
      <c r="A266" s="31"/>
      <c r="B266" s="34"/>
      <c r="C266" s="34"/>
      <c r="D266" s="44"/>
      <c r="E266" s="34"/>
    </row>
    <row r="267" customFormat="false" ht="19.5" hidden="false" customHeight="true" outlineLevel="0" collapsed="false">
      <c r="A267" s="31"/>
      <c r="B267" s="34"/>
      <c r="C267" s="34"/>
      <c r="D267" s="44"/>
      <c r="E267" s="34"/>
    </row>
    <row r="268" customFormat="false" ht="19.5" hidden="false" customHeight="true" outlineLevel="0" collapsed="false">
      <c r="A268" s="31"/>
      <c r="B268" s="34"/>
      <c r="C268" s="34"/>
      <c r="D268" s="44"/>
      <c r="E268" s="34"/>
    </row>
    <row r="269" customFormat="false" ht="19.5" hidden="false" customHeight="true" outlineLevel="0" collapsed="false">
      <c r="A269" s="31"/>
      <c r="B269" s="34"/>
      <c r="C269" s="34"/>
      <c r="D269" s="44"/>
      <c r="E269" s="34"/>
    </row>
    <row r="270" customFormat="false" ht="19.5" hidden="false" customHeight="true" outlineLevel="0" collapsed="false">
      <c r="A270" s="31"/>
      <c r="B270" s="34"/>
      <c r="C270" s="34"/>
      <c r="D270" s="44"/>
      <c r="E270" s="34"/>
    </row>
    <row r="271" customFormat="false" ht="19.5" hidden="false" customHeight="true" outlineLevel="0" collapsed="false">
      <c r="A271" s="31"/>
      <c r="B271" s="34"/>
      <c r="C271" s="34"/>
      <c r="D271" s="44"/>
      <c r="E271" s="34"/>
    </row>
    <row r="272" customFormat="false" ht="19.5" hidden="false" customHeight="true" outlineLevel="0" collapsed="false">
      <c r="A272" s="31"/>
      <c r="B272" s="34"/>
      <c r="C272" s="34"/>
      <c r="D272" s="44"/>
      <c r="E272" s="34"/>
    </row>
    <row r="273" customFormat="false" ht="19.5" hidden="false" customHeight="true" outlineLevel="0" collapsed="false">
      <c r="A273" s="31"/>
      <c r="B273" s="34"/>
      <c r="C273" s="34"/>
      <c r="D273" s="44"/>
      <c r="E273" s="34"/>
    </row>
    <row r="274" customFormat="false" ht="19.5" hidden="false" customHeight="true" outlineLevel="0" collapsed="false">
      <c r="A274" s="31"/>
      <c r="B274" s="34"/>
      <c r="C274" s="34"/>
      <c r="D274" s="44"/>
      <c r="E274" s="34"/>
    </row>
    <row r="275" customFormat="false" ht="19.5" hidden="false" customHeight="true" outlineLevel="0" collapsed="false">
      <c r="A275" s="31"/>
      <c r="B275" s="34"/>
      <c r="C275" s="34"/>
      <c r="D275" s="44"/>
      <c r="E275" s="34"/>
    </row>
    <row r="276" customFormat="false" ht="19.5" hidden="false" customHeight="true" outlineLevel="0" collapsed="false">
      <c r="A276" s="31"/>
      <c r="B276" s="34"/>
      <c r="C276" s="34"/>
      <c r="D276" s="44"/>
      <c r="E276" s="34"/>
    </row>
    <row r="277" customFormat="false" ht="19.5" hidden="false" customHeight="true" outlineLevel="0" collapsed="false">
      <c r="A277" s="31"/>
      <c r="B277" s="34"/>
      <c r="C277" s="34"/>
      <c r="D277" s="44"/>
      <c r="E277" s="34"/>
    </row>
    <row r="278" customFormat="false" ht="19.5" hidden="false" customHeight="true" outlineLevel="0" collapsed="false">
      <c r="A278" s="31"/>
      <c r="B278" s="34"/>
      <c r="C278" s="34"/>
      <c r="D278" s="44"/>
      <c r="E278" s="34"/>
    </row>
    <row r="279" customFormat="false" ht="19.5" hidden="false" customHeight="true" outlineLevel="0" collapsed="false">
      <c r="A279" s="31"/>
      <c r="B279" s="34"/>
      <c r="C279" s="34"/>
      <c r="D279" s="44"/>
      <c r="E279" s="34"/>
    </row>
    <row r="280" customFormat="false" ht="19.5" hidden="false" customHeight="true" outlineLevel="0" collapsed="false">
      <c r="A280" s="31"/>
      <c r="B280" s="34"/>
      <c r="C280" s="34"/>
      <c r="D280" s="44"/>
      <c r="E280" s="34"/>
    </row>
    <row r="281" customFormat="false" ht="19.5" hidden="false" customHeight="true" outlineLevel="0" collapsed="false">
      <c r="A281" s="31"/>
      <c r="B281" s="34"/>
      <c r="C281" s="34"/>
      <c r="D281" s="44"/>
      <c r="E281" s="34"/>
    </row>
    <row r="282" customFormat="false" ht="19.5" hidden="false" customHeight="true" outlineLevel="0" collapsed="false">
      <c r="A282" s="31"/>
      <c r="B282" s="34"/>
      <c r="C282" s="34"/>
      <c r="D282" s="44"/>
      <c r="E282" s="34"/>
    </row>
    <row r="283" customFormat="false" ht="19.5" hidden="false" customHeight="true" outlineLevel="0" collapsed="false">
      <c r="A283" s="31"/>
      <c r="B283" s="34"/>
      <c r="C283" s="34"/>
      <c r="D283" s="44"/>
      <c r="E283" s="34"/>
    </row>
    <row r="284" customFormat="false" ht="19.5" hidden="false" customHeight="true" outlineLevel="0" collapsed="false">
      <c r="A284" s="31"/>
      <c r="B284" s="34"/>
      <c r="C284" s="34"/>
      <c r="D284" s="44"/>
      <c r="E284" s="34"/>
    </row>
    <row r="285" customFormat="false" ht="19.5" hidden="false" customHeight="true" outlineLevel="0" collapsed="false">
      <c r="A285" s="31"/>
      <c r="B285" s="34"/>
      <c r="C285" s="34"/>
      <c r="D285" s="44"/>
      <c r="E285" s="34"/>
    </row>
    <row r="286" customFormat="false" ht="19.5" hidden="false" customHeight="true" outlineLevel="0" collapsed="false">
      <c r="A286" s="31"/>
      <c r="B286" s="34"/>
      <c r="C286" s="34"/>
      <c r="D286" s="44"/>
      <c r="E286" s="34"/>
    </row>
    <row r="287" customFormat="false" ht="19.5" hidden="false" customHeight="true" outlineLevel="0" collapsed="false">
      <c r="A287" s="31"/>
      <c r="B287" s="34"/>
      <c r="C287" s="34"/>
      <c r="D287" s="44"/>
      <c r="E287" s="34"/>
    </row>
    <row r="288" customFormat="false" ht="19.5" hidden="false" customHeight="true" outlineLevel="0" collapsed="false">
      <c r="A288" s="31"/>
      <c r="B288" s="34"/>
      <c r="C288" s="34"/>
      <c r="D288" s="44"/>
      <c r="E288" s="34"/>
    </row>
    <row r="289" customFormat="false" ht="19.5" hidden="false" customHeight="true" outlineLevel="0" collapsed="false">
      <c r="A289" s="31"/>
      <c r="B289" s="34"/>
      <c r="C289" s="34"/>
      <c r="D289" s="44"/>
      <c r="E289" s="34"/>
    </row>
    <row r="290" customFormat="false" ht="19.5" hidden="false" customHeight="true" outlineLevel="0" collapsed="false">
      <c r="A290" s="31"/>
      <c r="B290" s="34"/>
      <c r="C290" s="34"/>
      <c r="D290" s="44"/>
      <c r="E290" s="34"/>
    </row>
    <row r="291" customFormat="false" ht="19.5" hidden="false" customHeight="true" outlineLevel="0" collapsed="false">
      <c r="A291" s="31"/>
      <c r="B291" s="34"/>
      <c r="C291" s="34"/>
      <c r="D291" s="44"/>
      <c r="E291" s="34"/>
    </row>
    <row r="292" customFormat="false" ht="19.5" hidden="false" customHeight="true" outlineLevel="0" collapsed="false">
      <c r="A292" s="31"/>
      <c r="B292" s="34"/>
      <c r="C292" s="34"/>
      <c r="D292" s="44"/>
      <c r="E292" s="34"/>
    </row>
    <row r="293" customFormat="false" ht="19.5" hidden="false" customHeight="true" outlineLevel="0" collapsed="false">
      <c r="A293" s="31"/>
      <c r="B293" s="34"/>
      <c r="C293" s="34"/>
      <c r="D293" s="44"/>
      <c r="E293" s="34"/>
    </row>
    <row r="294" customFormat="false" ht="19.5" hidden="false" customHeight="true" outlineLevel="0" collapsed="false">
      <c r="A294" s="31"/>
      <c r="B294" s="34"/>
      <c r="C294" s="34"/>
      <c r="D294" s="44"/>
      <c r="E294" s="34"/>
    </row>
    <row r="295" customFormat="false" ht="19.5" hidden="false" customHeight="true" outlineLevel="0" collapsed="false">
      <c r="A295" s="31"/>
      <c r="B295" s="34"/>
      <c r="C295" s="34"/>
      <c r="D295" s="44"/>
      <c r="E295" s="34"/>
    </row>
    <row r="296" customFormat="false" ht="19.5" hidden="false" customHeight="true" outlineLevel="0" collapsed="false">
      <c r="A296" s="31"/>
      <c r="B296" s="34"/>
      <c r="C296" s="34"/>
      <c r="D296" s="44"/>
      <c r="E296" s="34"/>
    </row>
    <row r="297" customFormat="false" ht="19.5" hidden="false" customHeight="true" outlineLevel="0" collapsed="false">
      <c r="A297" s="31"/>
      <c r="B297" s="34"/>
      <c r="C297" s="34"/>
      <c r="D297" s="44"/>
      <c r="E297" s="34"/>
    </row>
    <row r="298" customFormat="false" ht="19.5" hidden="false" customHeight="true" outlineLevel="0" collapsed="false">
      <c r="A298" s="31"/>
      <c r="B298" s="34"/>
      <c r="C298" s="34"/>
      <c r="D298" s="44"/>
      <c r="E298" s="34"/>
    </row>
    <row r="299" customFormat="false" ht="19.5" hidden="false" customHeight="true" outlineLevel="0" collapsed="false">
      <c r="A299" s="31"/>
      <c r="B299" s="34"/>
      <c r="C299" s="34"/>
      <c r="D299" s="44"/>
      <c r="E299" s="34"/>
    </row>
    <row r="300" customFormat="false" ht="19.5" hidden="false" customHeight="true" outlineLevel="0" collapsed="false">
      <c r="A300" s="31"/>
      <c r="B300" s="34"/>
      <c r="C300" s="34"/>
      <c r="D300" s="44"/>
      <c r="E300" s="34"/>
    </row>
    <row r="301" customFormat="false" ht="19.5" hidden="false" customHeight="true" outlineLevel="0" collapsed="false">
      <c r="A301" s="31"/>
      <c r="B301" s="34"/>
      <c r="C301" s="34"/>
      <c r="D301" s="44"/>
      <c r="E301" s="34"/>
    </row>
    <row r="302" customFormat="false" ht="19.5" hidden="false" customHeight="true" outlineLevel="0" collapsed="false">
      <c r="A302" s="31"/>
      <c r="B302" s="34"/>
      <c r="C302" s="34"/>
      <c r="D302" s="44"/>
      <c r="E302" s="34"/>
    </row>
    <row r="303" customFormat="false" ht="19.5" hidden="false" customHeight="true" outlineLevel="0" collapsed="false">
      <c r="A303" s="31"/>
      <c r="B303" s="34"/>
      <c r="C303" s="34"/>
      <c r="D303" s="44"/>
      <c r="E303" s="34"/>
    </row>
    <row r="304" customFormat="false" ht="19.5" hidden="false" customHeight="true" outlineLevel="0" collapsed="false">
      <c r="A304" s="31"/>
      <c r="B304" s="34"/>
      <c r="C304" s="34"/>
      <c r="D304" s="44"/>
      <c r="E304" s="34"/>
    </row>
    <row r="305" customFormat="false" ht="19.5" hidden="false" customHeight="true" outlineLevel="0" collapsed="false">
      <c r="A305" s="31"/>
      <c r="B305" s="34"/>
      <c r="C305" s="34"/>
      <c r="D305" s="44"/>
      <c r="E305" s="34"/>
    </row>
    <row r="307" customFormat="false" ht="15" hidden="false" customHeight="false" outlineLevel="0" collapsed="false">
      <c r="E307" s="41" t="s">
        <v>79</v>
      </c>
    </row>
  </sheetData>
  <mergeCells count="3">
    <mergeCell ref="A1:E1"/>
    <mergeCell ref="A2:E2"/>
    <mergeCell ref="A3:E3"/>
  </mergeCells>
  <dataValidations count="2">
    <dataValidation allowBlank="true" errorStyle="stop" operator="between" showDropDown="false" showErrorMessage="false" showInputMessage="false" sqref="B6:B305" type="list">
      <formula1>"عمر المصري,عبدالعزيز,المدير"</formula1>
      <formula2>0</formula2>
    </dataValidation>
    <dataValidation allowBlank="true" errorStyle="stop" operator="between" showDropDown="false" showErrorMessage="false" showInputMessage="false" sqref="C6:C305" type="list">
      <formula1>"سلفة,دين,بضاعة,دفع,تسديد,رصيد سابق له,رصيد سابق عليه"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30"/>
  </cols>
  <sheetData>
    <row r="1" customFormat="false" ht="30" hidden="false" customHeight="true" outlineLevel="0" collapsed="false">
      <c r="A1" s="47" t="s">
        <v>80</v>
      </c>
      <c r="B1" s="47"/>
      <c r="C1" s="47"/>
      <c r="D1" s="47"/>
      <c r="E1" s="47"/>
      <c r="F1" s="47"/>
      <c r="G1" s="47"/>
    </row>
    <row r="2" customFormat="false" ht="36" hidden="false" customHeight="true" outlineLevel="0" collapsed="false">
      <c r="A2" s="29" t="s">
        <v>81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30" t="s">
        <v>55</v>
      </c>
      <c r="B3" s="30"/>
      <c r="C3" s="30"/>
      <c r="D3" s="30"/>
      <c r="E3" s="30"/>
      <c r="F3" s="30"/>
      <c r="G3" s="30"/>
    </row>
    <row r="5" customFormat="false" ht="31.5" hidden="false" customHeight="true" outlineLevel="0" collapsed="false">
      <c r="A5" s="48" t="s">
        <v>56</v>
      </c>
      <c r="B5" s="48" t="s">
        <v>82</v>
      </c>
      <c r="C5" s="48" t="s">
        <v>83</v>
      </c>
      <c r="D5" s="48" t="s">
        <v>84</v>
      </c>
      <c r="E5" s="48" t="s">
        <v>85</v>
      </c>
      <c r="F5" s="48" t="s">
        <v>86</v>
      </c>
      <c r="G5" s="48" t="s">
        <v>65</v>
      </c>
    </row>
    <row r="6" customFormat="false" ht="19.5" hidden="false" customHeight="true" outlineLevel="0" collapsed="false">
      <c r="A6" s="31"/>
      <c r="B6" s="34"/>
      <c r="C6" s="34"/>
      <c r="D6" s="44"/>
      <c r="E6" s="34"/>
      <c r="F6" s="31"/>
      <c r="G6" s="34"/>
    </row>
    <row r="7" customFormat="false" ht="19.5" hidden="false" customHeight="true" outlineLevel="0" collapsed="false">
      <c r="A7" s="31"/>
      <c r="B7" s="34"/>
      <c r="C7" s="34"/>
      <c r="D7" s="44"/>
      <c r="E7" s="34"/>
      <c r="F7" s="31"/>
      <c r="G7" s="34"/>
    </row>
    <row r="8" customFormat="false" ht="19.5" hidden="false" customHeight="true" outlineLevel="0" collapsed="false">
      <c r="A8" s="31"/>
      <c r="B8" s="34"/>
      <c r="C8" s="34"/>
      <c r="D8" s="44"/>
      <c r="E8" s="34"/>
      <c r="F8" s="31"/>
      <c r="G8" s="34"/>
    </row>
    <row r="9" customFormat="false" ht="19.5" hidden="false" customHeight="true" outlineLevel="0" collapsed="false">
      <c r="A9" s="31"/>
      <c r="B9" s="34"/>
      <c r="C9" s="34"/>
      <c r="D9" s="44"/>
      <c r="E9" s="34"/>
      <c r="F9" s="31"/>
      <c r="G9" s="34"/>
    </row>
    <row r="10" customFormat="false" ht="19.5" hidden="false" customHeight="true" outlineLevel="0" collapsed="false">
      <c r="A10" s="31"/>
      <c r="B10" s="34"/>
      <c r="C10" s="34"/>
      <c r="D10" s="44"/>
      <c r="E10" s="34"/>
      <c r="F10" s="31"/>
      <c r="G10" s="34"/>
    </row>
    <row r="11" customFormat="false" ht="19.5" hidden="false" customHeight="true" outlineLevel="0" collapsed="false">
      <c r="A11" s="31"/>
      <c r="B11" s="34"/>
      <c r="C11" s="34"/>
      <c r="D11" s="44"/>
      <c r="E11" s="34"/>
      <c r="F11" s="31"/>
      <c r="G11" s="34"/>
    </row>
    <row r="12" customFormat="false" ht="19.5" hidden="false" customHeight="true" outlineLevel="0" collapsed="false">
      <c r="A12" s="31"/>
      <c r="B12" s="34"/>
      <c r="C12" s="34"/>
      <c r="D12" s="44"/>
      <c r="E12" s="34"/>
      <c r="F12" s="31"/>
      <c r="G12" s="34"/>
    </row>
    <row r="13" customFormat="false" ht="19.5" hidden="false" customHeight="true" outlineLevel="0" collapsed="false">
      <c r="A13" s="31"/>
      <c r="B13" s="34"/>
      <c r="C13" s="34"/>
      <c r="D13" s="44"/>
      <c r="E13" s="34"/>
      <c r="F13" s="31"/>
      <c r="G13" s="34"/>
    </row>
    <row r="14" customFormat="false" ht="19.5" hidden="false" customHeight="true" outlineLevel="0" collapsed="false">
      <c r="A14" s="31"/>
      <c r="B14" s="34"/>
      <c r="C14" s="34"/>
      <c r="D14" s="44"/>
      <c r="E14" s="34"/>
      <c r="F14" s="31"/>
      <c r="G14" s="34"/>
    </row>
    <row r="15" customFormat="false" ht="19.5" hidden="false" customHeight="true" outlineLevel="0" collapsed="false">
      <c r="A15" s="31"/>
      <c r="B15" s="34"/>
      <c r="C15" s="34"/>
      <c r="D15" s="44"/>
      <c r="E15" s="34"/>
      <c r="F15" s="31"/>
      <c r="G15" s="34"/>
    </row>
    <row r="16" customFormat="false" ht="19.5" hidden="false" customHeight="true" outlineLevel="0" collapsed="false">
      <c r="A16" s="31"/>
      <c r="B16" s="34"/>
      <c r="C16" s="34"/>
      <c r="D16" s="44"/>
      <c r="E16" s="34"/>
      <c r="F16" s="31"/>
      <c r="G16" s="34"/>
    </row>
    <row r="17" customFormat="false" ht="19.5" hidden="false" customHeight="true" outlineLevel="0" collapsed="false">
      <c r="A17" s="31"/>
      <c r="B17" s="34"/>
      <c r="C17" s="34"/>
      <c r="D17" s="44"/>
      <c r="E17" s="34"/>
      <c r="F17" s="31"/>
      <c r="G17" s="34"/>
    </row>
    <row r="18" customFormat="false" ht="19.5" hidden="false" customHeight="true" outlineLevel="0" collapsed="false">
      <c r="A18" s="31"/>
      <c r="B18" s="34"/>
      <c r="C18" s="34"/>
      <c r="D18" s="44"/>
      <c r="E18" s="34"/>
      <c r="F18" s="31"/>
      <c r="G18" s="34"/>
    </row>
    <row r="19" customFormat="false" ht="19.5" hidden="false" customHeight="true" outlineLevel="0" collapsed="false">
      <c r="A19" s="31"/>
      <c r="B19" s="34"/>
      <c r="C19" s="34"/>
      <c r="D19" s="44"/>
      <c r="E19" s="34"/>
      <c r="F19" s="31"/>
      <c r="G19" s="34"/>
    </row>
    <row r="20" customFormat="false" ht="19.5" hidden="false" customHeight="true" outlineLevel="0" collapsed="false">
      <c r="A20" s="31"/>
      <c r="B20" s="34"/>
      <c r="C20" s="34"/>
      <c r="D20" s="44"/>
      <c r="E20" s="34"/>
      <c r="F20" s="31"/>
      <c r="G20" s="34"/>
    </row>
    <row r="21" customFormat="false" ht="19.5" hidden="false" customHeight="true" outlineLevel="0" collapsed="false">
      <c r="A21" s="31"/>
      <c r="B21" s="34"/>
      <c r="C21" s="34"/>
      <c r="D21" s="44"/>
      <c r="E21" s="34"/>
      <c r="F21" s="31"/>
      <c r="G21" s="34"/>
    </row>
    <row r="22" customFormat="false" ht="19.5" hidden="false" customHeight="true" outlineLevel="0" collapsed="false">
      <c r="A22" s="31"/>
      <c r="B22" s="34"/>
      <c r="C22" s="34"/>
      <c r="D22" s="44"/>
      <c r="E22" s="34"/>
      <c r="F22" s="31"/>
      <c r="G22" s="34"/>
    </row>
    <row r="23" customFormat="false" ht="19.5" hidden="false" customHeight="true" outlineLevel="0" collapsed="false">
      <c r="A23" s="31"/>
      <c r="B23" s="34"/>
      <c r="C23" s="34"/>
      <c r="D23" s="44"/>
      <c r="E23" s="34"/>
      <c r="F23" s="31"/>
      <c r="G23" s="34"/>
    </row>
    <row r="24" customFormat="false" ht="19.5" hidden="false" customHeight="true" outlineLevel="0" collapsed="false">
      <c r="A24" s="31"/>
      <c r="B24" s="34"/>
      <c r="C24" s="34"/>
      <c r="D24" s="44"/>
      <c r="E24" s="34"/>
      <c r="F24" s="31"/>
      <c r="G24" s="34"/>
    </row>
    <row r="25" customFormat="false" ht="19.5" hidden="false" customHeight="true" outlineLevel="0" collapsed="false">
      <c r="A25" s="31"/>
      <c r="B25" s="34"/>
      <c r="C25" s="34"/>
      <c r="D25" s="44"/>
      <c r="E25" s="34"/>
      <c r="F25" s="31"/>
      <c r="G25" s="34"/>
    </row>
    <row r="26" customFormat="false" ht="19.5" hidden="false" customHeight="true" outlineLevel="0" collapsed="false">
      <c r="A26" s="31"/>
      <c r="B26" s="34"/>
      <c r="C26" s="34"/>
      <c r="D26" s="44"/>
      <c r="E26" s="34"/>
      <c r="F26" s="31"/>
      <c r="G26" s="34"/>
    </row>
    <row r="27" customFormat="false" ht="19.5" hidden="false" customHeight="true" outlineLevel="0" collapsed="false">
      <c r="A27" s="31"/>
      <c r="B27" s="34"/>
      <c r="C27" s="34"/>
      <c r="D27" s="44"/>
      <c r="E27" s="34"/>
      <c r="F27" s="31"/>
      <c r="G27" s="34"/>
    </row>
    <row r="28" customFormat="false" ht="19.5" hidden="false" customHeight="true" outlineLevel="0" collapsed="false">
      <c r="A28" s="31"/>
      <c r="B28" s="34"/>
      <c r="C28" s="34"/>
      <c r="D28" s="44"/>
      <c r="E28" s="34"/>
      <c r="F28" s="31"/>
      <c r="G28" s="34"/>
    </row>
    <row r="29" customFormat="false" ht="19.5" hidden="false" customHeight="true" outlineLevel="0" collapsed="false">
      <c r="A29" s="31"/>
      <c r="B29" s="34"/>
      <c r="C29" s="34"/>
      <c r="D29" s="44"/>
      <c r="E29" s="34"/>
      <c r="F29" s="31"/>
      <c r="G29" s="34"/>
    </row>
    <row r="30" customFormat="false" ht="19.5" hidden="false" customHeight="true" outlineLevel="0" collapsed="false">
      <c r="A30" s="31"/>
      <c r="B30" s="34"/>
      <c r="C30" s="34"/>
      <c r="D30" s="44"/>
      <c r="E30" s="34"/>
      <c r="F30" s="31"/>
      <c r="G30" s="34"/>
    </row>
    <row r="31" customFormat="false" ht="19.5" hidden="false" customHeight="true" outlineLevel="0" collapsed="false">
      <c r="A31" s="31"/>
      <c r="B31" s="34"/>
      <c r="C31" s="34"/>
      <c r="D31" s="44"/>
      <c r="E31" s="34"/>
      <c r="F31" s="31"/>
      <c r="G31" s="34"/>
    </row>
    <row r="32" customFormat="false" ht="19.5" hidden="false" customHeight="true" outlineLevel="0" collapsed="false">
      <c r="A32" s="31"/>
      <c r="B32" s="34"/>
      <c r="C32" s="34"/>
      <c r="D32" s="44"/>
      <c r="E32" s="34"/>
      <c r="F32" s="31"/>
      <c r="G32" s="34"/>
    </row>
    <row r="33" customFormat="false" ht="19.5" hidden="false" customHeight="true" outlineLevel="0" collapsed="false">
      <c r="A33" s="31"/>
      <c r="B33" s="34"/>
      <c r="C33" s="34"/>
      <c r="D33" s="44"/>
      <c r="E33" s="34"/>
      <c r="F33" s="31"/>
      <c r="G33" s="34"/>
    </row>
    <row r="34" customFormat="false" ht="19.5" hidden="false" customHeight="true" outlineLevel="0" collapsed="false">
      <c r="A34" s="31"/>
      <c r="B34" s="34"/>
      <c r="C34" s="34"/>
      <c r="D34" s="44"/>
      <c r="E34" s="34"/>
      <c r="F34" s="31"/>
      <c r="G34" s="34"/>
    </row>
    <row r="35" customFormat="false" ht="19.5" hidden="false" customHeight="true" outlineLevel="0" collapsed="false">
      <c r="A35" s="31"/>
      <c r="B35" s="34"/>
      <c r="C35" s="34"/>
      <c r="D35" s="44"/>
      <c r="E35" s="34"/>
      <c r="F35" s="31"/>
      <c r="G35" s="34"/>
    </row>
    <row r="36" customFormat="false" ht="19.5" hidden="false" customHeight="true" outlineLevel="0" collapsed="false">
      <c r="A36" s="31"/>
      <c r="B36" s="34"/>
      <c r="C36" s="34"/>
      <c r="D36" s="44"/>
      <c r="E36" s="34"/>
      <c r="F36" s="31"/>
      <c r="G36" s="34"/>
    </row>
    <row r="37" customFormat="false" ht="19.5" hidden="false" customHeight="true" outlineLevel="0" collapsed="false">
      <c r="A37" s="31"/>
      <c r="B37" s="34"/>
      <c r="C37" s="34"/>
      <c r="D37" s="44"/>
      <c r="E37" s="34"/>
      <c r="F37" s="31"/>
      <c r="G37" s="34"/>
    </row>
    <row r="38" customFormat="false" ht="19.5" hidden="false" customHeight="true" outlineLevel="0" collapsed="false">
      <c r="A38" s="31"/>
      <c r="B38" s="34"/>
      <c r="C38" s="34"/>
      <c r="D38" s="44"/>
      <c r="E38" s="34"/>
      <c r="F38" s="31"/>
      <c r="G38" s="34"/>
    </row>
    <row r="39" customFormat="false" ht="19.5" hidden="false" customHeight="true" outlineLevel="0" collapsed="false">
      <c r="A39" s="31"/>
      <c r="B39" s="34"/>
      <c r="C39" s="34"/>
      <c r="D39" s="44"/>
      <c r="E39" s="34"/>
      <c r="F39" s="31"/>
      <c r="G39" s="34"/>
    </row>
    <row r="40" customFormat="false" ht="19.5" hidden="false" customHeight="true" outlineLevel="0" collapsed="false">
      <c r="A40" s="31"/>
      <c r="B40" s="34"/>
      <c r="C40" s="34"/>
      <c r="D40" s="44"/>
      <c r="E40" s="34"/>
      <c r="F40" s="31"/>
      <c r="G40" s="34"/>
    </row>
    <row r="41" customFormat="false" ht="19.5" hidden="false" customHeight="true" outlineLevel="0" collapsed="false">
      <c r="A41" s="31"/>
      <c r="B41" s="34"/>
      <c r="C41" s="34"/>
      <c r="D41" s="44"/>
      <c r="E41" s="34"/>
      <c r="F41" s="31"/>
      <c r="G41" s="34"/>
    </row>
    <row r="42" customFormat="false" ht="19.5" hidden="false" customHeight="true" outlineLevel="0" collapsed="false">
      <c r="A42" s="31"/>
      <c r="B42" s="34"/>
      <c r="C42" s="34"/>
      <c r="D42" s="44"/>
      <c r="E42" s="34"/>
      <c r="F42" s="31"/>
      <c r="G42" s="34"/>
    </row>
    <row r="43" customFormat="false" ht="19.5" hidden="false" customHeight="true" outlineLevel="0" collapsed="false">
      <c r="A43" s="31"/>
      <c r="B43" s="34"/>
      <c r="C43" s="34"/>
      <c r="D43" s="44"/>
      <c r="E43" s="34"/>
      <c r="F43" s="31"/>
      <c r="G43" s="34"/>
    </row>
    <row r="44" customFormat="false" ht="19.5" hidden="false" customHeight="true" outlineLevel="0" collapsed="false">
      <c r="A44" s="31"/>
      <c r="B44" s="34"/>
      <c r="C44" s="34"/>
      <c r="D44" s="44"/>
      <c r="E44" s="34"/>
      <c r="F44" s="31"/>
      <c r="G44" s="34"/>
    </row>
    <row r="45" customFormat="false" ht="19.5" hidden="false" customHeight="true" outlineLevel="0" collapsed="false">
      <c r="A45" s="31"/>
      <c r="B45" s="34"/>
      <c r="C45" s="34"/>
      <c r="D45" s="44"/>
      <c r="E45" s="34"/>
      <c r="F45" s="31"/>
      <c r="G45" s="34"/>
    </row>
    <row r="46" customFormat="false" ht="19.5" hidden="false" customHeight="true" outlineLevel="0" collapsed="false">
      <c r="A46" s="31"/>
      <c r="B46" s="34"/>
      <c r="C46" s="34"/>
      <c r="D46" s="44"/>
      <c r="E46" s="34"/>
      <c r="F46" s="31"/>
      <c r="G46" s="34"/>
    </row>
    <row r="47" customFormat="false" ht="19.5" hidden="false" customHeight="true" outlineLevel="0" collapsed="false">
      <c r="A47" s="31"/>
      <c r="B47" s="34"/>
      <c r="C47" s="34"/>
      <c r="D47" s="44"/>
      <c r="E47" s="34"/>
      <c r="F47" s="31"/>
      <c r="G47" s="34"/>
    </row>
    <row r="48" customFormat="false" ht="19.5" hidden="false" customHeight="true" outlineLevel="0" collapsed="false">
      <c r="A48" s="31"/>
      <c r="B48" s="34"/>
      <c r="C48" s="34"/>
      <c r="D48" s="44"/>
      <c r="E48" s="34"/>
      <c r="F48" s="31"/>
      <c r="G48" s="34"/>
    </row>
    <row r="49" customFormat="false" ht="19.5" hidden="false" customHeight="true" outlineLevel="0" collapsed="false">
      <c r="A49" s="31"/>
      <c r="B49" s="34"/>
      <c r="C49" s="34"/>
      <c r="D49" s="44"/>
      <c r="E49" s="34"/>
      <c r="F49" s="31"/>
      <c r="G49" s="34"/>
    </row>
    <row r="50" customFormat="false" ht="19.5" hidden="false" customHeight="true" outlineLevel="0" collapsed="false">
      <c r="A50" s="31"/>
      <c r="B50" s="34"/>
      <c r="C50" s="34"/>
      <c r="D50" s="44"/>
      <c r="E50" s="34"/>
      <c r="F50" s="31"/>
      <c r="G50" s="34"/>
    </row>
    <row r="51" customFormat="false" ht="19.5" hidden="false" customHeight="true" outlineLevel="0" collapsed="false">
      <c r="A51" s="31"/>
      <c r="B51" s="34"/>
      <c r="C51" s="34"/>
      <c r="D51" s="44"/>
      <c r="E51" s="34"/>
      <c r="F51" s="31"/>
      <c r="G51" s="34"/>
    </row>
    <row r="52" customFormat="false" ht="19.5" hidden="false" customHeight="true" outlineLevel="0" collapsed="false">
      <c r="A52" s="31"/>
      <c r="B52" s="34"/>
      <c r="C52" s="34"/>
      <c r="D52" s="44"/>
      <c r="E52" s="34"/>
      <c r="F52" s="31"/>
      <c r="G52" s="34"/>
    </row>
    <row r="53" customFormat="false" ht="19.5" hidden="false" customHeight="true" outlineLevel="0" collapsed="false">
      <c r="A53" s="31"/>
      <c r="B53" s="34"/>
      <c r="C53" s="34"/>
      <c r="D53" s="44"/>
      <c r="E53" s="34"/>
      <c r="F53" s="31"/>
      <c r="G53" s="34"/>
    </row>
    <row r="54" customFormat="false" ht="19.5" hidden="false" customHeight="true" outlineLevel="0" collapsed="false">
      <c r="A54" s="31"/>
      <c r="B54" s="34"/>
      <c r="C54" s="34"/>
      <c r="D54" s="44"/>
      <c r="E54" s="34"/>
      <c r="F54" s="31"/>
      <c r="G54" s="34"/>
    </row>
    <row r="55" customFormat="false" ht="19.5" hidden="false" customHeight="true" outlineLevel="0" collapsed="false">
      <c r="A55" s="31"/>
      <c r="B55" s="34"/>
      <c r="C55" s="34"/>
      <c r="D55" s="44"/>
      <c r="E55" s="34"/>
      <c r="F55" s="31"/>
      <c r="G55" s="34"/>
    </row>
    <row r="56" customFormat="false" ht="19.5" hidden="false" customHeight="true" outlineLevel="0" collapsed="false">
      <c r="A56" s="31"/>
      <c r="B56" s="34"/>
      <c r="C56" s="34"/>
      <c r="D56" s="44"/>
      <c r="E56" s="34"/>
      <c r="F56" s="31"/>
      <c r="G56" s="34"/>
    </row>
    <row r="57" customFormat="false" ht="19.5" hidden="false" customHeight="true" outlineLevel="0" collapsed="false">
      <c r="A57" s="31"/>
      <c r="B57" s="34"/>
      <c r="C57" s="34"/>
      <c r="D57" s="44"/>
      <c r="E57" s="34"/>
      <c r="F57" s="31"/>
      <c r="G57" s="34"/>
    </row>
    <row r="58" customFormat="false" ht="19.5" hidden="false" customHeight="true" outlineLevel="0" collapsed="false">
      <c r="A58" s="31"/>
      <c r="B58" s="34"/>
      <c r="C58" s="34"/>
      <c r="D58" s="44"/>
      <c r="E58" s="34"/>
      <c r="F58" s="31"/>
      <c r="G58" s="34"/>
    </row>
    <row r="59" customFormat="false" ht="19.5" hidden="false" customHeight="true" outlineLevel="0" collapsed="false">
      <c r="A59" s="31"/>
      <c r="B59" s="34"/>
      <c r="C59" s="34"/>
      <c r="D59" s="44"/>
      <c r="E59" s="34"/>
      <c r="F59" s="31"/>
      <c r="G59" s="34"/>
    </row>
    <row r="60" customFormat="false" ht="19.5" hidden="false" customHeight="true" outlineLevel="0" collapsed="false">
      <c r="A60" s="31"/>
      <c r="B60" s="34"/>
      <c r="C60" s="34"/>
      <c r="D60" s="44"/>
      <c r="E60" s="34"/>
      <c r="F60" s="31"/>
      <c r="G60" s="34"/>
    </row>
    <row r="61" customFormat="false" ht="19.5" hidden="false" customHeight="true" outlineLevel="0" collapsed="false">
      <c r="A61" s="31"/>
      <c r="B61" s="34"/>
      <c r="C61" s="34"/>
      <c r="D61" s="44"/>
      <c r="E61" s="34"/>
      <c r="F61" s="31"/>
      <c r="G61" s="34"/>
    </row>
    <row r="62" customFormat="false" ht="19.5" hidden="false" customHeight="true" outlineLevel="0" collapsed="false">
      <c r="A62" s="31"/>
      <c r="B62" s="34"/>
      <c r="C62" s="34"/>
      <c r="D62" s="44"/>
      <c r="E62" s="34"/>
      <c r="F62" s="31"/>
      <c r="G62" s="34"/>
    </row>
    <row r="63" customFormat="false" ht="19.5" hidden="false" customHeight="true" outlineLevel="0" collapsed="false">
      <c r="A63" s="31"/>
      <c r="B63" s="34"/>
      <c r="C63" s="34"/>
      <c r="D63" s="44"/>
      <c r="E63" s="34"/>
      <c r="F63" s="31"/>
      <c r="G63" s="34"/>
    </row>
    <row r="64" customFormat="false" ht="19.5" hidden="false" customHeight="true" outlineLevel="0" collapsed="false">
      <c r="A64" s="31"/>
      <c r="B64" s="34"/>
      <c r="C64" s="34"/>
      <c r="D64" s="44"/>
      <c r="E64" s="34"/>
      <c r="F64" s="31"/>
      <c r="G64" s="34"/>
    </row>
    <row r="65" customFormat="false" ht="19.5" hidden="false" customHeight="true" outlineLevel="0" collapsed="false">
      <c r="A65" s="31"/>
      <c r="B65" s="34"/>
      <c r="C65" s="34"/>
      <c r="D65" s="44"/>
      <c r="E65" s="34"/>
      <c r="F65" s="31"/>
      <c r="G65" s="34"/>
    </row>
    <row r="66" customFormat="false" ht="19.5" hidden="false" customHeight="true" outlineLevel="0" collapsed="false">
      <c r="A66" s="31"/>
      <c r="B66" s="34"/>
      <c r="C66" s="34"/>
      <c r="D66" s="44"/>
      <c r="E66" s="34"/>
      <c r="F66" s="31"/>
      <c r="G66" s="34"/>
    </row>
    <row r="67" customFormat="false" ht="19.5" hidden="false" customHeight="true" outlineLevel="0" collapsed="false">
      <c r="A67" s="31"/>
      <c r="B67" s="34"/>
      <c r="C67" s="34"/>
      <c r="D67" s="44"/>
      <c r="E67" s="34"/>
      <c r="F67" s="31"/>
      <c r="G67" s="34"/>
    </row>
    <row r="68" customFormat="false" ht="19.5" hidden="false" customHeight="true" outlineLevel="0" collapsed="false">
      <c r="A68" s="31"/>
      <c r="B68" s="34"/>
      <c r="C68" s="34"/>
      <c r="D68" s="44"/>
      <c r="E68" s="34"/>
      <c r="F68" s="31"/>
      <c r="G68" s="34"/>
    </row>
    <row r="69" customFormat="false" ht="19.5" hidden="false" customHeight="true" outlineLevel="0" collapsed="false">
      <c r="A69" s="31"/>
      <c r="B69" s="34"/>
      <c r="C69" s="34"/>
      <c r="D69" s="44"/>
      <c r="E69" s="34"/>
      <c r="F69" s="31"/>
      <c r="G69" s="34"/>
    </row>
    <row r="70" customFormat="false" ht="19.5" hidden="false" customHeight="true" outlineLevel="0" collapsed="false">
      <c r="A70" s="31"/>
      <c r="B70" s="34"/>
      <c r="C70" s="34"/>
      <c r="D70" s="44"/>
      <c r="E70" s="34"/>
      <c r="F70" s="31"/>
      <c r="G70" s="34"/>
    </row>
    <row r="71" customFormat="false" ht="19.5" hidden="false" customHeight="true" outlineLevel="0" collapsed="false">
      <c r="A71" s="31"/>
      <c r="B71" s="34"/>
      <c r="C71" s="34"/>
      <c r="D71" s="44"/>
      <c r="E71" s="34"/>
      <c r="F71" s="31"/>
      <c r="G71" s="34"/>
    </row>
    <row r="72" customFormat="false" ht="19.5" hidden="false" customHeight="true" outlineLevel="0" collapsed="false">
      <c r="A72" s="31"/>
      <c r="B72" s="34"/>
      <c r="C72" s="34"/>
      <c r="D72" s="44"/>
      <c r="E72" s="34"/>
      <c r="F72" s="31"/>
      <c r="G72" s="34"/>
    </row>
    <row r="73" customFormat="false" ht="19.5" hidden="false" customHeight="true" outlineLevel="0" collapsed="false">
      <c r="A73" s="31"/>
      <c r="B73" s="34"/>
      <c r="C73" s="34"/>
      <c r="D73" s="44"/>
      <c r="E73" s="34"/>
      <c r="F73" s="31"/>
      <c r="G73" s="34"/>
    </row>
    <row r="74" customFormat="false" ht="19.5" hidden="false" customHeight="true" outlineLevel="0" collapsed="false">
      <c r="A74" s="31"/>
      <c r="B74" s="34"/>
      <c r="C74" s="34"/>
      <c r="D74" s="44"/>
      <c r="E74" s="34"/>
      <c r="F74" s="31"/>
      <c r="G74" s="34"/>
    </row>
    <row r="75" customFormat="false" ht="19.5" hidden="false" customHeight="true" outlineLevel="0" collapsed="false">
      <c r="A75" s="31"/>
      <c r="B75" s="34"/>
      <c r="C75" s="34"/>
      <c r="D75" s="44"/>
      <c r="E75" s="34"/>
      <c r="F75" s="31"/>
      <c r="G75" s="34"/>
    </row>
    <row r="76" customFormat="false" ht="19.5" hidden="false" customHeight="true" outlineLevel="0" collapsed="false">
      <c r="A76" s="31"/>
      <c r="B76" s="34"/>
      <c r="C76" s="34"/>
      <c r="D76" s="44"/>
      <c r="E76" s="34"/>
      <c r="F76" s="31"/>
      <c r="G76" s="34"/>
    </row>
    <row r="77" customFormat="false" ht="19.5" hidden="false" customHeight="true" outlineLevel="0" collapsed="false">
      <c r="A77" s="31"/>
      <c r="B77" s="34"/>
      <c r="C77" s="34"/>
      <c r="D77" s="44"/>
      <c r="E77" s="34"/>
      <c r="F77" s="31"/>
      <c r="G77" s="34"/>
    </row>
    <row r="78" customFormat="false" ht="19.5" hidden="false" customHeight="true" outlineLevel="0" collapsed="false">
      <c r="A78" s="31"/>
      <c r="B78" s="34"/>
      <c r="C78" s="34"/>
      <c r="D78" s="44"/>
      <c r="E78" s="34"/>
      <c r="F78" s="31"/>
      <c r="G78" s="34"/>
    </row>
    <row r="79" customFormat="false" ht="19.5" hidden="false" customHeight="true" outlineLevel="0" collapsed="false">
      <c r="A79" s="31"/>
      <c r="B79" s="34"/>
      <c r="C79" s="34"/>
      <c r="D79" s="44"/>
      <c r="E79" s="34"/>
      <c r="F79" s="31"/>
      <c r="G79" s="34"/>
    </row>
    <row r="80" customFormat="false" ht="19.5" hidden="false" customHeight="true" outlineLevel="0" collapsed="false">
      <c r="A80" s="31"/>
      <c r="B80" s="34"/>
      <c r="C80" s="34"/>
      <c r="D80" s="44"/>
      <c r="E80" s="34"/>
      <c r="F80" s="31"/>
      <c r="G80" s="34"/>
    </row>
    <row r="81" customFormat="false" ht="19.5" hidden="false" customHeight="true" outlineLevel="0" collapsed="false">
      <c r="A81" s="31"/>
      <c r="B81" s="34"/>
      <c r="C81" s="34"/>
      <c r="D81" s="44"/>
      <c r="E81" s="34"/>
      <c r="F81" s="31"/>
      <c r="G81" s="34"/>
    </row>
    <row r="82" customFormat="false" ht="19.5" hidden="false" customHeight="true" outlineLevel="0" collapsed="false">
      <c r="A82" s="31"/>
      <c r="B82" s="34"/>
      <c r="C82" s="34"/>
      <c r="D82" s="44"/>
      <c r="E82" s="34"/>
      <c r="F82" s="31"/>
      <c r="G82" s="34"/>
    </row>
    <row r="83" customFormat="false" ht="19.5" hidden="false" customHeight="true" outlineLevel="0" collapsed="false">
      <c r="A83" s="31"/>
      <c r="B83" s="34"/>
      <c r="C83" s="34"/>
      <c r="D83" s="44"/>
      <c r="E83" s="34"/>
      <c r="F83" s="31"/>
      <c r="G83" s="34"/>
    </row>
    <row r="84" customFormat="false" ht="19.5" hidden="false" customHeight="true" outlineLevel="0" collapsed="false">
      <c r="A84" s="31"/>
      <c r="B84" s="34"/>
      <c r="C84" s="34"/>
      <c r="D84" s="44"/>
      <c r="E84" s="34"/>
      <c r="F84" s="31"/>
      <c r="G84" s="34"/>
    </row>
    <row r="85" customFormat="false" ht="19.5" hidden="false" customHeight="true" outlineLevel="0" collapsed="false">
      <c r="A85" s="31"/>
      <c r="B85" s="34"/>
      <c r="C85" s="34"/>
      <c r="D85" s="44"/>
      <c r="E85" s="34"/>
      <c r="F85" s="31"/>
      <c r="G85" s="34"/>
    </row>
    <row r="86" customFormat="false" ht="19.5" hidden="false" customHeight="true" outlineLevel="0" collapsed="false">
      <c r="A86" s="31"/>
      <c r="B86" s="34"/>
      <c r="C86" s="34"/>
      <c r="D86" s="44"/>
      <c r="E86" s="34"/>
      <c r="F86" s="31"/>
      <c r="G86" s="34"/>
    </row>
    <row r="87" customFormat="false" ht="19.5" hidden="false" customHeight="true" outlineLevel="0" collapsed="false">
      <c r="A87" s="31"/>
      <c r="B87" s="34"/>
      <c r="C87" s="34"/>
      <c r="D87" s="44"/>
      <c r="E87" s="34"/>
      <c r="F87" s="31"/>
      <c r="G87" s="34"/>
    </row>
    <row r="88" customFormat="false" ht="19.5" hidden="false" customHeight="true" outlineLevel="0" collapsed="false">
      <c r="A88" s="31"/>
      <c r="B88" s="34"/>
      <c r="C88" s="34"/>
      <c r="D88" s="44"/>
      <c r="E88" s="34"/>
      <c r="F88" s="31"/>
      <c r="G88" s="34"/>
    </row>
    <row r="89" customFormat="false" ht="19.5" hidden="false" customHeight="true" outlineLevel="0" collapsed="false">
      <c r="A89" s="31"/>
      <c r="B89" s="34"/>
      <c r="C89" s="34"/>
      <c r="D89" s="44"/>
      <c r="E89" s="34"/>
      <c r="F89" s="31"/>
      <c r="G89" s="34"/>
    </row>
    <row r="90" customFormat="false" ht="19.5" hidden="false" customHeight="true" outlineLevel="0" collapsed="false">
      <c r="A90" s="31"/>
      <c r="B90" s="34"/>
      <c r="C90" s="34"/>
      <c r="D90" s="44"/>
      <c r="E90" s="34"/>
      <c r="F90" s="31"/>
      <c r="G90" s="34"/>
    </row>
    <row r="91" customFormat="false" ht="19.5" hidden="false" customHeight="true" outlineLevel="0" collapsed="false">
      <c r="A91" s="31"/>
      <c r="B91" s="34"/>
      <c r="C91" s="34"/>
      <c r="D91" s="44"/>
      <c r="E91" s="34"/>
      <c r="F91" s="31"/>
      <c r="G91" s="34"/>
    </row>
    <row r="92" customFormat="false" ht="19.5" hidden="false" customHeight="true" outlineLevel="0" collapsed="false">
      <c r="A92" s="31"/>
      <c r="B92" s="34"/>
      <c r="C92" s="34"/>
      <c r="D92" s="44"/>
      <c r="E92" s="34"/>
      <c r="F92" s="31"/>
      <c r="G92" s="34"/>
    </row>
    <row r="93" customFormat="false" ht="19.5" hidden="false" customHeight="true" outlineLevel="0" collapsed="false">
      <c r="A93" s="31"/>
      <c r="B93" s="34"/>
      <c r="C93" s="34"/>
      <c r="D93" s="44"/>
      <c r="E93" s="34"/>
      <c r="F93" s="31"/>
      <c r="G93" s="34"/>
    </row>
    <row r="94" customFormat="false" ht="19.5" hidden="false" customHeight="true" outlineLevel="0" collapsed="false">
      <c r="A94" s="31"/>
      <c r="B94" s="34"/>
      <c r="C94" s="34"/>
      <c r="D94" s="44"/>
      <c r="E94" s="34"/>
      <c r="F94" s="31"/>
      <c r="G94" s="34"/>
    </row>
    <row r="95" customFormat="false" ht="19.5" hidden="false" customHeight="true" outlineLevel="0" collapsed="false">
      <c r="A95" s="31"/>
      <c r="B95" s="34"/>
      <c r="C95" s="34"/>
      <c r="D95" s="44"/>
      <c r="E95" s="34"/>
      <c r="F95" s="31"/>
      <c r="G95" s="34"/>
    </row>
    <row r="96" customFormat="false" ht="19.5" hidden="false" customHeight="true" outlineLevel="0" collapsed="false">
      <c r="A96" s="31"/>
      <c r="B96" s="34"/>
      <c r="C96" s="34"/>
      <c r="D96" s="44"/>
      <c r="E96" s="34"/>
      <c r="F96" s="31"/>
      <c r="G96" s="34"/>
    </row>
    <row r="97" customFormat="false" ht="19.5" hidden="false" customHeight="true" outlineLevel="0" collapsed="false">
      <c r="A97" s="31"/>
      <c r="B97" s="34"/>
      <c r="C97" s="34"/>
      <c r="D97" s="44"/>
      <c r="E97" s="34"/>
      <c r="F97" s="31"/>
      <c r="G97" s="34"/>
    </row>
    <row r="98" customFormat="false" ht="19.5" hidden="false" customHeight="true" outlineLevel="0" collapsed="false">
      <c r="A98" s="31"/>
      <c r="B98" s="34"/>
      <c r="C98" s="34"/>
      <c r="D98" s="44"/>
      <c r="E98" s="34"/>
      <c r="F98" s="31"/>
      <c r="G98" s="34"/>
    </row>
    <row r="99" customFormat="false" ht="19.5" hidden="false" customHeight="true" outlineLevel="0" collapsed="false">
      <c r="A99" s="31"/>
      <c r="B99" s="34"/>
      <c r="C99" s="34"/>
      <c r="D99" s="44"/>
      <c r="E99" s="34"/>
      <c r="F99" s="31"/>
      <c r="G99" s="34"/>
    </row>
    <row r="100" customFormat="false" ht="19.5" hidden="false" customHeight="true" outlineLevel="0" collapsed="false">
      <c r="A100" s="31"/>
      <c r="B100" s="34"/>
      <c r="C100" s="34"/>
      <c r="D100" s="44"/>
      <c r="E100" s="34"/>
      <c r="F100" s="31"/>
      <c r="G100" s="34"/>
    </row>
    <row r="101" customFormat="false" ht="19.5" hidden="false" customHeight="true" outlineLevel="0" collapsed="false">
      <c r="A101" s="31"/>
      <c r="B101" s="34"/>
      <c r="C101" s="34"/>
      <c r="D101" s="44"/>
      <c r="E101" s="34"/>
      <c r="F101" s="31"/>
      <c r="G101" s="34"/>
    </row>
    <row r="102" customFormat="false" ht="19.5" hidden="false" customHeight="true" outlineLevel="0" collapsed="false">
      <c r="A102" s="31"/>
      <c r="B102" s="34"/>
      <c r="C102" s="34"/>
      <c r="D102" s="44"/>
      <c r="E102" s="34"/>
      <c r="F102" s="31"/>
      <c r="G102" s="34"/>
    </row>
    <row r="103" customFormat="false" ht="19.5" hidden="false" customHeight="true" outlineLevel="0" collapsed="false">
      <c r="A103" s="31"/>
      <c r="B103" s="34"/>
      <c r="C103" s="34"/>
      <c r="D103" s="44"/>
      <c r="E103" s="34"/>
      <c r="F103" s="31"/>
      <c r="G103" s="34"/>
    </row>
    <row r="104" customFormat="false" ht="19.5" hidden="false" customHeight="true" outlineLevel="0" collapsed="false">
      <c r="A104" s="31"/>
      <c r="B104" s="34"/>
      <c r="C104" s="34"/>
      <c r="D104" s="44"/>
      <c r="E104" s="34"/>
      <c r="F104" s="31"/>
      <c r="G104" s="34"/>
    </row>
    <row r="105" customFormat="false" ht="19.5" hidden="false" customHeight="true" outlineLevel="0" collapsed="false">
      <c r="A105" s="31"/>
      <c r="B105" s="34"/>
      <c r="C105" s="34"/>
      <c r="D105" s="44"/>
      <c r="E105" s="34"/>
      <c r="F105" s="31"/>
      <c r="G105" s="34"/>
    </row>
    <row r="106" customFormat="false" ht="15" hidden="false" customHeight="false" outlineLevel="0" collapsed="false">
      <c r="C106" s="2" t="s">
        <v>87</v>
      </c>
      <c r="D106" s="14" t="n">
        <f aca="false">SUMIFS(D6:D105,E6:E105,"لا")</f>
        <v>0</v>
      </c>
    </row>
    <row r="108" customFormat="false" ht="23.85" hidden="false" customHeight="false" outlineLevel="0" collapsed="false">
      <c r="G108" s="41" t="s">
        <v>88</v>
      </c>
    </row>
  </sheetData>
  <mergeCells count="3">
    <mergeCell ref="A1:G1"/>
    <mergeCell ref="A2:G2"/>
    <mergeCell ref="A3:G3"/>
  </mergeCells>
  <dataValidations count="1">
    <dataValidation allowBlank="true" errorStyle="stop" operator="between" showDropDown="false" showErrorMessage="false" showInputMessage="false" sqref="E6:E105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28"/>
  </cols>
  <sheetData>
    <row r="1" customFormat="false" ht="30" hidden="false" customHeight="true" outlineLevel="0" collapsed="false">
      <c r="A1" s="20" t="s">
        <v>89</v>
      </c>
      <c r="B1" s="20"/>
      <c r="C1" s="20"/>
      <c r="D1" s="20"/>
      <c r="E1" s="20"/>
      <c r="F1" s="20"/>
      <c r="G1" s="20"/>
      <c r="H1" s="20"/>
      <c r="I1" s="20"/>
      <c r="J1" s="20"/>
    </row>
    <row r="2" customFormat="false" ht="36" hidden="false" customHeight="true" outlineLevel="0" collapsed="false">
      <c r="A2" s="29" t="s">
        <v>90</v>
      </c>
      <c r="B2" s="29"/>
      <c r="C2" s="29"/>
      <c r="D2" s="29"/>
      <c r="E2" s="29"/>
      <c r="F2" s="29"/>
      <c r="G2" s="29"/>
      <c r="H2" s="29"/>
      <c r="I2" s="29"/>
      <c r="J2" s="29"/>
    </row>
    <row r="3" customFormat="false" ht="15" hidden="false" customHeight="true" outlineLevel="0" collapsed="false">
      <c r="A3" s="30" t="s">
        <v>55</v>
      </c>
      <c r="B3" s="30"/>
      <c r="C3" s="30"/>
      <c r="D3" s="30"/>
      <c r="E3" s="30"/>
      <c r="F3" s="30"/>
      <c r="G3" s="30"/>
      <c r="H3" s="30"/>
      <c r="I3" s="30"/>
      <c r="J3" s="30"/>
    </row>
    <row r="5" customFormat="false" ht="31.5" hidden="false" customHeight="true" outlineLevel="0" collapsed="false">
      <c r="A5" s="49" t="s">
        <v>3</v>
      </c>
      <c r="B5" s="49" t="s">
        <v>91</v>
      </c>
      <c r="C5" s="49" t="s">
        <v>92</v>
      </c>
      <c r="D5" s="49" t="s">
        <v>93</v>
      </c>
      <c r="E5" s="49" t="s">
        <v>94</v>
      </c>
      <c r="F5" s="49" t="s">
        <v>95</v>
      </c>
      <c r="G5" s="49" t="s">
        <v>96</v>
      </c>
      <c r="H5" s="49" t="s">
        <v>85</v>
      </c>
      <c r="I5" s="49" t="s">
        <v>97</v>
      </c>
      <c r="J5" s="49" t="s">
        <v>65</v>
      </c>
    </row>
    <row r="6" customFormat="false" ht="19.5" hidden="false" customHeight="true" outlineLevel="0" collapsed="false">
      <c r="A6" s="8" t="n">
        <f aca="false">IF(B6="","",ROW()-5)</f>
        <v>1</v>
      </c>
      <c r="B6" s="31" t="n">
        <v>46291</v>
      </c>
      <c r="C6" s="50" t="n">
        <f aca="false">IF(B6="","",B6+9)</f>
        <v>46300</v>
      </c>
      <c r="D6" s="10" t="n">
        <f aca="false">IF(B6="","",MGR_SAL)</f>
        <v>125</v>
      </c>
      <c r="E6" s="10" t="n">
        <f aca="false">IF(B6="","",SUMIFS(LOG_A,LOG_E,"المدير",LOG_T,"سلفة",LOG_D,"&gt;="&amp;B6,LOG_D,"&lt;="&amp;C6))</f>
        <v>0</v>
      </c>
      <c r="F6" s="10" t="n">
        <f aca="false">IF(B6="","",MGR_INST)</f>
        <v>0</v>
      </c>
      <c r="G6" s="10" t="n">
        <f aca="false">IF(B6="","",D6-E6-F6)</f>
        <v>125</v>
      </c>
      <c r="H6" s="34"/>
      <c r="I6" s="44"/>
      <c r="J6" s="34"/>
    </row>
    <row r="7" customFormat="false" ht="19.5" hidden="false" customHeight="true" outlineLevel="0" collapsed="false">
      <c r="A7" s="8" t="n">
        <f aca="false">IF(B7="","",ROW()-5)</f>
        <v>2</v>
      </c>
      <c r="B7" s="51" t="n">
        <f aca="false">IF(C6="","",C6+1)</f>
        <v>46301</v>
      </c>
      <c r="C7" s="50" t="n">
        <f aca="false">IF(B7="","",B7+9)</f>
        <v>46310</v>
      </c>
      <c r="D7" s="10" t="n">
        <f aca="false">IF(B7="","",MGR_SAL)</f>
        <v>125</v>
      </c>
      <c r="E7" s="10" t="n">
        <f aca="false">IF(B7="","",SUMIFS(LOG_A,LOG_E,"المدير",LOG_T,"سلفة",LOG_D,"&gt;="&amp;B7,LOG_D,"&lt;="&amp;C7))</f>
        <v>0</v>
      </c>
      <c r="F7" s="10" t="n">
        <f aca="false">IF(B7="","",MGR_INST)</f>
        <v>0</v>
      </c>
      <c r="G7" s="10" t="n">
        <f aca="false">IF(B7="","",D7-E7-F7)</f>
        <v>125</v>
      </c>
      <c r="H7" s="34"/>
      <c r="I7" s="44"/>
      <c r="J7" s="34"/>
    </row>
    <row r="8" customFormat="false" ht="19.5" hidden="false" customHeight="true" outlineLevel="0" collapsed="false">
      <c r="A8" s="8" t="n">
        <f aca="false">IF(B8="","",ROW()-5)</f>
        <v>3</v>
      </c>
      <c r="B8" s="51" t="n">
        <f aca="false">IF(C7="","",C7+1)</f>
        <v>46311</v>
      </c>
      <c r="C8" s="50" t="n">
        <f aca="false">IF(B8="","",B8+9)</f>
        <v>46320</v>
      </c>
      <c r="D8" s="10" t="n">
        <f aca="false">IF(B8="","",MGR_SAL)</f>
        <v>125</v>
      </c>
      <c r="E8" s="10" t="n">
        <f aca="false">IF(B8="","",SUMIFS(LOG_A,LOG_E,"المدير",LOG_T,"سلفة",LOG_D,"&gt;="&amp;B8,LOG_D,"&lt;="&amp;C8))</f>
        <v>0</v>
      </c>
      <c r="F8" s="10" t="n">
        <f aca="false">IF(B8="","",MGR_INST)</f>
        <v>0</v>
      </c>
      <c r="G8" s="10" t="n">
        <f aca="false">IF(B8="","",D8-E8-F8)</f>
        <v>125</v>
      </c>
      <c r="H8" s="34"/>
      <c r="I8" s="44"/>
      <c r="J8" s="34"/>
    </row>
    <row r="9" customFormat="false" ht="19.5" hidden="false" customHeight="true" outlineLevel="0" collapsed="false">
      <c r="A9" s="8" t="n">
        <f aca="false">IF(B9="","",ROW()-5)</f>
        <v>4</v>
      </c>
      <c r="B9" s="51" t="n">
        <f aca="false">IF(C8="","",C8+1)</f>
        <v>46321</v>
      </c>
      <c r="C9" s="50" t="n">
        <f aca="false">IF(B9="","",B9+9)</f>
        <v>46330</v>
      </c>
      <c r="D9" s="10" t="n">
        <f aca="false">IF(B9="","",MGR_SAL)</f>
        <v>125</v>
      </c>
      <c r="E9" s="10" t="n">
        <f aca="false">IF(B9="","",SUMIFS(LOG_A,LOG_E,"المدير",LOG_T,"سلفة",LOG_D,"&gt;="&amp;B9,LOG_D,"&lt;="&amp;C9))</f>
        <v>0</v>
      </c>
      <c r="F9" s="10" t="n">
        <f aca="false">IF(B9="","",MGR_INST)</f>
        <v>0</v>
      </c>
      <c r="G9" s="10" t="n">
        <f aca="false">IF(B9="","",D9-E9-F9)</f>
        <v>125</v>
      </c>
      <c r="H9" s="34"/>
      <c r="I9" s="44"/>
      <c r="J9" s="34"/>
    </row>
    <row r="10" customFormat="false" ht="19.5" hidden="false" customHeight="true" outlineLevel="0" collapsed="false">
      <c r="A10" s="8" t="n">
        <f aca="false">IF(B10="","",ROW()-5)</f>
        <v>5</v>
      </c>
      <c r="B10" s="51" t="n">
        <f aca="false">IF(C9="","",C9+1)</f>
        <v>46331</v>
      </c>
      <c r="C10" s="50" t="n">
        <f aca="false">IF(B10="","",B10+9)</f>
        <v>46340</v>
      </c>
      <c r="D10" s="10" t="n">
        <f aca="false">IF(B10="","",MGR_SAL)</f>
        <v>125</v>
      </c>
      <c r="E10" s="10" t="n">
        <f aca="false">IF(B10="","",SUMIFS(LOG_A,LOG_E,"المدير",LOG_T,"سلفة",LOG_D,"&gt;="&amp;B10,LOG_D,"&lt;="&amp;C10))</f>
        <v>0</v>
      </c>
      <c r="F10" s="10" t="n">
        <f aca="false">IF(B10="","",MGR_INST)</f>
        <v>0</v>
      </c>
      <c r="G10" s="10" t="n">
        <f aca="false">IF(B10="","",D10-E10-F10)</f>
        <v>125</v>
      </c>
      <c r="H10" s="34"/>
      <c r="I10" s="44"/>
      <c r="J10" s="34"/>
    </row>
    <row r="11" customFormat="false" ht="19.5" hidden="false" customHeight="true" outlineLevel="0" collapsed="false">
      <c r="A11" s="8" t="n">
        <f aca="false">IF(B11="","",ROW()-5)</f>
        <v>6</v>
      </c>
      <c r="B11" s="51" t="n">
        <f aca="false">IF(C10="","",C10+1)</f>
        <v>46341</v>
      </c>
      <c r="C11" s="50" t="n">
        <f aca="false">IF(B11="","",B11+9)</f>
        <v>46350</v>
      </c>
      <c r="D11" s="10" t="n">
        <f aca="false">IF(B11="","",MGR_SAL)</f>
        <v>125</v>
      </c>
      <c r="E11" s="10" t="n">
        <f aca="false">IF(B11="","",SUMIFS(LOG_A,LOG_E,"المدير",LOG_T,"سلفة",LOG_D,"&gt;="&amp;B11,LOG_D,"&lt;="&amp;C11))</f>
        <v>0</v>
      </c>
      <c r="F11" s="10" t="n">
        <f aca="false">IF(B11="","",MGR_INST)</f>
        <v>0</v>
      </c>
      <c r="G11" s="10" t="n">
        <f aca="false">IF(B11="","",D11-E11-F11)</f>
        <v>125</v>
      </c>
      <c r="H11" s="34"/>
      <c r="I11" s="44"/>
      <c r="J11" s="34"/>
    </row>
    <row r="12" customFormat="false" ht="19.5" hidden="false" customHeight="true" outlineLevel="0" collapsed="false">
      <c r="A12" s="8" t="n">
        <f aca="false">IF(B12="","",ROW()-5)</f>
        <v>7</v>
      </c>
      <c r="B12" s="51" t="n">
        <f aca="false">IF(C11="","",C11+1)</f>
        <v>46351</v>
      </c>
      <c r="C12" s="50" t="n">
        <f aca="false">IF(B12="","",B12+9)</f>
        <v>46360</v>
      </c>
      <c r="D12" s="10" t="n">
        <f aca="false">IF(B12="","",MGR_SAL)</f>
        <v>125</v>
      </c>
      <c r="E12" s="10" t="n">
        <f aca="false">IF(B12="","",SUMIFS(LOG_A,LOG_E,"المدير",LOG_T,"سلفة",LOG_D,"&gt;="&amp;B12,LOG_D,"&lt;="&amp;C12))</f>
        <v>0</v>
      </c>
      <c r="F12" s="10" t="n">
        <f aca="false">IF(B12="","",MGR_INST)</f>
        <v>0</v>
      </c>
      <c r="G12" s="10" t="n">
        <f aca="false">IF(B12="","",D12-E12-F12)</f>
        <v>125</v>
      </c>
      <c r="H12" s="34"/>
      <c r="I12" s="44"/>
      <c r="J12" s="34"/>
    </row>
    <row r="13" customFormat="false" ht="19.5" hidden="false" customHeight="true" outlineLevel="0" collapsed="false">
      <c r="A13" s="8" t="n">
        <f aca="false">IF(B13="","",ROW()-5)</f>
        <v>8</v>
      </c>
      <c r="B13" s="51" t="n">
        <f aca="false">IF(C12="","",C12+1)</f>
        <v>46361</v>
      </c>
      <c r="C13" s="50" t="n">
        <f aca="false">IF(B13="","",B13+9)</f>
        <v>46370</v>
      </c>
      <c r="D13" s="10" t="n">
        <f aca="false">IF(B13="","",MGR_SAL)</f>
        <v>125</v>
      </c>
      <c r="E13" s="10" t="n">
        <f aca="false">IF(B13="","",SUMIFS(LOG_A,LOG_E,"المدير",LOG_T,"سلفة",LOG_D,"&gt;="&amp;B13,LOG_D,"&lt;="&amp;C13))</f>
        <v>0</v>
      </c>
      <c r="F13" s="10" t="n">
        <f aca="false">IF(B13="","",MGR_INST)</f>
        <v>0</v>
      </c>
      <c r="G13" s="10" t="n">
        <f aca="false">IF(B13="","",D13-E13-F13)</f>
        <v>125</v>
      </c>
      <c r="H13" s="34"/>
      <c r="I13" s="44"/>
      <c r="J13" s="34"/>
    </row>
    <row r="14" customFormat="false" ht="19.5" hidden="false" customHeight="true" outlineLevel="0" collapsed="false">
      <c r="A14" s="8" t="n">
        <f aca="false">IF(B14="","",ROW()-5)</f>
        <v>9</v>
      </c>
      <c r="B14" s="51" t="n">
        <f aca="false">IF(C13="","",C13+1)</f>
        <v>46371</v>
      </c>
      <c r="C14" s="50" t="n">
        <f aca="false">IF(B14="","",B14+9)</f>
        <v>46380</v>
      </c>
      <c r="D14" s="10" t="n">
        <f aca="false">IF(B14="","",MGR_SAL)</f>
        <v>125</v>
      </c>
      <c r="E14" s="10" t="n">
        <f aca="false">IF(B14="","",SUMIFS(LOG_A,LOG_E,"المدير",LOG_T,"سلفة",LOG_D,"&gt;="&amp;B14,LOG_D,"&lt;="&amp;C14))</f>
        <v>0</v>
      </c>
      <c r="F14" s="10" t="n">
        <f aca="false">IF(B14="","",MGR_INST)</f>
        <v>0</v>
      </c>
      <c r="G14" s="10" t="n">
        <f aca="false">IF(B14="","",D14-E14-F14)</f>
        <v>125</v>
      </c>
      <c r="H14" s="34"/>
      <c r="I14" s="44"/>
      <c r="J14" s="34"/>
    </row>
    <row r="15" customFormat="false" ht="19.5" hidden="false" customHeight="true" outlineLevel="0" collapsed="false">
      <c r="A15" s="8" t="n">
        <f aca="false">IF(B15="","",ROW()-5)</f>
        <v>10</v>
      </c>
      <c r="B15" s="51" t="n">
        <f aca="false">IF(C14="","",C14+1)</f>
        <v>46381</v>
      </c>
      <c r="C15" s="50" t="n">
        <f aca="false">IF(B15="","",B15+9)</f>
        <v>46390</v>
      </c>
      <c r="D15" s="10" t="n">
        <f aca="false">IF(B15="","",MGR_SAL)</f>
        <v>125</v>
      </c>
      <c r="E15" s="10" t="n">
        <f aca="false">IF(B15="","",SUMIFS(LOG_A,LOG_E,"المدير",LOG_T,"سلفة",LOG_D,"&gt;="&amp;B15,LOG_D,"&lt;="&amp;C15))</f>
        <v>0</v>
      </c>
      <c r="F15" s="10" t="n">
        <f aca="false">IF(B15="","",MGR_INST)</f>
        <v>0</v>
      </c>
      <c r="G15" s="10" t="n">
        <f aca="false">IF(B15="","",D15-E15-F15)</f>
        <v>125</v>
      </c>
      <c r="H15" s="34"/>
      <c r="I15" s="44"/>
      <c r="J15" s="34"/>
    </row>
    <row r="16" customFormat="false" ht="19.5" hidden="false" customHeight="true" outlineLevel="0" collapsed="false">
      <c r="A16" s="8" t="n">
        <f aca="false">IF(B16="","",ROW()-5)</f>
        <v>11</v>
      </c>
      <c r="B16" s="51" t="n">
        <f aca="false">IF(C15="","",C15+1)</f>
        <v>46391</v>
      </c>
      <c r="C16" s="50" t="n">
        <f aca="false">IF(B16="","",B16+9)</f>
        <v>46400</v>
      </c>
      <c r="D16" s="10" t="n">
        <f aca="false">IF(B16="","",MGR_SAL)</f>
        <v>125</v>
      </c>
      <c r="E16" s="10" t="n">
        <f aca="false">IF(B16="","",SUMIFS(LOG_A,LOG_E,"المدير",LOG_T,"سلفة",LOG_D,"&gt;="&amp;B16,LOG_D,"&lt;="&amp;C16))</f>
        <v>0</v>
      </c>
      <c r="F16" s="10" t="n">
        <f aca="false">IF(B16="","",MGR_INST)</f>
        <v>0</v>
      </c>
      <c r="G16" s="10" t="n">
        <f aca="false">IF(B16="","",D16-E16-F16)</f>
        <v>125</v>
      </c>
      <c r="H16" s="34"/>
      <c r="I16" s="44"/>
      <c r="J16" s="34"/>
    </row>
    <row r="17" customFormat="false" ht="19.5" hidden="false" customHeight="true" outlineLevel="0" collapsed="false">
      <c r="A17" s="8" t="n">
        <f aca="false">IF(B17="","",ROW()-5)</f>
        <v>12</v>
      </c>
      <c r="B17" s="51" t="n">
        <f aca="false">IF(C16="","",C16+1)</f>
        <v>46401</v>
      </c>
      <c r="C17" s="50" t="n">
        <f aca="false">IF(B17="","",B17+9)</f>
        <v>46410</v>
      </c>
      <c r="D17" s="10" t="n">
        <f aca="false">IF(B17="","",MGR_SAL)</f>
        <v>125</v>
      </c>
      <c r="E17" s="10" t="n">
        <f aca="false">IF(B17="","",SUMIFS(LOG_A,LOG_E,"المدير",LOG_T,"سلفة",LOG_D,"&gt;="&amp;B17,LOG_D,"&lt;="&amp;C17))</f>
        <v>0</v>
      </c>
      <c r="F17" s="10" t="n">
        <f aca="false">IF(B17="","",MGR_INST)</f>
        <v>0</v>
      </c>
      <c r="G17" s="10" t="n">
        <f aca="false">IF(B17="","",D17-E17-F17)</f>
        <v>125</v>
      </c>
      <c r="H17" s="34"/>
      <c r="I17" s="44"/>
      <c r="J17" s="34"/>
    </row>
    <row r="19" customFormat="false" ht="23.85" hidden="false" customHeight="false" outlineLevel="0" collapsed="false">
      <c r="J19" s="41" t="s">
        <v>98</v>
      </c>
    </row>
  </sheetData>
  <mergeCells count="3">
    <mergeCell ref="A1:J1"/>
    <mergeCell ref="A2:J2"/>
    <mergeCell ref="A3:J3"/>
  </mergeCells>
  <conditionalFormatting sqref="G6:G17">
    <cfRule type="expression" priority="2" aboveAverage="0" equalAverage="0" bottom="0" percent="0" rank="0" text="" dxfId="0">
      <formula>AND($G6&lt;&gt;"",$G6&lt;0)</formula>
    </cfRule>
  </conditionalFormatting>
  <dataValidations count="1">
    <dataValidation allowBlank="true" errorStyle="stop" operator="between" showDropDown="false" showErrorMessage="false" showInputMessage="false" sqref="H6:H17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5"/>
  </cols>
  <sheetData>
    <row r="1" customFormat="false" ht="18.55" hidden="false" customHeight="false" outlineLevel="0" collapsed="false">
      <c r="B1" s="52" t="s">
        <v>99</v>
      </c>
    </row>
    <row r="3" customFormat="false" ht="15" hidden="false" customHeight="false" outlineLevel="0" collapsed="false">
      <c r="B3" s="15" t="s">
        <v>100</v>
      </c>
    </row>
    <row r="4" customFormat="false" ht="33.75" hidden="false" customHeight="true" outlineLevel="0" collapsed="false">
      <c r="A4" s="35" t="s">
        <v>101</v>
      </c>
      <c r="B4" s="53" t="s">
        <v>102</v>
      </c>
    </row>
    <row r="5" customFormat="false" ht="15" hidden="false" customHeight="false" outlineLevel="0" collapsed="false">
      <c r="B5" s="15" t="s">
        <v>103</v>
      </c>
    </row>
    <row r="6" customFormat="false" ht="33.75" hidden="false" customHeight="true" outlineLevel="0" collapsed="false">
      <c r="A6" s="35" t="s">
        <v>104</v>
      </c>
      <c r="B6" s="53" t="s">
        <v>105</v>
      </c>
    </row>
    <row r="7" customFormat="false" ht="33.75" hidden="false" customHeight="true" outlineLevel="0" collapsed="false">
      <c r="A7" s="35" t="s">
        <v>106</v>
      </c>
      <c r="B7" s="53" t="s">
        <v>107</v>
      </c>
    </row>
    <row r="8" customFormat="false" ht="33.75" hidden="false" customHeight="true" outlineLevel="0" collapsed="false">
      <c r="A8" s="35" t="s">
        <v>108</v>
      </c>
      <c r="B8" s="53" t="s">
        <v>109</v>
      </c>
    </row>
    <row r="9" customFormat="false" ht="33.75" hidden="false" customHeight="true" outlineLevel="0" collapsed="false">
      <c r="A9" s="35" t="s">
        <v>110</v>
      </c>
      <c r="B9" s="53" t="s">
        <v>111</v>
      </c>
    </row>
    <row r="10" customFormat="false" ht="33.75" hidden="false" customHeight="true" outlineLevel="0" collapsed="false">
      <c r="A10" s="35" t="s">
        <v>112</v>
      </c>
      <c r="B10" s="53" t="s">
        <v>113</v>
      </c>
    </row>
    <row r="11" customFormat="false" ht="15" hidden="false" customHeight="false" outlineLevel="0" collapsed="false">
      <c r="B11" s="15" t="s">
        <v>114</v>
      </c>
    </row>
    <row r="12" customFormat="false" ht="33.75" hidden="false" customHeight="true" outlineLevel="0" collapsed="false">
      <c r="A12" s="35" t="s">
        <v>115</v>
      </c>
      <c r="B12" s="53" t="s">
        <v>116</v>
      </c>
    </row>
    <row r="13" customFormat="false" ht="33.75" hidden="false" customHeight="true" outlineLevel="0" collapsed="false">
      <c r="A13" s="35" t="s">
        <v>117</v>
      </c>
      <c r="B13" s="53" t="s">
        <v>118</v>
      </c>
    </row>
    <row r="14" customFormat="false" ht="33.75" hidden="false" customHeight="true" outlineLevel="0" collapsed="false">
      <c r="A14" s="35" t="s">
        <v>119</v>
      </c>
      <c r="B14" s="53" t="s">
        <v>120</v>
      </c>
    </row>
    <row r="15" customFormat="false" ht="15" hidden="false" customHeight="false" outlineLevel="0" collapsed="false">
      <c r="B15" s="15" t="s">
        <v>121</v>
      </c>
    </row>
    <row r="16" customFormat="false" ht="33.75" hidden="false" customHeight="true" outlineLevel="0" collapsed="false">
      <c r="A16" s="35" t="s">
        <v>122</v>
      </c>
      <c r="B16" s="53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2026-09-26T09:17:15Z</dcterms:created>
  <dc:creator>openpyxl</dc:creator>
  <dc:description/>
  <dc:language>en-US</dc:language>
  <cp:lastModifiedBy/>
  <dcterms:modified xsi:type="dcterms:W3CDTF">2026-09-26T09:17:16Z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