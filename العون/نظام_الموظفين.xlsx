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تسوية" sheetId="1" state="visible" r:id="rId3"/>
    <sheet name="القوائم" sheetId="2" state="hidden" r:id="rId4"/>
    <sheet name="القواعد" sheetId="3" state="visible" r:id="rId5"/>
    <sheet name="ساعات عمر" sheetId="4" state="visible" r:id="rId6"/>
    <sheet name="ساعات عبدالعزيز" sheetId="5" state="visible" r:id="rId7"/>
    <sheet name="السلف والديون" sheetId="6" state="visible" r:id="rId8"/>
    <sheet name="المهام" sheetId="7" state="visible" r:id="rId9"/>
    <sheet name="المدير" sheetId="8" state="visible" r:id="rId10"/>
    <sheet name="التعليمات" sheetId="9" state="visible" r:id="rId11"/>
  </sheets>
  <definedNames>
    <definedName function="false" hidden="false" name="ADV_CAP" vbProcedure="false">القواعد!$C$17</definedName>
    <definedName function="false" hidden="false" name="AZZ_INST" vbProcedure="false">القواعد!$C$15</definedName>
    <definedName function="false" hidden="false" name="AZZ_RATE" vbProcedure="false">القواعد!$C$11</definedName>
    <definedName function="false" hidden="false" name="GYP_RATE" vbProcedure="false">القواعد!$C$12</definedName>
    <definedName function="false" hidden="false" name="LOG_A" vbProcedure="false">'السلف والديون'!$D$6:$D$155</definedName>
    <definedName function="false" hidden="false" name="LOG_D" vbProcedure="false">'السلف والديون'!$A$6:$A$155</definedName>
    <definedName function="false" hidden="false" name="LOG_E" vbProcedure="false">'السلف والديون'!$B$6:$B$155</definedName>
    <definedName function="false" hidden="false" name="LOG_T" vbProcedure="false">'السلف والديون'!$C$6:$C$155</definedName>
    <definedName function="false" hidden="false" name="M1" vbProcedure="false">التسوية!$C$4</definedName>
    <definedName function="false" hidden="false" name="MEND" vbProcedure="false">التسوية!$E$4</definedName>
    <definedName function="false" hidden="false" name="MGR_INST" vbProcedure="false">القواعد!$C$16</definedName>
    <definedName function="false" hidden="false" name="MGR_SAL" vbProcedure="false">القواعد!$C$4</definedName>
    <definedName function="false" hidden="false" name="MGR_START" vbProcedure="false">القواعد!$C$5</definedName>
    <definedName function="false" hidden="false" name="NW" vbProcedure="false">التسوية!$I$4</definedName>
    <definedName function="false" hidden="false" name="OMR_FRI_IN" vbProcedure="false">القواعد!$C$9</definedName>
    <definedName function="false" hidden="false" name="OMR_FRI_OUT" vbProcedure="false">القواعد!$C$10</definedName>
    <definedName function="false" hidden="false" name="OMR_INST" vbProcedure="false">القواعد!$C$14</definedName>
    <definedName function="false" hidden="false" name="OMR_OT" vbProcedure="false">القواعد!$C$7</definedName>
    <definedName function="false" hidden="false" name="OMR_OT_AT" vbProcedure="false">القواعد!$C$8</definedName>
    <definedName function="false" hidden="false" name="OMR_RATE" vbProcedure="false">القواعد!$C$6</definedName>
    <definedName function="false" hidden="false" name="ROUND_MODE" vbProcedure="false">القواعد!$C$13</definedName>
    <definedName function="false" hidden="false" name="SEL_M" vbProcedure="false">التسوية!$C$3</definedName>
    <definedName function="false" hidden="false" name="SEL_W" vbProcedure="false">التسوية!$I$3</definedName>
    <definedName function="false" hidden="false" name="SEL_Y" vbProcedure="false">التسوية!$F$3</definedName>
    <definedName function="false" hidden="false" name="W1" vbProcedure="false">التسوية!$K$4</definedName>
    <definedName function="false" hidden="false" name="WE" vbProcedure="false">التسوية!$G$6</definedName>
    <definedName function="false" hidden="false" name="WK" vbProcedure="false">التسوية!$C$6</definedName>
    <definedName function="false" hidden="false" name="WS" vbProcedure="false">التسوية!$E$6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<sst xmlns="http://schemas.openxmlformats.org/spreadsheetml/2006/main" count="272" uniqueCount="243">
  <si>
    <t xml:space="preserve">نظام الموظفين — التسوية</t>
  </si>
  <si>
    <t xml:space="preserve">الشهر</t>
  </si>
  <si>
    <t xml:space="preserve">10 - تشرين الأول</t>
  </si>
  <si>
    <t xml:space="preserve">السنة</t>
  </si>
  <si>
    <t xml:space="preserve">الأسبوع</t>
  </si>
  <si>
    <t xml:space="preserve">أول الشهر</t>
  </si>
  <si>
    <t xml:space="preserve">آخره</t>
  </si>
  <si>
    <t xml:space="preserve">أول جمعة</t>
  </si>
  <si>
    <t xml:space="preserve">عدد الأسابيع</t>
  </si>
  <si>
    <t xml:space="preserve">أول سبت</t>
  </si>
  <si>
    <t xml:space="preserve">رقم الأسبوع</t>
  </si>
  <si>
    <t xml:space="preserve">من</t>
  </si>
  <si>
    <t xml:space="preserve">إلى</t>
  </si>
  <si>
    <t xml:space="preserve">#</t>
  </si>
  <si>
    <t xml:space="preserve">الموظف</t>
  </si>
  <si>
    <t xml:space="preserve">الساعات</t>
  </si>
  <si>
    <t xml:space="preserve">المستحق (مجبور)</t>
  </si>
  <si>
    <t xml:space="preserve">السلف</t>
  </si>
  <si>
    <t xml:space="preserve">القسط</t>
  </si>
  <si>
    <t xml:space="preserve">مقبوض يومياً</t>
  </si>
  <si>
    <t xml:space="preserve">الصافي للدفع</t>
  </si>
  <si>
    <t xml:space="preserve">ملاحظة</t>
  </si>
  <si>
    <t xml:space="preserve">عمر المصري</t>
  </si>
  <si>
    <t xml:space="preserve">عبدالعزيز</t>
  </si>
  <si>
    <t xml:space="preserve">المدير كل 10 أيام بورقة «المدير» · عمال المهام بورقة «المهام».</t>
  </si>
  <si>
    <t xml:space="preserve">عمر: ساعات</t>
  </si>
  <si>
    <t xml:space="preserve">عمر: مستحق</t>
  </si>
  <si>
    <t xml:space="preserve">عمر: سلف</t>
  </si>
  <si>
    <t xml:space="preserve">عمر: صافي</t>
  </si>
  <si>
    <t xml:space="preserve">عبدالعزيز: ساعات</t>
  </si>
  <si>
    <t xml:space="preserve">عبدالعزيز: مستحق</t>
  </si>
  <si>
    <t xml:space="preserve">عبدالعزيز: مقبوض</t>
  </si>
  <si>
    <t xml:space="preserve">عبدالعزيز: سلف</t>
  </si>
  <si>
    <t xml:space="preserve">عبدالعزيز: باقي</t>
  </si>
  <si>
    <t xml:space="preserve">مجموع الشهر</t>
  </si>
  <si>
    <t xml:space="preserve">رصيد كل موظف آخر الشهر (بيتدوّر للشهر الجاي كـ«رصيد مدوّر»)</t>
  </si>
  <si>
    <t xml:space="preserve">رصيد مدوّر</t>
  </si>
  <si>
    <t xml:space="preserve">مستحق الشهر</t>
  </si>
  <si>
    <t xml:space="preserve">تسديدات</t>
  </si>
  <si>
    <t xml:space="preserve">سلف</t>
  </si>
  <si>
    <t xml:space="preserve">دين + بضاعة</t>
  </si>
  <si>
    <t xml:space="preserve">مدفوع له</t>
  </si>
  <si>
    <t xml:space="preserve">الرصيد</t>
  </si>
  <si>
    <t xml:space="preserve">معناه</t>
  </si>
  <si>
    <t xml:space="preserve">المدير</t>
  </si>
  <si>
    <t xml:space="preserve">الرصيد = المدوّر + المستحق + التسديدات − السلف − الديون والبضاعة − المدفوع. مدفوع عبدالعزيز = مقبوضه اليومي + أي «دفع» بالسجل.</t>
  </si>
  <si>
    <t xml:space="preserve">6:00 AM</t>
  </si>
  <si>
    <t xml:space="preserve">01 - كانون الثاني</t>
  </si>
  <si>
    <t xml:space="preserve">6:15 AM</t>
  </si>
  <si>
    <t xml:space="preserve">02 - شباط</t>
  </si>
  <si>
    <t xml:space="preserve">6:30 AM</t>
  </si>
  <si>
    <t xml:space="preserve">03 - آذار</t>
  </si>
  <si>
    <t xml:space="preserve">6:45 AM</t>
  </si>
  <si>
    <t xml:space="preserve">04 - نيسان</t>
  </si>
  <si>
    <t xml:space="preserve">7:00 AM</t>
  </si>
  <si>
    <t xml:space="preserve">05 - أيار</t>
  </si>
  <si>
    <t xml:space="preserve">7:15 AM</t>
  </si>
  <si>
    <t xml:space="preserve">06 - حزيران</t>
  </si>
  <si>
    <t xml:space="preserve">7:30 AM</t>
  </si>
  <si>
    <t xml:space="preserve">07 - تموز</t>
  </si>
  <si>
    <t xml:space="preserve">7:45 AM</t>
  </si>
  <si>
    <t xml:space="preserve">08 - آب</t>
  </si>
  <si>
    <t xml:space="preserve">8:00 AM</t>
  </si>
  <si>
    <t xml:space="preserve">09 - أيلول</t>
  </si>
  <si>
    <t xml:space="preserve">8:15 AM</t>
  </si>
  <si>
    <t xml:space="preserve">8:30 AM</t>
  </si>
  <si>
    <t xml:space="preserve">11 - تشرين الثاني</t>
  </si>
  <si>
    <t xml:space="preserve">8:45 AM</t>
  </si>
  <si>
    <t xml:space="preserve">12 - كانون الأول</t>
  </si>
  <si>
    <t xml:space="preserve">9:00 AM</t>
  </si>
  <si>
    <t xml:space="preserve">9:15 AM</t>
  </si>
  <si>
    <t xml:space="preserve">9:30 AM</t>
  </si>
  <si>
    <t xml:space="preserve">9:45 AM</t>
  </si>
  <si>
    <t xml:space="preserve">10:00 AM</t>
  </si>
  <si>
    <t xml:space="preserve">10:15 AM</t>
  </si>
  <si>
    <t xml:space="preserve">10:30 AM</t>
  </si>
  <si>
    <t xml:space="preserve">10:45 AM</t>
  </si>
  <si>
    <t xml:space="preserve">11:00 AM</t>
  </si>
  <si>
    <t xml:space="preserve">11:15 AM</t>
  </si>
  <si>
    <t xml:space="preserve">11:30 AM</t>
  </si>
  <si>
    <t xml:space="preserve">11:45 AM</t>
  </si>
  <si>
    <t xml:space="preserve">12:00 PM</t>
  </si>
  <si>
    <t xml:space="preserve">12:15 PM</t>
  </si>
  <si>
    <t xml:space="preserve">12:30 PM</t>
  </si>
  <si>
    <t xml:space="preserve">12:45 PM</t>
  </si>
  <si>
    <t xml:space="preserve">1:00 PM</t>
  </si>
  <si>
    <t xml:space="preserve">1:15 PM</t>
  </si>
  <si>
    <t xml:space="preserve">1:30 PM</t>
  </si>
  <si>
    <t xml:space="preserve">1:45 PM</t>
  </si>
  <si>
    <t xml:space="preserve">2:00 PM</t>
  </si>
  <si>
    <t xml:space="preserve">2:15 PM</t>
  </si>
  <si>
    <t xml:space="preserve">2:30 PM</t>
  </si>
  <si>
    <t xml:space="preserve">2:45 PM</t>
  </si>
  <si>
    <t xml:space="preserve">3:00 PM</t>
  </si>
  <si>
    <t xml:space="preserve">3:15 PM</t>
  </si>
  <si>
    <t xml:space="preserve">3:30 PM</t>
  </si>
  <si>
    <t xml:space="preserve">3:45 PM</t>
  </si>
  <si>
    <t xml:space="preserve">4:00 PM</t>
  </si>
  <si>
    <t xml:space="preserve">4:15 PM</t>
  </si>
  <si>
    <t xml:space="preserve">4:30 PM</t>
  </si>
  <si>
    <t xml:space="preserve">4:45 PM</t>
  </si>
  <si>
    <t xml:space="preserve">5:00 PM</t>
  </si>
  <si>
    <t xml:space="preserve">5:15 PM</t>
  </si>
  <si>
    <t xml:space="preserve">5:30 PM</t>
  </si>
  <si>
    <t xml:space="preserve">5:45 PM</t>
  </si>
  <si>
    <t xml:space="preserve">6:00 PM</t>
  </si>
  <si>
    <t xml:space="preserve">6:15 PM</t>
  </si>
  <si>
    <t xml:space="preserve">6:30 PM</t>
  </si>
  <si>
    <t xml:space="preserve">6:45 PM</t>
  </si>
  <si>
    <t xml:space="preserve">7:00 PM</t>
  </si>
  <si>
    <t xml:space="preserve">7:15 PM</t>
  </si>
  <si>
    <t xml:space="preserve">7:30 PM</t>
  </si>
  <si>
    <t xml:space="preserve">7:45 PM</t>
  </si>
  <si>
    <t xml:space="preserve">8:00 PM</t>
  </si>
  <si>
    <t xml:space="preserve">8:15 PM</t>
  </si>
  <si>
    <t xml:space="preserve">8:30 PM</t>
  </si>
  <si>
    <t xml:space="preserve">8:45 PM</t>
  </si>
  <si>
    <t xml:space="preserve">9:00 PM</t>
  </si>
  <si>
    <t xml:space="preserve">9:15 PM</t>
  </si>
  <si>
    <t xml:space="preserve">9:30 PM</t>
  </si>
  <si>
    <t xml:space="preserve">9:45 PM</t>
  </si>
  <si>
    <t xml:space="preserve">10:00 PM</t>
  </si>
  <si>
    <t xml:space="preserve">10:15 PM</t>
  </si>
  <si>
    <t xml:space="preserve">10:30 PM</t>
  </si>
  <si>
    <t xml:space="preserve">10:45 PM</t>
  </si>
  <si>
    <t xml:space="preserve">11:00 PM</t>
  </si>
  <si>
    <t xml:space="preserve">11:15 PM</t>
  </si>
  <si>
    <t xml:space="preserve">11:30 PM</t>
  </si>
  <si>
    <t xml:space="preserve">11:45 PM</t>
  </si>
  <si>
    <t xml:space="preserve">12:00 AM</t>
  </si>
  <si>
    <t xml:space="preserve">12:15 AM</t>
  </si>
  <si>
    <t xml:space="preserve">12:30 AM</t>
  </si>
  <si>
    <t xml:space="preserve">12:45 AM</t>
  </si>
  <si>
    <t xml:space="preserve">1:00 AM</t>
  </si>
  <si>
    <t xml:space="preserve">1:15 AM</t>
  </si>
  <si>
    <t xml:space="preserve">1:30 AM</t>
  </si>
  <si>
    <t xml:space="preserve">1:45 AM</t>
  </si>
  <si>
    <t xml:space="preserve">2:00 AM</t>
  </si>
  <si>
    <t xml:space="preserve">2:15 AM</t>
  </si>
  <si>
    <t xml:space="preserve">2:30 AM</t>
  </si>
  <si>
    <t xml:space="preserve">2:45 AM</t>
  </si>
  <si>
    <t xml:space="preserve">3:00 AM</t>
  </si>
  <si>
    <t xml:space="preserve">3:15 AM</t>
  </si>
  <si>
    <t xml:space="preserve">3:30 AM</t>
  </si>
  <si>
    <t xml:space="preserve">3:45 AM</t>
  </si>
  <si>
    <t xml:space="preserve">4:00 AM</t>
  </si>
  <si>
    <t xml:space="preserve">4:15 AM</t>
  </si>
  <si>
    <t xml:space="preserve">4:30 AM</t>
  </si>
  <si>
    <t xml:space="preserve">4:45 AM</t>
  </si>
  <si>
    <t xml:space="preserve">5:00 AM</t>
  </si>
  <si>
    <t xml:space="preserve">5:15 AM</t>
  </si>
  <si>
    <t xml:space="preserve">5:30 AM</t>
  </si>
  <si>
    <t xml:space="preserve">5:45 AM</t>
  </si>
  <si>
    <t xml:space="preserve">القواعد والأسعار — كل المعادلات بتقرأ من هون</t>
  </si>
  <si>
    <t xml:space="preserve">القاعدة</t>
  </si>
  <si>
    <t xml:space="preserve">القيمة</t>
  </si>
  <si>
    <t xml:space="preserve">الشرح</t>
  </si>
  <si>
    <t xml:space="preserve">المدير — راتب كل 10 أيام</t>
  </si>
  <si>
    <t xml:space="preserve">بلا ساعات عمل.</t>
  </si>
  <si>
    <t xml:space="preserve">المدير — بداية أول فترة 10 أيام</t>
  </si>
  <si>
    <t xml:space="preserve">الفترات بتتسلسل من هالتاريخ كل 10 أيام. ثابت لكل الشهور.</t>
  </si>
  <si>
    <t xml:space="preserve">عمر المصري — أجر الساعة العادية</t>
  </si>
  <si>
    <t xml:space="preserve">السبت–الخميس لحد بداية الإضافي، والجمعة كل ساعاته.</t>
  </si>
  <si>
    <t xml:space="preserve">عمر المصري — أجر الساعة بعد الدوام</t>
  </si>
  <si>
    <t xml:space="preserve">السبت–الخميس بعد الوقت المكتوب تحت.</t>
  </si>
  <si>
    <t xml:space="preserve">عمر المصري — بداية الإضافي</t>
  </si>
  <si>
    <t xml:space="preserve">الجمعة ما إلها إضافي.</t>
  </si>
  <si>
    <t xml:space="preserve">عمر المصري — الجمعة من</t>
  </si>
  <si>
    <t xml:space="preserve">للتنبيه بس — الحساب حسب الساعات الفعلية.</t>
  </si>
  <si>
    <t xml:space="preserve">عمر المصري — الجمعة إلى</t>
  </si>
  <si>
    <t xml:space="preserve">عبدالعزيز — أجر الساعة</t>
  </si>
  <si>
    <t xml:space="preserve">بغض النظر عن اليوم. بيقبض نهاية كل يوم.</t>
  </si>
  <si>
    <t xml:space="preserve">تحميل جبسمبورد — أجر الساعة</t>
  </si>
  <si>
    <t xml:space="preserve">ساعات التحميل بتنحسب @2.5 بدل الأجر العادي.</t>
  </si>
  <si>
    <t xml:space="preserve">جبر المستحق (عمر وعبدالعزيز)</t>
  </si>
  <si>
    <t xml:space="preserve">لأقرب ربع</t>
  </si>
  <si>
    <t xml:space="preserve">لأقرب ربع: 18.30←18.25 و18.40←18.50 · للأعلى: أي كسر بيطلع للربع اللي فوقه.</t>
  </si>
  <si>
    <t xml:space="preserve">عمر المصري — قسط أسبوعي ثابت</t>
  </si>
  <si>
    <t xml:space="preserve">دين أو بضاعة. 0 = ما عليه.</t>
  </si>
  <si>
    <t xml:space="preserve">عبدالعزيز — قسط أسبوعي ثابت</t>
  </si>
  <si>
    <t xml:space="preserve">المدير — قسط ثابت كل 10 أيام</t>
  </si>
  <si>
    <t xml:space="preserve">سقف السلف — نسبة من مستحق الأسبوع</t>
  </si>
  <si>
    <t xml:space="preserve">تنبيه أحمر لو تجاوزت. 0 = بلا سقف.</t>
  </si>
  <si>
    <t xml:space="preserve">عمال المهام: بلا أسعار ثابتة — كل مهمة مقاولة بسعرها بورقة «المهام».</t>
  </si>
  <si>
    <t xml:space="preserve">ساعات عمر المصري</t>
  </si>
  <si>
    <t xml:space="preserve">اختر الدخول والخروج من القائمة. السبت–الخميس: بعد 6:00 PM إضافي @1.5 · الجمعة كل الساعات @1.25 · ساعات الجبسمبورد @2.5 بدلها. مستحق الأسبوع بيتجبر لربع دينار بسطر المجموع.</t>
  </si>
  <si>
    <t xml:space="preserve">التاريخ</t>
  </si>
  <si>
    <t xml:space="preserve">اليوم</t>
  </si>
  <si>
    <t xml:space="preserve">دخول</t>
  </si>
  <si>
    <t xml:space="preserve">خروج</t>
  </si>
  <si>
    <t xml:space="preserve">منها جبسمبورد (ساعات)</t>
  </si>
  <si>
    <t xml:space="preserve">عادي</t>
  </si>
  <si>
    <t xml:space="preserve">إضافي</t>
  </si>
  <si>
    <t xml:space="preserve">المستحق</t>
  </si>
  <si>
    <t xml:space="preserve">ملاحظات</t>
  </si>
  <si>
    <t xml:space="preserve">ساعات عبدالعزيز — بيقبض نهاية كل يوم</t>
  </si>
  <si>
    <t xml:space="preserve">دينار للساعة أي يوم · ساعات الجبسمبورد @2.5 · مستحق كل يوم بيتجبر لربع دينار لأنه بيقبض يومياً. لما يقبض: «نعم» + المبلغ.</t>
  </si>
  <si>
    <t xml:space="preserve">قبض؟</t>
  </si>
  <si>
    <t xml:space="preserve">المقبوض</t>
  </si>
  <si>
    <t xml:space="preserve">السلف والديون والبضاعة والدفعات</t>
  </si>
  <si>
    <t xml:space="preserve">سلفة = كاش بينخصم من صافي الأسبوع · دين / بضاعة = عليه وبيتسدّد بأقساط · دفع = ما قبضه · تسديد = دفع هو للمحل · رصيد مدوّر = رصيد آخر الشهر الماضي (له أو عليه).</t>
  </si>
  <si>
    <t xml:space="preserve">النوع</t>
  </si>
  <si>
    <t xml:space="preserve">المبلغ (دينار)</t>
  </si>
  <si>
    <t xml:space="preserve">البيان</t>
  </si>
  <si>
    <t xml:space="preserve">عمال المهام — مقاولة لكل مهمة</t>
  </si>
  <si>
    <t xml:space="preserve">بلا أسعار ثابتة: كل مهمة بسعرها المتفق مع العامل.</t>
  </si>
  <si>
    <t xml:space="preserve">اسم العامل</t>
  </si>
  <si>
    <t xml:space="preserve">المهمة</t>
  </si>
  <si>
    <t xml:space="preserve">السعر المتفق</t>
  </si>
  <si>
    <t xml:space="preserve">دُفع؟</t>
  </si>
  <si>
    <t xml:space="preserve">تاريخ الدفع</t>
  </si>
  <si>
    <t xml:space="preserve">غير مدفوع</t>
  </si>
  <si>
    <t xml:space="preserve">المدير — 125 دينار كل 10 أيام</t>
  </si>
  <si>
    <t xml:space="preserve">الفترات بتطلع لحالها من «بداية أول فترة» بورقة القواعد. الفترة بتتبع الشهر اللي بتخلص فيه.</t>
  </si>
  <si>
    <t xml:space="preserve">أول فترة بالشهر</t>
  </si>
  <si>
    <t xml:space="preserve">الراتب</t>
  </si>
  <si>
    <t xml:space="preserve">سلف الفترة</t>
  </si>
  <si>
    <t xml:space="preserve">قسط</t>
  </si>
  <si>
    <t xml:space="preserve">الصافي</t>
  </si>
  <si>
    <t xml:space="preserve">المدفوع</t>
  </si>
  <si>
    <t xml:space="preserve">كيف يشتغل الملف</t>
  </si>
  <si>
    <t xml:space="preserve">أول كل شهر</t>
  </si>
  <si>
    <t xml:space="preserve">1</t>
  </si>
  <si>
    <t xml:space="preserve">خذ نسخة جديدة من الملف وسمّيها باسم الشهر. بورقة «التسوية» اختر الشهر والسنة — كل الأسابيع وتواريخها بتطلع لحالها بأوراق الساعات.</t>
  </si>
  <si>
    <t xml:space="preserve">2</t>
  </si>
  <si>
    <t xml:space="preserve">الأسبوع من السبت للجمعة، وبيتبع الشهر اللي فيه جمعته (يوم القبض). مثلاً أسبوع 26/09 ← 02/10 تبع تشرين الأول. هيك ولا يوم بيتكرر بين ملفين.</t>
  </si>
  <si>
    <t xml:space="preserve">3</t>
  </si>
  <si>
    <t xml:space="preserve">رصيد آخر الشهر الماضي لكل موظف (من أسفل ورقة التسوية بملف الشهر الماضي): سطر بورقة «السلف والديون» نوعه «رصيد مدوّر له» أو «رصيد مدوّر عليه».</t>
  </si>
  <si>
    <t xml:space="preserve">كل يوم</t>
  </si>
  <si>
    <t xml:space="preserve">4</t>
  </si>
  <si>
    <t xml:space="preserve">بورقة الساعات: اختر الدخول والخروج من القائمة (كل ربع ساعة، AM/PM). وساعات تحميل الجبسمبورد بعمودها — هي جزء من ساعات اليوم مش زيادة.</t>
  </si>
  <si>
    <t xml:space="preserve">5</t>
  </si>
  <si>
    <t xml:space="preserve">عبدالعزيز: آخر اليوم «قبض؟ نعم» + المقبوض. المستحق اليومي مجبور لربع دينار.</t>
  </si>
  <si>
    <t xml:space="preserve">6</t>
  </si>
  <si>
    <t xml:space="preserve">أي سلفة أو دين أو بضاعة أو دفعة: سطر بورقة «السلف والديون».</t>
  </si>
  <si>
    <t xml:space="preserve">آخر الأسبوع</t>
  </si>
  <si>
    <t xml:space="preserve">7</t>
  </si>
  <si>
    <t xml:space="preserve">بورقة «التسوية» اختر الأسبوع من القائمة — بيطلعلك لكل موظف الساعات والمستحق (مجبور لربع دينار) والسلف والقسط والصافي للدفع. وتحتها جدول الشهر كامل والأسبوع المختار ملوّن.</t>
  </si>
  <si>
    <t xml:space="preserve">8</t>
  </si>
  <si>
    <t xml:space="preserve">لما تدفع: سجّل «دفع» بورقة السلف والديون.</t>
  </si>
  <si>
    <t xml:space="preserve">القواعد</t>
  </si>
  <si>
    <t xml:space="preserve">9</t>
  </si>
  <si>
    <t xml:space="preserve">كل الأسعار والأوقات وطريقة الجبر (لأقرب ربع / للأعلى) بورقة «القواعد». لا تكتب أسعار بأي مكان ثاني.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</si>
</sst>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/yyyy"/>
    <numFmt numFmtId="166" formatCode="0.00"/>
    <numFmt numFmtId="167" formatCode="#,##0.000;[RED]\-#,##0.000;\-"/>
    <numFmt numFmtId="168" formatCode="General"/>
    <numFmt numFmtId="169" formatCode="dd/mm"/>
    <numFmt numFmtId="170" formatCode="h:mm\ AM/PM"/>
    <numFmt numFmtId="171" formatCode="#,##0.000"/>
    <numFmt numFmtId="172" formatCode="@"/>
    <numFmt numFmtId="173" formatCode="0%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2"/>
      <color rgb="FF1F4E6B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9"/>
      <color rgb="FF888888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4E6B"/>
      <name val="Arial"/>
      <family val="0"/>
      <charset val="1"/>
    </font>
    <font>
      <b val="true"/>
      <sz val="13"/>
      <color rgb="FF1F4E6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color rgb="FF0F6E6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3"/>
      <color rgb="FF8B3A2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color rgb="FF8A6A00"/>
      <name val="Arial"/>
      <family val="0"/>
      <charset val="1"/>
    </font>
    <font>
      <sz val="10"/>
      <color rgb="FF444444"/>
      <name val="Arial"/>
      <family val="0"/>
      <charset val="1"/>
    </font>
    <font>
      <b val="true"/>
      <sz val="11"/>
      <color rgb="FF1F4E6B"/>
      <name val="Arial"/>
      <family val="0"/>
      <charset val="1"/>
    </font>
    <font>
      <b val="true"/>
      <sz val="12"/>
      <color rgb="FF0F6E6E"/>
      <name val="Arial"/>
      <family val="0"/>
      <charset val="1"/>
    </font>
    <font>
      <b val="true"/>
      <sz val="11"/>
      <color rgb="FF0F6E6E"/>
      <name val="Arial"/>
      <family val="0"/>
      <charset val="1"/>
    </font>
    <font>
      <b val="true"/>
      <sz val="10"/>
      <color rgb="FF0F6E6E"/>
      <name val="Arial"/>
      <family val="0"/>
      <charset val="1"/>
    </font>
    <font>
      <b val="true"/>
      <sz val="12"/>
      <color rgb="FF8B3A2F"/>
      <name val="Arial"/>
      <family val="0"/>
      <charset val="1"/>
    </font>
    <font>
      <b val="true"/>
      <sz val="12"/>
      <color rgb="FF5B3A6B"/>
      <name val="Arial"/>
      <family val="0"/>
      <charset val="1"/>
    </font>
    <font>
      <b val="true"/>
      <sz val="12"/>
      <color rgb="FF8A6A00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5"/>
      <color rgb="FF1F4E6B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6B"/>
        <bgColor rgb="FF444444"/>
      </patternFill>
    </fill>
    <fill>
      <patternFill patternType="solid">
        <fgColor rgb="FFFFF6CC"/>
        <bgColor rgb="FFFFF2B3"/>
      </patternFill>
    </fill>
    <fill>
      <patternFill patternType="solid">
        <fgColor rgb="FFEDEDED"/>
        <bgColor rgb="FFE3EFE3"/>
      </patternFill>
    </fill>
    <fill>
      <patternFill patternType="solid">
        <fgColor rgb="FF0F6E6E"/>
        <bgColor rgb="FF008080"/>
      </patternFill>
    </fill>
    <fill>
      <patternFill patternType="solid">
        <fgColor rgb="FFE3EFE3"/>
        <bgColor rgb="FFEDEDED"/>
      </patternFill>
    </fill>
    <fill>
      <patternFill patternType="solid">
        <fgColor rgb="FF8B3A2F"/>
        <bgColor rgb="FF993366"/>
      </patternFill>
    </fill>
    <fill>
      <patternFill patternType="solid">
        <fgColor rgb="FF8A6A00"/>
        <bgColor rgb="FF666666"/>
      </patternFill>
    </fill>
    <fill>
      <patternFill patternType="solid">
        <fgColor rgb="FFFFFFFF"/>
        <bgColor rgb="FFEDEDED"/>
      </patternFill>
    </fill>
    <fill>
      <patternFill patternType="solid">
        <fgColor rgb="FFDCE6EE"/>
        <bgColor rgb="FFE3EFE3"/>
      </patternFill>
    </fill>
    <fill>
      <patternFill patternType="solid">
        <fgColor rgb="FF5B3A6B"/>
        <bgColor rgb="FF44444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AA5AD"/>
      </left>
      <right/>
      <top style="thin">
        <color rgb="FF9AA5AD"/>
      </top>
      <bottom style="thin">
        <color rgb="FF9AA5AD"/>
      </bottom>
      <diagonal/>
    </border>
    <border diagonalUp="false" diagonalDown="false"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1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1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F2B3"/>
        </patternFill>
      </fill>
    </dxf>
    <dxf>
      <fill>
        <patternFill>
          <bgColor rgb="FFFDE2C8"/>
        </patternFill>
      </fill>
    </dxf>
    <dxf>
      <fill>
        <patternFill>
          <bgColor rgb="FFFBD5D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00"/>
      <rgbColor rgb="FF800080"/>
      <rgbColor rgb="FF0F6E6E"/>
      <rgbColor rgb="FFC0C0C0"/>
      <rgbColor rgb="FF888888"/>
      <rgbColor rgb="FF9AA5AD"/>
      <rgbColor rgb="FF993366"/>
      <rgbColor rgb="FFFFF6CC"/>
      <rgbColor rgb="FFDCE6EE"/>
      <rgbColor rgb="FF660066"/>
      <rgbColor rgb="FFFF8080"/>
      <rgbColor rgb="FF0066CC"/>
      <rgbColor rgb="FFFDE2C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3EFE3"/>
      <rgbColor rgb="FFFFF2B3"/>
      <rgbColor rgb="FF99CCFF"/>
      <rgbColor rgb="FFFF99CC"/>
      <rgbColor rgb="FFCC99FF"/>
      <rgbColor rgb="FFFBD5D5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F4E6B"/>
      <rgbColor rgb="FF339966"/>
      <rgbColor rgb="FF003300"/>
      <rgbColor rgb="FF555555"/>
      <rgbColor rgb="FF8B3A2F"/>
      <rgbColor rgb="FF993366"/>
      <rgbColor rgb="FF5B3A6B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11" min="9" style="0" width="12"/>
    <col collapsed="false" customWidth="true" hidden="false" outlineLevel="0" max="12" min="12" style="0" width="26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3" customFormat="false" ht="27.75" hidden="false" customHeight="true" outlineLevel="0" collapsed="false">
      <c r="B3" s="2" t="s">
        <v>1</v>
      </c>
      <c r="C3" s="3" t="s">
        <v>2</v>
      </c>
      <c r="D3" s="3"/>
      <c r="E3" s="2" t="s">
        <v>3</v>
      </c>
      <c r="F3" s="3" t="n">
        <v>2026</v>
      </c>
      <c r="H3" s="2" t="s">
        <v>4</v>
      </c>
      <c r="I3" s="3"/>
      <c r="J3" s="3"/>
      <c r="K3" s="3"/>
      <c r="L3" s="3"/>
    </row>
    <row r="4" customFormat="false" ht="15" hidden="false" customHeight="false" outlineLevel="0" collapsed="false">
      <c r="B4" s="4" t="s">
        <v>5</v>
      </c>
      <c r="C4" s="5" t="n">
        <f aca="false">DATE(SEL_Y,MATCH(SEL_M,القوائم!$D$1:$D$12,0),1)</f>
        <v>46296</v>
      </c>
      <c r="D4" s="4" t="s">
        <v>6</v>
      </c>
      <c r="E4" s="5" t="n">
        <f aca="false">EOMONTH(C4,0)</f>
        <v>46326</v>
      </c>
      <c r="F4" s="4" t="s">
        <v>7</v>
      </c>
      <c r="G4" s="5" t="n">
        <f aca="false">C4+MOD(6-WEEKDAY(C4,1),7)</f>
        <v>46297</v>
      </c>
      <c r="H4" s="4" t="s">
        <v>8</v>
      </c>
      <c r="I4" s="4" t="n">
        <f aca="false">INT((E4-G4)/7)+1</f>
        <v>5</v>
      </c>
      <c r="J4" s="4" t="s">
        <v>9</v>
      </c>
      <c r="K4" s="5" t="n">
        <f aca="false">G4-6</f>
        <v>46291</v>
      </c>
    </row>
    <row r="5" customFormat="false" ht="15" hidden="false" customHeight="false" outlineLevel="0" collapsed="false">
      <c r="B5" s="6" t="str">
        <f aca="false">IF(SEL_W="","← اختر الأسبوع من القائمة (بيتغيّر حسب الشهر)","")</f>
        <v>← اختر الأسبوع من القائمة (بيتغيّر حسب الشهر)</v>
      </c>
      <c r="C5" s="6"/>
      <c r="D5" s="6"/>
      <c r="E5" s="6"/>
      <c r="F5" s="6"/>
      <c r="G5" s="6"/>
      <c r="H5" s="6"/>
      <c r="I5" s="6"/>
      <c r="J5" s="6"/>
      <c r="K5" s="6"/>
      <c r="L5" s="6"/>
    </row>
    <row r="6" customFormat="false" ht="15" hidden="false" customHeight="false" outlineLevel="0" collapsed="false">
      <c r="B6" s="7" t="s">
        <v>10</v>
      </c>
      <c r="C6" s="7" t="n">
        <f aca="false">IFERROR(MATCH(SEL_W,القوائم!$G$1:$G$5,0),1)</f>
        <v>1</v>
      </c>
      <c r="D6" s="7" t="s">
        <v>11</v>
      </c>
      <c r="E6" s="8" t="n">
        <f aca="false">W1+7*(C6-1)</f>
        <v>46291</v>
      </c>
      <c r="F6" s="7" t="s">
        <v>12</v>
      </c>
      <c r="G6" s="8" t="n">
        <f aca="false">E6+6</f>
        <v>46297</v>
      </c>
    </row>
    <row r="8" customFormat="false" ht="16.15" hidden="false" customHeight="false" outlineLevel="0" collapsed="false">
      <c r="B8" s="9" t="str">
        <f aca="false">IF(SEL_W="","","تسوية "&amp;SEL_W)</f>
        <v/>
      </c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30" hidden="false" customHeight="true" outlineLevel="0" collapsed="false">
      <c r="A9" s="10" t="s">
        <v>13</v>
      </c>
      <c r="B9" s="10" t="s">
        <v>14</v>
      </c>
      <c r="C9" s="10" t="s">
        <v>15</v>
      </c>
      <c r="D9" s="10" t="s">
        <v>16</v>
      </c>
      <c r="E9" s="10" t="s">
        <v>17</v>
      </c>
      <c r="F9" s="10" t="s">
        <v>18</v>
      </c>
      <c r="G9" s="10" t="s">
        <v>19</v>
      </c>
      <c r="H9" s="10" t="s">
        <v>20</v>
      </c>
      <c r="I9" s="10" t="s">
        <v>21</v>
      </c>
      <c r="J9" s="10"/>
      <c r="K9" s="10"/>
      <c r="L9" s="10"/>
    </row>
    <row r="10" customFormat="false" ht="16.15" hidden="false" customHeight="false" outlineLevel="0" collapsed="false">
      <c r="A10" s="11" t="n">
        <v>1</v>
      </c>
      <c r="B10" s="11" t="s">
        <v>22</v>
      </c>
      <c r="C10" s="12" t="n">
        <f aca="false">N(INDEX('ساعات عمر'!$F$1:$F$50,(14+9*(WK-1))))</f>
        <v>0</v>
      </c>
      <c r="D10" s="13" t="n">
        <f aca="false">N(INDEX('ساعات عمر'!$I$1:$I$50,(14+9*(WK-1))))</f>
        <v>0</v>
      </c>
      <c r="E10" s="13" t="n">
        <f aca="false">SUMIFS(LOG_A,LOG_E,B10,LOG_T,"سلفة",LOG_D,"&gt;="&amp;WS,LOG_D,"&lt;="&amp;WE)</f>
        <v>0</v>
      </c>
      <c r="F10" s="13" t="n">
        <f aca="false">IF(D10=0,0,OMR_INST)</f>
        <v>0</v>
      </c>
      <c r="G10" s="13" t="n">
        <v>0</v>
      </c>
      <c r="H10" s="14" t="n">
        <f aca="false">D10-E10-F10-G10</f>
        <v>0</v>
      </c>
      <c r="I10" s="15" t="str">
        <f aca="false">IF(AND(ADV_CAP&gt;0,D10&gt;0,E10&gt;ADV_CAP*D10),"⚠️ السلف تجاوزت السقف",IF(H10&lt;0,"⚠️ السلف أكثر من المستحق",""))</f>
        <v/>
      </c>
      <c r="J10" s="15"/>
      <c r="K10" s="15"/>
      <c r="L10" s="15"/>
    </row>
    <row r="11" customFormat="false" ht="16.15" hidden="false" customHeight="false" outlineLevel="0" collapsed="false">
      <c r="A11" s="11" t="n">
        <v>2</v>
      </c>
      <c r="B11" s="11" t="s">
        <v>23</v>
      </c>
      <c r="C11" s="12" t="n">
        <f aca="false">N(INDEX('ساعات عبدالعزيز'!$F$1:$F$50,(14+9*(WK-1))))</f>
        <v>0</v>
      </c>
      <c r="D11" s="13" t="n">
        <f aca="false">N(INDEX('ساعات عبدالعزيز'!$G$1:$G$50,(14+9*(WK-1))))</f>
        <v>0</v>
      </c>
      <c r="E11" s="13" t="n">
        <f aca="false">SUMIFS(LOG_A,LOG_E,B11,LOG_T,"سلفة",LOG_D,"&gt;="&amp;WS,LOG_D,"&lt;="&amp;WE)</f>
        <v>0</v>
      </c>
      <c r="F11" s="13" t="n">
        <f aca="false">IF(D11=0,0,AZZ_INST)</f>
        <v>0</v>
      </c>
      <c r="G11" s="13" t="n">
        <f aca="false">N(INDEX('ساعات عبدالعزيز'!$I$1:$I$50,(14+9*(WK-1))))</f>
        <v>0</v>
      </c>
      <c r="H11" s="14" t="n">
        <f aca="false">D11-E11-F11-G11</f>
        <v>0</v>
      </c>
      <c r="I11" s="15" t="str">
        <f aca="false">IF(AND(ADV_CAP&gt;0,D11&gt;0,E11&gt;ADV_CAP*D11),"⚠️ السلف تجاوزت السقف",IF(H11&lt;0,"⚠️ السلف أكثر من المستحق",""))</f>
        <v/>
      </c>
      <c r="J11" s="15"/>
      <c r="K11" s="15"/>
      <c r="L11" s="15"/>
    </row>
    <row r="12" customFormat="false" ht="15" hidden="false" customHeight="true" outlineLevel="0" collapsed="false">
      <c r="B12" s="16" t="s">
        <v>24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</row>
    <row r="14" customFormat="false" ht="16.15" hidden="false" customHeight="false" outlineLevel="0" collapsed="false">
      <c r="B14" s="17" t="str">
        <f aca="false">SEL_M&amp;"  "&amp;SEL_Y&amp;"  —  كل الأسابيع"</f>
        <v>10 - تشرين الأول  2026  —  كل الأسابيع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customFormat="false" ht="33.75" hidden="false" customHeight="true" outlineLevel="0" collapsed="false">
      <c r="A15" s="18" t="s">
        <v>13</v>
      </c>
      <c r="B15" s="18" t="s">
        <v>11</v>
      </c>
      <c r="C15" s="18" t="s">
        <v>12</v>
      </c>
      <c r="D15" s="18" t="s">
        <v>25</v>
      </c>
      <c r="E15" s="18" t="s">
        <v>26</v>
      </c>
      <c r="F15" s="18" t="s">
        <v>27</v>
      </c>
      <c r="G15" s="18" t="s">
        <v>28</v>
      </c>
      <c r="H15" s="18" t="s">
        <v>29</v>
      </c>
      <c r="I15" s="18" t="s">
        <v>30</v>
      </c>
      <c r="J15" s="18" t="s">
        <v>31</v>
      </c>
      <c r="K15" s="18" t="s">
        <v>32</v>
      </c>
      <c r="L15" s="18" t="s">
        <v>33</v>
      </c>
    </row>
    <row r="16" customFormat="false" ht="15" hidden="false" customHeight="false" outlineLevel="0" collapsed="false">
      <c r="A16" s="19" t="n">
        <f aca="false">IF(1&lt;=NW,1,"")</f>
        <v>1</v>
      </c>
      <c r="B16" s="20" t="n">
        <f aca="false">IF(1&lt;=NW,W1+0,"")</f>
        <v>46291</v>
      </c>
      <c r="C16" s="20" t="n">
        <f aca="false">IF(1&lt;=NW,W1+6,"")</f>
        <v>46297</v>
      </c>
      <c r="D16" s="12" t="n">
        <f aca="false">IF(1&lt;=NW,N('ساعات عمر'!F14),"")</f>
        <v>0</v>
      </c>
      <c r="E16" s="13" t="n">
        <f aca="false">IF(1&lt;=NW,N('ساعات عمر'!I14),"")</f>
        <v>0</v>
      </c>
      <c r="F16" s="13" t="n">
        <f aca="false">IF(1&lt;=NW,SUMIFS(LOG_A,LOG_E,"عمر المصري",LOG_T,"سلفة",LOG_D,"&gt;="&amp;B16,LOG_D,"&lt;="&amp;C16),"")</f>
        <v>0</v>
      </c>
      <c r="G16" s="13" t="n">
        <f aca="false">IF(1&lt;=NW,E16-F16-IF(E16=0,0,OMR_INST),"")</f>
        <v>0</v>
      </c>
      <c r="H16" s="12" t="n">
        <f aca="false">IF(1&lt;=NW,N('ساعات عبدالعزيز'!F14),"")</f>
        <v>0</v>
      </c>
      <c r="I16" s="13" t="n">
        <f aca="false">IF(1&lt;=NW,N('ساعات عبدالعزيز'!G14),"")</f>
        <v>0</v>
      </c>
      <c r="J16" s="13" t="n">
        <f aca="false">IF(1&lt;=NW,N('ساعات عبدالعزيز'!I14),"")</f>
        <v>0</v>
      </c>
      <c r="K16" s="13" t="n">
        <f aca="false">IF(1&lt;=NW,SUMIFS(LOG_A,LOG_E,"عبدالعزيز",LOG_T,"سلفة",LOG_D,"&gt;="&amp;B16,LOG_D,"&lt;="&amp;C16),"")</f>
        <v>0</v>
      </c>
      <c r="L16" s="13" t="n">
        <f aca="false">IF(1&lt;=NW,I16-J16-K16-IF(I16=0,0,AZZ_INST),"")</f>
        <v>0</v>
      </c>
    </row>
    <row r="17" customFormat="false" ht="15" hidden="false" customHeight="false" outlineLevel="0" collapsed="false">
      <c r="A17" s="19" t="n">
        <f aca="false">IF(2&lt;=NW,2,"")</f>
        <v>2</v>
      </c>
      <c r="B17" s="20" t="n">
        <f aca="false">IF(2&lt;=NW,W1+7,"")</f>
        <v>46298</v>
      </c>
      <c r="C17" s="20" t="n">
        <f aca="false">IF(2&lt;=NW,W1+13,"")</f>
        <v>46304</v>
      </c>
      <c r="D17" s="12" t="n">
        <f aca="false">IF(2&lt;=NW,N('ساعات عمر'!F23),"")</f>
        <v>0</v>
      </c>
      <c r="E17" s="13" t="n">
        <f aca="false">IF(2&lt;=NW,N('ساعات عمر'!I23),"")</f>
        <v>0</v>
      </c>
      <c r="F17" s="13" t="n">
        <f aca="false">IF(2&lt;=NW,SUMIFS(LOG_A,LOG_E,"عمر المصري",LOG_T,"سلفة",LOG_D,"&gt;="&amp;B17,LOG_D,"&lt;="&amp;C17),"")</f>
        <v>0</v>
      </c>
      <c r="G17" s="13" t="n">
        <f aca="false">IF(2&lt;=NW,E17-F17-IF(E17=0,0,OMR_INST),"")</f>
        <v>0</v>
      </c>
      <c r="H17" s="12" t="n">
        <f aca="false">IF(2&lt;=NW,N('ساعات عبدالعزيز'!F23),"")</f>
        <v>0</v>
      </c>
      <c r="I17" s="13" t="n">
        <f aca="false">IF(2&lt;=NW,N('ساعات عبدالعزيز'!G23),"")</f>
        <v>0</v>
      </c>
      <c r="J17" s="13" t="n">
        <f aca="false">IF(2&lt;=NW,N('ساعات عبدالعزيز'!I23),"")</f>
        <v>0</v>
      </c>
      <c r="K17" s="13" t="n">
        <f aca="false">IF(2&lt;=NW,SUMIFS(LOG_A,LOG_E,"عبدالعزيز",LOG_T,"سلفة",LOG_D,"&gt;="&amp;B17,LOG_D,"&lt;="&amp;C17),"")</f>
        <v>0</v>
      </c>
      <c r="L17" s="13" t="n">
        <f aca="false">IF(2&lt;=NW,I17-J17-K17-IF(I17=0,0,AZZ_INST),"")</f>
        <v>0</v>
      </c>
    </row>
    <row r="18" customFormat="false" ht="15" hidden="false" customHeight="false" outlineLevel="0" collapsed="false">
      <c r="A18" s="19" t="n">
        <f aca="false">IF(3&lt;=NW,3,"")</f>
        <v>3</v>
      </c>
      <c r="B18" s="20" t="n">
        <f aca="false">IF(3&lt;=NW,W1+14,"")</f>
        <v>46305</v>
      </c>
      <c r="C18" s="20" t="n">
        <f aca="false">IF(3&lt;=NW,W1+20,"")</f>
        <v>46311</v>
      </c>
      <c r="D18" s="12" t="n">
        <f aca="false">IF(3&lt;=NW,N('ساعات عمر'!F32),"")</f>
        <v>0</v>
      </c>
      <c r="E18" s="13" t="n">
        <f aca="false">IF(3&lt;=NW,N('ساعات عمر'!I32),"")</f>
        <v>0</v>
      </c>
      <c r="F18" s="13" t="n">
        <f aca="false">IF(3&lt;=NW,SUMIFS(LOG_A,LOG_E,"عمر المصري",LOG_T,"سلفة",LOG_D,"&gt;="&amp;B18,LOG_D,"&lt;="&amp;C18),"")</f>
        <v>0</v>
      </c>
      <c r="G18" s="13" t="n">
        <f aca="false">IF(3&lt;=NW,E18-F18-IF(E18=0,0,OMR_INST),"")</f>
        <v>0</v>
      </c>
      <c r="H18" s="12" t="n">
        <f aca="false">IF(3&lt;=NW,N('ساعات عبدالعزيز'!F32),"")</f>
        <v>0</v>
      </c>
      <c r="I18" s="13" t="n">
        <f aca="false">IF(3&lt;=NW,N('ساعات عبدالعزيز'!G32),"")</f>
        <v>0</v>
      </c>
      <c r="J18" s="13" t="n">
        <f aca="false">IF(3&lt;=NW,N('ساعات عبدالعزيز'!I32),"")</f>
        <v>0</v>
      </c>
      <c r="K18" s="13" t="n">
        <f aca="false">IF(3&lt;=NW,SUMIFS(LOG_A,LOG_E,"عبدالعزيز",LOG_T,"سلفة",LOG_D,"&gt;="&amp;B18,LOG_D,"&lt;="&amp;C18),"")</f>
        <v>0</v>
      </c>
      <c r="L18" s="13" t="n">
        <f aca="false">IF(3&lt;=NW,I18-J18-K18-IF(I18=0,0,AZZ_INST),"")</f>
        <v>0</v>
      </c>
    </row>
    <row r="19" customFormat="false" ht="15" hidden="false" customHeight="false" outlineLevel="0" collapsed="false">
      <c r="A19" s="19" t="n">
        <f aca="false">IF(4&lt;=NW,4,"")</f>
        <v>4</v>
      </c>
      <c r="B19" s="20" t="n">
        <f aca="false">IF(4&lt;=NW,W1+21,"")</f>
        <v>46312</v>
      </c>
      <c r="C19" s="20" t="n">
        <f aca="false">IF(4&lt;=NW,W1+27,"")</f>
        <v>46318</v>
      </c>
      <c r="D19" s="12" t="n">
        <f aca="false">IF(4&lt;=NW,N('ساعات عمر'!F41),"")</f>
        <v>0</v>
      </c>
      <c r="E19" s="13" t="n">
        <f aca="false">IF(4&lt;=NW,N('ساعات عمر'!I41),"")</f>
        <v>0</v>
      </c>
      <c r="F19" s="13" t="n">
        <f aca="false">IF(4&lt;=NW,SUMIFS(LOG_A,LOG_E,"عمر المصري",LOG_T,"سلفة",LOG_D,"&gt;="&amp;B19,LOG_D,"&lt;="&amp;C19),"")</f>
        <v>0</v>
      </c>
      <c r="G19" s="13" t="n">
        <f aca="false">IF(4&lt;=NW,E19-F19-IF(E19=0,0,OMR_INST),"")</f>
        <v>0</v>
      </c>
      <c r="H19" s="12" t="n">
        <f aca="false">IF(4&lt;=NW,N('ساعات عبدالعزيز'!F41),"")</f>
        <v>0</v>
      </c>
      <c r="I19" s="13" t="n">
        <f aca="false">IF(4&lt;=NW,N('ساعات عبدالعزيز'!G41),"")</f>
        <v>0</v>
      </c>
      <c r="J19" s="13" t="n">
        <f aca="false">IF(4&lt;=NW,N('ساعات عبدالعزيز'!I41),"")</f>
        <v>0</v>
      </c>
      <c r="K19" s="13" t="n">
        <f aca="false">IF(4&lt;=NW,SUMIFS(LOG_A,LOG_E,"عبدالعزيز",LOG_T,"سلفة",LOG_D,"&gt;="&amp;B19,LOG_D,"&lt;="&amp;C19),"")</f>
        <v>0</v>
      </c>
      <c r="L19" s="13" t="n">
        <f aca="false">IF(4&lt;=NW,I19-J19-K19-IF(I19=0,0,AZZ_INST),"")</f>
        <v>0</v>
      </c>
    </row>
    <row r="20" customFormat="false" ht="15" hidden="false" customHeight="false" outlineLevel="0" collapsed="false">
      <c r="A20" s="19" t="n">
        <f aca="false">IF(5&lt;=NW,5,"")</f>
        <v>5</v>
      </c>
      <c r="B20" s="20" t="n">
        <f aca="false">IF(5&lt;=NW,W1+28,"")</f>
        <v>46319</v>
      </c>
      <c r="C20" s="20" t="n">
        <f aca="false">IF(5&lt;=NW,W1+34,"")</f>
        <v>46325</v>
      </c>
      <c r="D20" s="12" t="n">
        <f aca="false">IF(5&lt;=NW,N('ساعات عمر'!F50),"")</f>
        <v>0</v>
      </c>
      <c r="E20" s="13" t="n">
        <f aca="false">IF(5&lt;=NW,N('ساعات عمر'!I50),"")</f>
        <v>0</v>
      </c>
      <c r="F20" s="13" t="n">
        <f aca="false">IF(5&lt;=NW,SUMIFS(LOG_A,LOG_E,"عمر المصري",LOG_T,"سلفة",LOG_D,"&gt;="&amp;B20,LOG_D,"&lt;="&amp;C20),"")</f>
        <v>0</v>
      </c>
      <c r="G20" s="13" t="n">
        <f aca="false">IF(5&lt;=NW,E20-F20-IF(E20=0,0,OMR_INST),"")</f>
        <v>0</v>
      </c>
      <c r="H20" s="12" t="n">
        <f aca="false">IF(5&lt;=NW,N('ساعات عبدالعزيز'!F50),"")</f>
        <v>0</v>
      </c>
      <c r="I20" s="13" t="n">
        <f aca="false">IF(5&lt;=NW,N('ساعات عبدالعزيز'!G50),"")</f>
        <v>0</v>
      </c>
      <c r="J20" s="13" t="n">
        <f aca="false">IF(5&lt;=NW,N('ساعات عبدالعزيز'!I50),"")</f>
        <v>0</v>
      </c>
      <c r="K20" s="13" t="n">
        <f aca="false">IF(5&lt;=NW,SUMIFS(LOG_A,LOG_E,"عبدالعزيز",LOG_T,"سلفة",LOG_D,"&gt;="&amp;B20,LOG_D,"&lt;="&amp;C20),"")</f>
        <v>0</v>
      </c>
      <c r="L20" s="13" t="n">
        <f aca="false">IF(5&lt;=NW,I20-J20-K20-IF(I20=0,0,AZZ_INST),"")</f>
        <v>0</v>
      </c>
    </row>
    <row r="21" customFormat="false" ht="15" hidden="false" customHeight="false" outlineLevel="0" collapsed="false">
      <c r="A21" s="21"/>
      <c r="B21" s="21" t="s">
        <v>34</v>
      </c>
      <c r="C21" s="21"/>
      <c r="D21" s="22" t="n">
        <f aca="false">SUM(D16:D20)</f>
        <v>0</v>
      </c>
      <c r="E21" s="23" t="n">
        <f aca="false">SUM(E16:E20)</f>
        <v>0</v>
      </c>
      <c r="F21" s="23" t="n">
        <f aca="false">SUM(F16:F20)</f>
        <v>0</v>
      </c>
      <c r="G21" s="23" t="n">
        <f aca="false">SUM(G16:G20)</f>
        <v>0</v>
      </c>
      <c r="H21" s="22" t="n">
        <f aca="false">SUM(H16:H20)</f>
        <v>0</v>
      </c>
      <c r="I21" s="23" t="n">
        <f aca="false">SUM(I16:I20)</f>
        <v>0</v>
      </c>
      <c r="J21" s="23" t="n">
        <f aca="false">SUM(J16:J20)</f>
        <v>0</v>
      </c>
      <c r="K21" s="23" t="n">
        <f aca="false">SUM(K16:K20)</f>
        <v>0</v>
      </c>
      <c r="L21" s="23" t="n">
        <f aca="false">SUM(L16:L20)</f>
        <v>0</v>
      </c>
    </row>
    <row r="23" customFormat="false" ht="16.15" hidden="false" customHeight="true" outlineLevel="0" collapsed="false">
      <c r="B23" s="24" t="s">
        <v>35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</row>
    <row r="24" customFormat="false" ht="15" hidden="false" customHeight="true" outlineLevel="0" collapsed="false">
      <c r="A24" s="25" t="s">
        <v>13</v>
      </c>
      <c r="B24" s="25" t="s">
        <v>14</v>
      </c>
      <c r="C24" s="25" t="s">
        <v>36</v>
      </c>
      <c r="D24" s="25" t="s">
        <v>37</v>
      </c>
      <c r="E24" s="25" t="s">
        <v>38</v>
      </c>
      <c r="F24" s="25" t="s">
        <v>39</v>
      </c>
      <c r="G24" s="25" t="s">
        <v>40</v>
      </c>
      <c r="H24" s="25" t="s">
        <v>41</v>
      </c>
      <c r="I24" s="25" t="s">
        <v>42</v>
      </c>
      <c r="J24" s="25" t="s">
        <v>43</v>
      </c>
      <c r="K24" s="25"/>
      <c r="L24" s="25"/>
    </row>
    <row r="25" customFormat="false" ht="15" hidden="false" customHeight="false" outlineLevel="0" collapsed="false">
      <c r="A25" s="11" t="n">
        <v>1</v>
      </c>
      <c r="B25" s="11" t="s">
        <v>22</v>
      </c>
      <c r="C25" s="13" t="n">
        <f aca="false">SUMIFS(LOG_A,LOG_E,B25,LOG_T,"رصيد مدوّر له")-SUMIFS(LOG_A,LOG_E,B25,LOG_T,"رصيد مدوّر عليه")</f>
        <v>0</v>
      </c>
      <c r="D25" s="13" t="n">
        <f aca="false">E21</f>
        <v>0</v>
      </c>
      <c r="E25" s="13" t="n">
        <f aca="false">SUMIFS(LOG_A,LOG_E,B25,LOG_T,"تسديد")</f>
        <v>0</v>
      </c>
      <c r="F25" s="13" t="n">
        <f aca="false">SUMIFS(LOG_A,LOG_E,B25,LOG_T,"سلفة")</f>
        <v>0</v>
      </c>
      <c r="G25" s="13" t="n">
        <f aca="false">SUMIFS(LOG_A,LOG_E,B25,LOG_T,"دين")+SUMIFS(LOG_A,LOG_E,B25,LOG_T,"بضاعة")</f>
        <v>0</v>
      </c>
      <c r="H25" s="13" t="n">
        <f aca="false">SUMIFS(LOG_A,LOG_E,B25,LOG_T,"دفع")</f>
        <v>0</v>
      </c>
      <c r="I25" s="26" t="n">
        <f aca="false">C25+D25+E25-F25-G25-H25</f>
        <v>0</v>
      </c>
      <c r="J25" s="27" t="str">
        <f aca="false">IF(I25&gt;0.0005,"المحل مدين إله",IF(I25&lt;-0.0005,"هو مدين للمحل","متساوي"))</f>
        <v>متساوي</v>
      </c>
      <c r="K25" s="27"/>
      <c r="L25" s="27"/>
    </row>
    <row r="26" customFormat="false" ht="15" hidden="false" customHeight="false" outlineLevel="0" collapsed="false">
      <c r="A26" s="11" t="n">
        <v>2</v>
      </c>
      <c r="B26" s="11" t="s">
        <v>23</v>
      </c>
      <c r="C26" s="13" t="n">
        <f aca="false">SUMIFS(LOG_A,LOG_E,B26,LOG_T,"رصيد مدوّر له")-SUMIFS(LOG_A,LOG_E,B26,LOG_T,"رصيد مدوّر عليه")</f>
        <v>0</v>
      </c>
      <c r="D26" s="13" t="n">
        <f aca="false">I21</f>
        <v>0</v>
      </c>
      <c r="E26" s="13" t="n">
        <f aca="false">SUMIFS(LOG_A,LOG_E,B26,LOG_T,"تسديد")</f>
        <v>0</v>
      </c>
      <c r="F26" s="13" t="n">
        <f aca="false">SUMIFS(LOG_A,LOG_E,B26,LOG_T,"سلفة")</f>
        <v>0</v>
      </c>
      <c r="G26" s="13" t="n">
        <f aca="false">SUMIFS(LOG_A,LOG_E,B26,LOG_T,"دين")+SUMIFS(LOG_A,LOG_E,B26,LOG_T,"بضاعة")</f>
        <v>0</v>
      </c>
      <c r="H26" s="13" t="n">
        <f aca="false">SUMIFS(LOG_A,LOG_E,B26,LOG_T,"دفع")+J21</f>
        <v>0</v>
      </c>
      <c r="I26" s="26" t="n">
        <f aca="false">C26+D26+E26-F26-G26-H26</f>
        <v>0</v>
      </c>
      <c r="J26" s="27" t="str">
        <f aca="false">IF(I26&gt;0.0005,"المحل مدين إله",IF(I26&lt;-0.0005,"هو مدين للمحل","متساوي"))</f>
        <v>متساوي</v>
      </c>
      <c r="K26" s="27"/>
      <c r="L26" s="27"/>
    </row>
    <row r="27" customFormat="false" ht="15" hidden="false" customHeight="false" outlineLevel="0" collapsed="false">
      <c r="A27" s="11" t="n">
        <v>3</v>
      </c>
      <c r="B27" s="11" t="s">
        <v>44</v>
      </c>
      <c r="C27" s="13" t="n">
        <f aca="false">SUMIFS(LOG_A,LOG_E,B27,LOG_T,"رصيد مدوّر له")-SUMIFS(LOG_A,LOG_E,B27,LOG_T,"رصيد مدوّر عليه")</f>
        <v>0</v>
      </c>
      <c r="D27" s="13" t="n">
        <f aca="false">المدير!D10</f>
        <v>375</v>
      </c>
      <c r="E27" s="13" t="n">
        <f aca="false">SUMIFS(LOG_A,LOG_E,B27,LOG_T,"تسديد")</f>
        <v>0</v>
      </c>
      <c r="F27" s="13" t="n">
        <f aca="false">SUMIFS(LOG_A,LOG_E,B27,LOG_T,"سلفة")</f>
        <v>0</v>
      </c>
      <c r="G27" s="13" t="n">
        <f aca="false">SUMIFS(LOG_A,LOG_E,B27,LOG_T,"دين")+SUMIFS(LOG_A,LOG_E,B27,LOG_T,"بضاعة")</f>
        <v>0</v>
      </c>
      <c r="H27" s="13" t="n">
        <f aca="false">SUMIFS(LOG_A,LOG_E,B27,LOG_T,"دفع")</f>
        <v>0</v>
      </c>
      <c r="I27" s="26" t="n">
        <f aca="false">C27+D27+E27-F27-G27-H27</f>
        <v>375</v>
      </c>
      <c r="J27" s="27" t="str">
        <f aca="false">IF(I27&gt;0.0005,"المحل مدين إله",IF(I27&lt;-0.0005,"هو مدين للمحل","متساوي"))</f>
        <v>المحل مدين إله</v>
      </c>
      <c r="K27" s="27"/>
      <c r="L27" s="27"/>
    </row>
    <row r="29" customFormat="false" ht="15" hidden="false" customHeight="true" outlineLevel="0" collapsed="false">
      <c r="B29" s="28" t="s">
        <v>45</v>
      </c>
      <c r="C29" s="28"/>
      <c r="D29" s="28"/>
      <c r="E29" s="28"/>
      <c r="F29" s="28"/>
      <c r="G29" s="28"/>
      <c r="H29" s="28"/>
      <c r="I29" s="28"/>
      <c r="J29" s="28"/>
      <c r="K29" s="28"/>
      <c r="L29" s="28"/>
    </row>
  </sheetData>
  <mergeCells count="16">
    <mergeCell ref="A1:L1"/>
    <mergeCell ref="C3:D3"/>
    <mergeCell ref="I3:L3"/>
    <mergeCell ref="B5:L5"/>
    <mergeCell ref="B8:L8"/>
    <mergeCell ref="I9:L9"/>
    <mergeCell ref="I10:L10"/>
    <mergeCell ref="I11:L11"/>
    <mergeCell ref="B12:L12"/>
    <mergeCell ref="B14:L14"/>
    <mergeCell ref="B23:L23"/>
    <mergeCell ref="J24:L24"/>
    <mergeCell ref="J25:L25"/>
    <mergeCell ref="J26:L26"/>
    <mergeCell ref="J27:L27"/>
    <mergeCell ref="B29:L29"/>
  </mergeCells>
  <conditionalFormatting sqref="A16:L20">
    <cfRule type="expression" priority="2" aboveAverage="0" equalAverage="0" bottom="0" percent="0" rank="0" text="" dxfId="0">
      <formula>AND($A16&lt;&gt;"",$A16=WK)</formula>
    </cfRule>
  </conditionalFormatting>
  <dataValidations count="3">
    <dataValidation allowBlank="true" errorStyle="stop" operator="between" showDropDown="false" showErrorMessage="false" showInputMessage="false" sqref="C3" type="list">
      <formula1>القوائم!$D$1:$D$12</formula1>
      <formula2>0</formula2>
    </dataValidation>
    <dataValidation allowBlank="true" errorStyle="stop" operator="between" showDropDown="false" showErrorMessage="false" showInputMessage="false" sqref="F3" type="list">
      <formula1>القوائم!$E$1:$E$10</formula1>
      <formula2>0</formula2>
    </dataValidation>
    <dataValidation allowBlank="true" errorStyle="stop" operator="between" showDropDown="false" showErrorMessage="false" showInputMessage="false" sqref="I3" type="list">
      <formula1>القوائم!$G$1:$G$5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46</v>
      </c>
      <c r="B1" s="29" t="n">
        <v>0.25</v>
      </c>
      <c r="D1" s="30" t="s">
        <v>47</v>
      </c>
      <c r="E1" s="0" t="n">
        <v>2026</v>
      </c>
      <c r="G1" s="0" t="str">
        <f aca="false">IF(1&lt;=NW,"الأسبوع 1:  "&amp;DAY(W1+0)&amp;"/"&amp;MONTH(W1+0)&amp;" ← "&amp;DAY(W1+6)&amp;"/"&amp;MONTH(W1+6),"")</f>
        <v>الأسبوع 1:  26/9 ← 2/10</v>
      </c>
    </row>
    <row r="2" customFormat="false" ht="15" hidden="false" customHeight="false" outlineLevel="0" collapsed="false">
      <c r="A2" s="0" t="s">
        <v>48</v>
      </c>
      <c r="B2" s="29" t="n">
        <v>0.260416666666667</v>
      </c>
      <c r="D2" s="30" t="s">
        <v>49</v>
      </c>
      <c r="E2" s="0" t="n">
        <v>2027</v>
      </c>
      <c r="G2" s="0" t="str">
        <f aca="false">IF(2&lt;=NW,"الأسبوع 2:  "&amp;DAY(W1+7)&amp;"/"&amp;MONTH(W1+7)&amp;" ← "&amp;DAY(W1+13)&amp;"/"&amp;MONTH(W1+13),"")</f>
        <v>الأسبوع 2:  3/10 ← 9/10</v>
      </c>
    </row>
    <row r="3" customFormat="false" ht="15" hidden="false" customHeight="false" outlineLevel="0" collapsed="false">
      <c r="A3" s="0" t="s">
        <v>50</v>
      </c>
      <c r="B3" s="29" t="n">
        <v>0.270833333333333</v>
      </c>
      <c r="D3" s="30" t="s">
        <v>51</v>
      </c>
      <c r="E3" s="0" t="n">
        <v>2028</v>
      </c>
      <c r="G3" s="0" t="str">
        <f aca="false">IF(3&lt;=NW,"الأسبوع 3:  "&amp;DAY(W1+14)&amp;"/"&amp;MONTH(W1+14)&amp;" ← "&amp;DAY(W1+20)&amp;"/"&amp;MONTH(W1+20),"")</f>
        <v>الأسبوع 3:  10/10 ← 16/10</v>
      </c>
    </row>
    <row r="4" customFormat="false" ht="15" hidden="false" customHeight="false" outlineLevel="0" collapsed="false">
      <c r="A4" s="0" t="s">
        <v>52</v>
      </c>
      <c r="B4" s="29" t="n">
        <v>0.28125</v>
      </c>
      <c r="D4" s="30" t="s">
        <v>53</v>
      </c>
      <c r="E4" s="0" t="n">
        <v>2029</v>
      </c>
      <c r="G4" s="0" t="str">
        <f aca="false">IF(4&lt;=NW,"الأسبوع 4:  "&amp;DAY(W1+21)&amp;"/"&amp;MONTH(W1+21)&amp;" ← "&amp;DAY(W1+27)&amp;"/"&amp;MONTH(W1+27),"")</f>
        <v>الأسبوع 4:  17/10 ← 23/10</v>
      </c>
    </row>
    <row r="5" customFormat="false" ht="15" hidden="false" customHeight="false" outlineLevel="0" collapsed="false">
      <c r="A5" s="0" t="s">
        <v>54</v>
      </c>
      <c r="B5" s="29" t="n">
        <v>0.291666666666667</v>
      </c>
      <c r="D5" s="30" t="s">
        <v>55</v>
      </c>
      <c r="E5" s="0" t="n">
        <v>2030</v>
      </c>
      <c r="G5" s="0" t="str">
        <f aca="false">IF(5&lt;=NW,"الأسبوع 5:  "&amp;DAY(W1+28)&amp;"/"&amp;MONTH(W1+28)&amp;" ← "&amp;DAY(W1+34)&amp;"/"&amp;MONTH(W1+34),"")</f>
        <v>الأسبوع 5:  24/10 ← 30/10</v>
      </c>
    </row>
    <row r="6" customFormat="false" ht="15" hidden="false" customHeight="false" outlineLevel="0" collapsed="false">
      <c r="A6" s="0" t="s">
        <v>56</v>
      </c>
      <c r="B6" s="29" t="n">
        <v>0.302083333333333</v>
      </c>
      <c r="D6" s="30" t="s">
        <v>57</v>
      </c>
      <c r="E6" s="0" t="n">
        <v>2031</v>
      </c>
    </row>
    <row r="7" customFormat="false" ht="15" hidden="false" customHeight="false" outlineLevel="0" collapsed="false">
      <c r="A7" s="0" t="s">
        <v>58</v>
      </c>
      <c r="B7" s="29" t="n">
        <v>0.3125</v>
      </c>
      <c r="D7" s="30" t="s">
        <v>59</v>
      </c>
      <c r="E7" s="0" t="n">
        <v>2032</v>
      </c>
    </row>
    <row r="8" customFormat="false" ht="15" hidden="false" customHeight="false" outlineLevel="0" collapsed="false">
      <c r="A8" s="0" t="s">
        <v>60</v>
      </c>
      <c r="B8" s="29" t="n">
        <v>0.322916666666667</v>
      </c>
      <c r="D8" s="30" t="s">
        <v>61</v>
      </c>
      <c r="E8" s="0" t="n">
        <v>2033</v>
      </c>
    </row>
    <row r="9" customFormat="false" ht="15" hidden="false" customHeight="false" outlineLevel="0" collapsed="false">
      <c r="A9" s="0" t="s">
        <v>62</v>
      </c>
      <c r="B9" s="29" t="n">
        <v>0.333333333333333</v>
      </c>
      <c r="D9" s="30" t="s">
        <v>63</v>
      </c>
      <c r="E9" s="0" t="n">
        <v>2034</v>
      </c>
    </row>
    <row r="10" customFormat="false" ht="15" hidden="false" customHeight="false" outlineLevel="0" collapsed="false">
      <c r="A10" s="0" t="s">
        <v>64</v>
      </c>
      <c r="B10" s="29" t="n">
        <v>0.34375</v>
      </c>
      <c r="D10" s="30" t="s">
        <v>2</v>
      </c>
      <c r="E10" s="0" t="n">
        <v>2035</v>
      </c>
    </row>
    <row r="11" customFormat="false" ht="15" hidden="false" customHeight="false" outlineLevel="0" collapsed="false">
      <c r="A11" s="0" t="s">
        <v>65</v>
      </c>
      <c r="B11" s="29" t="n">
        <v>0.354166666666667</v>
      </c>
      <c r="D11" s="30" t="s">
        <v>66</v>
      </c>
    </row>
    <row r="12" customFormat="false" ht="15" hidden="false" customHeight="false" outlineLevel="0" collapsed="false">
      <c r="A12" s="0" t="s">
        <v>67</v>
      </c>
      <c r="B12" s="29" t="n">
        <v>0.364583333333333</v>
      </c>
      <c r="D12" s="30" t="s">
        <v>68</v>
      </c>
    </row>
    <row r="13" customFormat="false" ht="15" hidden="false" customHeight="false" outlineLevel="0" collapsed="false">
      <c r="A13" s="0" t="s">
        <v>69</v>
      </c>
      <c r="B13" s="29" t="n">
        <v>0.375</v>
      </c>
    </row>
    <row r="14" customFormat="false" ht="15" hidden="false" customHeight="false" outlineLevel="0" collapsed="false">
      <c r="A14" s="0" t="s">
        <v>70</v>
      </c>
      <c r="B14" s="29" t="n">
        <v>0.385416666666667</v>
      </c>
    </row>
    <row r="15" customFormat="false" ht="15" hidden="false" customHeight="false" outlineLevel="0" collapsed="false">
      <c r="A15" s="0" t="s">
        <v>71</v>
      </c>
      <c r="B15" s="29" t="n">
        <v>0.395833333333333</v>
      </c>
    </row>
    <row r="16" customFormat="false" ht="15" hidden="false" customHeight="false" outlineLevel="0" collapsed="false">
      <c r="A16" s="0" t="s">
        <v>72</v>
      </c>
      <c r="B16" s="29" t="n">
        <v>0.40625</v>
      </c>
    </row>
    <row r="17" customFormat="false" ht="15" hidden="false" customHeight="false" outlineLevel="0" collapsed="false">
      <c r="A17" s="0" t="s">
        <v>73</v>
      </c>
      <c r="B17" s="29" t="n">
        <v>0.416666666666667</v>
      </c>
    </row>
    <row r="18" customFormat="false" ht="15" hidden="false" customHeight="false" outlineLevel="0" collapsed="false">
      <c r="A18" s="0" t="s">
        <v>74</v>
      </c>
      <c r="B18" s="29" t="n">
        <v>0.427083333333333</v>
      </c>
    </row>
    <row r="19" customFormat="false" ht="15" hidden="false" customHeight="false" outlineLevel="0" collapsed="false">
      <c r="A19" s="0" t="s">
        <v>75</v>
      </c>
      <c r="B19" s="29" t="n">
        <v>0.4375</v>
      </c>
    </row>
    <row r="20" customFormat="false" ht="15" hidden="false" customHeight="false" outlineLevel="0" collapsed="false">
      <c r="A20" s="0" t="s">
        <v>76</v>
      </c>
      <c r="B20" s="29" t="n">
        <v>0.447916666666667</v>
      </c>
    </row>
    <row r="21" customFormat="false" ht="15" hidden="false" customHeight="false" outlineLevel="0" collapsed="false">
      <c r="A21" s="0" t="s">
        <v>77</v>
      </c>
      <c r="B21" s="29" t="n">
        <v>0.458333333333333</v>
      </c>
    </row>
    <row r="22" customFormat="false" ht="15" hidden="false" customHeight="false" outlineLevel="0" collapsed="false">
      <c r="A22" s="0" t="s">
        <v>78</v>
      </c>
      <c r="B22" s="29" t="n">
        <v>0.46875</v>
      </c>
    </row>
    <row r="23" customFormat="false" ht="15" hidden="false" customHeight="false" outlineLevel="0" collapsed="false">
      <c r="A23" s="0" t="s">
        <v>79</v>
      </c>
      <c r="B23" s="29" t="n">
        <v>0.479166666666667</v>
      </c>
    </row>
    <row r="24" customFormat="false" ht="15" hidden="false" customHeight="false" outlineLevel="0" collapsed="false">
      <c r="A24" s="0" t="s">
        <v>80</v>
      </c>
      <c r="B24" s="29" t="n">
        <v>0.489583333333333</v>
      </c>
    </row>
    <row r="25" customFormat="false" ht="15" hidden="false" customHeight="false" outlineLevel="0" collapsed="false">
      <c r="A25" s="0" t="s">
        <v>81</v>
      </c>
      <c r="B25" s="29" t="n">
        <v>0.5</v>
      </c>
    </row>
    <row r="26" customFormat="false" ht="15" hidden="false" customHeight="false" outlineLevel="0" collapsed="false">
      <c r="A26" s="0" t="s">
        <v>82</v>
      </c>
      <c r="B26" s="29" t="n">
        <v>0.510416666666667</v>
      </c>
    </row>
    <row r="27" customFormat="false" ht="15" hidden="false" customHeight="false" outlineLevel="0" collapsed="false">
      <c r="A27" s="0" t="s">
        <v>83</v>
      </c>
      <c r="B27" s="29" t="n">
        <v>0.520833333333333</v>
      </c>
    </row>
    <row r="28" customFormat="false" ht="15" hidden="false" customHeight="false" outlineLevel="0" collapsed="false">
      <c r="A28" s="0" t="s">
        <v>84</v>
      </c>
      <c r="B28" s="29" t="n">
        <v>0.53125</v>
      </c>
    </row>
    <row r="29" customFormat="false" ht="15" hidden="false" customHeight="false" outlineLevel="0" collapsed="false">
      <c r="A29" s="0" t="s">
        <v>85</v>
      </c>
      <c r="B29" s="29" t="n">
        <v>0.541666666666667</v>
      </c>
    </row>
    <row r="30" customFormat="false" ht="15" hidden="false" customHeight="false" outlineLevel="0" collapsed="false">
      <c r="A30" s="0" t="s">
        <v>86</v>
      </c>
      <c r="B30" s="29" t="n">
        <v>0.552083333333333</v>
      </c>
    </row>
    <row r="31" customFormat="false" ht="15" hidden="false" customHeight="false" outlineLevel="0" collapsed="false">
      <c r="A31" s="0" t="s">
        <v>87</v>
      </c>
      <c r="B31" s="29" t="n">
        <v>0.5625</v>
      </c>
    </row>
    <row r="32" customFormat="false" ht="15" hidden="false" customHeight="false" outlineLevel="0" collapsed="false">
      <c r="A32" s="0" t="s">
        <v>88</v>
      </c>
      <c r="B32" s="29" t="n">
        <v>0.572916666666667</v>
      </c>
    </row>
    <row r="33" customFormat="false" ht="15" hidden="false" customHeight="false" outlineLevel="0" collapsed="false">
      <c r="A33" s="0" t="s">
        <v>89</v>
      </c>
      <c r="B33" s="29" t="n">
        <v>0.583333333333333</v>
      </c>
    </row>
    <row r="34" customFormat="false" ht="15" hidden="false" customHeight="false" outlineLevel="0" collapsed="false">
      <c r="A34" s="0" t="s">
        <v>90</v>
      </c>
      <c r="B34" s="29" t="n">
        <v>0.59375</v>
      </c>
    </row>
    <row r="35" customFormat="false" ht="15" hidden="false" customHeight="false" outlineLevel="0" collapsed="false">
      <c r="A35" s="0" t="s">
        <v>91</v>
      </c>
      <c r="B35" s="29" t="n">
        <v>0.604166666666667</v>
      </c>
    </row>
    <row r="36" customFormat="false" ht="15" hidden="false" customHeight="false" outlineLevel="0" collapsed="false">
      <c r="A36" s="0" t="s">
        <v>92</v>
      </c>
      <c r="B36" s="29" t="n">
        <v>0.614583333333333</v>
      </c>
    </row>
    <row r="37" customFormat="false" ht="15" hidden="false" customHeight="false" outlineLevel="0" collapsed="false">
      <c r="A37" s="0" t="s">
        <v>93</v>
      </c>
      <c r="B37" s="29" t="n">
        <v>0.625</v>
      </c>
    </row>
    <row r="38" customFormat="false" ht="15" hidden="false" customHeight="false" outlineLevel="0" collapsed="false">
      <c r="A38" s="0" t="s">
        <v>94</v>
      </c>
      <c r="B38" s="29" t="n">
        <v>0.635416666666667</v>
      </c>
    </row>
    <row r="39" customFormat="false" ht="15" hidden="false" customHeight="false" outlineLevel="0" collapsed="false">
      <c r="A39" s="0" t="s">
        <v>95</v>
      </c>
      <c r="B39" s="29" t="n">
        <v>0.645833333333333</v>
      </c>
    </row>
    <row r="40" customFormat="false" ht="15" hidden="false" customHeight="false" outlineLevel="0" collapsed="false">
      <c r="A40" s="0" t="s">
        <v>96</v>
      </c>
      <c r="B40" s="29" t="n">
        <v>0.65625</v>
      </c>
    </row>
    <row r="41" customFormat="false" ht="15" hidden="false" customHeight="false" outlineLevel="0" collapsed="false">
      <c r="A41" s="0" t="s">
        <v>97</v>
      </c>
      <c r="B41" s="29" t="n">
        <v>0.666666666666667</v>
      </c>
    </row>
    <row r="42" customFormat="false" ht="15" hidden="false" customHeight="false" outlineLevel="0" collapsed="false">
      <c r="A42" s="0" t="s">
        <v>98</v>
      </c>
      <c r="B42" s="29" t="n">
        <v>0.677083333333333</v>
      </c>
    </row>
    <row r="43" customFormat="false" ht="15" hidden="false" customHeight="false" outlineLevel="0" collapsed="false">
      <c r="A43" s="0" t="s">
        <v>99</v>
      </c>
      <c r="B43" s="29" t="n">
        <v>0.6875</v>
      </c>
    </row>
    <row r="44" customFormat="false" ht="15" hidden="false" customHeight="false" outlineLevel="0" collapsed="false">
      <c r="A44" s="0" t="s">
        <v>100</v>
      </c>
      <c r="B44" s="29" t="n">
        <v>0.697916666666667</v>
      </c>
    </row>
    <row r="45" customFormat="false" ht="15" hidden="false" customHeight="false" outlineLevel="0" collapsed="false">
      <c r="A45" s="0" t="s">
        <v>101</v>
      </c>
      <c r="B45" s="29" t="n">
        <v>0.708333333333333</v>
      </c>
    </row>
    <row r="46" customFormat="false" ht="15" hidden="false" customHeight="false" outlineLevel="0" collapsed="false">
      <c r="A46" s="0" t="s">
        <v>102</v>
      </c>
      <c r="B46" s="29" t="n">
        <v>0.71875</v>
      </c>
    </row>
    <row r="47" customFormat="false" ht="15" hidden="false" customHeight="false" outlineLevel="0" collapsed="false">
      <c r="A47" s="0" t="s">
        <v>103</v>
      </c>
      <c r="B47" s="29" t="n">
        <v>0.729166666666667</v>
      </c>
    </row>
    <row r="48" customFormat="false" ht="15" hidden="false" customHeight="false" outlineLevel="0" collapsed="false">
      <c r="A48" s="0" t="s">
        <v>104</v>
      </c>
      <c r="B48" s="29" t="n">
        <v>0.739583333333333</v>
      </c>
    </row>
    <row r="49" customFormat="false" ht="15" hidden="false" customHeight="false" outlineLevel="0" collapsed="false">
      <c r="A49" s="0" t="s">
        <v>105</v>
      </c>
      <c r="B49" s="29" t="n">
        <v>0.75</v>
      </c>
    </row>
    <row r="50" customFormat="false" ht="15" hidden="false" customHeight="false" outlineLevel="0" collapsed="false">
      <c r="A50" s="0" t="s">
        <v>106</v>
      </c>
      <c r="B50" s="29" t="n">
        <v>0.760416666666667</v>
      </c>
    </row>
    <row r="51" customFormat="false" ht="15" hidden="false" customHeight="false" outlineLevel="0" collapsed="false">
      <c r="A51" s="0" t="s">
        <v>107</v>
      </c>
      <c r="B51" s="29" t="n">
        <v>0.770833333333333</v>
      </c>
    </row>
    <row r="52" customFormat="false" ht="15" hidden="false" customHeight="false" outlineLevel="0" collapsed="false">
      <c r="A52" s="0" t="s">
        <v>108</v>
      </c>
      <c r="B52" s="29" t="n">
        <v>0.78125</v>
      </c>
    </row>
    <row r="53" customFormat="false" ht="15" hidden="false" customHeight="false" outlineLevel="0" collapsed="false">
      <c r="A53" s="0" t="s">
        <v>109</v>
      </c>
      <c r="B53" s="29" t="n">
        <v>0.791666666666667</v>
      </c>
    </row>
    <row r="54" customFormat="false" ht="15" hidden="false" customHeight="false" outlineLevel="0" collapsed="false">
      <c r="A54" s="0" t="s">
        <v>110</v>
      </c>
      <c r="B54" s="29" t="n">
        <v>0.802083333333333</v>
      </c>
    </row>
    <row r="55" customFormat="false" ht="15" hidden="false" customHeight="false" outlineLevel="0" collapsed="false">
      <c r="A55" s="0" t="s">
        <v>111</v>
      </c>
      <c r="B55" s="29" t="n">
        <v>0.8125</v>
      </c>
    </row>
    <row r="56" customFormat="false" ht="15" hidden="false" customHeight="false" outlineLevel="0" collapsed="false">
      <c r="A56" s="0" t="s">
        <v>112</v>
      </c>
      <c r="B56" s="29" t="n">
        <v>0.822916666666667</v>
      </c>
    </row>
    <row r="57" customFormat="false" ht="15" hidden="false" customHeight="false" outlineLevel="0" collapsed="false">
      <c r="A57" s="0" t="s">
        <v>113</v>
      </c>
      <c r="B57" s="29" t="n">
        <v>0.833333333333333</v>
      </c>
    </row>
    <row r="58" customFormat="false" ht="15" hidden="false" customHeight="false" outlineLevel="0" collapsed="false">
      <c r="A58" s="0" t="s">
        <v>114</v>
      </c>
      <c r="B58" s="29" t="n">
        <v>0.84375</v>
      </c>
    </row>
    <row r="59" customFormat="false" ht="15" hidden="false" customHeight="false" outlineLevel="0" collapsed="false">
      <c r="A59" s="0" t="s">
        <v>115</v>
      </c>
      <c r="B59" s="29" t="n">
        <v>0.854166666666667</v>
      </c>
    </row>
    <row r="60" customFormat="false" ht="15" hidden="false" customHeight="false" outlineLevel="0" collapsed="false">
      <c r="A60" s="0" t="s">
        <v>116</v>
      </c>
      <c r="B60" s="29" t="n">
        <v>0.864583333333333</v>
      </c>
    </row>
    <row r="61" customFormat="false" ht="15" hidden="false" customHeight="false" outlineLevel="0" collapsed="false">
      <c r="A61" s="0" t="s">
        <v>117</v>
      </c>
      <c r="B61" s="29" t="n">
        <v>0.875</v>
      </c>
    </row>
    <row r="62" customFormat="false" ht="15" hidden="false" customHeight="false" outlineLevel="0" collapsed="false">
      <c r="A62" s="0" t="s">
        <v>118</v>
      </c>
      <c r="B62" s="29" t="n">
        <v>0.885416666666667</v>
      </c>
    </row>
    <row r="63" customFormat="false" ht="15" hidden="false" customHeight="false" outlineLevel="0" collapsed="false">
      <c r="A63" s="0" t="s">
        <v>119</v>
      </c>
      <c r="B63" s="29" t="n">
        <v>0.895833333333333</v>
      </c>
    </row>
    <row r="64" customFormat="false" ht="15" hidden="false" customHeight="false" outlineLevel="0" collapsed="false">
      <c r="A64" s="0" t="s">
        <v>120</v>
      </c>
      <c r="B64" s="29" t="n">
        <v>0.90625</v>
      </c>
    </row>
    <row r="65" customFormat="false" ht="15" hidden="false" customHeight="false" outlineLevel="0" collapsed="false">
      <c r="A65" s="0" t="s">
        <v>121</v>
      </c>
      <c r="B65" s="29" t="n">
        <v>0.916666666666667</v>
      </c>
    </row>
    <row r="66" customFormat="false" ht="15" hidden="false" customHeight="false" outlineLevel="0" collapsed="false">
      <c r="A66" s="0" t="s">
        <v>122</v>
      </c>
      <c r="B66" s="29" t="n">
        <v>0.927083333333333</v>
      </c>
    </row>
    <row r="67" customFormat="false" ht="15" hidden="false" customHeight="false" outlineLevel="0" collapsed="false">
      <c r="A67" s="0" t="s">
        <v>123</v>
      </c>
      <c r="B67" s="29" t="n">
        <v>0.9375</v>
      </c>
    </row>
    <row r="68" customFormat="false" ht="15" hidden="false" customHeight="false" outlineLevel="0" collapsed="false">
      <c r="A68" s="0" t="s">
        <v>124</v>
      </c>
      <c r="B68" s="29" t="n">
        <v>0.947916666666667</v>
      </c>
    </row>
    <row r="69" customFormat="false" ht="15" hidden="false" customHeight="false" outlineLevel="0" collapsed="false">
      <c r="A69" s="0" t="s">
        <v>125</v>
      </c>
      <c r="B69" s="29" t="n">
        <v>0.958333333333333</v>
      </c>
    </row>
    <row r="70" customFormat="false" ht="15" hidden="false" customHeight="false" outlineLevel="0" collapsed="false">
      <c r="A70" s="0" t="s">
        <v>126</v>
      </c>
      <c r="B70" s="29" t="n">
        <v>0.96875</v>
      </c>
    </row>
    <row r="71" customFormat="false" ht="15" hidden="false" customHeight="false" outlineLevel="0" collapsed="false">
      <c r="A71" s="0" t="s">
        <v>127</v>
      </c>
      <c r="B71" s="29" t="n">
        <v>0.979166666666667</v>
      </c>
    </row>
    <row r="72" customFormat="false" ht="15" hidden="false" customHeight="false" outlineLevel="0" collapsed="false">
      <c r="A72" s="0" t="s">
        <v>128</v>
      </c>
      <c r="B72" s="29" t="n">
        <v>0.989583333333333</v>
      </c>
    </row>
    <row r="73" customFormat="false" ht="15" hidden="false" customHeight="false" outlineLevel="0" collapsed="false">
      <c r="A73" s="0" t="s">
        <v>129</v>
      </c>
      <c r="B73" s="29" t="n">
        <v>0</v>
      </c>
    </row>
    <row r="74" customFormat="false" ht="15" hidden="false" customHeight="false" outlineLevel="0" collapsed="false">
      <c r="A74" s="0" t="s">
        <v>130</v>
      </c>
      <c r="B74" s="29" t="n">
        <v>0.0104166666666667</v>
      </c>
    </row>
    <row r="75" customFormat="false" ht="15" hidden="false" customHeight="false" outlineLevel="0" collapsed="false">
      <c r="A75" s="0" t="s">
        <v>131</v>
      </c>
      <c r="B75" s="29" t="n">
        <v>0.0208333333333333</v>
      </c>
    </row>
    <row r="76" customFormat="false" ht="15" hidden="false" customHeight="false" outlineLevel="0" collapsed="false">
      <c r="A76" s="0" t="s">
        <v>132</v>
      </c>
      <c r="B76" s="29" t="n">
        <v>0.03125</v>
      </c>
    </row>
    <row r="77" customFormat="false" ht="15" hidden="false" customHeight="false" outlineLevel="0" collapsed="false">
      <c r="A77" s="0" t="s">
        <v>133</v>
      </c>
      <c r="B77" s="29" t="n">
        <v>0.0416666666666667</v>
      </c>
    </row>
    <row r="78" customFormat="false" ht="15" hidden="false" customHeight="false" outlineLevel="0" collapsed="false">
      <c r="A78" s="0" t="s">
        <v>134</v>
      </c>
      <c r="B78" s="29" t="n">
        <v>0.0520833333333333</v>
      </c>
    </row>
    <row r="79" customFormat="false" ht="15" hidden="false" customHeight="false" outlineLevel="0" collapsed="false">
      <c r="A79" s="0" t="s">
        <v>135</v>
      </c>
      <c r="B79" s="29" t="n">
        <v>0.0625</v>
      </c>
    </row>
    <row r="80" customFormat="false" ht="15" hidden="false" customHeight="false" outlineLevel="0" collapsed="false">
      <c r="A80" s="0" t="s">
        <v>136</v>
      </c>
      <c r="B80" s="29" t="n">
        <v>0.0729166666666667</v>
      </c>
    </row>
    <row r="81" customFormat="false" ht="15" hidden="false" customHeight="false" outlineLevel="0" collapsed="false">
      <c r="A81" s="0" t="s">
        <v>137</v>
      </c>
      <c r="B81" s="29" t="n">
        <v>0.0833333333333333</v>
      </c>
    </row>
    <row r="82" customFormat="false" ht="15" hidden="false" customHeight="false" outlineLevel="0" collapsed="false">
      <c r="A82" s="0" t="s">
        <v>138</v>
      </c>
      <c r="B82" s="29" t="n">
        <v>0.09375</v>
      </c>
    </row>
    <row r="83" customFormat="false" ht="15" hidden="false" customHeight="false" outlineLevel="0" collapsed="false">
      <c r="A83" s="0" t="s">
        <v>139</v>
      </c>
      <c r="B83" s="29" t="n">
        <v>0.104166666666667</v>
      </c>
    </row>
    <row r="84" customFormat="false" ht="15" hidden="false" customHeight="false" outlineLevel="0" collapsed="false">
      <c r="A84" s="0" t="s">
        <v>140</v>
      </c>
      <c r="B84" s="29" t="n">
        <v>0.114583333333333</v>
      </c>
    </row>
    <row r="85" customFormat="false" ht="15" hidden="false" customHeight="false" outlineLevel="0" collapsed="false">
      <c r="A85" s="0" t="s">
        <v>141</v>
      </c>
      <c r="B85" s="29" t="n">
        <v>0.125</v>
      </c>
    </row>
    <row r="86" customFormat="false" ht="15" hidden="false" customHeight="false" outlineLevel="0" collapsed="false">
      <c r="A86" s="0" t="s">
        <v>142</v>
      </c>
      <c r="B86" s="29" t="n">
        <v>0.135416666666667</v>
      </c>
    </row>
    <row r="87" customFormat="false" ht="15" hidden="false" customHeight="false" outlineLevel="0" collapsed="false">
      <c r="A87" s="0" t="s">
        <v>143</v>
      </c>
      <c r="B87" s="29" t="n">
        <v>0.145833333333333</v>
      </c>
    </row>
    <row r="88" customFormat="false" ht="15" hidden="false" customHeight="false" outlineLevel="0" collapsed="false">
      <c r="A88" s="0" t="s">
        <v>144</v>
      </c>
      <c r="B88" s="29" t="n">
        <v>0.15625</v>
      </c>
    </row>
    <row r="89" customFormat="false" ht="15" hidden="false" customHeight="false" outlineLevel="0" collapsed="false">
      <c r="A89" s="0" t="s">
        <v>145</v>
      </c>
      <c r="B89" s="29" t="n">
        <v>0.166666666666667</v>
      </c>
    </row>
    <row r="90" customFormat="false" ht="15" hidden="false" customHeight="false" outlineLevel="0" collapsed="false">
      <c r="A90" s="0" t="s">
        <v>146</v>
      </c>
      <c r="B90" s="29" t="n">
        <v>0.177083333333333</v>
      </c>
    </row>
    <row r="91" customFormat="false" ht="15" hidden="false" customHeight="false" outlineLevel="0" collapsed="false">
      <c r="A91" s="0" t="s">
        <v>147</v>
      </c>
      <c r="B91" s="29" t="n">
        <v>0.1875</v>
      </c>
    </row>
    <row r="92" customFormat="false" ht="15" hidden="false" customHeight="false" outlineLevel="0" collapsed="false">
      <c r="A92" s="0" t="s">
        <v>148</v>
      </c>
      <c r="B92" s="29" t="n">
        <v>0.197916666666667</v>
      </c>
    </row>
    <row r="93" customFormat="false" ht="15" hidden="false" customHeight="false" outlineLevel="0" collapsed="false">
      <c r="A93" s="0" t="s">
        <v>149</v>
      </c>
      <c r="B93" s="29" t="n">
        <v>0.208333333333333</v>
      </c>
    </row>
    <row r="94" customFormat="false" ht="15" hidden="false" customHeight="false" outlineLevel="0" collapsed="false">
      <c r="A94" s="0" t="s">
        <v>150</v>
      </c>
      <c r="B94" s="29" t="n">
        <v>0.21875</v>
      </c>
    </row>
    <row r="95" customFormat="false" ht="15" hidden="false" customHeight="false" outlineLevel="0" collapsed="false">
      <c r="A95" s="0" t="s">
        <v>151</v>
      </c>
      <c r="B95" s="29" t="n">
        <v>0.229166666666667</v>
      </c>
    </row>
    <row r="96" customFormat="false" ht="15" hidden="false" customHeight="false" outlineLevel="0" collapsed="false">
      <c r="A96" s="0" t="s">
        <v>152</v>
      </c>
      <c r="B96" s="29" t="n">
        <v>0.239583333333333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6"/>
  </cols>
  <sheetData>
    <row r="1" customFormat="false" ht="30" hidden="false" customHeight="true" outlineLevel="0" collapsed="false">
      <c r="A1" s="31" t="s">
        <v>153</v>
      </c>
      <c r="B1" s="31"/>
      <c r="C1" s="31"/>
      <c r="D1" s="31"/>
    </row>
    <row r="3" customFormat="false" ht="15" hidden="false" customHeight="false" outlineLevel="0" collapsed="false">
      <c r="A3" s="32" t="s">
        <v>13</v>
      </c>
      <c r="B3" s="32" t="s">
        <v>154</v>
      </c>
      <c r="C3" s="32" t="s">
        <v>155</v>
      </c>
      <c r="D3" s="32" t="s">
        <v>156</v>
      </c>
    </row>
    <row r="4" customFormat="false" ht="30" hidden="false" customHeight="true" outlineLevel="0" collapsed="false">
      <c r="A4" s="33" t="n">
        <v>1</v>
      </c>
      <c r="B4" s="34" t="s">
        <v>157</v>
      </c>
      <c r="C4" s="35" t="n">
        <v>125</v>
      </c>
      <c r="D4" s="36" t="s">
        <v>158</v>
      </c>
    </row>
    <row r="5" customFormat="false" ht="30" hidden="false" customHeight="true" outlineLevel="0" collapsed="false">
      <c r="A5" s="33" t="n">
        <v>2</v>
      </c>
      <c r="B5" s="34" t="s">
        <v>159</v>
      </c>
      <c r="C5" s="37" t="n">
        <v>46291</v>
      </c>
      <c r="D5" s="36" t="s">
        <v>160</v>
      </c>
    </row>
    <row r="6" customFormat="false" ht="30" hidden="false" customHeight="true" outlineLevel="0" collapsed="false">
      <c r="A6" s="33" t="n">
        <v>3</v>
      </c>
      <c r="B6" s="34" t="s">
        <v>161</v>
      </c>
      <c r="C6" s="35" t="n">
        <v>1.25</v>
      </c>
      <c r="D6" s="36" t="s">
        <v>162</v>
      </c>
    </row>
    <row r="7" customFormat="false" ht="30" hidden="false" customHeight="true" outlineLevel="0" collapsed="false">
      <c r="A7" s="33" t="n">
        <v>4</v>
      </c>
      <c r="B7" s="34" t="s">
        <v>163</v>
      </c>
      <c r="C7" s="35" t="n">
        <v>1.5</v>
      </c>
      <c r="D7" s="36" t="s">
        <v>164</v>
      </c>
    </row>
    <row r="8" customFormat="false" ht="30" hidden="false" customHeight="true" outlineLevel="0" collapsed="false">
      <c r="A8" s="33" t="n">
        <v>5</v>
      </c>
      <c r="B8" s="34" t="s">
        <v>165</v>
      </c>
      <c r="C8" s="38" t="n">
        <v>0.75</v>
      </c>
      <c r="D8" s="36" t="s">
        <v>166</v>
      </c>
    </row>
    <row r="9" customFormat="false" ht="30" hidden="false" customHeight="true" outlineLevel="0" collapsed="false">
      <c r="A9" s="33" t="n">
        <v>6</v>
      </c>
      <c r="B9" s="34" t="s">
        <v>167</v>
      </c>
      <c r="C9" s="38" t="n">
        <v>0.583333333333333</v>
      </c>
      <c r="D9" s="36" t="s">
        <v>168</v>
      </c>
    </row>
    <row r="10" customFormat="false" ht="30" hidden="false" customHeight="true" outlineLevel="0" collapsed="false">
      <c r="A10" s="33" t="n">
        <v>7</v>
      </c>
      <c r="B10" s="34" t="s">
        <v>169</v>
      </c>
      <c r="C10" s="38" t="n">
        <v>0.958333333333333</v>
      </c>
      <c r="D10" s="36"/>
    </row>
    <row r="11" customFormat="false" ht="30" hidden="false" customHeight="true" outlineLevel="0" collapsed="false">
      <c r="A11" s="33" t="n">
        <v>8</v>
      </c>
      <c r="B11" s="34" t="s">
        <v>170</v>
      </c>
      <c r="C11" s="35" t="n">
        <v>1</v>
      </c>
      <c r="D11" s="36" t="s">
        <v>171</v>
      </c>
    </row>
    <row r="12" customFormat="false" ht="30" hidden="false" customHeight="true" outlineLevel="0" collapsed="false">
      <c r="A12" s="33" t="n">
        <v>9</v>
      </c>
      <c r="B12" s="34" t="s">
        <v>172</v>
      </c>
      <c r="C12" s="35" t="n">
        <v>2.5</v>
      </c>
      <c r="D12" s="36" t="s">
        <v>173</v>
      </c>
    </row>
    <row r="13" customFormat="false" ht="30" hidden="false" customHeight="true" outlineLevel="0" collapsed="false">
      <c r="A13" s="33" t="n">
        <v>10</v>
      </c>
      <c r="B13" s="34" t="s">
        <v>174</v>
      </c>
      <c r="C13" s="39" t="s">
        <v>175</v>
      </c>
      <c r="D13" s="36" t="s">
        <v>176</v>
      </c>
    </row>
    <row r="14" customFormat="false" ht="30" hidden="false" customHeight="true" outlineLevel="0" collapsed="false">
      <c r="A14" s="33" t="n">
        <v>11</v>
      </c>
      <c r="B14" s="34" t="s">
        <v>177</v>
      </c>
      <c r="C14" s="35" t="n">
        <v>0</v>
      </c>
      <c r="D14" s="36" t="s">
        <v>178</v>
      </c>
    </row>
    <row r="15" customFormat="false" ht="30" hidden="false" customHeight="true" outlineLevel="0" collapsed="false">
      <c r="A15" s="33" t="n">
        <v>12</v>
      </c>
      <c r="B15" s="34" t="s">
        <v>179</v>
      </c>
      <c r="C15" s="35" t="n">
        <v>0</v>
      </c>
      <c r="D15" s="36"/>
    </row>
    <row r="16" customFormat="false" ht="30" hidden="false" customHeight="true" outlineLevel="0" collapsed="false">
      <c r="A16" s="33" t="n">
        <v>13</v>
      </c>
      <c r="B16" s="34" t="s">
        <v>180</v>
      </c>
      <c r="C16" s="35" t="n">
        <v>0</v>
      </c>
      <c r="D16" s="36"/>
    </row>
    <row r="17" customFormat="false" ht="30" hidden="false" customHeight="true" outlineLevel="0" collapsed="false">
      <c r="A17" s="33" t="n">
        <v>14</v>
      </c>
      <c r="B17" s="34" t="s">
        <v>181</v>
      </c>
      <c r="C17" s="40" t="n">
        <v>0.5</v>
      </c>
      <c r="D17" s="36" t="s">
        <v>182</v>
      </c>
    </row>
    <row r="19" customFormat="false" ht="15" hidden="false" customHeight="false" outlineLevel="0" collapsed="false">
      <c r="B19" s="41" t="s">
        <v>183</v>
      </c>
    </row>
  </sheetData>
  <mergeCells count="1">
    <mergeCell ref="A1:D1"/>
  </mergeCells>
  <dataValidations count="1">
    <dataValidation allowBlank="true" errorStyle="stop" operator="between" showDropDown="false" showErrorMessage="false" showInputMessage="false" sqref="C13" type="list">
      <formula1>"لأقرب ربع,للأعلى"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8" min="6" style="0" width="9"/>
    <col collapsed="false" customWidth="true" hidden="false" outlineLevel="0" max="9" min="9" style="0" width="11"/>
    <col collapsed="false" customWidth="true" hidden="false" outlineLevel="0" max="10" min="10" style="0" width="28"/>
    <col collapsed="false" customWidth="true" hidden="true" outlineLevel="0" max="12" min="11" style="0" width="13"/>
  </cols>
  <sheetData>
    <row r="1" customFormat="false" ht="30" hidden="false" customHeight="true" outlineLevel="0" collapsed="false">
      <c r="A1" s="42" t="s">
        <v>184</v>
      </c>
      <c r="B1" s="42"/>
      <c r="C1" s="42"/>
      <c r="D1" s="42"/>
      <c r="E1" s="42"/>
      <c r="F1" s="42"/>
      <c r="G1" s="42"/>
      <c r="H1" s="42"/>
      <c r="I1" s="42"/>
      <c r="J1" s="42"/>
    </row>
    <row r="2" customFormat="false" ht="15" hidden="false" customHeight="false" outlineLevel="0" collapsed="false">
      <c r="A2" s="43" t="str">
        <f aca="false">SEL_M&amp;"  "&amp;SEL_Y&amp;"   ·   "&amp;NW&amp;" أسابيع   ·   من "&amp;DAY(W1)&amp;"/"&amp;MONTH(W1)&amp;" لحد "&amp;DAY(W1+7*NW-1)&amp;"/"&amp;MONTH(W1+7*NW-1)</f>
        <v>10 - تشرين الأول  2026   ·   5 أسابيع   ·   من 26/9 لحد 30/10</v>
      </c>
      <c r="B2" s="43"/>
      <c r="C2" s="43"/>
      <c r="D2" s="43"/>
      <c r="E2" s="43"/>
      <c r="F2" s="43"/>
      <c r="G2" s="43"/>
      <c r="H2" s="43"/>
      <c r="I2" s="43"/>
      <c r="J2" s="43"/>
    </row>
    <row r="3" customFormat="false" ht="33.75" hidden="false" customHeight="true" outlineLevel="0" collapsed="false">
      <c r="A3" s="44" t="s">
        <v>185</v>
      </c>
      <c r="B3" s="44"/>
      <c r="C3" s="44"/>
      <c r="D3" s="44"/>
      <c r="E3" s="44"/>
      <c r="F3" s="44"/>
      <c r="G3" s="44"/>
      <c r="H3" s="44"/>
      <c r="I3" s="44"/>
      <c r="J3" s="44"/>
    </row>
    <row r="5" customFormat="false" ht="31.5" hidden="false" customHeight="true" outlineLevel="0" collapsed="false">
      <c r="A5" s="10" t="s">
        <v>186</v>
      </c>
      <c r="B5" s="10" t="s">
        <v>187</v>
      </c>
      <c r="C5" s="10" t="s">
        <v>188</v>
      </c>
      <c r="D5" s="10" t="s">
        <v>189</v>
      </c>
      <c r="E5" s="10" t="s">
        <v>190</v>
      </c>
      <c r="F5" s="10" t="s">
        <v>15</v>
      </c>
      <c r="G5" s="10" t="s">
        <v>191</v>
      </c>
      <c r="H5" s="10" t="s">
        <v>192</v>
      </c>
      <c r="I5" s="10" t="s">
        <v>193</v>
      </c>
      <c r="J5" s="10" t="s">
        <v>194</v>
      </c>
    </row>
    <row r="6" customFormat="false" ht="21.75" hidden="false" customHeight="true" outlineLevel="0" collapsed="false">
      <c r="A6" s="45" t="str">
        <f aca="false">IF(1&lt;=NW,"الأسبوع 1   ·   السبت "&amp;DAY(W1+0)&amp;"/"&amp;MONTH(W1+0)&amp;"  ←  الجمعة "&amp;DAY(W1+6)&amp;"/"&amp;MONTH(W1+6),"")</f>
        <v>الأسبوع 1   ·   السبت 26/9  ←  الجمعة 2/10</v>
      </c>
      <c r="B6" s="45"/>
      <c r="C6" s="45"/>
      <c r="D6" s="45"/>
      <c r="E6" s="45"/>
      <c r="F6" s="45"/>
      <c r="G6" s="45"/>
      <c r="H6" s="45"/>
      <c r="I6" s="45"/>
      <c r="J6" s="45"/>
    </row>
    <row r="7" customFormat="false" ht="15" hidden="false" customHeight="false" outlineLevel="0" collapsed="false">
      <c r="A7" s="46" t="n">
        <f aca="false">IF(1&lt;=NW,W1+0,"")</f>
        <v>46291</v>
      </c>
      <c r="B7" s="11" t="str">
        <f aca="false">IF(A7="","",CHOOSE(WEEKDAY(A7,1),"الأحد","الاثنين","الثلاثاء","الأربعاء","الخميس","الجمعة","السبت"))</f>
        <v>السبت</v>
      </c>
      <c r="C7" s="47"/>
      <c r="D7" s="47"/>
      <c r="E7" s="48"/>
      <c r="F7" s="12" t="str">
        <f aca="false">IF(OR(K7="",L7=""),"",ROUND(MOD(L7-K7,1)*24,2))</f>
        <v/>
      </c>
      <c r="G7" s="12" t="str">
        <f aca="false">IF(F7="","",IF(WEEKDAY(A7,1)=6,F7,ROUND(MAX(0,MIN(IF(L7&lt;K7,L7+1,L7),OMR_OT_AT)-K7)*24,2)))</f>
        <v/>
      </c>
      <c r="H7" s="12" t="str">
        <f aca="false">IF(F7="","",ROUND(F7-G7,2))</f>
        <v/>
      </c>
      <c r="I7" s="49" t="str">
        <f aca="false">IF(F7="","",ROUND(G7*OMR_RATE+H7*OMR_OT+MIN(N(E7),G7)*(GYP_RATE-OMR_RATE)+MAX(0,MIN(N(E7),F7)-G7)*(GYP_RATE-OMR_OT),3))</f>
        <v/>
      </c>
      <c r="J7" s="47"/>
      <c r="K7" s="29" t="str">
        <f aca="false">IF(C7="","",INDEX(القوائم!$B$1:$B$96,MATCH(C7,القوائم!$A$1:$A$96,0)))</f>
        <v/>
      </c>
      <c r="L7" s="29" t="str">
        <f aca="false">IF(D7="","",INDEX(القوائم!$B$1:$B$96,MATCH(D7,القوائم!$A$1:$A$96,0)))</f>
        <v/>
      </c>
    </row>
    <row r="8" customFormat="false" ht="15" hidden="false" customHeight="false" outlineLevel="0" collapsed="false">
      <c r="A8" s="46" t="n">
        <f aca="false">IF(1&lt;=NW,W1+1,"")</f>
        <v>46292</v>
      </c>
      <c r="B8" s="11" t="str">
        <f aca="false">IF(A8="","",CHOOSE(WEEKDAY(A8,1),"الأحد","الاثنين","الثلاثاء","الأربعاء","الخميس","الجمعة","السبت"))</f>
        <v>الأحد</v>
      </c>
      <c r="C8" s="47"/>
      <c r="D8" s="47"/>
      <c r="E8" s="48"/>
      <c r="F8" s="12" t="str">
        <f aca="false">IF(OR(K8="",L8=""),"",ROUND(MOD(L8-K8,1)*24,2))</f>
        <v/>
      </c>
      <c r="G8" s="12" t="str">
        <f aca="false">IF(F8="","",IF(WEEKDAY(A8,1)=6,F8,ROUND(MAX(0,MIN(IF(L8&lt;K8,L8+1,L8),OMR_OT_AT)-K8)*24,2)))</f>
        <v/>
      </c>
      <c r="H8" s="12" t="str">
        <f aca="false">IF(F8="","",ROUND(F8-G8,2))</f>
        <v/>
      </c>
      <c r="I8" s="49" t="str">
        <f aca="false">IF(F8="","",ROUND(G8*OMR_RATE+H8*OMR_OT+MIN(N(E8),G8)*(GYP_RATE-OMR_RATE)+MAX(0,MIN(N(E8),F8)-G8)*(GYP_RATE-OMR_OT),3))</f>
        <v/>
      </c>
      <c r="J8" s="47"/>
      <c r="K8" s="29" t="str">
        <f aca="false">IF(C8="","",INDEX(القوائم!$B$1:$B$96,MATCH(C8,القوائم!$A$1:$A$96,0)))</f>
        <v/>
      </c>
      <c r="L8" s="29" t="str">
        <f aca="false">IF(D8="","",INDEX(القوائم!$B$1:$B$96,MATCH(D8,القوائم!$A$1:$A$96,0)))</f>
        <v/>
      </c>
    </row>
    <row r="9" customFormat="false" ht="15" hidden="false" customHeight="false" outlineLevel="0" collapsed="false">
      <c r="A9" s="46" t="n">
        <f aca="false">IF(1&lt;=NW,W1+2,"")</f>
        <v>46293</v>
      </c>
      <c r="B9" s="11" t="str">
        <f aca="false">IF(A9="","",CHOOSE(WEEKDAY(A9,1),"الأحد","الاثنين","الثلاثاء","الأربعاء","الخميس","الجمعة","السبت"))</f>
        <v>الاثنين</v>
      </c>
      <c r="C9" s="47"/>
      <c r="D9" s="47"/>
      <c r="E9" s="48"/>
      <c r="F9" s="12" t="str">
        <f aca="false">IF(OR(K9="",L9=""),"",ROUND(MOD(L9-K9,1)*24,2))</f>
        <v/>
      </c>
      <c r="G9" s="12" t="str">
        <f aca="false">IF(F9="","",IF(WEEKDAY(A9,1)=6,F9,ROUND(MAX(0,MIN(IF(L9&lt;K9,L9+1,L9),OMR_OT_AT)-K9)*24,2)))</f>
        <v/>
      </c>
      <c r="H9" s="12" t="str">
        <f aca="false">IF(F9="","",ROUND(F9-G9,2))</f>
        <v/>
      </c>
      <c r="I9" s="49" t="str">
        <f aca="false">IF(F9="","",ROUND(G9*OMR_RATE+H9*OMR_OT+MIN(N(E9),G9)*(GYP_RATE-OMR_RATE)+MAX(0,MIN(N(E9),F9)-G9)*(GYP_RATE-OMR_OT),3))</f>
        <v/>
      </c>
      <c r="J9" s="47"/>
      <c r="K9" s="29" t="str">
        <f aca="false">IF(C9="","",INDEX(القوائم!$B$1:$B$96,MATCH(C9,القوائم!$A$1:$A$96,0)))</f>
        <v/>
      </c>
      <c r="L9" s="29" t="str">
        <f aca="false">IF(D9="","",INDEX(القوائم!$B$1:$B$96,MATCH(D9,القوائم!$A$1:$A$96,0)))</f>
        <v/>
      </c>
    </row>
    <row r="10" customFormat="false" ht="15" hidden="false" customHeight="false" outlineLevel="0" collapsed="false">
      <c r="A10" s="46" t="n">
        <f aca="false">IF(1&lt;=NW,W1+3,"")</f>
        <v>46294</v>
      </c>
      <c r="B10" s="11" t="str">
        <f aca="false">IF(A10="","",CHOOSE(WEEKDAY(A10,1),"الأحد","الاثنين","الثلاثاء","الأربعاء","الخميس","الجمعة","السبت"))</f>
        <v>الثلاثاء</v>
      </c>
      <c r="C10" s="47"/>
      <c r="D10" s="47"/>
      <c r="E10" s="48"/>
      <c r="F10" s="12" t="str">
        <f aca="false">IF(OR(K10="",L10=""),"",ROUND(MOD(L10-K10,1)*24,2))</f>
        <v/>
      </c>
      <c r="G10" s="12" t="str">
        <f aca="false">IF(F10="","",IF(WEEKDAY(A10,1)=6,F10,ROUND(MAX(0,MIN(IF(L10&lt;K10,L10+1,L10),OMR_OT_AT)-K10)*24,2)))</f>
        <v/>
      </c>
      <c r="H10" s="12" t="str">
        <f aca="false">IF(F10="","",ROUND(F10-G10,2))</f>
        <v/>
      </c>
      <c r="I10" s="49" t="str">
        <f aca="false">IF(F10="","",ROUND(G10*OMR_RATE+H10*OMR_OT+MIN(N(E10),G10)*(GYP_RATE-OMR_RATE)+MAX(0,MIN(N(E10),F10)-G10)*(GYP_RATE-OMR_OT),3))</f>
        <v/>
      </c>
      <c r="J10" s="47"/>
      <c r="K10" s="29" t="str">
        <f aca="false">IF(C10="","",INDEX(القوائم!$B$1:$B$96,MATCH(C10,القوائم!$A$1:$A$96,0)))</f>
        <v/>
      </c>
      <c r="L10" s="29" t="str">
        <f aca="false">IF(D10="","",INDEX(القوائم!$B$1:$B$96,MATCH(D10,القوائم!$A$1:$A$96,0)))</f>
        <v/>
      </c>
    </row>
    <row r="11" customFormat="false" ht="15" hidden="false" customHeight="false" outlineLevel="0" collapsed="false">
      <c r="A11" s="46" t="n">
        <f aca="false">IF(1&lt;=NW,W1+4,"")</f>
        <v>46295</v>
      </c>
      <c r="B11" s="11" t="str">
        <f aca="false">IF(A11="","",CHOOSE(WEEKDAY(A11,1),"الأحد","الاثنين","الثلاثاء","الأربعاء","الخميس","الجمعة","السبت"))</f>
        <v>الأربعاء</v>
      </c>
      <c r="C11" s="47"/>
      <c r="D11" s="47"/>
      <c r="E11" s="48"/>
      <c r="F11" s="12" t="str">
        <f aca="false">IF(OR(K11="",L11=""),"",ROUND(MOD(L11-K11,1)*24,2))</f>
        <v/>
      </c>
      <c r="G11" s="12" t="str">
        <f aca="false">IF(F11="","",IF(WEEKDAY(A11,1)=6,F11,ROUND(MAX(0,MIN(IF(L11&lt;K11,L11+1,L11),OMR_OT_AT)-K11)*24,2)))</f>
        <v/>
      </c>
      <c r="H11" s="12" t="str">
        <f aca="false">IF(F11="","",ROUND(F11-G11,2))</f>
        <v/>
      </c>
      <c r="I11" s="49" t="str">
        <f aca="false">IF(F11="","",ROUND(G11*OMR_RATE+H11*OMR_OT+MIN(N(E11),G11)*(GYP_RATE-OMR_RATE)+MAX(0,MIN(N(E11),F11)-G11)*(GYP_RATE-OMR_OT),3))</f>
        <v/>
      </c>
      <c r="J11" s="47"/>
      <c r="K11" s="29" t="str">
        <f aca="false">IF(C11="","",INDEX(القوائم!$B$1:$B$96,MATCH(C11,القوائم!$A$1:$A$96,0)))</f>
        <v/>
      </c>
      <c r="L11" s="29" t="str">
        <f aca="false">IF(D11="","",INDEX(القوائم!$B$1:$B$96,MATCH(D11,القوائم!$A$1:$A$96,0)))</f>
        <v/>
      </c>
    </row>
    <row r="12" customFormat="false" ht="15" hidden="false" customHeight="false" outlineLevel="0" collapsed="false">
      <c r="A12" s="46" t="n">
        <f aca="false">IF(1&lt;=NW,W1+5,"")</f>
        <v>46296</v>
      </c>
      <c r="B12" s="11" t="str">
        <f aca="false">IF(A12="","",CHOOSE(WEEKDAY(A12,1),"الأحد","الاثنين","الثلاثاء","الأربعاء","الخميس","الجمعة","السبت"))</f>
        <v>الخميس</v>
      </c>
      <c r="C12" s="47"/>
      <c r="D12" s="47"/>
      <c r="E12" s="48"/>
      <c r="F12" s="12" t="str">
        <f aca="false">IF(OR(K12="",L12=""),"",ROUND(MOD(L12-K12,1)*24,2))</f>
        <v/>
      </c>
      <c r="G12" s="12" t="str">
        <f aca="false">IF(F12="","",IF(WEEKDAY(A12,1)=6,F12,ROUND(MAX(0,MIN(IF(L12&lt;K12,L12+1,L12),OMR_OT_AT)-K12)*24,2)))</f>
        <v/>
      </c>
      <c r="H12" s="12" t="str">
        <f aca="false">IF(F12="","",ROUND(F12-G12,2))</f>
        <v/>
      </c>
      <c r="I12" s="49" t="str">
        <f aca="false">IF(F12="","",ROUND(G12*OMR_RATE+H12*OMR_OT+MIN(N(E12),G12)*(GYP_RATE-OMR_RATE)+MAX(0,MIN(N(E12),F12)-G12)*(GYP_RATE-OMR_OT),3))</f>
        <v/>
      </c>
      <c r="J12" s="47"/>
      <c r="K12" s="29" t="str">
        <f aca="false">IF(C12="","",INDEX(القوائم!$B$1:$B$96,MATCH(C12,القوائم!$A$1:$A$96,0)))</f>
        <v/>
      </c>
      <c r="L12" s="29" t="str">
        <f aca="false">IF(D12="","",INDEX(القوائم!$B$1:$B$96,MATCH(D12,القوائم!$A$1:$A$96,0)))</f>
        <v/>
      </c>
    </row>
    <row r="13" customFormat="false" ht="15" hidden="false" customHeight="false" outlineLevel="0" collapsed="false">
      <c r="A13" s="50" t="n">
        <f aca="false">IF(1&lt;=NW,W1+6,"")</f>
        <v>46297</v>
      </c>
      <c r="B13" s="51" t="str">
        <f aca="false">IF(A13="","",CHOOSE(WEEKDAY(A13,1),"الأحد","الاثنين","الثلاثاء","الأربعاء","الخميس","الجمعة","السبت"))</f>
        <v>الجمعة</v>
      </c>
      <c r="C13" s="47"/>
      <c r="D13" s="47"/>
      <c r="E13" s="48"/>
      <c r="F13" s="12" t="str">
        <f aca="false">IF(OR(K13="",L13=""),"",ROUND(MOD(L13-K13,1)*24,2))</f>
        <v/>
      </c>
      <c r="G13" s="12" t="str">
        <f aca="false">IF(F13="","",IF(WEEKDAY(A13,1)=6,F13,ROUND(MAX(0,MIN(IF(L13&lt;K13,L13+1,L13),OMR_OT_AT)-K13)*24,2)))</f>
        <v/>
      </c>
      <c r="H13" s="12" t="str">
        <f aca="false">IF(F13="","",ROUND(F13-G13,2))</f>
        <v/>
      </c>
      <c r="I13" s="49" t="str">
        <f aca="false">IF(F13="","",ROUND(G13*OMR_RATE+H13*OMR_OT+MIN(N(E13),G13)*(GYP_RATE-OMR_RATE)+MAX(0,MIN(N(E13),F13)-G13)*(GYP_RATE-OMR_OT),3))</f>
        <v/>
      </c>
      <c r="J13" s="47"/>
      <c r="K13" s="29" t="str">
        <f aca="false">IF(C13="","",INDEX(القوائم!$B$1:$B$96,MATCH(C13,القوائم!$A$1:$A$96,0)))</f>
        <v/>
      </c>
      <c r="L13" s="29" t="str">
        <f aca="false">IF(D13="","",INDEX(القوائم!$B$1:$B$96,MATCH(D13,القوائم!$A$1:$A$96,0)))</f>
        <v/>
      </c>
    </row>
    <row r="14" customFormat="false" ht="15" hidden="false" customHeight="false" outlineLevel="0" collapsed="false">
      <c r="A14" s="21"/>
      <c r="B14" s="21" t="str">
        <f aca="false">IF(1&lt;=NW,"المجموع","")</f>
        <v>المجموع</v>
      </c>
      <c r="C14" s="21"/>
      <c r="D14" s="21"/>
      <c r="E14" s="21"/>
      <c r="F14" s="22" t="n">
        <f aca="false">IF(1&lt;=NW,SUM(F7:F13),"")</f>
        <v>0</v>
      </c>
      <c r="G14" s="22" t="n">
        <f aca="false">IF(1&lt;=NW,SUM(G7:G13),"")</f>
        <v>0</v>
      </c>
      <c r="H14" s="22" t="n">
        <f aca="false">IF(1&lt;=NW,SUM(H7:H13),"")</f>
        <v>0</v>
      </c>
      <c r="I14" s="52" t="n">
        <f aca="false">IF(1&lt;=NW,IF(ROUND_MODE="للأعلى",CEILING(ROUND((SUM(I7:I13)),3),0.25),ROUND((SUM(I7:I13))*4,0)/4),"")</f>
        <v>0</v>
      </c>
      <c r="J14" s="53" t="str">
        <f aca="false">IF(1&lt;=NW,"قبل الجبر: "&amp;TEXT(SUM(I7:I13),"0.000"),"")</f>
        <v>قبل الجبر: 0.000</v>
      </c>
    </row>
    <row r="15" customFormat="false" ht="21.75" hidden="false" customHeight="true" outlineLevel="0" collapsed="false">
      <c r="A15" s="45" t="str">
        <f aca="false">IF(2&lt;=NW,"الأسبوع 2   ·   السبت "&amp;DAY(W1+7)&amp;"/"&amp;MONTH(W1+7)&amp;"  ←  الجمعة "&amp;DAY(W1+13)&amp;"/"&amp;MONTH(W1+13),"")</f>
        <v>الأسبوع 2   ·   السبت 3/10  ←  الجمعة 9/10</v>
      </c>
      <c r="B15" s="45"/>
      <c r="C15" s="45"/>
      <c r="D15" s="45"/>
      <c r="E15" s="45"/>
      <c r="F15" s="45"/>
      <c r="G15" s="45"/>
      <c r="H15" s="45"/>
      <c r="I15" s="45"/>
      <c r="J15" s="45"/>
    </row>
    <row r="16" customFormat="false" ht="15" hidden="false" customHeight="false" outlineLevel="0" collapsed="false">
      <c r="A16" s="46" t="n">
        <f aca="false">IF(2&lt;=NW,W1+7,"")</f>
        <v>46298</v>
      </c>
      <c r="B16" s="11" t="str">
        <f aca="false">IF(A16="","",CHOOSE(WEEKDAY(A16,1),"الأحد","الاثنين","الثلاثاء","الأربعاء","الخميس","الجمعة","السبت"))</f>
        <v>السبت</v>
      </c>
      <c r="C16" s="47"/>
      <c r="D16" s="47"/>
      <c r="E16" s="48"/>
      <c r="F16" s="12" t="str">
        <f aca="false">IF(OR(K16="",L16=""),"",ROUND(MOD(L16-K16,1)*24,2))</f>
        <v/>
      </c>
      <c r="G16" s="12" t="str">
        <f aca="false">IF(F16="","",IF(WEEKDAY(A16,1)=6,F16,ROUND(MAX(0,MIN(IF(L16&lt;K16,L16+1,L16),OMR_OT_AT)-K16)*24,2)))</f>
        <v/>
      </c>
      <c r="H16" s="12" t="str">
        <f aca="false">IF(F16="","",ROUND(F16-G16,2))</f>
        <v/>
      </c>
      <c r="I16" s="49" t="str">
        <f aca="false">IF(F16="","",ROUND(G16*OMR_RATE+H16*OMR_OT+MIN(N(E16),G16)*(GYP_RATE-OMR_RATE)+MAX(0,MIN(N(E16),F16)-G16)*(GYP_RATE-OMR_OT),3))</f>
        <v/>
      </c>
      <c r="J16" s="47"/>
      <c r="K16" s="29" t="str">
        <f aca="false">IF(C16="","",INDEX(القوائم!$B$1:$B$96,MATCH(C16,القوائم!$A$1:$A$96,0)))</f>
        <v/>
      </c>
      <c r="L16" s="29" t="str">
        <f aca="false">IF(D16="","",INDEX(القوائم!$B$1:$B$96,MATCH(D16,القوائم!$A$1:$A$96,0)))</f>
        <v/>
      </c>
    </row>
    <row r="17" customFormat="false" ht="15" hidden="false" customHeight="false" outlineLevel="0" collapsed="false">
      <c r="A17" s="46" t="n">
        <f aca="false">IF(2&lt;=NW,W1+8,"")</f>
        <v>46299</v>
      </c>
      <c r="B17" s="11" t="str">
        <f aca="false">IF(A17="","",CHOOSE(WEEKDAY(A17,1),"الأحد","الاثنين","الثلاثاء","الأربعاء","الخميس","الجمعة","السبت"))</f>
        <v>الأحد</v>
      </c>
      <c r="C17" s="47"/>
      <c r="D17" s="47"/>
      <c r="E17" s="48"/>
      <c r="F17" s="12" t="str">
        <f aca="false">IF(OR(K17="",L17=""),"",ROUND(MOD(L17-K17,1)*24,2))</f>
        <v/>
      </c>
      <c r="G17" s="12" t="str">
        <f aca="false">IF(F17="","",IF(WEEKDAY(A17,1)=6,F17,ROUND(MAX(0,MIN(IF(L17&lt;K17,L17+1,L17),OMR_OT_AT)-K17)*24,2)))</f>
        <v/>
      </c>
      <c r="H17" s="12" t="str">
        <f aca="false">IF(F17="","",ROUND(F17-G17,2))</f>
        <v/>
      </c>
      <c r="I17" s="49" t="str">
        <f aca="false">IF(F17="","",ROUND(G17*OMR_RATE+H17*OMR_OT+MIN(N(E17),G17)*(GYP_RATE-OMR_RATE)+MAX(0,MIN(N(E17),F17)-G17)*(GYP_RATE-OMR_OT),3))</f>
        <v/>
      </c>
      <c r="J17" s="47"/>
      <c r="K17" s="29" t="str">
        <f aca="false">IF(C17="","",INDEX(القوائم!$B$1:$B$96,MATCH(C17,القوائم!$A$1:$A$96,0)))</f>
        <v/>
      </c>
      <c r="L17" s="29" t="str">
        <f aca="false">IF(D17="","",INDEX(القوائم!$B$1:$B$96,MATCH(D17,القوائم!$A$1:$A$96,0)))</f>
        <v/>
      </c>
    </row>
    <row r="18" customFormat="false" ht="15" hidden="false" customHeight="false" outlineLevel="0" collapsed="false">
      <c r="A18" s="46" t="n">
        <f aca="false">IF(2&lt;=NW,W1+9,"")</f>
        <v>46300</v>
      </c>
      <c r="B18" s="11" t="str">
        <f aca="false">IF(A18="","",CHOOSE(WEEKDAY(A18,1),"الأحد","الاثنين","الثلاثاء","الأربعاء","الخميس","الجمعة","السبت"))</f>
        <v>الاثنين</v>
      </c>
      <c r="C18" s="47"/>
      <c r="D18" s="47"/>
      <c r="E18" s="48"/>
      <c r="F18" s="12" t="str">
        <f aca="false">IF(OR(K18="",L18=""),"",ROUND(MOD(L18-K18,1)*24,2))</f>
        <v/>
      </c>
      <c r="G18" s="12" t="str">
        <f aca="false">IF(F18="","",IF(WEEKDAY(A18,1)=6,F18,ROUND(MAX(0,MIN(IF(L18&lt;K18,L18+1,L18),OMR_OT_AT)-K18)*24,2)))</f>
        <v/>
      </c>
      <c r="H18" s="12" t="str">
        <f aca="false">IF(F18="","",ROUND(F18-G18,2))</f>
        <v/>
      </c>
      <c r="I18" s="49" t="str">
        <f aca="false">IF(F18="","",ROUND(G18*OMR_RATE+H18*OMR_OT+MIN(N(E18),G18)*(GYP_RATE-OMR_RATE)+MAX(0,MIN(N(E18),F18)-G18)*(GYP_RATE-OMR_OT),3))</f>
        <v/>
      </c>
      <c r="J18" s="47"/>
      <c r="K18" s="29" t="str">
        <f aca="false">IF(C18="","",INDEX(القوائم!$B$1:$B$96,MATCH(C18,القوائم!$A$1:$A$96,0)))</f>
        <v/>
      </c>
      <c r="L18" s="29" t="str">
        <f aca="false">IF(D18="","",INDEX(القوائم!$B$1:$B$96,MATCH(D18,القوائم!$A$1:$A$96,0)))</f>
        <v/>
      </c>
    </row>
    <row r="19" customFormat="false" ht="15" hidden="false" customHeight="false" outlineLevel="0" collapsed="false">
      <c r="A19" s="46" t="n">
        <f aca="false">IF(2&lt;=NW,W1+10,"")</f>
        <v>46301</v>
      </c>
      <c r="B19" s="11" t="str">
        <f aca="false">IF(A19="","",CHOOSE(WEEKDAY(A19,1),"الأحد","الاثنين","الثلاثاء","الأربعاء","الخميس","الجمعة","السبت"))</f>
        <v>الثلاثاء</v>
      </c>
      <c r="C19" s="47"/>
      <c r="D19" s="47"/>
      <c r="E19" s="48"/>
      <c r="F19" s="12" t="str">
        <f aca="false">IF(OR(K19="",L19=""),"",ROUND(MOD(L19-K19,1)*24,2))</f>
        <v/>
      </c>
      <c r="G19" s="12" t="str">
        <f aca="false">IF(F19="","",IF(WEEKDAY(A19,1)=6,F19,ROUND(MAX(0,MIN(IF(L19&lt;K19,L19+1,L19),OMR_OT_AT)-K19)*24,2)))</f>
        <v/>
      </c>
      <c r="H19" s="12" t="str">
        <f aca="false">IF(F19="","",ROUND(F19-G19,2))</f>
        <v/>
      </c>
      <c r="I19" s="49" t="str">
        <f aca="false">IF(F19="","",ROUND(G19*OMR_RATE+H19*OMR_OT+MIN(N(E19),G19)*(GYP_RATE-OMR_RATE)+MAX(0,MIN(N(E19),F19)-G19)*(GYP_RATE-OMR_OT),3))</f>
        <v/>
      </c>
      <c r="J19" s="47"/>
      <c r="K19" s="29" t="str">
        <f aca="false">IF(C19="","",INDEX(القوائم!$B$1:$B$96,MATCH(C19,القوائم!$A$1:$A$96,0)))</f>
        <v/>
      </c>
      <c r="L19" s="29" t="str">
        <f aca="false">IF(D19="","",INDEX(القوائم!$B$1:$B$96,MATCH(D19,القوائم!$A$1:$A$96,0)))</f>
        <v/>
      </c>
    </row>
    <row r="20" customFormat="false" ht="15" hidden="false" customHeight="false" outlineLevel="0" collapsed="false">
      <c r="A20" s="46" t="n">
        <f aca="false">IF(2&lt;=NW,W1+11,"")</f>
        <v>46302</v>
      </c>
      <c r="B20" s="11" t="str">
        <f aca="false">IF(A20="","",CHOOSE(WEEKDAY(A20,1),"الأحد","الاثنين","الثلاثاء","الأربعاء","الخميس","الجمعة","السبت"))</f>
        <v>الأربعاء</v>
      </c>
      <c r="C20" s="47"/>
      <c r="D20" s="47"/>
      <c r="E20" s="48"/>
      <c r="F20" s="12" t="str">
        <f aca="false">IF(OR(K20="",L20=""),"",ROUND(MOD(L20-K20,1)*24,2))</f>
        <v/>
      </c>
      <c r="G20" s="12" t="str">
        <f aca="false">IF(F20="","",IF(WEEKDAY(A20,1)=6,F20,ROUND(MAX(0,MIN(IF(L20&lt;K20,L20+1,L20),OMR_OT_AT)-K20)*24,2)))</f>
        <v/>
      </c>
      <c r="H20" s="12" t="str">
        <f aca="false">IF(F20="","",ROUND(F20-G20,2))</f>
        <v/>
      </c>
      <c r="I20" s="49" t="str">
        <f aca="false">IF(F20="","",ROUND(G20*OMR_RATE+H20*OMR_OT+MIN(N(E20),G20)*(GYP_RATE-OMR_RATE)+MAX(0,MIN(N(E20),F20)-G20)*(GYP_RATE-OMR_OT),3))</f>
        <v/>
      </c>
      <c r="J20" s="47"/>
      <c r="K20" s="29" t="str">
        <f aca="false">IF(C20="","",INDEX(القوائم!$B$1:$B$96,MATCH(C20,القوائم!$A$1:$A$96,0)))</f>
        <v/>
      </c>
      <c r="L20" s="29" t="str">
        <f aca="false">IF(D20="","",INDEX(القوائم!$B$1:$B$96,MATCH(D20,القوائم!$A$1:$A$96,0)))</f>
        <v/>
      </c>
    </row>
    <row r="21" customFormat="false" ht="15" hidden="false" customHeight="false" outlineLevel="0" collapsed="false">
      <c r="A21" s="46" t="n">
        <f aca="false">IF(2&lt;=NW,W1+12,"")</f>
        <v>46303</v>
      </c>
      <c r="B21" s="11" t="str">
        <f aca="false">IF(A21="","",CHOOSE(WEEKDAY(A21,1),"الأحد","الاثنين","الثلاثاء","الأربعاء","الخميس","الجمعة","السبت"))</f>
        <v>الخميس</v>
      </c>
      <c r="C21" s="47"/>
      <c r="D21" s="47"/>
      <c r="E21" s="48"/>
      <c r="F21" s="12" t="str">
        <f aca="false">IF(OR(K21="",L21=""),"",ROUND(MOD(L21-K21,1)*24,2))</f>
        <v/>
      </c>
      <c r="G21" s="12" t="str">
        <f aca="false">IF(F21="","",IF(WEEKDAY(A21,1)=6,F21,ROUND(MAX(0,MIN(IF(L21&lt;K21,L21+1,L21),OMR_OT_AT)-K21)*24,2)))</f>
        <v/>
      </c>
      <c r="H21" s="12" t="str">
        <f aca="false">IF(F21="","",ROUND(F21-G21,2))</f>
        <v/>
      </c>
      <c r="I21" s="49" t="str">
        <f aca="false">IF(F21="","",ROUND(G21*OMR_RATE+H21*OMR_OT+MIN(N(E21),G21)*(GYP_RATE-OMR_RATE)+MAX(0,MIN(N(E21),F21)-G21)*(GYP_RATE-OMR_OT),3))</f>
        <v/>
      </c>
      <c r="J21" s="47"/>
      <c r="K21" s="29" t="str">
        <f aca="false">IF(C21="","",INDEX(القوائم!$B$1:$B$96,MATCH(C21,القوائم!$A$1:$A$96,0)))</f>
        <v/>
      </c>
      <c r="L21" s="29" t="str">
        <f aca="false">IF(D21="","",INDEX(القوائم!$B$1:$B$96,MATCH(D21,القوائم!$A$1:$A$96,0)))</f>
        <v/>
      </c>
    </row>
    <row r="22" customFormat="false" ht="15" hidden="false" customHeight="false" outlineLevel="0" collapsed="false">
      <c r="A22" s="50" t="n">
        <f aca="false">IF(2&lt;=NW,W1+13,"")</f>
        <v>46304</v>
      </c>
      <c r="B22" s="51" t="str">
        <f aca="false">IF(A22="","",CHOOSE(WEEKDAY(A22,1),"الأحد","الاثنين","الثلاثاء","الأربعاء","الخميس","الجمعة","السبت"))</f>
        <v>الجمعة</v>
      </c>
      <c r="C22" s="47"/>
      <c r="D22" s="47"/>
      <c r="E22" s="48"/>
      <c r="F22" s="12" t="str">
        <f aca="false">IF(OR(K22="",L22=""),"",ROUND(MOD(L22-K22,1)*24,2))</f>
        <v/>
      </c>
      <c r="G22" s="12" t="str">
        <f aca="false">IF(F22="","",IF(WEEKDAY(A22,1)=6,F22,ROUND(MAX(0,MIN(IF(L22&lt;K22,L22+1,L22),OMR_OT_AT)-K22)*24,2)))</f>
        <v/>
      </c>
      <c r="H22" s="12" t="str">
        <f aca="false">IF(F22="","",ROUND(F22-G22,2))</f>
        <v/>
      </c>
      <c r="I22" s="49" t="str">
        <f aca="false">IF(F22="","",ROUND(G22*OMR_RATE+H22*OMR_OT+MIN(N(E22),G22)*(GYP_RATE-OMR_RATE)+MAX(0,MIN(N(E22),F22)-G22)*(GYP_RATE-OMR_OT),3))</f>
        <v/>
      </c>
      <c r="J22" s="47"/>
      <c r="K22" s="29" t="str">
        <f aca="false">IF(C22="","",INDEX(القوائم!$B$1:$B$96,MATCH(C22,القوائم!$A$1:$A$96,0)))</f>
        <v/>
      </c>
      <c r="L22" s="29" t="str">
        <f aca="false">IF(D22="","",INDEX(القوائم!$B$1:$B$96,MATCH(D22,القوائم!$A$1:$A$96,0)))</f>
        <v/>
      </c>
    </row>
    <row r="23" customFormat="false" ht="15" hidden="false" customHeight="false" outlineLevel="0" collapsed="false">
      <c r="A23" s="21"/>
      <c r="B23" s="21" t="str">
        <f aca="false">IF(2&lt;=NW,"المجموع","")</f>
        <v>المجموع</v>
      </c>
      <c r="C23" s="21"/>
      <c r="D23" s="21"/>
      <c r="E23" s="21"/>
      <c r="F23" s="22" t="n">
        <f aca="false">IF(2&lt;=NW,SUM(F16:F22),"")</f>
        <v>0</v>
      </c>
      <c r="G23" s="22" t="n">
        <f aca="false">IF(2&lt;=NW,SUM(G16:G22),"")</f>
        <v>0</v>
      </c>
      <c r="H23" s="22" t="n">
        <f aca="false">IF(2&lt;=NW,SUM(H16:H22),"")</f>
        <v>0</v>
      </c>
      <c r="I23" s="52" t="n">
        <f aca="false">IF(2&lt;=NW,IF(ROUND_MODE="للأعلى",CEILING(ROUND((SUM(I16:I22)),3),0.25),ROUND((SUM(I16:I22))*4,0)/4),"")</f>
        <v>0</v>
      </c>
      <c r="J23" s="53" t="str">
        <f aca="false">IF(2&lt;=NW,"قبل الجبر: "&amp;TEXT(SUM(I16:I22),"0.000"),"")</f>
        <v>قبل الجبر: 0.000</v>
      </c>
    </row>
    <row r="24" customFormat="false" ht="21.75" hidden="false" customHeight="true" outlineLevel="0" collapsed="false">
      <c r="A24" s="45" t="str">
        <f aca="false">IF(3&lt;=NW,"الأسبوع 3   ·   السبت "&amp;DAY(W1+14)&amp;"/"&amp;MONTH(W1+14)&amp;"  ←  الجمعة "&amp;DAY(W1+20)&amp;"/"&amp;MONTH(W1+20),"")</f>
        <v>الأسبوع 3   ·   السبت 10/10  ←  الجمعة 16/10</v>
      </c>
      <c r="B24" s="45"/>
      <c r="C24" s="45"/>
      <c r="D24" s="45"/>
      <c r="E24" s="45"/>
      <c r="F24" s="45"/>
      <c r="G24" s="45"/>
      <c r="H24" s="45"/>
      <c r="I24" s="45"/>
      <c r="J24" s="45"/>
    </row>
    <row r="25" customFormat="false" ht="15" hidden="false" customHeight="false" outlineLevel="0" collapsed="false">
      <c r="A25" s="46" t="n">
        <f aca="false">IF(3&lt;=NW,W1+14,"")</f>
        <v>46305</v>
      </c>
      <c r="B25" s="11" t="str">
        <f aca="false">IF(A25="","",CHOOSE(WEEKDAY(A25,1),"الأحد","الاثنين","الثلاثاء","الأربعاء","الخميس","الجمعة","السبت"))</f>
        <v>السبت</v>
      </c>
      <c r="C25" s="47"/>
      <c r="D25" s="47"/>
      <c r="E25" s="48"/>
      <c r="F25" s="12" t="str">
        <f aca="false">IF(OR(K25="",L25=""),"",ROUND(MOD(L25-K25,1)*24,2))</f>
        <v/>
      </c>
      <c r="G25" s="12" t="str">
        <f aca="false">IF(F25="","",IF(WEEKDAY(A25,1)=6,F25,ROUND(MAX(0,MIN(IF(L25&lt;K25,L25+1,L25),OMR_OT_AT)-K25)*24,2)))</f>
        <v/>
      </c>
      <c r="H25" s="12" t="str">
        <f aca="false">IF(F25="","",ROUND(F25-G25,2))</f>
        <v/>
      </c>
      <c r="I25" s="49" t="str">
        <f aca="false">IF(F25="","",ROUND(G25*OMR_RATE+H25*OMR_OT+MIN(N(E25),G25)*(GYP_RATE-OMR_RATE)+MAX(0,MIN(N(E25),F25)-G25)*(GYP_RATE-OMR_OT),3))</f>
        <v/>
      </c>
      <c r="J25" s="47"/>
      <c r="K25" s="29" t="str">
        <f aca="false">IF(C25="","",INDEX(القوائم!$B$1:$B$96,MATCH(C25,القوائم!$A$1:$A$96,0)))</f>
        <v/>
      </c>
      <c r="L25" s="29" t="str">
        <f aca="false">IF(D25="","",INDEX(القوائم!$B$1:$B$96,MATCH(D25,القوائم!$A$1:$A$96,0)))</f>
        <v/>
      </c>
    </row>
    <row r="26" customFormat="false" ht="15" hidden="false" customHeight="false" outlineLevel="0" collapsed="false">
      <c r="A26" s="46" t="n">
        <f aca="false">IF(3&lt;=NW,W1+15,"")</f>
        <v>46306</v>
      </c>
      <c r="B26" s="11" t="str">
        <f aca="false">IF(A26="","",CHOOSE(WEEKDAY(A26,1),"الأحد","الاثنين","الثلاثاء","الأربعاء","الخميس","الجمعة","السبت"))</f>
        <v>الأحد</v>
      </c>
      <c r="C26" s="47"/>
      <c r="D26" s="47"/>
      <c r="E26" s="48"/>
      <c r="F26" s="12" t="str">
        <f aca="false">IF(OR(K26="",L26=""),"",ROUND(MOD(L26-K26,1)*24,2))</f>
        <v/>
      </c>
      <c r="G26" s="12" t="str">
        <f aca="false">IF(F26="","",IF(WEEKDAY(A26,1)=6,F26,ROUND(MAX(0,MIN(IF(L26&lt;K26,L26+1,L26),OMR_OT_AT)-K26)*24,2)))</f>
        <v/>
      </c>
      <c r="H26" s="12" t="str">
        <f aca="false">IF(F26="","",ROUND(F26-G26,2))</f>
        <v/>
      </c>
      <c r="I26" s="49" t="str">
        <f aca="false">IF(F26="","",ROUND(G26*OMR_RATE+H26*OMR_OT+MIN(N(E26),G26)*(GYP_RATE-OMR_RATE)+MAX(0,MIN(N(E26),F26)-G26)*(GYP_RATE-OMR_OT),3))</f>
        <v/>
      </c>
      <c r="J26" s="47"/>
      <c r="K26" s="29" t="str">
        <f aca="false">IF(C26="","",INDEX(القوائم!$B$1:$B$96,MATCH(C26,القوائم!$A$1:$A$96,0)))</f>
        <v/>
      </c>
      <c r="L26" s="29" t="str">
        <f aca="false">IF(D26="","",INDEX(القوائم!$B$1:$B$96,MATCH(D26,القوائم!$A$1:$A$96,0)))</f>
        <v/>
      </c>
    </row>
    <row r="27" customFormat="false" ht="15" hidden="false" customHeight="false" outlineLevel="0" collapsed="false">
      <c r="A27" s="46" t="n">
        <f aca="false">IF(3&lt;=NW,W1+16,"")</f>
        <v>46307</v>
      </c>
      <c r="B27" s="11" t="str">
        <f aca="false">IF(A27="","",CHOOSE(WEEKDAY(A27,1),"الأحد","الاثنين","الثلاثاء","الأربعاء","الخميس","الجمعة","السبت"))</f>
        <v>الاثنين</v>
      </c>
      <c r="C27" s="47"/>
      <c r="D27" s="47"/>
      <c r="E27" s="48"/>
      <c r="F27" s="12" t="str">
        <f aca="false">IF(OR(K27="",L27=""),"",ROUND(MOD(L27-K27,1)*24,2))</f>
        <v/>
      </c>
      <c r="G27" s="12" t="str">
        <f aca="false">IF(F27="","",IF(WEEKDAY(A27,1)=6,F27,ROUND(MAX(0,MIN(IF(L27&lt;K27,L27+1,L27),OMR_OT_AT)-K27)*24,2)))</f>
        <v/>
      </c>
      <c r="H27" s="12" t="str">
        <f aca="false">IF(F27="","",ROUND(F27-G27,2))</f>
        <v/>
      </c>
      <c r="I27" s="49" t="str">
        <f aca="false">IF(F27="","",ROUND(G27*OMR_RATE+H27*OMR_OT+MIN(N(E27),G27)*(GYP_RATE-OMR_RATE)+MAX(0,MIN(N(E27),F27)-G27)*(GYP_RATE-OMR_OT),3))</f>
        <v/>
      </c>
      <c r="J27" s="47"/>
      <c r="K27" s="29" t="str">
        <f aca="false">IF(C27="","",INDEX(القوائم!$B$1:$B$96,MATCH(C27,القوائم!$A$1:$A$96,0)))</f>
        <v/>
      </c>
      <c r="L27" s="29" t="str">
        <f aca="false">IF(D27="","",INDEX(القوائم!$B$1:$B$96,MATCH(D27,القوائم!$A$1:$A$96,0)))</f>
        <v/>
      </c>
    </row>
    <row r="28" customFormat="false" ht="15" hidden="false" customHeight="false" outlineLevel="0" collapsed="false">
      <c r="A28" s="46" t="n">
        <f aca="false">IF(3&lt;=NW,W1+17,"")</f>
        <v>46308</v>
      </c>
      <c r="B28" s="11" t="str">
        <f aca="false">IF(A28="","",CHOOSE(WEEKDAY(A28,1),"الأحد","الاثنين","الثلاثاء","الأربعاء","الخميس","الجمعة","السبت"))</f>
        <v>الثلاثاء</v>
      </c>
      <c r="C28" s="47"/>
      <c r="D28" s="47"/>
      <c r="E28" s="48"/>
      <c r="F28" s="12" t="str">
        <f aca="false">IF(OR(K28="",L28=""),"",ROUND(MOD(L28-K28,1)*24,2))</f>
        <v/>
      </c>
      <c r="G28" s="12" t="str">
        <f aca="false">IF(F28="","",IF(WEEKDAY(A28,1)=6,F28,ROUND(MAX(0,MIN(IF(L28&lt;K28,L28+1,L28),OMR_OT_AT)-K28)*24,2)))</f>
        <v/>
      </c>
      <c r="H28" s="12" t="str">
        <f aca="false">IF(F28="","",ROUND(F28-G28,2))</f>
        <v/>
      </c>
      <c r="I28" s="49" t="str">
        <f aca="false">IF(F28="","",ROUND(G28*OMR_RATE+H28*OMR_OT+MIN(N(E28),G28)*(GYP_RATE-OMR_RATE)+MAX(0,MIN(N(E28),F28)-G28)*(GYP_RATE-OMR_OT),3))</f>
        <v/>
      </c>
      <c r="J28" s="47"/>
      <c r="K28" s="29" t="str">
        <f aca="false">IF(C28="","",INDEX(القوائم!$B$1:$B$96,MATCH(C28,القوائم!$A$1:$A$96,0)))</f>
        <v/>
      </c>
      <c r="L28" s="29" t="str">
        <f aca="false">IF(D28="","",INDEX(القوائم!$B$1:$B$96,MATCH(D28,القوائم!$A$1:$A$96,0)))</f>
        <v/>
      </c>
    </row>
    <row r="29" customFormat="false" ht="15" hidden="false" customHeight="false" outlineLevel="0" collapsed="false">
      <c r="A29" s="46" t="n">
        <f aca="false">IF(3&lt;=NW,W1+18,"")</f>
        <v>46309</v>
      </c>
      <c r="B29" s="11" t="str">
        <f aca="false">IF(A29="","",CHOOSE(WEEKDAY(A29,1),"الأحد","الاثنين","الثلاثاء","الأربعاء","الخميس","الجمعة","السبت"))</f>
        <v>الأربعاء</v>
      </c>
      <c r="C29" s="47"/>
      <c r="D29" s="47"/>
      <c r="E29" s="48"/>
      <c r="F29" s="12" t="str">
        <f aca="false">IF(OR(K29="",L29=""),"",ROUND(MOD(L29-K29,1)*24,2))</f>
        <v/>
      </c>
      <c r="G29" s="12" t="str">
        <f aca="false">IF(F29="","",IF(WEEKDAY(A29,1)=6,F29,ROUND(MAX(0,MIN(IF(L29&lt;K29,L29+1,L29),OMR_OT_AT)-K29)*24,2)))</f>
        <v/>
      </c>
      <c r="H29" s="12" t="str">
        <f aca="false">IF(F29="","",ROUND(F29-G29,2))</f>
        <v/>
      </c>
      <c r="I29" s="49" t="str">
        <f aca="false">IF(F29="","",ROUND(G29*OMR_RATE+H29*OMR_OT+MIN(N(E29),G29)*(GYP_RATE-OMR_RATE)+MAX(0,MIN(N(E29),F29)-G29)*(GYP_RATE-OMR_OT),3))</f>
        <v/>
      </c>
      <c r="J29" s="47"/>
      <c r="K29" s="29" t="str">
        <f aca="false">IF(C29="","",INDEX(القوائم!$B$1:$B$96,MATCH(C29,القوائم!$A$1:$A$96,0)))</f>
        <v/>
      </c>
      <c r="L29" s="29" t="str">
        <f aca="false">IF(D29="","",INDEX(القوائم!$B$1:$B$96,MATCH(D29,القوائم!$A$1:$A$96,0)))</f>
        <v/>
      </c>
    </row>
    <row r="30" customFormat="false" ht="15" hidden="false" customHeight="false" outlineLevel="0" collapsed="false">
      <c r="A30" s="46" t="n">
        <f aca="false">IF(3&lt;=NW,W1+19,"")</f>
        <v>46310</v>
      </c>
      <c r="B30" s="11" t="str">
        <f aca="false">IF(A30="","",CHOOSE(WEEKDAY(A30,1),"الأحد","الاثنين","الثلاثاء","الأربعاء","الخميس","الجمعة","السبت"))</f>
        <v>الخميس</v>
      </c>
      <c r="C30" s="47"/>
      <c r="D30" s="47"/>
      <c r="E30" s="48"/>
      <c r="F30" s="12" t="str">
        <f aca="false">IF(OR(K30="",L30=""),"",ROUND(MOD(L30-K30,1)*24,2))</f>
        <v/>
      </c>
      <c r="G30" s="12" t="str">
        <f aca="false">IF(F30="","",IF(WEEKDAY(A30,1)=6,F30,ROUND(MAX(0,MIN(IF(L30&lt;K30,L30+1,L30),OMR_OT_AT)-K30)*24,2)))</f>
        <v/>
      </c>
      <c r="H30" s="12" t="str">
        <f aca="false">IF(F30="","",ROUND(F30-G30,2))</f>
        <v/>
      </c>
      <c r="I30" s="49" t="str">
        <f aca="false">IF(F30="","",ROUND(G30*OMR_RATE+H30*OMR_OT+MIN(N(E30),G30)*(GYP_RATE-OMR_RATE)+MAX(0,MIN(N(E30),F30)-G30)*(GYP_RATE-OMR_OT),3))</f>
        <v/>
      </c>
      <c r="J30" s="47"/>
      <c r="K30" s="29" t="str">
        <f aca="false">IF(C30="","",INDEX(القوائم!$B$1:$B$96,MATCH(C30,القوائم!$A$1:$A$96,0)))</f>
        <v/>
      </c>
      <c r="L30" s="29" t="str">
        <f aca="false">IF(D30="","",INDEX(القوائم!$B$1:$B$96,MATCH(D30,القوائم!$A$1:$A$96,0)))</f>
        <v/>
      </c>
    </row>
    <row r="31" customFormat="false" ht="15" hidden="false" customHeight="false" outlineLevel="0" collapsed="false">
      <c r="A31" s="50" t="n">
        <f aca="false">IF(3&lt;=NW,W1+20,"")</f>
        <v>46311</v>
      </c>
      <c r="B31" s="51" t="str">
        <f aca="false">IF(A31="","",CHOOSE(WEEKDAY(A31,1),"الأحد","الاثنين","الثلاثاء","الأربعاء","الخميس","الجمعة","السبت"))</f>
        <v>الجمعة</v>
      </c>
      <c r="C31" s="47"/>
      <c r="D31" s="47"/>
      <c r="E31" s="48"/>
      <c r="F31" s="12" t="str">
        <f aca="false">IF(OR(K31="",L31=""),"",ROUND(MOD(L31-K31,1)*24,2))</f>
        <v/>
      </c>
      <c r="G31" s="12" t="str">
        <f aca="false">IF(F31="","",IF(WEEKDAY(A31,1)=6,F31,ROUND(MAX(0,MIN(IF(L31&lt;K31,L31+1,L31),OMR_OT_AT)-K31)*24,2)))</f>
        <v/>
      </c>
      <c r="H31" s="12" t="str">
        <f aca="false">IF(F31="","",ROUND(F31-G31,2))</f>
        <v/>
      </c>
      <c r="I31" s="49" t="str">
        <f aca="false">IF(F31="","",ROUND(G31*OMR_RATE+H31*OMR_OT+MIN(N(E31),G31)*(GYP_RATE-OMR_RATE)+MAX(0,MIN(N(E31),F31)-G31)*(GYP_RATE-OMR_OT),3))</f>
        <v/>
      </c>
      <c r="J31" s="47"/>
      <c r="K31" s="29" t="str">
        <f aca="false">IF(C31="","",INDEX(القوائم!$B$1:$B$96,MATCH(C31,القوائم!$A$1:$A$96,0)))</f>
        <v/>
      </c>
      <c r="L31" s="29" t="str">
        <f aca="false">IF(D31="","",INDEX(القوائم!$B$1:$B$96,MATCH(D31,القوائم!$A$1:$A$96,0)))</f>
        <v/>
      </c>
    </row>
    <row r="32" customFormat="false" ht="15" hidden="false" customHeight="false" outlineLevel="0" collapsed="false">
      <c r="A32" s="21"/>
      <c r="B32" s="21" t="str">
        <f aca="false">IF(3&lt;=NW,"المجموع","")</f>
        <v>المجموع</v>
      </c>
      <c r="C32" s="21"/>
      <c r="D32" s="21"/>
      <c r="E32" s="21"/>
      <c r="F32" s="22" t="n">
        <f aca="false">IF(3&lt;=NW,SUM(F25:F31),"")</f>
        <v>0</v>
      </c>
      <c r="G32" s="22" t="n">
        <f aca="false">IF(3&lt;=NW,SUM(G25:G31),"")</f>
        <v>0</v>
      </c>
      <c r="H32" s="22" t="n">
        <f aca="false">IF(3&lt;=NW,SUM(H25:H31),"")</f>
        <v>0</v>
      </c>
      <c r="I32" s="52" t="n">
        <f aca="false">IF(3&lt;=NW,IF(ROUND_MODE="للأعلى",CEILING(ROUND((SUM(I25:I31)),3),0.25),ROUND((SUM(I25:I31))*4,0)/4),"")</f>
        <v>0</v>
      </c>
      <c r="J32" s="53" t="str">
        <f aca="false">IF(3&lt;=NW,"قبل الجبر: "&amp;TEXT(SUM(I25:I31),"0.000"),"")</f>
        <v>قبل الجبر: 0.000</v>
      </c>
    </row>
    <row r="33" customFormat="false" ht="21.75" hidden="false" customHeight="true" outlineLevel="0" collapsed="false">
      <c r="A33" s="45" t="str">
        <f aca="false">IF(4&lt;=NW,"الأسبوع 4   ·   السبت "&amp;DAY(W1+21)&amp;"/"&amp;MONTH(W1+21)&amp;"  ←  الجمعة "&amp;DAY(W1+27)&amp;"/"&amp;MONTH(W1+27),"")</f>
        <v>الأسبوع 4   ·   السبت 17/10  ←  الجمعة 23/10</v>
      </c>
      <c r="B33" s="45"/>
      <c r="C33" s="45"/>
      <c r="D33" s="45"/>
      <c r="E33" s="45"/>
      <c r="F33" s="45"/>
      <c r="G33" s="45"/>
      <c r="H33" s="45"/>
      <c r="I33" s="45"/>
      <c r="J33" s="45"/>
    </row>
    <row r="34" customFormat="false" ht="15" hidden="false" customHeight="false" outlineLevel="0" collapsed="false">
      <c r="A34" s="46" t="n">
        <f aca="false">IF(4&lt;=NW,W1+21,"")</f>
        <v>46312</v>
      </c>
      <c r="B34" s="11" t="str">
        <f aca="false">IF(A34="","",CHOOSE(WEEKDAY(A34,1),"الأحد","الاثنين","الثلاثاء","الأربعاء","الخميس","الجمعة","السبت"))</f>
        <v>السبت</v>
      </c>
      <c r="C34" s="47"/>
      <c r="D34" s="47"/>
      <c r="E34" s="48"/>
      <c r="F34" s="12" t="str">
        <f aca="false">IF(OR(K34="",L34=""),"",ROUND(MOD(L34-K34,1)*24,2))</f>
        <v/>
      </c>
      <c r="G34" s="12" t="str">
        <f aca="false">IF(F34="","",IF(WEEKDAY(A34,1)=6,F34,ROUND(MAX(0,MIN(IF(L34&lt;K34,L34+1,L34),OMR_OT_AT)-K34)*24,2)))</f>
        <v/>
      </c>
      <c r="H34" s="12" t="str">
        <f aca="false">IF(F34="","",ROUND(F34-G34,2))</f>
        <v/>
      </c>
      <c r="I34" s="49" t="str">
        <f aca="false">IF(F34="","",ROUND(G34*OMR_RATE+H34*OMR_OT+MIN(N(E34),G34)*(GYP_RATE-OMR_RATE)+MAX(0,MIN(N(E34),F34)-G34)*(GYP_RATE-OMR_OT),3))</f>
        <v/>
      </c>
      <c r="J34" s="47"/>
      <c r="K34" s="29" t="str">
        <f aca="false">IF(C34="","",INDEX(القوائم!$B$1:$B$96,MATCH(C34,القوائم!$A$1:$A$96,0)))</f>
        <v/>
      </c>
      <c r="L34" s="29" t="str">
        <f aca="false">IF(D34="","",INDEX(القوائم!$B$1:$B$96,MATCH(D34,القوائم!$A$1:$A$96,0)))</f>
        <v/>
      </c>
    </row>
    <row r="35" customFormat="false" ht="15" hidden="false" customHeight="false" outlineLevel="0" collapsed="false">
      <c r="A35" s="46" t="n">
        <f aca="false">IF(4&lt;=NW,W1+22,"")</f>
        <v>46313</v>
      </c>
      <c r="B35" s="11" t="str">
        <f aca="false">IF(A35="","",CHOOSE(WEEKDAY(A35,1),"الأحد","الاثنين","الثلاثاء","الأربعاء","الخميس","الجمعة","السبت"))</f>
        <v>الأحد</v>
      </c>
      <c r="C35" s="47"/>
      <c r="D35" s="47"/>
      <c r="E35" s="48"/>
      <c r="F35" s="12" t="str">
        <f aca="false">IF(OR(K35="",L35=""),"",ROUND(MOD(L35-K35,1)*24,2))</f>
        <v/>
      </c>
      <c r="G35" s="12" t="str">
        <f aca="false">IF(F35="","",IF(WEEKDAY(A35,1)=6,F35,ROUND(MAX(0,MIN(IF(L35&lt;K35,L35+1,L35),OMR_OT_AT)-K35)*24,2)))</f>
        <v/>
      </c>
      <c r="H35" s="12" t="str">
        <f aca="false">IF(F35="","",ROUND(F35-G35,2))</f>
        <v/>
      </c>
      <c r="I35" s="49" t="str">
        <f aca="false">IF(F35="","",ROUND(G35*OMR_RATE+H35*OMR_OT+MIN(N(E35),G35)*(GYP_RATE-OMR_RATE)+MAX(0,MIN(N(E35),F35)-G35)*(GYP_RATE-OMR_OT),3))</f>
        <v/>
      </c>
      <c r="J35" s="47"/>
      <c r="K35" s="29" t="str">
        <f aca="false">IF(C35="","",INDEX(القوائم!$B$1:$B$96,MATCH(C35,القوائم!$A$1:$A$96,0)))</f>
        <v/>
      </c>
      <c r="L35" s="29" t="str">
        <f aca="false">IF(D35="","",INDEX(القوائم!$B$1:$B$96,MATCH(D35,القوائم!$A$1:$A$96,0)))</f>
        <v/>
      </c>
    </row>
    <row r="36" customFormat="false" ht="15" hidden="false" customHeight="false" outlineLevel="0" collapsed="false">
      <c r="A36" s="46" t="n">
        <f aca="false">IF(4&lt;=NW,W1+23,"")</f>
        <v>46314</v>
      </c>
      <c r="B36" s="11" t="str">
        <f aca="false">IF(A36="","",CHOOSE(WEEKDAY(A36,1),"الأحد","الاثنين","الثلاثاء","الأربعاء","الخميس","الجمعة","السبت"))</f>
        <v>الاثنين</v>
      </c>
      <c r="C36" s="47"/>
      <c r="D36" s="47"/>
      <c r="E36" s="48"/>
      <c r="F36" s="12" t="str">
        <f aca="false">IF(OR(K36="",L36=""),"",ROUND(MOD(L36-K36,1)*24,2))</f>
        <v/>
      </c>
      <c r="G36" s="12" t="str">
        <f aca="false">IF(F36="","",IF(WEEKDAY(A36,1)=6,F36,ROUND(MAX(0,MIN(IF(L36&lt;K36,L36+1,L36),OMR_OT_AT)-K36)*24,2)))</f>
        <v/>
      </c>
      <c r="H36" s="12" t="str">
        <f aca="false">IF(F36="","",ROUND(F36-G36,2))</f>
        <v/>
      </c>
      <c r="I36" s="49" t="str">
        <f aca="false">IF(F36="","",ROUND(G36*OMR_RATE+H36*OMR_OT+MIN(N(E36),G36)*(GYP_RATE-OMR_RATE)+MAX(0,MIN(N(E36),F36)-G36)*(GYP_RATE-OMR_OT),3))</f>
        <v/>
      </c>
      <c r="J36" s="47"/>
      <c r="K36" s="29" t="str">
        <f aca="false">IF(C36="","",INDEX(القوائم!$B$1:$B$96,MATCH(C36,القوائم!$A$1:$A$96,0)))</f>
        <v/>
      </c>
      <c r="L36" s="29" t="str">
        <f aca="false">IF(D36="","",INDEX(القوائم!$B$1:$B$96,MATCH(D36,القوائم!$A$1:$A$96,0)))</f>
        <v/>
      </c>
    </row>
    <row r="37" customFormat="false" ht="15" hidden="false" customHeight="false" outlineLevel="0" collapsed="false">
      <c r="A37" s="46" t="n">
        <f aca="false">IF(4&lt;=NW,W1+24,"")</f>
        <v>46315</v>
      </c>
      <c r="B37" s="11" t="str">
        <f aca="false">IF(A37="","",CHOOSE(WEEKDAY(A37,1),"الأحد","الاثنين","الثلاثاء","الأربعاء","الخميس","الجمعة","السبت"))</f>
        <v>الثلاثاء</v>
      </c>
      <c r="C37" s="47"/>
      <c r="D37" s="47"/>
      <c r="E37" s="48"/>
      <c r="F37" s="12" t="str">
        <f aca="false">IF(OR(K37="",L37=""),"",ROUND(MOD(L37-K37,1)*24,2))</f>
        <v/>
      </c>
      <c r="G37" s="12" t="str">
        <f aca="false">IF(F37="","",IF(WEEKDAY(A37,1)=6,F37,ROUND(MAX(0,MIN(IF(L37&lt;K37,L37+1,L37),OMR_OT_AT)-K37)*24,2)))</f>
        <v/>
      </c>
      <c r="H37" s="12" t="str">
        <f aca="false">IF(F37="","",ROUND(F37-G37,2))</f>
        <v/>
      </c>
      <c r="I37" s="49" t="str">
        <f aca="false">IF(F37="","",ROUND(G37*OMR_RATE+H37*OMR_OT+MIN(N(E37),G37)*(GYP_RATE-OMR_RATE)+MAX(0,MIN(N(E37),F37)-G37)*(GYP_RATE-OMR_OT),3))</f>
        <v/>
      </c>
      <c r="J37" s="47"/>
      <c r="K37" s="29" t="str">
        <f aca="false">IF(C37="","",INDEX(القوائم!$B$1:$B$96,MATCH(C37,القوائم!$A$1:$A$96,0)))</f>
        <v/>
      </c>
      <c r="L37" s="29" t="str">
        <f aca="false">IF(D37="","",INDEX(القوائم!$B$1:$B$96,MATCH(D37,القوائم!$A$1:$A$96,0)))</f>
        <v/>
      </c>
    </row>
    <row r="38" customFormat="false" ht="15" hidden="false" customHeight="false" outlineLevel="0" collapsed="false">
      <c r="A38" s="46" t="n">
        <f aca="false">IF(4&lt;=NW,W1+25,"")</f>
        <v>46316</v>
      </c>
      <c r="B38" s="11" t="str">
        <f aca="false">IF(A38="","",CHOOSE(WEEKDAY(A38,1),"الأحد","الاثنين","الثلاثاء","الأربعاء","الخميس","الجمعة","السبت"))</f>
        <v>الأربعاء</v>
      </c>
      <c r="C38" s="47"/>
      <c r="D38" s="47"/>
      <c r="E38" s="48"/>
      <c r="F38" s="12" t="str">
        <f aca="false">IF(OR(K38="",L38=""),"",ROUND(MOD(L38-K38,1)*24,2))</f>
        <v/>
      </c>
      <c r="G38" s="12" t="str">
        <f aca="false">IF(F38="","",IF(WEEKDAY(A38,1)=6,F38,ROUND(MAX(0,MIN(IF(L38&lt;K38,L38+1,L38),OMR_OT_AT)-K38)*24,2)))</f>
        <v/>
      </c>
      <c r="H38" s="12" t="str">
        <f aca="false">IF(F38="","",ROUND(F38-G38,2))</f>
        <v/>
      </c>
      <c r="I38" s="49" t="str">
        <f aca="false">IF(F38="","",ROUND(G38*OMR_RATE+H38*OMR_OT+MIN(N(E38),G38)*(GYP_RATE-OMR_RATE)+MAX(0,MIN(N(E38),F38)-G38)*(GYP_RATE-OMR_OT),3))</f>
        <v/>
      </c>
      <c r="J38" s="47"/>
      <c r="K38" s="29" t="str">
        <f aca="false">IF(C38="","",INDEX(القوائم!$B$1:$B$96,MATCH(C38,القوائم!$A$1:$A$96,0)))</f>
        <v/>
      </c>
      <c r="L38" s="29" t="str">
        <f aca="false">IF(D38="","",INDEX(القوائم!$B$1:$B$96,MATCH(D38,القوائم!$A$1:$A$96,0)))</f>
        <v/>
      </c>
    </row>
    <row r="39" customFormat="false" ht="15" hidden="false" customHeight="false" outlineLevel="0" collapsed="false">
      <c r="A39" s="46" t="n">
        <f aca="false">IF(4&lt;=NW,W1+26,"")</f>
        <v>46317</v>
      </c>
      <c r="B39" s="11" t="str">
        <f aca="false">IF(A39="","",CHOOSE(WEEKDAY(A39,1),"الأحد","الاثنين","الثلاثاء","الأربعاء","الخميس","الجمعة","السبت"))</f>
        <v>الخميس</v>
      </c>
      <c r="C39" s="47"/>
      <c r="D39" s="47"/>
      <c r="E39" s="48"/>
      <c r="F39" s="12" t="str">
        <f aca="false">IF(OR(K39="",L39=""),"",ROUND(MOD(L39-K39,1)*24,2))</f>
        <v/>
      </c>
      <c r="G39" s="12" t="str">
        <f aca="false">IF(F39="","",IF(WEEKDAY(A39,1)=6,F39,ROUND(MAX(0,MIN(IF(L39&lt;K39,L39+1,L39),OMR_OT_AT)-K39)*24,2)))</f>
        <v/>
      </c>
      <c r="H39" s="12" t="str">
        <f aca="false">IF(F39="","",ROUND(F39-G39,2))</f>
        <v/>
      </c>
      <c r="I39" s="49" t="str">
        <f aca="false">IF(F39="","",ROUND(G39*OMR_RATE+H39*OMR_OT+MIN(N(E39),G39)*(GYP_RATE-OMR_RATE)+MAX(0,MIN(N(E39),F39)-G39)*(GYP_RATE-OMR_OT),3))</f>
        <v/>
      </c>
      <c r="J39" s="47"/>
      <c r="K39" s="29" t="str">
        <f aca="false">IF(C39="","",INDEX(القوائم!$B$1:$B$96,MATCH(C39,القوائم!$A$1:$A$96,0)))</f>
        <v/>
      </c>
      <c r="L39" s="29" t="str">
        <f aca="false">IF(D39="","",INDEX(القوائم!$B$1:$B$96,MATCH(D39,القوائم!$A$1:$A$96,0)))</f>
        <v/>
      </c>
    </row>
    <row r="40" customFormat="false" ht="15" hidden="false" customHeight="false" outlineLevel="0" collapsed="false">
      <c r="A40" s="50" t="n">
        <f aca="false">IF(4&lt;=NW,W1+27,"")</f>
        <v>46318</v>
      </c>
      <c r="B40" s="51" t="str">
        <f aca="false">IF(A40="","",CHOOSE(WEEKDAY(A40,1),"الأحد","الاثنين","الثلاثاء","الأربعاء","الخميس","الجمعة","السبت"))</f>
        <v>الجمعة</v>
      </c>
      <c r="C40" s="47"/>
      <c r="D40" s="47"/>
      <c r="E40" s="48"/>
      <c r="F40" s="12" t="str">
        <f aca="false">IF(OR(K40="",L40=""),"",ROUND(MOD(L40-K40,1)*24,2))</f>
        <v/>
      </c>
      <c r="G40" s="12" t="str">
        <f aca="false">IF(F40="","",IF(WEEKDAY(A40,1)=6,F40,ROUND(MAX(0,MIN(IF(L40&lt;K40,L40+1,L40),OMR_OT_AT)-K40)*24,2)))</f>
        <v/>
      </c>
      <c r="H40" s="12" t="str">
        <f aca="false">IF(F40="","",ROUND(F40-G40,2))</f>
        <v/>
      </c>
      <c r="I40" s="49" t="str">
        <f aca="false">IF(F40="","",ROUND(G40*OMR_RATE+H40*OMR_OT+MIN(N(E40),G40)*(GYP_RATE-OMR_RATE)+MAX(0,MIN(N(E40),F40)-G40)*(GYP_RATE-OMR_OT),3))</f>
        <v/>
      </c>
      <c r="J40" s="47"/>
      <c r="K40" s="29" t="str">
        <f aca="false">IF(C40="","",INDEX(القوائم!$B$1:$B$96,MATCH(C40,القوائم!$A$1:$A$96,0)))</f>
        <v/>
      </c>
      <c r="L40" s="29" t="str">
        <f aca="false">IF(D40="","",INDEX(القوائم!$B$1:$B$96,MATCH(D40,القوائم!$A$1:$A$96,0)))</f>
        <v/>
      </c>
    </row>
    <row r="41" customFormat="false" ht="15" hidden="false" customHeight="false" outlineLevel="0" collapsed="false">
      <c r="A41" s="21"/>
      <c r="B41" s="21" t="str">
        <f aca="false">IF(4&lt;=NW,"المجموع","")</f>
        <v>المجموع</v>
      </c>
      <c r="C41" s="21"/>
      <c r="D41" s="21"/>
      <c r="E41" s="21"/>
      <c r="F41" s="22" t="n">
        <f aca="false">IF(4&lt;=NW,SUM(F34:F40),"")</f>
        <v>0</v>
      </c>
      <c r="G41" s="22" t="n">
        <f aca="false">IF(4&lt;=NW,SUM(G34:G40),"")</f>
        <v>0</v>
      </c>
      <c r="H41" s="22" t="n">
        <f aca="false">IF(4&lt;=NW,SUM(H34:H40),"")</f>
        <v>0</v>
      </c>
      <c r="I41" s="52" t="n">
        <f aca="false">IF(4&lt;=NW,IF(ROUND_MODE="للأعلى",CEILING(ROUND((SUM(I34:I40)),3),0.25),ROUND((SUM(I34:I40))*4,0)/4),"")</f>
        <v>0</v>
      </c>
      <c r="J41" s="53" t="str">
        <f aca="false">IF(4&lt;=NW,"قبل الجبر: "&amp;TEXT(SUM(I34:I40),"0.000"),"")</f>
        <v>قبل الجبر: 0.000</v>
      </c>
    </row>
    <row r="42" customFormat="false" ht="21.75" hidden="false" customHeight="true" outlineLevel="0" collapsed="false">
      <c r="A42" s="45" t="str">
        <f aca="false">IF(5&lt;=NW,"الأسبوع 5   ·   السبت "&amp;DAY(W1+28)&amp;"/"&amp;MONTH(W1+28)&amp;"  ←  الجمعة "&amp;DAY(W1+34)&amp;"/"&amp;MONTH(W1+34),"")</f>
        <v>الأسبوع 5   ·   السبت 24/10  ←  الجمعة 30/10</v>
      </c>
      <c r="B42" s="45"/>
      <c r="C42" s="45"/>
      <c r="D42" s="45"/>
      <c r="E42" s="45"/>
      <c r="F42" s="45"/>
      <c r="G42" s="45"/>
      <c r="H42" s="45"/>
      <c r="I42" s="45"/>
      <c r="J42" s="45"/>
    </row>
    <row r="43" customFormat="false" ht="15" hidden="false" customHeight="false" outlineLevel="0" collapsed="false">
      <c r="A43" s="46" t="n">
        <f aca="false">IF(5&lt;=NW,W1+28,"")</f>
        <v>46319</v>
      </c>
      <c r="B43" s="11" t="str">
        <f aca="false">IF(A43="","",CHOOSE(WEEKDAY(A43,1),"الأحد","الاثنين","الثلاثاء","الأربعاء","الخميس","الجمعة","السبت"))</f>
        <v>السبت</v>
      </c>
      <c r="C43" s="47"/>
      <c r="D43" s="47"/>
      <c r="E43" s="48"/>
      <c r="F43" s="12" t="str">
        <f aca="false">IF(OR(K43="",L43=""),"",ROUND(MOD(L43-K43,1)*24,2))</f>
        <v/>
      </c>
      <c r="G43" s="12" t="str">
        <f aca="false">IF(F43="","",IF(WEEKDAY(A43,1)=6,F43,ROUND(MAX(0,MIN(IF(L43&lt;K43,L43+1,L43),OMR_OT_AT)-K43)*24,2)))</f>
        <v/>
      </c>
      <c r="H43" s="12" t="str">
        <f aca="false">IF(F43="","",ROUND(F43-G43,2))</f>
        <v/>
      </c>
      <c r="I43" s="49" t="str">
        <f aca="false">IF(F43="","",ROUND(G43*OMR_RATE+H43*OMR_OT+MIN(N(E43),G43)*(GYP_RATE-OMR_RATE)+MAX(0,MIN(N(E43),F43)-G43)*(GYP_RATE-OMR_OT),3))</f>
        <v/>
      </c>
      <c r="J43" s="47"/>
      <c r="K43" s="29" t="str">
        <f aca="false">IF(C43="","",INDEX(القوائم!$B$1:$B$96,MATCH(C43,القوائم!$A$1:$A$96,0)))</f>
        <v/>
      </c>
      <c r="L43" s="29" t="str">
        <f aca="false">IF(D43="","",INDEX(القوائم!$B$1:$B$96,MATCH(D43,القوائم!$A$1:$A$96,0)))</f>
        <v/>
      </c>
    </row>
    <row r="44" customFormat="false" ht="15" hidden="false" customHeight="false" outlineLevel="0" collapsed="false">
      <c r="A44" s="46" t="n">
        <f aca="false">IF(5&lt;=NW,W1+29,"")</f>
        <v>46320</v>
      </c>
      <c r="B44" s="11" t="str">
        <f aca="false">IF(A44="","",CHOOSE(WEEKDAY(A44,1),"الأحد","الاثنين","الثلاثاء","الأربعاء","الخميس","الجمعة","السبت"))</f>
        <v>الأحد</v>
      </c>
      <c r="C44" s="47"/>
      <c r="D44" s="47"/>
      <c r="E44" s="48"/>
      <c r="F44" s="12" t="str">
        <f aca="false">IF(OR(K44="",L44=""),"",ROUND(MOD(L44-K44,1)*24,2))</f>
        <v/>
      </c>
      <c r="G44" s="12" t="str">
        <f aca="false">IF(F44="","",IF(WEEKDAY(A44,1)=6,F44,ROUND(MAX(0,MIN(IF(L44&lt;K44,L44+1,L44),OMR_OT_AT)-K44)*24,2)))</f>
        <v/>
      </c>
      <c r="H44" s="12" t="str">
        <f aca="false">IF(F44="","",ROUND(F44-G44,2))</f>
        <v/>
      </c>
      <c r="I44" s="49" t="str">
        <f aca="false">IF(F44="","",ROUND(G44*OMR_RATE+H44*OMR_OT+MIN(N(E44),G44)*(GYP_RATE-OMR_RATE)+MAX(0,MIN(N(E44),F44)-G44)*(GYP_RATE-OMR_OT),3))</f>
        <v/>
      </c>
      <c r="J44" s="47"/>
      <c r="K44" s="29" t="str">
        <f aca="false">IF(C44="","",INDEX(القوائم!$B$1:$B$96,MATCH(C44,القوائم!$A$1:$A$96,0)))</f>
        <v/>
      </c>
      <c r="L44" s="29" t="str">
        <f aca="false">IF(D44="","",INDEX(القوائم!$B$1:$B$96,MATCH(D44,القوائم!$A$1:$A$96,0)))</f>
        <v/>
      </c>
    </row>
    <row r="45" customFormat="false" ht="15" hidden="false" customHeight="false" outlineLevel="0" collapsed="false">
      <c r="A45" s="46" t="n">
        <f aca="false">IF(5&lt;=NW,W1+30,"")</f>
        <v>46321</v>
      </c>
      <c r="B45" s="11" t="str">
        <f aca="false">IF(A45="","",CHOOSE(WEEKDAY(A45,1),"الأحد","الاثنين","الثلاثاء","الأربعاء","الخميس","الجمعة","السبت"))</f>
        <v>الاثنين</v>
      </c>
      <c r="C45" s="47"/>
      <c r="D45" s="47"/>
      <c r="E45" s="48"/>
      <c r="F45" s="12" t="str">
        <f aca="false">IF(OR(K45="",L45=""),"",ROUND(MOD(L45-K45,1)*24,2))</f>
        <v/>
      </c>
      <c r="G45" s="12" t="str">
        <f aca="false">IF(F45="","",IF(WEEKDAY(A45,1)=6,F45,ROUND(MAX(0,MIN(IF(L45&lt;K45,L45+1,L45),OMR_OT_AT)-K45)*24,2)))</f>
        <v/>
      </c>
      <c r="H45" s="12" t="str">
        <f aca="false">IF(F45="","",ROUND(F45-G45,2))</f>
        <v/>
      </c>
      <c r="I45" s="49" t="str">
        <f aca="false">IF(F45="","",ROUND(G45*OMR_RATE+H45*OMR_OT+MIN(N(E45),G45)*(GYP_RATE-OMR_RATE)+MAX(0,MIN(N(E45),F45)-G45)*(GYP_RATE-OMR_OT),3))</f>
        <v/>
      </c>
      <c r="J45" s="47"/>
      <c r="K45" s="29" t="str">
        <f aca="false">IF(C45="","",INDEX(القوائم!$B$1:$B$96,MATCH(C45,القوائم!$A$1:$A$96,0)))</f>
        <v/>
      </c>
      <c r="L45" s="29" t="str">
        <f aca="false">IF(D45="","",INDEX(القوائم!$B$1:$B$96,MATCH(D45,القوائم!$A$1:$A$96,0)))</f>
        <v/>
      </c>
    </row>
    <row r="46" customFormat="false" ht="15" hidden="false" customHeight="false" outlineLevel="0" collapsed="false">
      <c r="A46" s="46" t="n">
        <f aca="false">IF(5&lt;=NW,W1+31,"")</f>
        <v>46322</v>
      </c>
      <c r="B46" s="11" t="str">
        <f aca="false">IF(A46="","",CHOOSE(WEEKDAY(A46,1),"الأحد","الاثنين","الثلاثاء","الأربعاء","الخميس","الجمعة","السبت"))</f>
        <v>الثلاثاء</v>
      </c>
      <c r="C46" s="47"/>
      <c r="D46" s="47"/>
      <c r="E46" s="48"/>
      <c r="F46" s="12" t="str">
        <f aca="false">IF(OR(K46="",L46=""),"",ROUND(MOD(L46-K46,1)*24,2))</f>
        <v/>
      </c>
      <c r="G46" s="12" t="str">
        <f aca="false">IF(F46="","",IF(WEEKDAY(A46,1)=6,F46,ROUND(MAX(0,MIN(IF(L46&lt;K46,L46+1,L46),OMR_OT_AT)-K46)*24,2)))</f>
        <v/>
      </c>
      <c r="H46" s="12" t="str">
        <f aca="false">IF(F46="","",ROUND(F46-G46,2))</f>
        <v/>
      </c>
      <c r="I46" s="49" t="str">
        <f aca="false">IF(F46="","",ROUND(G46*OMR_RATE+H46*OMR_OT+MIN(N(E46),G46)*(GYP_RATE-OMR_RATE)+MAX(0,MIN(N(E46),F46)-G46)*(GYP_RATE-OMR_OT),3))</f>
        <v/>
      </c>
      <c r="J46" s="47"/>
      <c r="K46" s="29" t="str">
        <f aca="false">IF(C46="","",INDEX(القوائم!$B$1:$B$96,MATCH(C46,القوائم!$A$1:$A$96,0)))</f>
        <v/>
      </c>
      <c r="L46" s="29" t="str">
        <f aca="false">IF(D46="","",INDEX(القوائم!$B$1:$B$96,MATCH(D46,القوائم!$A$1:$A$96,0)))</f>
        <v/>
      </c>
    </row>
    <row r="47" customFormat="false" ht="15" hidden="false" customHeight="false" outlineLevel="0" collapsed="false">
      <c r="A47" s="46" t="n">
        <f aca="false">IF(5&lt;=NW,W1+32,"")</f>
        <v>46323</v>
      </c>
      <c r="B47" s="11" t="str">
        <f aca="false">IF(A47="","",CHOOSE(WEEKDAY(A47,1),"الأحد","الاثنين","الثلاثاء","الأربعاء","الخميس","الجمعة","السبت"))</f>
        <v>الأربعاء</v>
      </c>
      <c r="C47" s="47"/>
      <c r="D47" s="47"/>
      <c r="E47" s="48"/>
      <c r="F47" s="12" t="str">
        <f aca="false">IF(OR(K47="",L47=""),"",ROUND(MOD(L47-K47,1)*24,2))</f>
        <v/>
      </c>
      <c r="G47" s="12" t="str">
        <f aca="false">IF(F47="","",IF(WEEKDAY(A47,1)=6,F47,ROUND(MAX(0,MIN(IF(L47&lt;K47,L47+1,L47),OMR_OT_AT)-K47)*24,2)))</f>
        <v/>
      </c>
      <c r="H47" s="12" t="str">
        <f aca="false">IF(F47="","",ROUND(F47-G47,2))</f>
        <v/>
      </c>
      <c r="I47" s="49" t="str">
        <f aca="false">IF(F47="","",ROUND(G47*OMR_RATE+H47*OMR_OT+MIN(N(E47),G47)*(GYP_RATE-OMR_RATE)+MAX(0,MIN(N(E47),F47)-G47)*(GYP_RATE-OMR_OT),3))</f>
        <v/>
      </c>
      <c r="J47" s="47"/>
      <c r="K47" s="29" t="str">
        <f aca="false">IF(C47="","",INDEX(القوائم!$B$1:$B$96,MATCH(C47,القوائم!$A$1:$A$96,0)))</f>
        <v/>
      </c>
      <c r="L47" s="29" t="str">
        <f aca="false">IF(D47="","",INDEX(القوائم!$B$1:$B$96,MATCH(D47,القوائم!$A$1:$A$96,0)))</f>
        <v/>
      </c>
    </row>
    <row r="48" customFormat="false" ht="15" hidden="false" customHeight="false" outlineLevel="0" collapsed="false">
      <c r="A48" s="46" t="n">
        <f aca="false">IF(5&lt;=NW,W1+33,"")</f>
        <v>46324</v>
      </c>
      <c r="B48" s="11" t="str">
        <f aca="false">IF(A48="","",CHOOSE(WEEKDAY(A48,1),"الأحد","الاثنين","الثلاثاء","الأربعاء","الخميس","الجمعة","السبت"))</f>
        <v>الخميس</v>
      </c>
      <c r="C48" s="47"/>
      <c r="D48" s="47"/>
      <c r="E48" s="48"/>
      <c r="F48" s="12" t="str">
        <f aca="false">IF(OR(K48="",L48=""),"",ROUND(MOD(L48-K48,1)*24,2))</f>
        <v/>
      </c>
      <c r="G48" s="12" t="str">
        <f aca="false">IF(F48="","",IF(WEEKDAY(A48,1)=6,F48,ROUND(MAX(0,MIN(IF(L48&lt;K48,L48+1,L48),OMR_OT_AT)-K48)*24,2)))</f>
        <v/>
      </c>
      <c r="H48" s="12" t="str">
        <f aca="false">IF(F48="","",ROUND(F48-G48,2))</f>
        <v/>
      </c>
      <c r="I48" s="49" t="str">
        <f aca="false">IF(F48="","",ROUND(G48*OMR_RATE+H48*OMR_OT+MIN(N(E48),G48)*(GYP_RATE-OMR_RATE)+MAX(0,MIN(N(E48),F48)-G48)*(GYP_RATE-OMR_OT),3))</f>
        <v/>
      </c>
      <c r="J48" s="47"/>
      <c r="K48" s="29" t="str">
        <f aca="false">IF(C48="","",INDEX(القوائم!$B$1:$B$96,MATCH(C48,القوائم!$A$1:$A$96,0)))</f>
        <v/>
      </c>
      <c r="L48" s="29" t="str">
        <f aca="false">IF(D48="","",INDEX(القوائم!$B$1:$B$96,MATCH(D48,القوائم!$A$1:$A$96,0)))</f>
        <v/>
      </c>
    </row>
    <row r="49" customFormat="false" ht="15" hidden="false" customHeight="false" outlineLevel="0" collapsed="false">
      <c r="A49" s="50" t="n">
        <f aca="false">IF(5&lt;=NW,W1+34,"")</f>
        <v>46325</v>
      </c>
      <c r="B49" s="51" t="str">
        <f aca="false">IF(A49="","",CHOOSE(WEEKDAY(A49,1),"الأحد","الاثنين","الثلاثاء","الأربعاء","الخميس","الجمعة","السبت"))</f>
        <v>الجمعة</v>
      </c>
      <c r="C49" s="47"/>
      <c r="D49" s="47"/>
      <c r="E49" s="48"/>
      <c r="F49" s="12" t="str">
        <f aca="false">IF(OR(K49="",L49=""),"",ROUND(MOD(L49-K49,1)*24,2))</f>
        <v/>
      </c>
      <c r="G49" s="12" t="str">
        <f aca="false">IF(F49="","",IF(WEEKDAY(A49,1)=6,F49,ROUND(MAX(0,MIN(IF(L49&lt;K49,L49+1,L49),OMR_OT_AT)-K49)*24,2)))</f>
        <v/>
      </c>
      <c r="H49" s="12" t="str">
        <f aca="false">IF(F49="","",ROUND(F49-G49,2))</f>
        <v/>
      </c>
      <c r="I49" s="49" t="str">
        <f aca="false">IF(F49="","",ROUND(G49*OMR_RATE+H49*OMR_OT+MIN(N(E49),G49)*(GYP_RATE-OMR_RATE)+MAX(0,MIN(N(E49),F49)-G49)*(GYP_RATE-OMR_OT),3))</f>
        <v/>
      </c>
      <c r="J49" s="47"/>
      <c r="K49" s="29" t="str">
        <f aca="false">IF(C49="","",INDEX(القوائم!$B$1:$B$96,MATCH(C49,القوائم!$A$1:$A$96,0)))</f>
        <v/>
      </c>
      <c r="L49" s="29" t="str">
        <f aca="false">IF(D49="","",INDEX(القوائم!$B$1:$B$96,MATCH(D49,القوائم!$A$1:$A$96,0)))</f>
        <v/>
      </c>
    </row>
    <row r="50" customFormat="false" ht="15" hidden="false" customHeight="false" outlineLevel="0" collapsed="false">
      <c r="A50" s="21"/>
      <c r="B50" s="21" t="str">
        <f aca="false">IF(5&lt;=NW,"المجموع","")</f>
        <v>المجموع</v>
      </c>
      <c r="C50" s="21"/>
      <c r="D50" s="21"/>
      <c r="E50" s="21"/>
      <c r="F50" s="22" t="n">
        <f aca="false">IF(5&lt;=NW,SUM(F43:F49),"")</f>
        <v>0</v>
      </c>
      <c r="G50" s="22" t="n">
        <f aca="false">IF(5&lt;=NW,SUM(G43:G49),"")</f>
        <v>0</v>
      </c>
      <c r="H50" s="22" t="n">
        <f aca="false">IF(5&lt;=NW,SUM(H43:H49),"")</f>
        <v>0</v>
      </c>
      <c r="I50" s="52" t="n">
        <f aca="false">IF(5&lt;=NW,IF(ROUND_MODE="للأعلى",CEILING(ROUND((SUM(I43:I49)),3),0.25),ROUND((SUM(I43:I49))*4,0)/4),"")</f>
        <v>0</v>
      </c>
      <c r="J50" s="53" t="str">
        <f aca="false">IF(5&lt;=NW,"قبل الجبر: "&amp;TEXT(SUM(I43:I49),"0.000"),"")</f>
        <v>قبل الجبر: 0.000</v>
      </c>
    </row>
  </sheetData>
  <mergeCells count="8">
    <mergeCell ref="A1:J1"/>
    <mergeCell ref="A2:J2"/>
    <mergeCell ref="A3:J3"/>
    <mergeCell ref="A6:J6"/>
    <mergeCell ref="A15:J15"/>
    <mergeCell ref="A24:J24"/>
    <mergeCell ref="A33:J33"/>
    <mergeCell ref="A42:J42"/>
  </mergeCells>
  <conditionalFormatting sqref="C6:D50">
    <cfRule type="expression" priority="2" aboveAverage="0" equalAverage="0" bottom="0" percent="0" rank="0" text="" dxfId="1">
      <formula>AND(ISNUMBER($A6),$K6&lt;&gt;"",$L6&lt;&gt;"",WEEKDAY($A6,1)=6,OR($K6&lt;OMR_FRI_IN,$L6&gt;OMR_FRI_OUT))</formula>
    </cfRule>
  </conditionalFormatting>
  <conditionalFormatting sqref="E6:E50">
    <cfRule type="expression" priority="3" aboveAverage="0" equalAverage="0" bottom="0" percent="0" rank="0" text="" dxfId="2">
      <formula>AND($E6&lt;&gt;"",ISNUMBER($F6),$E6&gt;$F6)</formula>
    </cfRule>
  </conditionalFormatting>
  <dataValidations count="1">
    <dataValidation allowBlank="true" errorStyle="stop" operator="between" showDropDown="false" showErrorMessage="false" showInputMessage="false" sqref="C6:D50" type="list">
      <formula1>القوائم!$A$1:$A$96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13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28"/>
    <col collapsed="false" customWidth="true" hidden="true" outlineLevel="0" max="12" min="11" style="0" width="13"/>
  </cols>
  <sheetData>
    <row r="1" customFormat="false" ht="30" hidden="false" customHeight="true" outlineLevel="0" collapsed="false">
      <c r="A1" s="54" t="s">
        <v>195</v>
      </c>
      <c r="B1" s="54"/>
      <c r="C1" s="54"/>
      <c r="D1" s="54"/>
      <c r="E1" s="54"/>
      <c r="F1" s="54"/>
      <c r="G1" s="54"/>
      <c r="H1" s="54"/>
      <c r="I1" s="54"/>
      <c r="J1" s="54"/>
    </row>
    <row r="2" customFormat="false" ht="15" hidden="false" customHeight="false" outlineLevel="0" collapsed="false">
      <c r="A2" s="55" t="str">
        <f aca="false">SEL_M&amp;"  "&amp;SEL_Y&amp;"   ·   "&amp;NW&amp;" أسابيع   ·   من "&amp;DAY(W1)&amp;"/"&amp;MONTH(W1)&amp;" لحد "&amp;DAY(W1+7*NW-1)&amp;"/"&amp;MONTH(W1+7*NW-1)</f>
        <v>10 - تشرين الأول  2026   ·   5 أسابيع   ·   من 26/9 لحد 30/10</v>
      </c>
      <c r="B2" s="55"/>
      <c r="C2" s="55"/>
      <c r="D2" s="55"/>
      <c r="E2" s="55"/>
      <c r="F2" s="55"/>
      <c r="G2" s="55"/>
      <c r="H2" s="55"/>
      <c r="I2" s="55"/>
      <c r="J2" s="55"/>
    </row>
    <row r="3" customFormat="false" ht="33.75" hidden="false" customHeight="true" outlineLevel="0" collapsed="false">
      <c r="A3" s="44" t="s">
        <v>196</v>
      </c>
      <c r="B3" s="44"/>
      <c r="C3" s="44"/>
      <c r="D3" s="44"/>
      <c r="E3" s="44"/>
      <c r="F3" s="44"/>
      <c r="G3" s="44"/>
      <c r="H3" s="44"/>
      <c r="I3" s="44"/>
      <c r="J3" s="44"/>
    </row>
    <row r="5" customFormat="false" ht="31.5" hidden="false" customHeight="true" outlineLevel="0" collapsed="false">
      <c r="A5" s="56" t="s">
        <v>186</v>
      </c>
      <c r="B5" s="56" t="s">
        <v>187</v>
      </c>
      <c r="C5" s="56" t="s">
        <v>188</v>
      </c>
      <c r="D5" s="56" t="s">
        <v>189</v>
      </c>
      <c r="E5" s="56" t="s">
        <v>190</v>
      </c>
      <c r="F5" s="56" t="s">
        <v>15</v>
      </c>
      <c r="G5" s="56" t="s">
        <v>16</v>
      </c>
      <c r="H5" s="56" t="s">
        <v>197</v>
      </c>
      <c r="I5" s="56" t="s">
        <v>198</v>
      </c>
      <c r="J5" s="56" t="s">
        <v>194</v>
      </c>
    </row>
    <row r="6" customFormat="false" ht="21.75" hidden="false" customHeight="true" outlineLevel="0" collapsed="false">
      <c r="A6" s="57" t="str">
        <f aca="false">IF(1&lt;=NW,"الأسبوع 1   ·   السبت "&amp;DAY(W1+0)&amp;"/"&amp;MONTH(W1+0)&amp;"  ←  الجمعة "&amp;DAY(W1+6)&amp;"/"&amp;MONTH(W1+6),"")</f>
        <v>الأسبوع 1   ·   السبت 26/9  ←  الجمعة 2/10</v>
      </c>
      <c r="B6" s="57"/>
      <c r="C6" s="57"/>
      <c r="D6" s="57"/>
      <c r="E6" s="57"/>
      <c r="F6" s="57"/>
      <c r="G6" s="57"/>
      <c r="H6" s="57"/>
      <c r="I6" s="57"/>
      <c r="J6" s="57"/>
    </row>
    <row r="7" customFormat="false" ht="15" hidden="false" customHeight="false" outlineLevel="0" collapsed="false">
      <c r="A7" s="46" t="n">
        <f aca="false">IF(1&lt;=NW,W1+0,"")</f>
        <v>46291</v>
      </c>
      <c r="B7" s="11" t="str">
        <f aca="false">IF(A7="","",CHOOSE(WEEKDAY(A7,1),"الأحد","الاثنين","الثلاثاء","الأربعاء","الخميس","الجمعة","السبت"))</f>
        <v>السبت</v>
      </c>
      <c r="C7" s="47"/>
      <c r="D7" s="47"/>
      <c r="E7" s="48"/>
      <c r="F7" s="12" t="str">
        <f aca="false">IF(OR(K7="",L7=""),"",ROUND(MOD(L7-K7,1)*24,2))</f>
        <v/>
      </c>
      <c r="G7" s="49" t="str">
        <f aca="false">IF(F7="","",IF(ROUND_MODE="للأعلى",CEILING(ROUND((F7*AZZ_RATE+MIN(N(E7),F7)*(GYP_RATE-AZZ_RATE)),3),0.25),ROUND((F7*AZZ_RATE+MIN(N(E7),F7)*(GYP_RATE-AZZ_RATE))*4,0)/4))</f>
        <v/>
      </c>
      <c r="H7" s="47"/>
      <c r="I7" s="58"/>
      <c r="J7" s="47"/>
      <c r="K7" s="29" t="str">
        <f aca="false">IF(C7="","",INDEX(القوائم!$B$1:$B$96,MATCH(C7,القوائم!$A$1:$A$96,0)))</f>
        <v/>
      </c>
      <c r="L7" s="29" t="str">
        <f aca="false">IF(D7="","",INDEX(القوائم!$B$1:$B$96,MATCH(D7,القوائم!$A$1:$A$96,0)))</f>
        <v/>
      </c>
    </row>
    <row r="8" customFormat="false" ht="15" hidden="false" customHeight="false" outlineLevel="0" collapsed="false">
      <c r="A8" s="46" t="n">
        <f aca="false">IF(1&lt;=NW,W1+1,"")</f>
        <v>46292</v>
      </c>
      <c r="B8" s="11" t="str">
        <f aca="false">IF(A8="","",CHOOSE(WEEKDAY(A8,1),"الأحد","الاثنين","الثلاثاء","الأربعاء","الخميس","الجمعة","السبت"))</f>
        <v>الأحد</v>
      </c>
      <c r="C8" s="47"/>
      <c r="D8" s="47"/>
      <c r="E8" s="48"/>
      <c r="F8" s="12" t="str">
        <f aca="false">IF(OR(K8="",L8=""),"",ROUND(MOD(L8-K8,1)*24,2))</f>
        <v/>
      </c>
      <c r="G8" s="49" t="str">
        <f aca="false">IF(F8="","",IF(ROUND_MODE="للأعلى",CEILING(ROUND((F8*AZZ_RATE+MIN(N(E8),F8)*(GYP_RATE-AZZ_RATE)),3),0.25),ROUND((F8*AZZ_RATE+MIN(N(E8),F8)*(GYP_RATE-AZZ_RATE))*4,0)/4))</f>
        <v/>
      </c>
      <c r="H8" s="47"/>
      <c r="I8" s="58"/>
      <c r="J8" s="47"/>
      <c r="K8" s="29" t="str">
        <f aca="false">IF(C8="","",INDEX(القوائم!$B$1:$B$96,MATCH(C8,القوائم!$A$1:$A$96,0)))</f>
        <v/>
      </c>
      <c r="L8" s="29" t="str">
        <f aca="false">IF(D8="","",INDEX(القوائم!$B$1:$B$96,MATCH(D8,القوائم!$A$1:$A$96,0)))</f>
        <v/>
      </c>
    </row>
    <row r="9" customFormat="false" ht="15" hidden="false" customHeight="false" outlineLevel="0" collapsed="false">
      <c r="A9" s="46" t="n">
        <f aca="false">IF(1&lt;=NW,W1+2,"")</f>
        <v>46293</v>
      </c>
      <c r="B9" s="11" t="str">
        <f aca="false">IF(A9="","",CHOOSE(WEEKDAY(A9,1),"الأحد","الاثنين","الثلاثاء","الأربعاء","الخميس","الجمعة","السبت"))</f>
        <v>الاثنين</v>
      </c>
      <c r="C9" s="47"/>
      <c r="D9" s="47"/>
      <c r="E9" s="48"/>
      <c r="F9" s="12" t="str">
        <f aca="false">IF(OR(K9="",L9=""),"",ROUND(MOD(L9-K9,1)*24,2))</f>
        <v/>
      </c>
      <c r="G9" s="49" t="str">
        <f aca="false">IF(F9="","",IF(ROUND_MODE="للأعلى",CEILING(ROUND((F9*AZZ_RATE+MIN(N(E9),F9)*(GYP_RATE-AZZ_RATE)),3),0.25),ROUND((F9*AZZ_RATE+MIN(N(E9),F9)*(GYP_RATE-AZZ_RATE))*4,0)/4))</f>
        <v/>
      </c>
      <c r="H9" s="47"/>
      <c r="I9" s="58"/>
      <c r="J9" s="47"/>
      <c r="K9" s="29" t="str">
        <f aca="false">IF(C9="","",INDEX(القوائم!$B$1:$B$96,MATCH(C9,القوائم!$A$1:$A$96,0)))</f>
        <v/>
      </c>
      <c r="L9" s="29" t="str">
        <f aca="false">IF(D9="","",INDEX(القوائم!$B$1:$B$96,MATCH(D9,القوائم!$A$1:$A$96,0)))</f>
        <v/>
      </c>
    </row>
    <row r="10" customFormat="false" ht="15" hidden="false" customHeight="false" outlineLevel="0" collapsed="false">
      <c r="A10" s="46" t="n">
        <f aca="false">IF(1&lt;=NW,W1+3,"")</f>
        <v>46294</v>
      </c>
      <c r="B10" s="11" t="str">
        <f aca="false">IF(A10="","",CHOOSE(WEEKDAY(A10,1),"الأحد","الاثنين","الثلاثاء","الأربعاء","الخميس","الجمعة","السبت"))</f>
        <v>الثلاثاء</v>
      </c>
      <c r="C10" s="47"/>
      <c r="D10" s="47"/>
      <c r="E10" s="48"/>
      <c r="F10" s="12" t="str">
        <f aca="false">IF(OR(K10="",L10=""),"",ROUND(MOD(L10-K10,1)*24,2))</f>
        <v/>
      </c>
      <c r="G10" s="49" t="str">
        <f aca="false">IF(F10="","",IF(ROUND_MODE="للأعلى",CEILING(ROUND((F10*AZZ_RATE+MIN(N(E10),F10)*(GYP_RATE-AZZ_RATE)),3),0.25),ROUND((F10*AZZ_RATE+MIN(N(E10),F10)*(GYP_RATE-AZZ_RATE))*4,0)/4))</f>
        <v/>
      </c>
      <c r="H10" s="47"/>
      <c r="I10" s="58"/>
      <c r="J10" s="47"/>
      <c r="K10" s="29" t="str">
        <f aca="false">IF(C10="","",INDEX(القوائم!$B$1:$B$96,MATCH(C10,القوائم!$A$1:$A$96,0)))</f>
        <v/>
      </c>
      <c r="L10" s="29" t="str">
        <f aca="false">IF(D10="","",INDEX(القوائم!$B$1:$B$96,MATCH(D10,القوائم!$A$1:$A$96,0)))</f>
        <v/>
      </c>
    </row>
    <row r="11" customFormat="false" ht="15" hidden="false" customHeight="false" outlineLevel="0" collapsed="false">
      <c r="A11" s="46" t="n">
        <f aca="false">IF(1&lt;=NW,W1+4,"")</f>
        <v>46295</v>
      </c>
      <c r="B11" s="11" t="str">
        <f aca="false">IF(A11="","",CHOOSE(WEEKDAY(A11,1),"الأحد","الاثنين","الثلاثاء","الأربعاء","الخميس","الجمعة","السبت"))</f>
        <v>الأربعاء</v>
      </c>
      <c r="C11" s="47"/>
      <c r="D11" s="47"/>
      <c r="E11" s="48"/>
      <c r="F11" s="12" t="str">
        <f aca="false">IF(OR(K11="",L11=""),"",ROUND(MOD(L11-K11,1)*24,2))</f>
        <v/>
      </c>
      <c r="G11" s="49" t="str">
        <f aca="false">IF(F11="","",IF(ROUND_MODE="للأعلى",CEILING(ROUND((F11*AZZ_RATE+MIN(N(E11),F11)*(GYP_RATE-AZZ_RATE)),3),0.25),ROUND((F11*AZZ_RATE+MIN(N(E11),F11)*(GYP_RATE-AZZ_RATE))*4,0)/4))</f>
        <v/>
      </c>
      <c r="H11" s="47"/>
      <c r="I11" s="58"/>
      <c r="J11" s="47"/>
      <c r="K11" s="29" t="str">
        <f aca="false">IF(C11="","",INDEX(القوائم!$B$1:$B$96,MATCH(C11,القوائم!$A$1:$A$96,0)))</f>
        <v/>
      </c>
      <c r="L11" s="29" t="str">
        <f aca="false">IF(D11="","",INDEX(القوائم!$B$1:$B$96,MATCH(D11,القوائم!$A$1:$A$96,0)))</f>
        <v/>
      </c>
    </row>
    <row r="12" customFormat="false" ht="15" hidden="false" customHeight="false" outlineLevel="0" collapsed="false">
      <c r="A12" s="46" t="n">
        <f aca="false">IF(1&lt;=NW,W1+5,"")</f>
        <v>46296</v>
      </c>
      <c r="B12" s="11" t="str">
        <f aca="false">IF(A12="","",CHOOSE(WEEKDAY(A12,1),"الأحد","الاثنين","الثلاثاء","الأربعاء","الخميس","الجمعة","السبت"))</f>
        <v>الخميس</v>
      </c>
      <c r="C12" s="47"/>
      <c r="D12" s="47"/>
      <c r="E12" s="48"/>
      <c r="F12" s="12" t="str">
        <f aca="false">IF(OR(K12="",L12=""),"",ROUND(MOD(L12-K12,1)*24,2))</f>
        <v/>
      </c>
      <c r="G12" s="49" t="str">
        <f aca="false">IF(F12="","",IF(ROUND_MODE="للأعلى",CEILING(ROUND((F12*AZZ_RATE+MIN(N(E12),F12)*(GYP_RATE-AZZ_RATE)),3),0.25),ROUND((F12*AZZ_RATE+MIN(N(E12),F12)*(GYP_RATE-AZZ_RATE))*4,0)/4))</f>
        <v/>
      </c>
      <c r="H12" s="47"/>
      <c r="I12" s="58"/>
      <c r="J12" s="47"/>
      <c r="K12" s="29" t="str">
        <f aca="false">IF(C12="","",INDEX(القوائم!$B$1:$B$96,MATCH(C12,القوائم!$A$1:$A$96,0)))</f>
        <v/>
      </c>
      <c r="L12" s="29" t="str">
        <f aca="false">IF(D12="","",INDEX(القوائم!$B$1:$B$96,MATCH(D12,القوائم!$A$1:$A$96,0)))</f>
        <v/>
      </c>
    </row>
    <row r="13" customFormat="false" ht="15" hidden="false" customHeight="false" outlineLevel="0" collapsed="false">
      <c r="A13" s="59" t="n">
        <f aca="false">IF(1&lt;=NW,W1+6,"")</f>
        <v>46297</v>
      </c>
      <c r="B13" s="60" t="str">
        <f aca="false">IF(A13="","",CHOOSE(WEEKDAY(A13,1),"الأحد","الاثنين","الثلاثاء","الأربعاء","الخميس","الجمعة","السبت"))</f>
        <v>الجمعة</v>
      </c>
      <c r="C13" s="47"/>
      <c r="D13" s="47"/>
      <c r="E13" s="48"/>
      <c r="F13" s="12" t="str">
        <f aca="false">IF(OR(K13="",L13=""),"",ROUND(MOD(L13-K13,1)*24,2))</f>
        <v/>
      </c>
      <c r="G13" s="49" t="str">
        <f aca="false">IF(F13="","",IF(ROUND_MODE="للأعلى",CEILING(ROUND((F13*AZZ_RATE+MIN(N(E13),F13)*(GYP_RATE-AZZ_RATE)),3),0.25),ROUND((F13*AZZ_RATE+MIN(N(E13),F13)*(GYP_RATE-AZZ_RATE))*4,0)/4))</f>
        <v/>
      </c>
      <c r="H13" s="47"/>
      <c r="I13" s="58"/>
      <c r="J13" s="47"/>
      <c r="K13" s="29" t="str">
        <f aca="false">IF(C13="","",INDEX(القوائم!$B$1:$B$96,MATCH(C13,القوائم!$A$1:$A$96,0)))</f>
        <v/>
      </c>
      <c r="L13" s="29" t="str">
        <f aca="false">IF(D13="","",INDEX(القوائم!$B$1:$B$96,MATCH(D13,القوائم!$A$1:$A$96,0)))</f>
        <v/>
      </c>
    </row>
    <row r="14" customFormat="false" ht="15" hidden="false" customHeight="false" outlineLevel="0" collapsed="false">
      <c r="A14" s="21"/>
      <c r="B14" s="21" t="str">
        <f aca="false">IF(1&lt;=NW,"المجموع","")</f>
        <v>المجموع</v>
      </c>
      <c r="C14" s="21"/>
      <c r="D14" s="21"/>
      <c r="E14" s="21"/>
      <c r="F14" s="22" t="n">
        <f aca="false">IF(1&lt;=NW,SUM(F7:F13),"")</f>
        <v>0</v>
      </c>
      <c r="G14" s="52" t="n">
        <f aca="false">IF(1&lt;=NW,SUM(G7:G13),"")</f>
        <v>0</v>
      </c>
      <c r="H14" s="21"/>
      <c r="I14" s="52" t="n">
        <f aca="false">IF(1&lt;=NW,SUM(I7:I13),"")</f>
        <v>0</v>
      </c>
      <c r="J14" s="61" t="str">
        <f aca="false">IF(1&lt;=NW,IF(ROUND(G14-I14,3)=0,"✔ مقبوض كامل","باقي له: "&amp;TEXT(G14-I14,"0.000")),"")</f>
        <v>✔ مقبوض كامل</v>
      </c>
    </row>
    <row r="15" customFormat="false" ht="21.75" hidden="false" customHeight="true" outlineLevel="0" collapsed="false">
      <c r="A15" s="57" t="str">
        <f aca="false">IF(2&lt;=NW,"الأسبوع 2   ·   السبت "&amp;DAY(W1+7)&amp;"/"&amp;MONTH(W1+7)&amp;"  ←  الجمعة "&amp;DAY(W1+13)&amp;"/"&amp;MONTH(W1+13),"")</f>
        <v>الأسبوع 2   ·   السبت 3/10  ←  الجمعة 9/10</v>
      </c>
      <c r="B15" s="57"/>
      <c r="C15" s="57"/>
      <c r="D15" s="57"/>
      <c r="E15" s="57"/>
      <c r="F15" s="57"/>
      <c r="G15" s="57"/>
      <c r="H15" s="57"/>
      <c r="I15" s="57"/>
      <c r="J15" s="57"/>
    </row>
    <row r="16" customFormat="false" ht="15" hidden="false" customHeight="false" outlineLevel="0" collapsed="false">
      <c r="A16" s="46" t="n">
        <f aca="false">IF(2&lt;=NW,W1+7,"")</f>
        <v>46298</v>
      </c>
      <c r="B16" s="11" t="str">
        <f aca="false">IF(A16="","",CHOOSE(WEEKDAY(A16,1),"الأحد","الاثنين","الثلاثاء","الأربعاء","الخميس","الجمعة","السبت"))</f>
        <v>السبت</v>
      </c>
      <c r="C16" s="47"/>
      <c r="D16" s="47"/>
      <c r="E16" s="48"/>
      <c r="F16" s="12" t="str">
        <f aca="false">IF(OR(K16="",L16=""),"",ROUND(MOD(L16-K16,1)*24,2))</f>
        <v/>
      </c>
      <c r="G16" s="49" t="str">
        <f aca="false">IF(F16="","",IF(ROUND_MODE="للأعلى",CEILING(ROUND((F16*AZZ_RATE+MIN(N(E16),F16)*(GYP_RATE-AZZ_RATE)),3),0.25),ROUND((F16*AZZ_RATE+MIN(N(E16),F16)*(GYP_RATE-AZZ_RATE))*4,0)/4))</f>
        <v/>
      </c>
      <c r="H16" s="47"/>
      <c r="I16" s="58"/>
      <c r="J16" s="47"/>
      <c r="K16" s="29" t="str">
        <f aca="false">IF(C16="","",INDEX(القوائم!$B$1:$B$96,MATCH(C16,القوائم!$A$1:$A$96,0)))</f>
        <v/>
      </c>
      <c r="L16" s="29" t="str">
        <f aca="false">IF(D16="","",INDEX(القوائم!$B$1:$B$96,MATCH(D16,القوائم!$A$1:$A$96,0)))</f>
        <v/>
      </c>
    </row>
    <row r="17" customFormat="false" ht="15" hidden="false" customHeight="false" outlineLevel="0" collapsed="false">
      <c r="A17" s="46" t="n">
        <f aca="false">IF(2&lt;=NW,W1+8,"")</f>
        <v>46299</v>
      </c>
      <c r="B17" s="11" t="str">
        <f aca="false">IF(A17="","",CHOOSE(WEEKDAY(A17,1),"الأحد","الاثنين","الثلاثاء","الأربعاء","الخميس","الجمعة","السبت"))</f>
        <v>الأحد</v>
      </c>
      <c r="C17" s="47"/>
      <c r="D17" s="47"/>
      <c r="E17" s="48"/>
      <c r="F17" s="12" t="str">
        <f aca="false">IF(OR(K17="",L17=""),"",ROUND(MOD(L17-K17,1)*24,2))</f>
        <v/>
      </c>
      <c r="G17" s="49" t="str">
        <f aca="false">IF(F17="","",IF(ROUND_MODE="للأعلى",CEILING(ROUND((F17*AZZ_RATE+MIN(N(E17),F17)*(GYP_RATE-AZZ_RATE)),3),0.25),ROUND((F17*AZZ_RATE+MIN(N(E17),F17)*(GYP_RATE-AZZ_RATE))*4,0)/4))</f>
        <v/>
      </c>
      <c r="H17" s="47"/>
      <c r="I17" s="58"/>
      <c r="J17" s="47"/>
      <c r="K17" s="29" t="str">
        <f aca="false">IF(C17="","",INDEX(القوائم!$B$1:$B$96,MATCH(C17,القوائم!$A$1:$A$96,0)))</f>
        <v/>
      </c>
      <c r="L17" s="29" t="str">
        <f aca="false">IF(D17="","",INDEX(القوائم!$B$1:$B$96,MATCH(D17,القوائم!$A$1:$A$96,0)))</f>
        <v/>
      </c>
    </row>
    <row r="18" customFormat="false" ht="15" hidden="false" customHeight="false" outlineLevel="0" collapsed="false">
      <c r="A18" s="46" t="n">
        <f aca="false">IF(2&lt;=NW,W1+9,"")</f>
        <v>46300</v>
      </c>
      <c r="B18" s="11" t="str">
        <f aca="false">IF(A18="","",CHOOSE(WEEKDAY(A18,1),"الأحد","الاثنين","الثلاثاء","الأربعاء","الخميس","الجمعة","السبت"))</f>
        <v>الاثنين</v>
      </c>
      <c r="C18" s="47"/>
      <c r="D18" s="47"/>
      <c r="E18" s="48"/>
      <c r="F18" s="12" t="str">
        <f aca="false">IF(OR(K18="",L18=""),"",ROUND(MOD(L18-K18,1)*24,2))</f>
        <v/>
      </c>
      <c r="G18" s="49" t="str">
        <f aca="false">IF(F18="","",IF(ROUND_MODE="للأعلى",CEILING(ROUND((F18*AZZ_RATE+MIN(N(E18),F18)*(GYP_RATE-AZZ_RATE)),3),0.25),ROUND((F18*AZZ_RATE+MIN(N(E18),F18)*(GYP_RATE-AZZ_RATE))*4,0)/4))</f>
        <v/>
      </c>
      <c r="H18" s="47"/>
      <c r="I18" s="58"/>
      <c r="J18" s="47"/>
      <c r="K18" s="29" t="str">
        <f aca="false">IF(C18="","",INDEX(القوائم!$B$1:$B$96,MATCH(C18,القوائم!$A$1:$A$96,0)))</f>
        <v/>
      </c>
      <c r="L18" s="29" t="str">
        <f aca="false">IF(D18="","",INDEX(القوائم!$B$1:$B$96,MATCH(D18,القوائم!$A$1:$A$96,0)))</f>
        <v/>
      </c>
    </row>
    <row r="19" customFormat="false" ht="15" hidden="false" customHeight="false" outlineLevel="0" collapsed="false">
      <c r="A19" s="46" t="n">
        <f aca="false">IF(2&lt;=NW,W1+10,"")</f>
        <v>46301</v>
      </c>
      <c r="B19" s="11" t="str">
        <f aca="false">IF(A19="","",CHOOSE(WEEKDAY(A19,1),"الأحد","الاثنين","الثلاثاء","الأربعاء","الخميس","الجمعة","السبت"))</f>
        <v>الثلاثاء</v>
      </c>
      <c r="C19" s="47"/>
      <c r="D19" s="47"/>
      <c r="E19" s="48"/>
      <c r="F19" s="12" t="str">
        <f aca="false">IF(OR(K19="",L19=""),"",ROUND(MOD(L19-K19,1)*24,2))</f>
        <v/>
      </c>
      <c r="G19" s="49" t="str">
        <f aca="false">IF(F19="","",IF(ROUND_MODE="للأعلى",CEILING(ROUND((F19*AZZ_RATE+MIN(N(E19),F19)*(GYP_RATE-AZZ_RATE)),3),0.25),ROUND((F19*AZZ_RATE+MIN(N(E19),F19)*(GYP_RATE-AZZ_RATE))*4,0)/4))</f>
        <v/>
      </c>
      <c r="H19" s="47"/>
      <c r="I19" s="58"/>
      <c r="J19" s="47"/>
      <c r="K19" s="29" t="str">
        <f aca="false">IF(C19="","",INDEX(القوائم!$B$1:$B$96,MATCH(C19,القوائم!$A$1:$A$96,0)))</f>
        <v/>
      </c>
      <c r="L19" s="29" t="str">
        <f aca="false">IF(D19="","",INDEX(القوائم!$B$1:$B$96,MATCH(D19,القوائم!$A$1:$A$96,0)))</f>
        <v/>
      </c>
    </row>
    <row r="20" customFormat="false" ht="15" hidden="false" customHeight="false" outlineLevel="0" collapsed="false">
      <c r="A20" s="46" t="n">
        <f aca="false">IF(2&lt;=NW,W1+11,"")</f>
        <v>46302</v>
      </c>
      <c r="B20" s="11" t="str">
        <f aca="false">IF(A20="","",CHOOSE(WEEKDAY(A20,1),"الأحد","الاثنين","الثلاثاء","الأربعاء","الخميس","الجمعة","السبت"))</f>
        <v>الأربعاء</v>
      </c>
      <c r="C20" s="47"/>
      <c r="D20" s="47"/>
      <c r="E20" s="48"/>
      <c r="F20" s="12" t="str">
        <f aca="false">IF(OR(K20="",L20=""),"",ROUND(MOD(L20-K20,1)*24,2))</f>
        <v/>
      </c>
      <c r="G20" s="49" t="str">
        <f aca="false">IF(F20="","",IF(ROUND_MODE="للأعلى",CEILING(ROUND((F20*AZZ_RATE+MIN(N(E20),F20)*(GYP_RATE-AZZ_RATE)),3),0.25),ROUND((F20*AZZ_RATE+MIN(N(E20),F20)*(GYP_RATE-AZZ_RATE))*4,0)/4))</f>
        <v/>
      </c>
      <c r="H20" s="47"/>
      <c r="I20" s="58"/>
      <c r="J20" s="47"/>
      <c r="K20" s="29" t="str">
        <f aca="false">IF(C20="","",INDEX(القوائم!$B$1:$B$96,MATCH(C20,القوائم!$A$1:$A$96,0)))</f>
        <v/>
      </c>
      <c r="L20" s="29" t="str">
        <f aca="false">IF(D20="","",INDEX(القوائم!$B$1:$B$96,MATCH(D20,القوائم!$A$1:$A$96,0)))</f>
        <v/>
      </c>
    </row>
    <row r="21" customFormat="false" ht="15" hidden="false" customHeight="false" outlineLevel="0" collapsed="false">
      <c r="A21" s="46" t="n">
        <f aca="false">IF(2&lt;=NW,W1+12,"")</f>
        <v>46303</v>
      </c>
      <c r="B21" s="11" t="str">
        <f aca="false">IF(A21="","",CHOOSE(WEEKDAY(A21,1),"الأحد","الاثنين","الثلاثاء","الأربعاء","الخميس","الجمعة","السبت"))</f>
        <v>الخميس</v>
      </c>
      <c r="C21" s="47"/>
      <c r="D21" s="47"/>
      <c r="E21" s="48"/>
      <c r="F21" s="12" t="str">
        <f aca="false">IF(OR(K21="",L21=""),"",ROUND(MOD(L21-K21,1)*24,2))</f>
        <v/>
      </c>
      <c r="G21" s="49" t="str">
        <f aca="false">IF(F21="","",IF(ROUND_MODE="للأعلى",CEILING(ROUND((F21*AZZ_RATE+MIN(N(E21),F21)*(GYP_RATE-AZZ_RATE)),3),0.25),ROUND((F21*AZZ_RATE+MIN(N(E21),F21)*(GYP_RATE-AZZ_RATE))*4,0)/4))</f>
        <v/>
      </c>
      <c r="H21" s="47"/>
      <c r="I21" s="58"/>
      <c r="J21" s="47"/>
      <c r="K21" s="29" t="str">
        <f aca="false">IF(C21="","",INDEX(القوائم!$B$1:$B$96,MATCH(C21,القوائم!$A$1:$A$96,0)))</f>
        <v/>
      </c>
      <c r="L21" s="29" t="str">
        <f aca="false">IF(D21="","",INDEX(القوائم!$B$1:$B$96,MATCH(D21,القوائم!$A$1:$A$96,0)))</f>
        <v/>
      </c>
    </row>
    <row r="22" customFormat="false" ht="15" hidden="false" customHeight="false" outlineLevel="0" collapsed="false">
      <c r="A22" s="59" t="n">
        <f aca="false">IF(2&lt;=NW,W1+13,"")</f>
        <v>46304</v>
      </c>
      <c r="B22" s="60" t="str">
        <f aca="false">IF(A22="","",CHOOSE(WEEKDAY(A22,1),"الأحد","الاثنين","الثلاثاء","الأربعاء","الخميس","الجمعة","السبت"))</f>
        <v>الجمعة</v>
      </c>
      <c r="C22" s="47"/>
      <c r="D22" s="47"/>
      <c r="E22" s="48"/>
      <c r="F22" s="12" t="str">
        <f aca="false">IF(OR(K22="",L22=""),"",ROUND(MOD(L22-K22,1)*24,2))</f>
        <v/>
      </c>
      <c r="G22" s="49" t="str">
        <f aca="false">IF(F22="","",IF(ROUND_MODE="للأعلى",CEILING(ROUND((F22*AZZ_RATE+MIN(N(E22),F22)*(GYP_RATE-AZZ_RATE)),3),0.25),ROUND((F22*AZZ_RATE+MIN(N(E22),F22)*(GYP_RATE-AZZ_RATE))*4,0)/4))</f>
        <v/>
      </c>
      <c r="H22" s="47"/>
      <c r="I22" s="58"/>
      <c r="J22" s="47"/>
      <c r="K22" s="29" t="str">
        <f aca="false">IF(C22="","",INDEX(القوائم!$B$1:$B$96,MATCH(C22,القوائم!$A$1:$A$96,0)))</f>
        <v/>
      </c>
      <c r="L22" s="29" t="str">
        <f aca="false">IF(D22="","",INDEX(القوائم!$B$1:$B$96,MATCH(D22,القوائم!$A$1:$A$96,0)))</f>
        <v/>
      </c>
    </row>
    <row r="23" customFormat="false" ht="15" hidden="false" customHeight="false" outlineLevel="0" collapsed="false">
      <c r="A23" s="21"/>
      <c r="B23" s="21" t="str">
        <f aca="false">IF(2&lt;=NW,"المجموع","")</f>
        <v>المجموع</v>
      </c>
      <c r="C23" s="21"/>
      <c r="D23" s="21"/>
      <c r="E23" s="21"/>
      <c r="F23" s="22" t="n">
        <f aca="false">IF(2&lt;=NW,SUM(F16:F22),"")</f>
        <v>0</v>
      </c>
      <c r="G23" s="52" t="n">
        <f aca="false">IF(2&lt;=NW,SUM(G16:G22),"")</f>
        <v>0</v>
      </c>
      <c r="H23" s="21"/>
      <c r="I23" s="52" t="n">
        <f aca="false">IF(2&lt;=NW,SUM(I16:I22),"")</f>
        <v>0</v>
      </c>
      <c r="J23" s="61" t="str">
        <f aca="false">IF(2&lt;=NW,IF(ROUND(G23-I23,3)=0,"✔ مقبوض كامل","باقي له: "&amp;TEXT(G23-I23,"0.000")),"")</f>
        <v>✔ مقبوض كامل</v>
      </c>
    </row>
    <row r="24" customFormat="false" ht="21.75" hidden="false" customHeight="true" outlineLevel="0" collapsed="false">
      <c r="A24" s="57" t="str">
        <f aca="false">IF(3&lt;=NW,"الأسبوع 3   ·   السبت "&amp;DAY(W1+14)&amp;"/"&amp;MONTH(W1+14)&amp;"  ←  الجمعة "&amp;DAY(W1+20)&amp;"/"&amp;MONTH(W1+20),"")</f>
        <v>الأسبوع 3   ·   السبت 10/10  ←  الجمعة 16/10</v>
      </c>
      <c r="B24" s="57"/>
      <c r="C24" s="57"/>
      <c r="D24" s="57"/>
      <c r="E24" s="57"/>
      <c r="F24" s="57"/>
      <c r="G24" s="57"/>
      <c r="H24" s="57"/>
      <c r="I24" s="57"/>
      <c r="J24" s="57"/>
    </row>
    <row r="25" customFormat="false" ht="15" hidden="false" customHeight="false" outlineLevel="0" collapsed="false">
      <c r="A25" s="46" t="n">
        <f aca="false">IF(3&lt;=NW,W1+14,"")</f>
        <v>46305</v>
      </c>
      <c r="B25" s="11" t="str">
        <f aca="false">IF(A25="","",CHOOSE(WEEKDAY(A25,1),"الأحد","الاثنين","الثلاثاء","الأربعاء","الخميس","الجمعة","السبت"))</f>
        <v>السبت</v>
      </c>
      <c r="C25" s="47"/>
      <c r="D25" s="47"/>
      <c r="E25" s="48"/>
      <c r="F25" s="12" t="str">
        <f aca="false">IF(OR(K25="",L25=""),"",ROUND(MOD(L25-K25,1)*24,2))</f>
        <v/>
      </c>
      <c r="G25" s="49" t="str">
        <f aca="false">IF(F25="","",IF(ROUND_MODE="للأعلى",CEILING(ROUND((F25*AZZ_RATE+MIN(N(E25),F25)*(GYP_RATE-AZZ_RATE)),3),0.25),ROUND((F25*AZZ_RATE+MIN(N(E25),F25)*(GYP_RATE-AZZ_RATE))*4,0)/4))</f>
        <v/>
      </c>
      <c r="H25" s="47"/>
      <c r="I25" s="58"/>
      <c r="J25" s="47"/>
      <c r="K25" s="29" t="str">
        <f aca="false">IF(C25="","",INDEX(القوائم!$B$1:$B$96,MATCH(C25,القوائم!$A$1:$A$96,0)))</f>
        <v/>
      </c>
      <c r="L25" s="29" t="str">
        <f aca="false">IF(D25="","",INDEX(القوائم!$B$1:$B$96,MATCH(D25,القوائم!$A$1:$A$96,0)))</f>
        <v/>
      </c>
    </row>
    <row r="26" customFormat="false" ht="15" hidden="false" customHeight="false" outlineLevel="0" collapsed="false">
      <c r="A26" s="46" t="n">
        <f aca="false">IF(3&lt;=NW,W1+15,"")</f>
        <v>46306</v>
      </c>
      <c r="B26" s="11" t="str">
        <f aca="false">IF(A26="","",CHOOSE(WEEKDAY(A26,1),"الأحد","الاثنين","الثلاثاء","الأربعاء","الخميس","الجمعة","السبت"))</f>
        <v>الأحد</v>
      </c>
      <c r="C26" s="47"/>
      <c r="D26" s="47"/>
      <c r="E26" s="48"/>
      <c r="F26" s="12" t="str">
        <f aca="false">IF(OR(K26="",L26=""),"",ROUND(MOD(L26-K26,1)*24,2))</f>
        <v/>
      </c>
      <c r="G26" s="49" t="str">
        <f aca="false">IF(F26="","",IF(ROUND_MODE="للأعلى",CEILING(ROUND((F26*AZZ_RATE+MIN(N(E26),F26)*(GYP_RATE-AZZ_RATE)),3),0.25),ROUND((F26*AZZ_RATE+MIN(N(E26),F26)*(GYP_RATE-AZZ_RATE))*4,0)/4))</f>
        <v/>
      </c>
      <c r="H26" s="47"/>
      <c r="I26" s="58"/>
      <c r="J26" s="47"/>
      <c r="K26" s="29" t="str">
        <f aca="false">IF(C26="","",INDEX(القوائم!$B$1:$B$96,MATCH(C26,القوائم!$A$1:$A$96,0)))</f>
        <v/>
      </c>
      <c r="L26" s="29" t="str">
        <f aca="false">IF(D26="","",INDEX(القوائم!$B$1:$B$96,MATCH(D26,القوائم!$A$1:$A$96,0)))</f>
        <v/>
      </c>
    </row>
    <row r="27" customFormat="false" ht="15" hidden="false" customHeight="false" outlineLevel="0" collapsed="false">
      <c r="A27" s="46" t="n">
        <f aca="false">IF(3&lt;=NW,W1+16,"")</f>
        <v>46307</v>
      </c>
      <c r="B27" s="11" t="str">
        <f aca="false">IF(A27="","",CHOOSE(WEEKDAY(A27,1),"الأحد","الاثنين","الثلاثاء","الأربعاء","الخميس","الجمعة","السبت"))</f>
        <v>الاثنين</v>
      </c>
      <c r="C27" s="47"/>
      <c r="D27" s="47"/>
      <c r="E27" s="48"/>
      <c r="F27" s="12" t="str">
        <f aca="false">IF(OR(K27="",L27=""),"",ROUND(MOD(L27-K27,1)*24,2))</f>
        <v/>
      </c>
      <c r="G27" s="49" t="str">
        <f aca="false">IF(F27="","",IF(ROUND_MODE="للأعلى",CEILING(ROUND((F27*AZZ_RATE+MIN(N(E27),F27)*(GYP_RATE-AZZ_RATE)),3),0.25),ROUND((F27*AZZ_RATE+MIN(N(E27),F27)*(GYP_RATE-AZZ_RATE))*4,0)/4))</f>
        <v/>
      </c>
      <c r="H27" s="47"/>
      <c r="I27" s="58"/>
      <c r="J27" s="47"/>
      <c r="K27" s="29" t="str">
        <f aca="false">IF(C27="","",INDEX(القوائم!$B$1:$B$96,MATCH(C27,القوائم!$A$1:$A$96,0)))</f>
        <v/>
      </c>
      <c r="L27" s="29" t="str">
        <f aca="false">IF(D27="","",INDEX(القوائم!$B$1:$B$96,MATCH(D27,القوائم!$A$1:$A$96,0)))</f>
        <v/>
      </c>
    </row>
    <row r="28" customFormat="false" ht="15" hidden="false" customHeight="false" outlineLevel="0" collapsed="false">
      <c r="A28" s="46" t="n">
        <f aca="false">IF(3&lt;=NW,W1+17,"")</f>
        <v>46308</v>
      </c>
      <c r="B28" s="11" t="str">
        <f aca="false">IF(A28="","",CHOOSE(WEEKDAY(A28,1),"الأحد","الاثنين","الثلاثاء","الأربعاء","الخميس","الجمعة","السبت"))</f>
        <v>الثلاثاء</v>
      </c>
      <c r="C28" s="47"/>
      <c r="D28" s="47"/>
      <c r="E28" s="48"/>
      <c r="F28" s="12" t="str">
        <f aca="false">IF(OR(K28="",L28=""),"",ROUND(MOD(L28-K28,1)*24,2))</f>
        <v/>
      </c>
      <c r="G28" s="49" t="str">
        <f aca="false">IF(F28="","",IF(ROUND_MODE="للأعلى",CEILING(ROUND((F28*AZZ_RATE+MIN(N(E28),F28)*(GYP_RATE-AZZ_RATE)),3),0.25),ROUND((F28*AZZ_RATE+MIN(N(E28),F28)*(GYP_RATE-AZZ_RATE))*4,0)/4))</f>
        <v/>
      </c>
      <c r="H28" s="47"/>
      <c r="I28" s="58"/>
      <c r="J28" s="47"/>
      <c r="K28" s="29" t="str">
        <f aca="false">IF(C28="","",INDEX(القوائم!$B$1:$B$96,MATCH(C28,القوائم!$A$1:$A$96,0)))</f>
        <v/>
      </c>
      <c r="L28" s="29" t="str">
        <f aca="false">IF(D28="","",INDEX(القوائم!$B$1:$B$96,MATCH(D28,القوائم!$A$1:$A$96,0)))</f>
        <v/>
      </c>
    </row>
    <row r="29" customFormat="false" ht="15" hidden="false" customHeight="false" outlineLevel="0" collapsed="false">
      <c r="A29" s="46" t="n">
        <f aca="false">IF(3&lt;=NW,W1+18,"")</f>
        <v>46309</v>
      </c>
      <c r="B29" s="11" t="str">
        <f aca="false">IF(A29="","",CHOOSE(WEEKDAY(A29,1),"الأحد","الاثنين","الثلاثاء","الأربعاء","الخميس","الجمعة","السبت"))</f>
        <v>الأربعاء</v>
      </c>
      <c r="C29" s="47"/>
      <c r="D29" s="47"/>
      <c r="E29" s="48"/>
      <c r="F29" s="12" t="str">
        <f aca="false">IF(OR(K29="",L29=""),"",ROUND(MOD(L29-K29,1)*24,2))</f>
        <v/>
      </c>
      <c r="G29" s="49" t="str">
        <f aca="false">IF(F29="","",IF(ROUND_MODE="للأعلى",CEILING(ROUND((F29*AZZ_RATE+MIN(N(E29),F29)*(GYP_RATE-AZZ_RATE)),3),0.25),ROUND((F29*AZZ_RATE+MIN(N(E29),F29)*(GYP_RATE-AZZ_RATE))*4,0)/4))</f>
        <v/>
      </c>
      <c r="H29" s="47"/>
      <c r="I29" s="58"/>
      <c r="J29" s="47"/>
      <c r="K29" s="29" t="str">
        <f aca="false">IF(C29="","",INDEX(القوائم!$B$1:$B$96,MATCH(C29,القوائم!$A$1:$A$96,0)))</f>
        <v/>
      </c>
      <c r="L29" s="29" t="str">
        <f aca="false">IF(D29="","",INDEX(القوائم!$B$1:$B$96,MATCH(D29,القوائم!$A$1:$A$96,0)))</f>
        <v/>
      </c>
    </row>
    <row r="30" customFormat="false" ht="15" hidden="false" customHeight="false" outlineLevel="0" collapsed="false">
      <c r="A30" s="46" t="n">
        <f aca="false">IF(3&lt;=NW,W1+19,"")</f>
        <v>46310</v>
      </c>
      <c r="B30" s="11" t="str">
        <f aca="false">IF(A30="","",CHOOSE(WEEKDAY(A30,1),"الأحد","الاثنين","الثلاثاء","الأربعاء","الخميس","الجمعة","السبت"))</f>
        <v>الخميس</v>
      </c>
      <c r="C30" s="47"/>
      <c r="D30" s="47"/>
      <c r="E30" s="48"/>
      <c r="F30" s="12" t="str">
        <f aca="false">IF(OR(K30="",L30=""),"",ROUND(MOD(L30-K30,1)*24,2))</f>
        <v/>
      </c>
      <c r="G30" s="49" t="str">
        <f aca="false">IF(F30="","",IF(ROUND_MODE="للأعلى",CEILING(ROUND((F30*AZZ_RATE+MIN(N(E30),F30)*(GYP_RATE-AZZ_RATE)),3),0.25),ROUND((F30*AZZ_RATE+MIN(N(E30),F30)*(GYP_RATE-AZZ_RATE))*4,0)/4))</f>
        <v/>
      </c>
      <c r="H30" s="47"/>
      <c r="I30" s="58"/>
      <c r="J30" s="47"/>
      <c r="K30" s="29" t="str">
        <f aca="false">IF(C30="","",INDEX(القوائم!$B$1:$B$96,MATCH(C30,القوائم!$A$1:$A$96,0)))</f>
        <v/>
      </c>
      <c r="L30" s="29" t="str">
        <f aca="false">IF(D30="","",INDEX(القوائم!$B$1:$B$96,MATCH(D30,القوائم!$A$1:$A$96,0)))</f>
        <v/>
      </c>
    </row>
    <row r="31" customFormat="false" ht="15" hidden="false" customHeight="false" outlineLevel="0" collapsed="false">
      <c r="A31" s="59" t="n">
        <f aca="false">IF(3&lt;=NW,W1+20,"")</f>
        <v>46311</v>
      </c>
      <c r="B31" s="60" t="str">
        <f aca="false">IF(A31="","",CHOOSE(WEEKDAY(A31,1),"الأحد","الاثنين","الثلاثاء","الأربعاء","الخميس","الجمعة","السبت"))</f>
        <v>الجمعة</v>
      </c>
      <c r="C31" s="47"/>
      <c r="D31" s="47"/>
      <c r="E31" s="48"/>
      <c r="F31" s="12" t="str">
        <f aca="false">IF(OR(K31="",L31=""),"",ROUND(MOD(L31-K31,1)*24,2))</f>
        <v/>
      </c>
      <c r="G31" s="49" t="str">
        <f aca="false">IF(F31="","",IF(ROUND_MODE="للأعلى",CEILING(ROUND((F31*AZZ_RATE+MIN(N(E31),F31)*(GYP_RATE-AZZ_RATE)),3),0.25),ROUND((F31*AZZ_RATE+MIN(N(E31),F31)*(GYP_RATE-AZZ_RATE))*4,0)/4))</f>
        <v/>
      </c>
      <c r="H31" s="47"/>
      <c r="I31" s="58"/>
      <c r="J31" s="47"/>
      <c r="K31" s="29" t="str">
        <f aca="false">IF(C31="","",INDEX(القوائم!$B$1:$B$96,MATCH(C31,القوائم!$A$1:$A$96,0)))</f>
        <v/>
      </c>
      <c r="L31" s="29" t="str">
        <f aca="false">IF(D31="","",INDEX(القوائم!$B$1:$B$96,MATCH(D31,القوائم!$A$1:$A$96,0)))</f>
        <v/>
      </c>
    </row>
    <row r="32" customFormat="false" ht="15" hidden="false" customHeight="false" outlineLevel="0" collapsed="false">
      <c r="A32" s="21"/>
      <c r="B32" s="21" t="str">
        <f aca="false">IF(3&lt;=NW,"المجموع","")</f>
        <v>المجموع</v>
      </c>
      <c r="C32" s="21"/>
      <c r="D32" s="21"/>
      <c r="E32" s="21"/>
      <c r="F32" s="22" t="n">
        <f aca="false">IF(3&lt;=NW,SUM(F25:F31),"")</f>
        <v>0</v>
      </c>
      <c r="G32" s="52" t="n">
        <f aca="false">IF(3&lt;=NW,SUM(G25:G31),"")</f>
        <v>0</v>
      </c>
      <c r="H32" s="21"/>
      <c r="I32" s="52" t="n">
        <f aca="false">IF(3&lt;=NW,SUM(I25:I31),"")</f>
        <v>0</v>
      </c>
      <c r="J32" s="61" t="str">
        <f aca="false">IF(3&lt;=NW,IF(ROUND(G32-I32,3)=0,"✔ مقبوض كامل","باقي له: "&amp;TEXT(G32-I32,"0.000")),"")</f>
        <v>✔ مقبوض كامل</v>
      </c>
    </row>
    <row r="33" customFormat="false" ht="21.75" hidden="false" customHeight="true" outlineLevel="0" collapsed="false">
      <c r="A33" s="57" t="str">
        <f aca="false">IF(4&lt;=NW,"الأسبوع 4   ·   السبت "&amp;DAY(W1+21)&amp;"/"&amp;MONTH(W1+21)&amp;"  ←  الجمعة "&amp;DAY(W1+27)&amp;"/"&amp;MONTH(W1+27),"")</f>
        <v>الأسبوع 4   ·   السبت 17/10  ←  الجمعة 23/10</v>
      </c>
      <c r="B33" s="57"/>
      <c r="C33" s="57"/>
      <c r="D33" s="57"/>
      <c r="E33" s="57"/>
      <c r="F33" s="57"/>
      <c r="G33" s="57"/>
      <c r="H33" s="57"/>
      <c r="I33" s="57"/>
      <c r="J33" s="57"/>
    </row>
    <row r="34" customFormat="false" ht="15" hidden="false" customHeight="false" outlineLevel="0" collapsed="false">
      <c r="A34" s="46" t="n">
        <f aca="false">IF(4&lt;=NW,W1+21,"")</f>
        <v>46312</v>
      </c>
      <c r="B34" s="11" t="str">
        <f aca="false">IF(A34="","",CHOOSE(WEEKDAY(A34,1),"الأحد","الاثنين","الثلاثاء","الأربعاء","الخميس","الجمعة","السبت"))</f>
        <v>السبت</v>
      </c>
      <c r="C34" s="47"/>
      <c r="D34" s="47"/>
      <c r="E34" s="48"/>
      <c r="F34" s="12" t="str">
        <f aca="false">IF(OR(K34="",L34=""),"",ROUND(MOD(L34-K34,1)*24,2))</f>
        <v/>
      </c>
      <c r="G34" s="49" t="str">
        <f aca="false">IF(F34="","",IF(ROUND_MODE="للأعلى",CEILING(ROUND((F34*AZZ_RATE+MIN(N(E34),F34)*(GYP_RATE-AZZ_RATE)),3),0.25),ROUND((F34*AZZ_RATE+MIN(N(E34),F34)*(GYP_RATE-AZZ_RATE))*4,0)/4))</f>
        <v/>
      </c>
      <c r="H34" s="47"/>
      <c r="I34" s="58"/>
      <c r="J34" s="47"/>
      <c r="K34" s="29" t="str">
        <f aca="false">IF(C34="","",INDEX(القوائم!$B$1:$B$96,MATCH(C34,القوائم!$A$1:$A$96,0)))</f>
        <v/>
      </c>
      <c r="L34" s="29" t="str">
        <f aca="false">IF(D34="","",INDEX(القوائم!$B$1:$B$96,MATCH(D34,القوائم!$A$1:$A$96,0)))</f>
        <v/>
      </c>
    </row>
    <row r="35" customFormat="false" ht="15" hidden="false" customHeight="false" outlineLevel="0" collapsed="false">
      <c r="A35" s="46" t="n">
        <f aca="false">IF(4&lt;=NW,W1+22,"")</f>
        <v>46313</v>
      </c>
      <c r="B35" s="11" t="str">
        <f aca="false">IF(A35="","",CHOOSE(WEEKDAY(A35,1),"الأحد","الاثنين","الثلاثاء","الأربعاء","الخميس","الجمعة","السبت"))</f>
        <v>الأحد</v>
      </c>
      <c r="C35" s="47"/>
      <c r="D35" s="47"/>
      <c r="E35" s="48"/>
      <c r="F35" s="12" t="str">
        <f aca="false">IF(OR(K35="",L35=""),"",ROUND(MOD(L35-K35,1)*24,2))</f>
        <v/>
      </c>
      <c r="G35" s="49" t="str">
        <f aca="false">IF(F35="","",IF(ROUND_MODE="للأعلى",CEILING(ROUND((F35*AZZ_RATE+MIN(N(E35),F35)*(GYP_RATE-AZZ_RATE)),3),0.25),ROUND((F35*AZZ_RATE+MIN(N(E35),F35)*(GYP_RATE-AZZ_RATE))*4,0)/4))</f>
        <v/>
      </c>
      <c r="H35" s="47"/>
      <c r="I35" s="58"/>
      <c r="J35" s="47"/>
      <c r="K35" s="29" t="str">
        <f aca="false">IF(C35="","",INDEX(القوائم!$B$1:$B$96,MATCH(C35,القوائم!$A$1:$A$96,0)))</f>
        <v/>
      </c>
      <c r="L35" s="29" t="str">
        <f aca="false">IF(D35="","",INDEX(القوائم!$B$1:$B$96,MATCH(D35,القوائم!$A$1:$A$96,0)))</f>
        <v/>
      </c>
    </row>
    <row r="36" customFormat="false" ht="15" hidden="false" customHeight="false" outlineLevel="0" collapsed="false">
      <c r="A36" s="46" t="n">
        <f aca="false">IF(4&lt;=NW,W1+23,"")</f>
        <v>46314</v>
      </c>
      <c r="B36" s="11" t="str">
        <f aca="false">IF(A36="","",CHOOSE(WEEKDAY(A36,1),"الأحد","الاثنين","الثلاثاء","الأربعاء","الخميس","الجمعة","السبت"))</f>
        <v>الاثنين</v>
      </c>
      <c r="C36" s="47"/>
      <c r="D36" s="47"/>
      <c r="E36" s="48"/>
      <c r="F36" s="12" t="str">
        <f aca="false">IF(OR(K36="",L36=""),"",ROUND(MOD(L36-K36,1)*24,2))</f>
        <v/>
      </c>
      <c r="G36" s="49" t="str">
        <f aca="false">IF(F36="","",IF(ROUND_MODE="للأعلى",CEILING(ROUND((F36*AZZ_RATE+MIN(N(E36),F36)*(GYP_RATE-AZZ_RATE)),3),0.25),ROUND((F36*AZZ_RATE+MIN(N(E36),F36)*(GYP_RATE-AZZ_RATE))*4,0)/4))</f>
        <v/>
      </c>
      <c r="H36" s="47"/>
      <c r="I36" s="58"/>
      <c r="J36" s="47"/>
      <c r="K36" s="29" t="str">
        <f aca="false">IF(C36="","",INDEX(القوائم!$B$1:$B$96,MATCH(C36,القوائم!$A$1:$A$96,0)))</f>
        <v/>
      </c>
      <c r="L36" s="29" t="str">
        <f aca="false">IF(D36="","",INDEX(القوائم!$B$1:$B$96,MATCH(D36,القوائم!$A$1:$A$96,0)))</f>
        <v/>
      </c>
    </row>
    <row r="37" customFormat="false" ht="15" hidden="false" customHeight="false" outlineLevel="0" collapsed="false">
      <c r="A37" s="46" t="n">
        <f aca="false">IF(4&lt;=NW,W1+24,"")</f>
        <v>46315</v>
      </c>
      <c r="B37" s="11" t="str">
        <f aca="false">IF(A37="","",CHOOSE(WEEKDAY(A37,1),"الأحد","الاثنين","الثلاثاء","الأربعاء","الخميس","الجمعة","السبت"))</f>
        <v>الثلاثاء</v>
      </c>
      <c r="C37" s="47"/>
      <c r="D37" s="47"/>
      <c r="E37" s="48"/>
      <c r="F37" s="12" t="str">
        <f aca="false">IF(OR(K37="",L37=""),"",ROUND(MOD(L37-K37,1)*24,2))</f>
        <v/>
      </c>
      <c r="G37" s="49" t="str">
        <f aca="false">IF(F37="","",IF(ROUND_MODE="للأعلى",CEILING(ROUND((F37*AZZ_RATE+MIN(N(E37),F37)*(GYP_RATE-AZZ_RATE)),3),0.25),ROUND((F37*AZZ_RATE+MIN(N(E37),F37)*(GYP_RATE-AZZ_RATE))*4,0)/4))</f>
        <v/>
      </c>
      <c r="H37" s="47"/>
      <c r="I37" s="58"/>
      <c r="J37" s="47"/>
      <c r="K37" s="29" t="str">
        <f aca="false">IF(C37="","",INDEX(القوائم!$B$1:$B$96,MATCH(C37,القوائم!$A$1:$A$96,0)))</f>
        <v/>
      </c>
      <c r="L37" s="29" t="str">
        <f aca="false">IF(D37="","",INDEX(القوائم!$B$1:$B$96,MATCH(D37,القوائم!$A$1:$A$96,0)))</f>
        <v/>
      </c>
    </row>
    <row r="38" customFormat="false" ht="15" hidden="false" customHeight="false" outlineLevel="0" collapsed="false">
      <c r="A38" s="46" t="n">
        <f aca="false">IF(4&lt;=NW,W1+25,"")</f>
        <v>46316</v>
      </c>
      <c r="B38" s="11" t="str">
        <f aca="false">IF(A38="","",CHOOSE(WEEKDAY(A38,1),"الأحد","الاثنين","الثلاثاء","الأربعاء","الخميس","الجمعة","السبت"))</f>
        <v>الأربعاء</v>
      </c>
      <c r="C38" s="47"/>
      <c r="D38" s="47"/>
      <c r="E38" s="48"/>
      <c r="F38" s="12" t="str">
        <f aca="false">IF(OR(K38="",L38=""),"",ROUND(MOD(L38-K38,1)*24,2))</f>
        <v/>
      </c>
      <c r="G38" s="49" t="str">
        <f aca="false">IF(F38="","",IF(ROUND_MODE="للأعلى",CEILING(ROUND((F38*AZZ_RATE+MIN(N(E38),F38)*(GYP_RATE-AZZ_RATE)),3),0.25),ROUND((F38*AZZ_RATE+MIN(N(E38),F38)*(GYP_RATE-AZZ_RATE))*4,0)/4))</f>
        <v/>
      </c>
      <c r="H38" s="47"/>
      <c r="I38" s="58"/>
      <c r="J38" s="47"/>
      <c r="K38" s="29" t="str">
        <f aca="false">IF(C38="","",INDEX(القوائم!$B$1:$B$96,MATCH(C38,القوائم!$A$1:$A$96,0)))</f>
        <v/>
      </c>
      <c r="L38" s="29" t="str">
        <f aca="false">IF(D38="","",INDEX(القوائم!$B$1:$B$96,MATCH(D38,القوائم!$A$1:$A$96,0)))</f>
        <v/>
      </c>
    </row>
    <row r="39" customFormat="false" ht="15" hidden="false" customHeight="false" outlineLevel="0" collapsed="false">
      <c r="A39" s="46" t="n">
        <f aca="false">IF(4&lt;=NW,W1+26,"")</f>
        <v>46317</v>
      </c>
      <c r="B39" s="11" t="str">
        <f aca="false">IF(A39="","",CHOOSE(WEEKDAY(A39,1),"الأحد","الاثنين","الثلاثاء","الأربعاء","الخميس","الجمعة","السبت"))</f>
        <v>الخميس</v>
      </c>
      <c r="C39" s="47"/>
      <c r="D39" s="47"/>
      <c r="E39" s="48"/>
      <c r="F39" s="12" t="str">
        <f aca="false">IF(OR(K39="",L39=""),"",ROUND(MOD(L39-K39,1)*24,2))</f>
        <v/>
      </c>
      <c r="G39" s="49" t="str">
        <f aca="false">IF(F39="","",IF(ROUND_MODE="للأعلى",CEILING(ROUND((F39*AZZ_RATE+MIN(N(E39),F39)*(GYP_RATE-AZZ_RATE)),3),0.25),ROUND((F39*AZZ_RATE+MIN(N(E39),F39)*(GYP_RATE-AZZ_RATE))*4,0)/4))</f>
        <v/>
      </c>
      <c r="H39" s="47"/>
      <c r="I39" s="58"/>
      <c r="J39" s="47"/>
      <c r="K39" s="29" t="str">
        <f aca="false">IF(C39="","",INDEX(القوائم!$B$1:$B$96,MATCH(C39,القوائم!$A$1:$A$96,0)))</f>
        <v/>
      </c>
      <c r="L39" s="29" t="str">
        <f aca="false">IF(D39="","",INDEX(القوائم!$B$1:$B$96,MATCH(D39,القوائم!$A$1:$A$96,0)))</f>
        <v/>
      </c>
    </row>
    <row r="40" customFormat="false" ht="15" hidden="false" customHeight="false" outlineLevel="0" collapsed="false">
      <c r="A40" s="59" t="n">
        <f aca="false">IF(4&lt;=NW,W1+27,"")</f>
        <v>46318</v>
      </c>
      <c r="B40" s="60" t="str">
        <f aca="false">IF(A40="","",CHOOSE(WEEKDAY(A40,1),"الأحد","الاثنين","الثلاثاء","الأربعاء","الخميس","الجمعة","السبت"))</f>
        <v>الجمعة</v>
      </c>
      <c r="C40" s="47"/>
      <c r="D40" s="47"/>
      <c r="E40" s="48"/>
      <c r="F40" s="12" t="str">
        <f aca="false">IF(OR(K40="",L40=""),"",ROUND(MOD(L40-K40,1)*24,2))</f>
        <v/>
      </c>
      <c r="G40" s="49" t="str">
        <f aca="false">IF(F40="","",IF(ROUND_MODE="للأعلى",CEILING(ROUND((F40*AZZ_RATE+MIN(N(E40),F40)*(GYP_RATE-AZZ_RATE)),3),0.25),ROUND((F40*AZZ_RATE+MIN(N(E40),F40)*(GYP_RATE-AZZ_RATE))*4,0)/4))</f>
        <v/>
      </c>
      <c r="H40" s="47"/>
      <c r="I40" s="58"/>
      <c r="J40" s="47"/>
      <c r="K40" s="29" t="str">
        <f aca="false">IF(C40="","",INDEX(القوائم!$B$1:$B$96,MATCH(C40,القوائم!$A$1:$A$96,0)))</f>
        <v/>
      </c>
      <c r="L40" s="29" t="str">
        <f aca="false">IF(D40="","",INDEX(القوائم!$B$1:$B$96,MATCH(D40,القوائم!$A$1:$A$96,0)))</f>
        <v/>
      </c>
    </row>
    <row r="41" customFormat="false" ht="15" hidden="false" customHeight="false" outlineLevel="0" collapsed="false">
      <c r="A41" s="21"/>
      <c r="B41" s="21" t="str">
        <f aca="false">IF(4&lt;=NW,"المجموع","")</f>
        <v>المجموع</v>
      </c>
      <c r="C41" s="21"/>
      <c r="D41" s="21"/>
      <c r="E41" s="21"/>
      <c r="F41" s="22" t="n">
        <f aca="false">IF(4&lt;=NW,SUM(F34:F40),"")</f>
        <v>0</v>
      </c>
      <c r="G41" s="52" t="n">
        <f aca="false">IF(4&lt;=NW,SUM(G34:G40),"")</f>
        <v>0</v>
      </c>
      <c r="H41" s="21"/>
      <c r="I41" s="52" t="n">
        <f aca="false">IF(4&lt;=NW,SUM(I34:I40),"")</f>
        <v>0</v>
      </c>
      <c r="J41" s="61" t="str">
        <f aca="false">IF(4&lt;=NW,IF(ROUND(G41-I41,3)=0,"✔ مقبوض كامل","باقي له: "&amp;TEXT(G41-I41,"0.000")),"")</f>
        <v>✔ مقبوض كامل</v>
      </c>
    </row>
    <row r="42" customFormat="false" ht="21.75" hidden="false" customHeight="true" outlineLevel="0" collapsed="false">
      <c r="A42" s="57" t="str">
        <f aca="false">IF(5&lt;=NW,"الأسبوع 5   ·   السبت "&amp;DAY(W1+28)&amp;"/"&amp;MONTH(W1+28)&amp;"  ←  الجمعة "&amp;DAY(W1+34)&amp;"/"&amp;MONTH(W1+34),"")</f>
        <v>الأسبوع 5   ·   السبت 24/10  ←  الجمعة 30/10</v>
      </c>
      <c r="B42" s="57"/>
      <c r="C42" s="57"/>
      <c r="D42" s="57"/>
      <c r="E42" s="57"/>
      <c r="F42" s="57"/>
      <c r="G42" s="57"/>
      <c r="H42" s="57"/>
      <c r="I42" s="57"/>
      <c r="J42" s="57"/>
    </row>
    <row r="43" customFormat="false" ht="15" hidden="false" customHeight="false" outlineLevel="0" collapsed="false">
      <c r="A43" s="46" t="n">
        <f aca="false">IF(5&lt;=NW,W1+28,"")</f>
        <v>46319</v>
      </c>
      <c r="B43" s="11" t="str">
        <f aca="false">IF(A43="","",CHOOSE(WEEKDAY(A43,1),"الأحد","الاثنين","الثلاثاء","الأربعاء","الخميس","الجمعة","السبت"))</f>
        <v>السبت</v>
      </c>
      <c r="C43" s="47"/>
      <c r="D43" s="47"/>
      <c r="E43" s="48"/>
      <c r="F43" s="12" t="str">
        <f aca="false">IF(OR(K43="",L43=""),"",ROUND(MOD(L43-K43,1)*24,2))</f>
        <v/>
      </c>
      <c r="G43" s="49" t="str">
        <f aca="false">IF(F43="","",IF(ROUND_MODE="للأعلى",CEILING(ROUND((F43*AZZ_RATE+MIN(N(E43),F43)*(GYP_RATE-AZZ_RATE)),3),0.25),ROUND((F43*AZZ_RATE+MIN(N(E43),F43)*(GYP_RATE-AZZ_RATE))*4,0)/4))</f>
        <v/>
      </c>
      <c r="H43" s="47"/>
      <c r="I43" s="58"/>
      <c r="J43" s="47"/>
      <c r="K43" s="29" t="str">
        <f aca="false">IF(C43="","",INDEX(القوائم!$B$1:$B$96,MATCH(C43,القوائم!$A$1:$A$96,0)))</f>
        <v/>
      </c>
      <c r="L43" s="29" t="str">
        <f aca="false">IF(D43="","",INDEX(القوائم!$B$1:$B$96,MATCH(D43,القوائم!$A$1:$A$96,0)))</f>
        <v/>
      </c>
    </row>
    <row r="44" customFormat="false" ht="15" hidden="false" customHeight="false" outlineLevel="0" collapsed="false">
      <c r="A44" s="46" t="n">
        <f aca="false">IF(5&lt;=NW,W1+29,"")</f>
        <v>46320</v>
      </c>
      <c r="B44" s="11" t="str">
        <f aca="false">IF(A44="","",CHOOSE(WEEKDAY(A44,1),"الأحد","الاثنين","الثلاثاء","الأربعاء","الخميس","الجمعة","السبت"))</f>
        <v>الأحد</v>
      </c>
      <c r="C44" s="47"/>
      <c r="D44" s="47"/>
      <c r="E44" s="48"/>
      <c r="F44" s="12" t="str">
        <f aca="false">IF(OR(K44="",L44=""),"",ROUND(MOD(L44-K44,1)*24,2))</f>
        <v/>
      </c>
      <c r="G44" s="49" t="str">
        <f aca="false">IF(F44="","",IF(ROUND_MODE="للأعلى",CEILING(ROUND((F44*AZZ_RATE+MIN(N(E44),F44)*(GYP_RATE-AZZ_RATE)),3),0.25),ROUND((F44*AZZ_RATE+MIN(N(E44),F44)*(GYP_RATE-AZZ_RATE))*4,0)/4))</f>
        <v/>
      </c>
      <c r="H44" s="47"/>
      <c r="I44" s="58"/>
      <c r="J44" s="47"/>
      <c r="K44" s="29" t="str">
        <f aca="false">IF(C44="","",INDEX(القوائم!$B$1:$B$96,MATCH(C44,القوائم!$A$1:$A$96,0)))</f>
        <v/>
      </c>
      <c r="L44" s="29" t="str">
        <f aca="false">IF(D44="","",INDEX(القوائم!$B$1:$B$96,MATCH(D44,القوائم!$A$1:$A$96,0)))</f>
        <v/>
      </c>
    </row>
    <row r="45" customFormat="false" ht="15" hidden="false" customHeight="false" outlineLevel="0" collapsed="false">
      <c r="A45" s="46" t="n">
        <f aca="false">IF(5&lt;=NW,W1+30,"")</f>
        <v>46321</v>
      </c>
      <c r="B45" s="11" t="str">
        <f aca="false">IF(A45="","",CHOOSE(WEEKDAY(A45,1),"الأحد","الاثنين","الثلاثاء","الأربعاء","الخميس","الجمعة","السبت"))</f>
        <v>الاثنين</v>
      </c>
      <c r="C45" s="47"/>
      <c r="D45" s="47"/>
      <c r="E45" s="48"/>
      <c r="F45" s="12" t="str">
        <f aca="false">IF(OR(K45="",L45=""),"",ROUND(MOD(L45-K45,1)*24,2))</f>
        <v/>
      </c>
      <c r="G45" s="49" t="str">
        <f aca="false">IF(F45="","",IF(ROUND_MODE="للأعلى",CEILING(ROUND((F45*AZZ_RATE+MIN(N(E45),F45)*(GYP_RATE-AZZ_RATE)),3),0.25),ROUND((F45*AZZ_RATE+MIN(N(E45),F45)*(GYP_RATE-AZZ_RATE))*4,0)/4))</f>
        <v/>
      </c>
      <c r="H45" s="47"/>
      <c r="I45" s="58"/>
      <c r="J45" s="47"/>
      <c r="K45" s="29" t="str">
        <f aca="false">IF(C45="","",INDEX(القوائم!$B$1:$B$96,MATCH(C45,القوائم!$A$1:$A$96,0)))</f>
        <v/>
      </c>
      <c r="L45" s="29" t="str">
        <f aca="false">IF(D45="","",INDEX(القوائم!$B$1:$B$96,MATCH(D45,القوائم!$A$1:$A$96,0)))</f>
        <v/>
      </c>
    </row>
    <row r="46" customFormat="false" ht="15" hidden="false" customHeight="false" outlineLevel="0" collapsed="false">
      <c r="A46" s="46" t="n">
        <f aca="false">IF(5&lt;=NW,W1+31,"")</f>
        <v>46322</v>
      </c>
      <c r="B46" s="11" t="str">
        <f aca="false">IF(A46="","",CHOOSE(WEEKDAY(A46,1),"الأحد","الاثنين","الثلاثاء","الأربعاء","الخميس","الجمعة","السبت"))</f>
        <v>الثلاثاء</v>
      </c>
      <c r="C46" s="47"/>
      <c r="D46" s="47"/>
      <c r="E46" s="48"/>
      <c r="F46" s="12" t="str">
        <f aca="false">IF(OR(K46="",L46=""),"",ROUND(MOD(L46-K46,1)*24,2))</f>
        <v/>
      </c>
      <c r="G46" s="49" t="str">
        <f aca="false">IF(F46="","",IF(ROUND_MODE="للأعلى",CEILING(ROUND((F46*AZZ_RATE+MIN(N(E46),F46)*(GYP_RATE-AZZ_RATE)),3),0.25),ROUND((F46*AZZ_RATE+MIN(N(E46),F46)*(GYP_RATE-AZZ_RATE))*4,0)/4))</f>
        <v/>
      </c>
      <c r="H46" s="47"/>
      <c r="I46" s="58"/>
      <c r="J46" s="47"/>
      <c r="K46" s="29" t="str">
        <f aca="false">IF(C46="","",INDEX(القوائم!$B$1:$B$96,MATCH(C46,القوائم!$A$1:$A$96,0)))</f>
        <v/>
      </c>
      <c r="L46" s="29" t="str">
        <f aca="false">IF(D46="","",INDEX(القوائم!$B$1:$B$96,MATCH(D46,القوائم!$A$1:$A$96,0)))</f>
        <v/>
      </c>
    </row>
    <row r="47" customFormat="false" ht="15" hidden="false" customHeight="false" outlineLevel="0" collapsed="false">
      <c r="A47" s="46" t="n">
        <f aca="false">IF(5&lt;=NW,W1+32,"")</f>
        <v>46323</v>
      </c>
      <c r="B47" s="11" t="str">
        <f aca="false">IF(A47="","",CHOOSE(WEEKDAY(A47,1),"الأحد","الاثنين","الثلاثاء","الأربعاء","الخميس","الجمعة","السبت"))</f>
        <v>الأربعاء</v>
      </c>
      <c r="C47" s="47"/>
      <c r="D47" s="47"/>
      <c r="E47" s="48"/>
      <c r="F47" s="12" t="str">
        <f aca="false">IF(OR(K47="",L47=""),"",ROUND(MOD(L47-K47,1)*24,2))</f>
        <v/>
      </c>
      <c r="G47" s="49" t="str">
        <f aca="false">IF(F47="","",IF(ROUND_MODE="للأعلى",CEILING(ROUND((F47*AZZ_RATE+MIN(N(E47),F47)*(GYP_RATE-AZZ_RATE)),3),0.25),ROUND((F47*AZZ_RATE+MIN(N(E47),F47)*(GYP_RATE-AZZ_RATE))*4,0)/4))</f>
        <v/>
      </c>
      <c r="H47" s="47"/>
      <c r="I47" s="58"/>
      <c r="J47" s="47"/>
      <c r="K47" s="29" t="str">
        <f aca="false">IF(C47="","",INDEX(القوائم!$B$1:$B$96,MATCH(C47,القوائم!$A$1:$A$96,0)))</f>
        <v/>
      </c>
      <c r="L47" s="29" t="str">
        <f aca="false">IF(D47="","",INDEX(القوائم!$B$1:$B$96,MATCH(D47,القوائم!$A$1:$A$96,0)))</f>
        <v/>
      </c>
    </row>
    <row r="48" customFormat="false" ht="15" hidden="false" customHeight="false" outlineLevel="0" collapsed="false">
      <c r="A48" s="46" t="n">
        <f aca="false">IF(5&lt;=NW,W1+33,"")</f>
        <v>46324</v>
      </c>
      <c r="B48" s="11" t="str">
        <f aca="false">IF(A48="","",CHOOSE(WEEKDAY(A48,1),"الأحد","الاثنين","الثلاثاء","الأربعاء","الخميس","الجمعة","السبت"))</f>
        <v>الخميس</v>
      </c>
      <c r="C48" s="47"/>
      <c r="D48" s="47"/>
      <c r="E48" s="48"/>
      <c r="F48" s="12" t="str">
        <f aca="false">IF(OR(K48="",L48=""),"",ROUND(MOD(L48-K48,1)*24,2))</f>
        <v/>
      </c>
      <c r="G48" s="49" t="str">
        <f aca="false">IF(F48="","",IF(ROUND_MODE="للأعلى",CEILING(ROUND((F48*AZZ_RATE+MIN(N(E48),F48)*(GYP_RATE-AZZ_RATE)),3),0.25),ROUND((F48*AZZ_RATE+MIN(N(E48),F48)*(GYP_RATE-AZZ_RATE))*4,0)/4))</f>
        <v/>
      </c>
      <c r="H48" s="47"/>
      <c r="I48" s="58"/>
      <c r="J48" s="47"/>
      <c r="K48" s="29" t="str">
        <f aca="false">IF(C48="","",INDEX(القوائم!$B$1:$B$96,MATCH(C48,القوائم!$A$1:$A$96,0)))</f>
        <v/>
      </c>
      <c r="L48" s="29" t="str">
        <f aca="false">IF(D48="","",INDEX(القوائم!$B$1:$B$96,MATCH(D48,القوائم!$A$1:$A$96,0)))</f>
        <v/>
      </c>
    </row>
    <row r="49" customFormat="false" ht="15" hidden="false" customHeight="false" outlineLevel="0" collapsed="false">
      <c r="A49" s="59" t="n">
        <f aca="false">IF(5&lt;=NW,W1+34,"")</f>
        <v>46325</v>
      </c>
      <c r="B49" s="60" t="str">
        <f aca="false">IF(A49="","",CHOOSE(WEEKDAY(A49,1),"الأحد","الاثنين","الثلاثاء","الأربعاء","الخميس","الجمعة","السبت"))</f>
        <v>الجمعة</v>
      </c>
      <c r="C49" s="47"/>
      <c r="D49" s="47"/>
      <c r="E49" s="48"/>
      <c r="F49" s="12" t="str">
        <f aca="false">IF(OR(K49="",L49=""),"",ROUND(MOD(L49-K49,1)*24,2))</f>
        <v/>
      </c>
      <c r="G49" s="49" t="str">
        <f aca="false">IF(F49="","",IF(ROUND_MODE="للأعلى",CEILING(ROUND((F49*AZZ_RATE+MIN(N(E49),F49)*(GYP_RATE-AZZ_RATE)),3),0.25),ROUND((F49*AZZ_RATE+MIN(N(E49),F49)*(GYP_RATE-AZZ_RATE))*4,0)/4))</f>
        <v/>
      </c>
      <c r="H49" s="47"/>
      <c r="I49" s="58"/>
      <c r="J49" s="47"/>
      <c r="K49" s="29" t="str">
        <f aca="false">IF(C49="","",INDEX(القوائم!$B$1:$B$96,MATCH(C49,القوائم!$A$1:$A$96,0)))</f>
        <v/>
      </c>
      <c r="L49" s="29" t="str">
        <f aca="false">IF(D49="","",INDEX(القوائم!$B$1:$B$96,MATCH(D49,القوائم!$A$1:$A$96,0)))</f>
        <v/>
      </c>
    </row>
    <row r="50" customFormat="false" ht="15" hidden="false" customHeight="false" outlineLevel="0" collapsed="false">
      <c r="A50" s="21"/>
      <c r="B50" s="21" t="str">
        <f aca="false">IF(5&lt;=NW,"المجموع","")</f>
        <v>المجموع</v>
      </c>
      <c r="C50" s="21"/>
      <c r="D50" s="21"/>
      <c r="E50" s="21"/>
      <c r="F50" s="22" t="n">
        <f aca="false">IF(5&lt;=NW,SUM(F43:F49),"")</f>
        <v>0</v>
      </c>
      <c r="G50" s="52" t="n">
        <f aca="false">IF(5&lt;=NW,SUM(G43:G49),"")</f>
        <v>0</v>
      </c>
      <c r="H50" s="21"/>
      <c r="I50" s="52" t="n">
        <f aca="false">IF(5&lt;=NW,SUM(I43:I49),"")</f>
        <v>0</v>
      </c>
      <c r="J50" s="61" t="str">
        <f aca="false">IF(5&lt;=NW,IF(ROUND(G50-I50,3)=0,"✔ مقبوض كامل","باقي له: "&amp;TEXT(G50-I50,"0.000")),"")</f>
        <v>✔ مقبوض كامل</v>
      </c>
    </row>
  </sheetData>
  <mergeCells count="8">
    <mergeCell ref="A1:J1"/>
    <mergeCell ref="A2:J2"/>
    <mergeCell ref="A3:J3"/>
    <mergeCell ref="A6:J6"/>
    <mergeCell ref="A15:J15"/>
    <mergeCell ref="A24:J24"/>
    <mergeCell ref="A33:J33"/>
    <mergeCell ref="A42:J42"/>
  </mergeCells>
  <conditionalFormatting sqref="I6:I50">
    <cfRule type="expression" priority="2" aboveAverage="0" equalAverage="0" bottom="0" percent="0" rank="0" text="" dxfId="1">
      <formula>AND($H6="نعم",ISNUMBER($G6),$I6&lt;&gt;$G6)</formula>
    </cfRule>
  </conditionalFormatting>
  <dataValidations count="2">
    <dataValidation allowBlank="true" errorStyle="stop" operator="between" showDropDown="false" showErrorMessage="false" showInputMessage="false" sqref="C6:D50" type="list">
      <formula1>القوائم!$A$1:$A$96</formula1>
      <formula2>0</formula2>
    </dataValidation>
    <dataValidation allowBlank="true" errorStyle="stop" operator="between" showDropDown="false" showErrorMessage="false" showInputMessage="false" sqref="H6:H50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50"/>
  </cols>
  <sheetData>
    <row r="1" customFormat="false" ht="30" hidden="false" customHeight="true" outlineLevel="0" collapsed="false">
      <c r="A1" s="62" t="s">
        <v>199</v>
      </c>
      <c r="B1" s="62"/>
      <c r="C1" s="62"/>
      <c r="D1" s="62"/>
      <c r="E1" s="62"/>
    </row>
    <row r="2" customFormat="false" ht="15" hidden="false" customHeight="false" outlineLevel="0" collapsed="false">
      <c r="A2" s="63" t="str">
        <f aca="false">SEL_M&amp;"  "&amp;SEL_Y</f>
        <v>10 - تشرين الأول  2026</v>
      </c>
      <c r="B2" s="63"/>
      <c r="C2" s="63"/>
      <c r="D2" s="63"/>
      <c r="E2" s="63"/>
    </row>
    <row r="3" customFormat="false" ht="33.75" hidden="false" customHeight="true" outlineLevel="0" collapsed="false">
      <c r="A3" s="44" t="s">
        <v>200</v>
      </c>
      <c r="B3" s="44"/>
      <c r="C3" s="44"/>
      <c r="D3" s="44"/>
      <c r="E3" s="44"/>
    </row>
    <row r="5" customFormat="false" ht="30" hidden="false" customHeight="true" outlineLevel="0" collapsed="false">
      <c r="A5" s="64" t="s">
        <v>186</v>
      </c>
      <c r="B5" s="64" t="s">
        <v>14</v>
      </c>
      <c r="C5" s="64" t="s">
        <v>201</v>
      </c>
      <c r="D5" s="64" t="s">
        <v>202</v>
      </c>
      <c r="E5" s="64" t="s">
        <v>203</v>
      </c>
    </row>
    <row r="6" customFormat="false" ht="15" hidden="false" customHeight="false" outlineLevel="0" collapsed="false">
      <c r="A6" s="65"/>
      <c r="B6" s="47"/>
      <c r="C6" s="47"/>
      <c r="D6" s="58"/>
      <c r="E6" s="47"/>
    </row>
    <row r="7" customFormat="false" ht="15" hidden="false" customHeight="false" outlineLevel="0" collapsed="false">
      <c r="A7" s="65"/>
      <c r="B7" s="47"/>
      <c r="C7" s="47"/>
      <c r="D7" s="58"/>
      <c r="E7" s="47"/>
    </row>
    <row r="8" customFormat="false" ht="15" hidden="false" customHeight="false" outlineLevel="0" collapsed="false">
      <c r="A8" s="65"/>
      <c r="B8" s="47"/>
      <c r="C8" s="47"/>
      <c r="D8" s="58"/>
      <c r="E8" s="47"/>
    </row>
    <row r="9" customFormat="false" ht="15" hidden="false" customHeight="false" outlineLevel="0" collapsed="false">
      <c r="A9" s="65"/>
      <c r="B9" s="47"/>
      <c r="C9" s="47"/>
      <c r="D9" s="58"/>
      <c r="E9" s="47"/>
    </row>
    <row r="10" customFormat="false" ht="15" hidden="false" customHeight="false" outlineLevel="0" collapsed="false">
      <c r="A10" s="65"/>
      <c r="B10" s="47"/>
      <c r="C10" s="47"/>
      <c r="D10" s="58"/>
      <c r="E10" s="47"/>
    </row>
    <row r="11" customFormat="false" ht="15" hidden="false" customHeight="false" outlineLevel="0" collapsed="false">
      <c r="A11" s="65"/>
      <c r="B11" s="47"/>
      <c r="C11" s="47"/>
      <c r="D11" s="58"/>
      <c r="E11" s="47"/>
    </row>
    <row r="12" customFormat="false" ht="15" hidden="false" customHeight="false" outlineLevel="0" collapsed="false">
      <c r="A12" s="65"/>
      <c r="B12" s="47"/>
      <c r="C12" s="47"/>
      <c r="D12" s="58"/>
      <c r="E12" s="47"/>
    </row>
    <row r="13" customFormat="false" ht="15" hidden="false" customHeight="false" outlineLevel="0" collapsed="false">
      <c r="A13" s="65"/>
      <c r="B13" s="47"/>
      <c r="C13" s="47"/>
      <c r="D13" s="58"/>
      <c r="E13" s="47"/>
    </row>
    <row r="14" customFormat="false" ht="15" hidden="false" customHeight="false" outlineLevel="0" collapsed="false">
      <c r="A14" s="65"/>
      <c r="B14" s="47"/>
      <c r="C14" s="47"/>
      <c r="D14" s="58"/>
      <c r="E14" s="47"/>
    </row>
    <row r="15" customFormat="false" ht="15" hidden="false" customHeight="false" outlineLevel="0" collapsed="false">
      <c r="A15" s="65"/>
      <c r="B15" s="47"/>
      <c r="C15" s="47"/>
      <c r="D15" s="58"/>
      <c r="E15" s="47"/>
    </row>
    <row r="16" customFormat="false" ht="15" hidden="false" customHeight="false" outlineLevel="0" collapsed="false">
      <c r="A16" s="65"/>
      <c r="B16" s="47"/>
      <c r="C16" s="47"/>
      <c r="D16" s="58"/>
      <c r="E16" s="47"/>
    </row>
    <row r="17" customFormat="false" ht="15" hidden="false" customHeight="false" outlineLevel="0" collapsed="false">
      <c r="A17" s="65"/>
      <c r="B17" s="47"/>
      <c r="C17" s="47"/>
      <c r="D17" s="58"/>
      <c r="E17" s="47"/>
    </row>
    <row r="18" customFormat="false" ht="15" hidden="false" customHeight="false" outlineLevel="0" collapsed="false">
      <c r="A18" s="65"/>
      <c r="B18" s="47"/>
      <c r="C18" s="47"/>
      <c r="D18" s="58"/>
      <c r="E18" s="47"/>
    </row>
    <row r="19" customFormat="false" ht="15" hidden="false" customHeight="false" outlineLevel="0" collapsed="false">
      <c r="A19" s="65"/>
      <c r="B19" s="47"/>
      <c r="C19" s="47"/>
      <c r="D19" s="58"/>
      <c r="E19" s="47"/>
    </row>
    <row r="20" customFormat="false" ht="15" hidden="false" customHeight="false" outlineLevel="0" collapsed="false">
      <c r="A20" s="65"/>
      <c r="B20" s="47"/>
      <c r="C20" s="47"/>
      <c r="D20" s="58"/>
      <c r="E20" s="47"/>
    </row>
    <row r="21" customFormat="false" ht="15" hidden="false" customHeight="false" outlineLevel="0" collapsed="false">
      <c r="A21" s="65"/>
      <c r="B21" s="47"/>
      <c r="C21" s="47"/>
      <c r="D21" s="58"/>
      <c r="E21" s="47"/>
    </row>
    <row r="22" customFormat="false" ht="15" hidden="false" customHeight="false" outlineLevel="0" collapsed="false">
      <c r="A22" s="65"/>
      <c r="B22" s="47"/>
      <c r="C22" s="47"/>
      <c r="D22" s="58"/>
      <c r="E22" s="47"/>
    </row>
    <row r="23" customFormat="false" ht="15" hidden="false" customHeight="false" outlineLevel="0" collapsed="false">
      <c r="A23" s="65"/>
      <c r="B23" s="47"/>
      <c r="C23" s="47"/>
      <c r="D23" s="58"/>
      <c r="E23" s="47"/>
    </row>
    <row r="24" customFormat="false" ht="15" hidden="false" customHeight="false" outlineLevel="0" collapsed="false">
      <c r="A24" s="65"/>
      <c r="B24" s="47"/>
      <c r="C24" s="47"/>
      <c r="D24" s="58"/>
      <c r="E24" s="47"/>
    </row>
    <row r="25" customFormat="false" ht="15" hidden="false" customHeight="false" outlineLevel="0" collapsed="false">
      <c r="A25" s="65"/>
      <c r="B25" s="47"/>
      <c r="C25" s="47"/>
      <c r="D25" s="58"/>
      <c r="E25" s="47"/>
    </row>
    <row r="26" customFormat="false" ht="15" hidden="false" customHeight="false" outlineLevel="0" collapsed="false">
      <c r="A26" s="65"/>
      <c r="B26" s="47"/>
      <c r="C26" s="47"/>
      <c r="D26" s="58"/>
      <c r="E26" s="47"/>
    </row>
    <row r="27" customFormat="false" ht="15" hidden="false" customHeight="false" outlineLevel="0" collapsed="false">
      <c r="A27" s="65"/>
      <c r="B27" s="47"/>
      <c r="C27" s="47"/>
      <c r="D27" s="58"/>
      <c r="E27" s="47"/>
    </row>
    <row r="28" customFormat="false" ht="15" hidden="false" customHeight="false" outlineLevel="0" collapsed="false">
      <c r="A28" s="65"/>
      <c r="B28" s="47"/>
      <c r="C28" s="47"/>
      <c r="D28" s="58"/>
      <c r="E28" s="47"/>
    </row>
    <row r="29" customFormat="false" ht="15" hidden="false" customHeight="false" outlineLevel="0" collapsed="false">
      <c r="A29" s="65"/>
      <c r="B29" s="47"/>
      <c r="C29" s="47"/>
      <c r="D29" s="58"/>
      <c r="E29" s="47"/>
    </row>
    <row r="30" customFormat="false" ht="15" hidden="false" customHeight="false" outlineLevel="0" collapsed="false">
      <c r="A30" s="65"/>
      <c r="B30" s="47"/>
      <c r="C30" s="47"/>
      <c r="D30" s="58"/>
      <c r="E30" s="47"/>
    </row>
    <row r="31" customFormat="false" ht="15" hidden="false" customHeight="false" outlineLevel="0" collapsed="false">
      <c r="A31" s="65"/>
      <c r="B31" s="47"/>
      <c r="C31" s="47"/>
      <c r="D31" s="58"/>
      <c r="E31" s="47"/>
    </row>
    <row r="32" customFormat="false" ht="15" hidden="false" customHeight="false" outlineLevel="0" collapsed="false">
      <c r="A32" s="65"/>
      <c r="B32" s="47"/>
      <c r="C32" s="47"/>
      <c r="D32" s="58"/>
      <c r="E32" s="47"/>
    </row>
    <row r="33" customFormat="false" ht="15" hidden="false" customHeight="false" outlineLevel="0" collapsed="false">
      <c r="A33" s="65"/>
      <c r="B33" s="47"/>
      <c r="C33" s="47"/>
      <c r="D33" s="58"/>
      <c r="E33" s="47"/>
    </row>
    <row r="34" customFormat="false" ht="15" hidden="false" customHeight="false" outlineLevel="0" collapsed="false">
      <c r="A34" s="65"/>
      <c r="B34" s="47"/>
      <c r="C34" s="47"/>
      <c r="D34" s="58"/>
      <c r="E34" s="47"/>
    </row>
    <row r="35" customFormat="false" ht="15" hidden="false" customHeight="false" outlineLevel="0" collapsed="false">
      <c r="A35" s="65"/>
      <c r="B35" s="47"/>
      <c r="C35" s="47"/>
      <c r="D35" s="58"/>
      <c r="E35" s="47"/>
    </row>
    <row r="36" customFormat="false" ht="15" hidden="false" customHeight="false" outlineLevel="0" collapsed="false">
      <c r="A36" s="65"/>
      <c r="B36" s="47"/>
      <c r="C36" s="47"/>
      <c r="D36" s="58"/>
      <c r="E36" s="47"/>
    </row>
    <row r="37" customFormat="false" ht="15" hidden="false" customHeight="false" outlineLevel="0" collapsed="false">
      <c r="A37" s="65"/>
      <c r="B37" s="47"/>
      <c r="C37" s="47"/>
      <c r="D37" s="58"/>
      <c r="E37" s="47"/>
    </row>
    <row r="38" customFormat="false" ht="15" hidden="false" customHeight="false" outlineLevel="0" collapsed="false">
      <c r="A38" s="65"/>
      <c r="B38" s="47"/>
      <c r="C38" s="47"/>
      <c r="D38" s="58"/>
      <c r="E38" s="47"/>
    </row>
    <row r="39" customFormat="false" ht="15" hidden="false" customHeight="false" outlineLevel="0" collapsed="false">
      <c r="A39" s="65"/>
      <c r="B39" s="47"/>
      <c r="C39" s="47"/>
      <c r="D39" s="58"/>
      <c r="E39" s="47"/>
    </row>
    <row r="40" customFormat="false" ht="15" hidden="false" customHeight="false" outlineLevel="0" collapsed="false">
      <c r="A40" s="65"/>
      <c r="B40" s="47"/>
      <c r="C40" s="47"/>
      <c r="D40" s="58"/>
      <c r="E40" s="47"/>
    </row>
    <row r="41" customFormat="false" ht="15" hidden="false" customHeight="false" outlineLevel="0" collapsed="false">
      <c r="A41" s="65"/>
      <c r="B41" s="47"/>
      <c r="C41" s="47"/>
      <c r="D41" s="58"/>
      <c r="E41" s="47"/>
    </row>
    <row r="42" customFormat="false" ht="15" hidden="false" customHeight="false" outlineLevel="0" collapsed="false">
      <c r="A42" s="65"/>
      <c r="B42" s="47"/>
      <c r="C42" s="47"/>
      <c r="D42" s="58"/>
      <c r="E42" s="47"/>
    </row>
    <row r="43" customFormat="false" ht="15" hidden="false" customHeight="false" outlineLevel="0" collapsed="false">
      <c r="A43" s="65"/>
      <c r="B43" s="47"/>
      <c r="C43" s="47"/>
      <c r="D43" s="58"/>
      <c r="E43" s="47"/>
    </row>
    <row r="44" customFormat="false" ht="15" hidden="false" customHeight="false" outlineLevel="0" collapsed="false">
      <c r="A44" s="65"/>
      <c r="B44" s="47"/>
      <c r="C44" s="47"/>
      <c r="D44" s="58"/>
      <c r="E44" s="47"/>
    </row>
    <row r="45" customFormat="false" ht="15" hidden="false" customHeight="false" outlineLevel="0" collapsed="false">
      <c r="A45" s="65"/>
      <c r="B45" s="47"/>
      <c r="C45" s="47"/>
      <c r="D45" s="58"/>
      <c r="E45" s="47"/>
    </row>
    <row r="46" customFormat="false" ht="15" hidden="false" customHeight="false" outlineLevel="0" collapsed="false">
      <c r="A46" s="65"/>
      <c r="B46" s="47"/>
      <c r="C46" s="47"/>
      <c r="D46" s="58"/>
      <c r="E46" s="47"/>
    </row>
    <row r="47" customFormat="false" ht="15" hidden="false" customHeight="false" outlineLevel="0" collapsed="false">
      <c r="A47" s="65"/>
      <c r="B47" s="47"/>
      <c r="C47" s="47"/>
      <c r="D47" s="58"/>
      <c r="E47" s="47"/>
    </row>
    <row r="48" customFormat="false" ht="15" hidden="false" customHeight="false" outlineLevel="0" collapsed="false">
      <c r="A48" s="65"/>
      <c r="B48" s="47"/>
      <c r="C48" s="47"/>
      <c r="D48" s="58"/>
      <c r="E48" s="47"/>
    </row>
    <row r="49" customFormat="false" ht="15" hidden="false" customHeight="false" outlineLevel="0" collapsed="false">
      <c r="A49" s="65"/>
      <c r="B49" s="47"/>
      <c r="C49" s="47"/>
      <c r="D49" s="58"/>
      <c r="E49" s="47"/>
    </row>
    <row r="50" customFormat="false" ht="15" hidden="false" customHeight="false" outlineLevel="0" collapsed="false">
      <c r="A50" s="65"/>
      <c r="B50" s="47"/>
      <c r="C50" s="47"/>
      <c r="D50" s="58"/>
      <c r="E50" s="47"/>
    </row>
    <row r="51" customFormat="false" ht="15" hidden="false" customHeight="false" outlineLevel="0" collapsed="false">
      <c r="A51" s="65"/>
      <c r="B51" s="47"/>
      <c r="C51" s="47"/>
      <c r="D51" s="58"/>
      <c r="E51" s="47"/>
    </row>
    <row r="52" customFormat="false" ht="15" hidden="false" customHeight="false" outlineLevel="0" collapsed="false">
      <c r="A52" s="65"/>
      <c r="B52" s="47"/>
      <c r="C52" s="47"/>
      <c r="D52" s="58"/>
      <c r="E52" s="47"/>
    </row>
    <row r="53" customFormat="false" ht="15" hidden="false" customHeight="false" outlineLevel="0" collapsed="false">
      <c r="A53" s="65"/>
      <c r="B53" s="47"/>
      <c r="C53" s="47"/>
      <c r="D53" s="58"/>
      <c r="E53" s="47"/>
    </row>
    <row r="54" customFormat="false" ht="15" hidden="false" customHeight="false" outlineLevel="0" collapsed="false">
      <c r="A54" s="65"/>
      <c r="B54" s="47"/>
      <c r="C54" s="47"/>
      <c r="D54" s="58"/>
      <c r="E54" s="47"/>
    </row>
    <row r="55" customFormat="false" ht="15" hidden="false" customHeight="false" outlineLevel="0" collapsed="false">
      <c r="A55" s="65"/>
      <c r="B55" s="47"/>
      <c r="C55" s="47"/>
      <c r="D55" s="58"/>
      <c r="E55" s="47"/>
    </row>
    <row r="56" customFormat="false" ht="15" hidden="false" customHeight="false" outlineLevel="0" collapsed="false">
      <c r="A56" s="65"/>
      <c r="B56" s="47"/>
      <c r="C56" s="47"/>
      <c r="D56" s="58"/>
      <c r="E56" s="47"/>
    </row>
    <row r="57" customFormat="false" ht="15" hidden="false" customHeight="false" outlineLevel="0" collapsed="false">
      <c r="A57" s="65"/>
      <c r="B57" s="47"/>
      <c r="C57" s="47"/>
      <c r="D57" s="58"/>
      <c r="E57" s="47"/>
    </row>
    <row r="58" customFormat="false" ht="15" hidden="false" customHeight="false" outlineLevel="0" collapsed="false">
      <c r="A58" s="65"/>
      <c r="B58" s="47"/>
      <c r="C58" s="47"/>
      <c r="D58" s="58"/>
      <c r="E58" s="47"/>
    </row>
    <row r="59" customFormat="false" ht="15" hidden="false" customHeight="false" outlineLevel="0" collapsed="false">
      <c r="A59" s="65"/>
      <c r="B59" s="47"/>
      <c r="C59" s="47"/>
      <c r="D59" s="58"/>
      <c r="E59" s="47"/>
    </row>
    <row r="60" customFormat="false" ht="15" hidden="false" customHeight="false" outlineLevel="0" collapsed="false">
      <c r="A60" s="65"/>
      <c r="B60" s="47"/>
      <c r="C60" s="47"/>
      <c r="D60" s="58"/>
      <c r="E60" s="47"/>
    </row>
    <row r="61" customFormat="false" ht="15" hidden="false" customHeight="false" outlineLevel="0" collapsed="false">
      <c r="A61" s="65"/>
      <c r="B61" s="47"/>
      <c r="C61" s="47"/>
      <c r="D61" s="58"/>
      <c r="E61" s="47"/>
    </row>
    <row r="62" customFormat="false" ht="15" hidden="false" customHeight="false" outlineLevel="0" collapsed="false">
      <c r="A62" s="65"/>
      <c r="B62" s="47"/>
      <c r="C62" s="47"/>
      <c r="D62" s="58"/>
      <c r="E62" s="47"/>
    </row>
    <row r="63" customFormat="false" ht="15" hidden="false" customHeight="false" outlineLevel="0" collapsed="false">
      <c r="A63" s="65"/>
      <c r="B63" s="47"/>
      <c r="C63" s="47"/>
      <c r="D63" s="58"/>
      <c r="E63" s="47"/>
    </row>
    <row r="64" customFormat="false" ht="15" hidden="false" customHeight="false" outlineLevel="0" collapsed="false">
      <c r="A64" s="65"/>
      <c r="B64" s="47"/>
      <c r="C64" s="47"/>
      <c r="D64" s="58"/>
      <c r="E64" s="47"/>
    </row>
    <row r="65" customFormat="false" ht="15" hidden="false" customHeight="false" outlineLevel="0" collapsed="false">
      <c r="A65" s="65"/>
      <c r="B65" s="47"/>
      <c r="C65" s="47"/>
      <c r="D65" s="58"/>
      <c r="E65" s="47"/>
    </row>
    <row r="66" customFormat="false" ht="15" hidden="false" customHeight="false" outlineLevel="0" collapsed="false">
      <c r="A66" s="65"/>
      <c r="B66" s="47"/>
      <c r="C66" s="47"/>
      <c r="D66" s="58"/>
      <c r="E66" s="47"/>
    </row>
    <row r="67" customFormat="false" ht="15" hidden="false" customHeight="false" outlineLevel="0" collapsed="false">
      <c r="A67" s="65"/>
      <c r="B67" s="47"/>
      <c r="C67" s="47"/>
      <c r="D67" s="58"/>
      <c r="E67" s="47"/>
    </row>
    <row r="68" customFormat="false" ht="15" hidden="false" customHeight="false" outlineLevel="0" collapsed="false">
      <c r="A68" s="65"/>
      <c r="B68" s="47"/>
      <c r="C68" s="47"/>
      <c r="D68" s="58"/>
      <c r="E68" s="47"/>
    </row>
    <row r="69" customFormat="false" ht="15" hidden="false" customHeight="false" outlineLevel="0" collapsed="false">
      <c r="A69" s="65"/>
      <c r="B69" s="47"/>
      <c r="C69" s="47"/>
      <c r="D69" s="58"/>
      <c r="E69" s="47"/>
    </row>
    <row r="70" customFormat="false" ht="15" hidden="false" customHeight="false" outlineLevel="0" collapsed="false">
      <c r="A70" s="65"/>
      <c r="B70" s="47"/>
      <c r="C70" s="47"/>
      <c r="D70" s="58"/>
      <c r="E70" s="47"/>
    </row>
    <row r="71" customFormat="false" ht="15" hidden="false" customHeight="false" outlineLevel="0" collapsed="false">
      <c r="A71" s="65"/>
      <c r="B71" s="47"/>
      <c r="C71" s="47"/>
      <c r="D71" s="58"/>
      <c r="E71" s="47"/>
    </row>
    <row r="72" customFormat="false" ht="15" hidden="false" customHeight="false" outlineLevel="0" collapsed="false">
      <c r="A72" s="65"/>
      <c r="B72" s="47"/>
      <c r="C72" s="47"/>
      <c r="D72" s="58"/>
      <c r="E72" s="47"/>
    </row>
    <row r="73" customFormat="false" ht="15" hidden="false" customHeight="false" outlineLevel="0" collapsed="false">
      <c r="A73" s="65"/>
      <c r="B73" s="47"/>
      <c r="C73" s="47"/>
      <c r="D73" s="58"/>
      <c r="E73" s="47"/>
    </row>
    <row r="74" customFormat="false" ht="15" hidden="false" customHeight="false" outlineLevel="0" collapsed="false">
      <c r="A74" s="65"/>
      <c r="B74" s="47"/>
      <c r="C74" s="47"/>
      <c r="D74" s="58"/>
      <c r="E74" s="47"/>
    </row>
    <row r="75" customFormat="false" ht="15" hidden="false" customHeight="false" outlineLevel="0" collapsed="false">
      <c r="A75" s="65"/>
      <c r="B75" s="47"/>
      <c r="C75" s="47"/>
      <c r="D75" s="58"/>
      <c r="E75" s="47"/>
    </row>
    <row r="76" customFormat="false" ht="15" hidden="false" customHeight="false" outlineLevel="0" collapsed="false">
      <c r="A76" s="65"/>
      <c r="B76" s="47"/>
      <c r="C76" s="47"/>
      <c r="D76" s="58"/>
      <c r="E76" s="47"/>
    </row>
    <row r="77" customFormat="false" ht="15" hidden="false" customHeight="false" outlineLevel="0" collapsed="false">
      <c r="A77" s="65"/>
      <c r="B77" s="47"/>
      <c r="C77" s="47"/>
      <c r="D77" s="58"/>
      <c r="E77" s="47"/>
    </row>
    <row r="78" customFormat="false" ht="15" hidden="false" customHeight="false" outlineLevel="0" collapsed="false">
      <c r="A78" s="65"/>
      <c r="B78" s="47"/>
      <c r="C78" s="47"/>
      <c r="D78" s="58"/>
      <c r="E78" s="47"/>
    </row>
    <row r="79" customFormat="false" ht="15" hidden="false" customHeight="false" outlineLevel="0" collapsed="false">
      <c r="A79" s="65"/>
      <c r="B79" s="47"/>
      <c r="C79" s="47"/>
      <c r="D79" s="58"/>
      <c r="E79" s="47"/>
    </row>
    <row r="80" customFormat="false" ht="15" hidden="false" customHeight="false" outlineLevel="0" collapsed="false">
      <c r="A80" s="65"/>
      <c r="B80" s="47"/>
      <c r="C80" s="47"/>
      <c r="D80" s="58"/>
      <c r="E80" s="47"/>
    </row>
    <row r="81" customFormat="false" ht="15" hidden="false" customHeight="false" outlineLevel="0" collapsed="false">
      <c r="A81" s="65"/>
      <c r="B81" s="47"/>
      <c r="C81" s="47"/>
      <c r="D81" s="58"/>
      <c r="E81" s="47"/>
    </row>
    <row r="82" customFormat="false" ht="15" hidden="false" customHeight="false" outlineLevel="0" collapsed="false">
      <c r="A82" s="65"/>
      <c r="B82" s="47"/>
      <c r="C82" s="47"/>
      <c r="D82" s="58"/>
      <c r="E82" s="47"/>
    </row>
    <row r="83" customFormat="false" ht="15" hidden="false" customHeight="false" outlineLevel="0" collapsed="false">
      <c r="A83" s="65"/>
      <c r="B83" s="47"/>
      <c r="C83" s="47"/>
      <c r="D83" s="58"/>
      <c r="E83" s="47"/>
    </row>
    <row r="84" customFormat="false" ht="15" hidden="false" customHeight="false" outlineLevel="0" collapsed="false">
      <c r="A84" s="65"/>
      <c r="B84" s="47"/>
      <c r="C84" s="47"/>
      <c r="D84" s="58"/>
      <c r="E84" s="47"/>
    </row>
    <row r="85" customFormat="false" ht="15" hidden="false" customHeight="false" outlineLevel="0" collapsed="false">
      <c r="A85" s="65"/>
      <c r="B85" s="47"/>
      <c r="C85" s="47"/>
      <c r="D85" s="58"/>
      <c r="E85" s="47"/>
    </row>
    <row r="86" customFormat="false" ht="15" hidden="false" customHeight="false" outlineLevel="0" collapsed="false">
      <c r="A86" s="65"/>
      <c r="B86" s="47"/>
      <c r="C86" s="47"/>
      <c r="D86" s="58"/>
      <c r="E86" s="47"/>
    </row>
    <row r="87" customFormat="false" ht="15" hidden="false" customHeight="false" outlineLevel="0" collapsed="false">
      <c r="A87" s="65"/>
      <c r="B87" s="47"/>
      <c r="C87" s="47"/>
      <c r="D87" s="58"/>
      <c r="E87" s="47"/>
    </row>
    <row r="88" customFormat="false" ht="15" hidden="false" customHeight="false" outlineLevel="0" collapsed="false">
      <c r="A88" s="65"/>
      <c r="B88" s="47"/>
      <c r="C88" s="47"/>
      <c r="D88" s="58"/>
      <c r="E88" s="47"/>
    </row>
    <row r="89" customFormat="false" ht="15" hidden="false" customHeight="false" outlineLevel="0" collapsed="false">
      <c r="A89" s="65"/>
      <c r="B89" s="47"/>
      <c r="C89" s="47"/>
      <c r="D89" s="58"/>
      <c r="E89" s="47"/>
    </row>
    <row r="90" customFormat="false" ht="15" hidden="false" customHeight="false" outlineLevel="0" collapsed="false">
      <c r="A90" s="65"/>
      <c r="B90" s="47"/>
      <c r="C90" s="47"/>
      <c r="D90" s="58"/>
      <c r="E90" s="47"/>
    </row>
    <row r="91" customFormat="false" ht="15" hidden="false" customHeight="false" outlineLevel="0" collapsed="false">
      <c r="A91" s="65"/>
      <c r="B91" s="47"/>
      <c r="C91" s="47"/>
      <c r="D91" s="58"/>
      <c r="E91" s="47"/>
    </row>
    <row r="92" customFormat="false" ht="15" hidden="false" customHeight="false" outlineLevel="0" collapsed="false">
      <c r="A92" s="65"/>
      <c r="B92" s="47"/>
      <c r="C92" s="47"/>
      <c r="D92" s="58"/>
      <c r="E92" s="47"/>
    </row>
    <row r="93" customFormat="false" ht="15" hidden="false" customHeight="false" outlineLevel="0" collapsed="false">
      <c r="A93" s="65"/>
      <c r="B93" s="47"/>
      <c r="C93" s="47"/>
      <c r="D93" s="58"/>
      <c r="E93" s="47"/>
    </row>
    <row r="94" customFormat="false" ht="15" hidden="false" customHeight="false" outlineLevel="0" collapsed="false">
      <c r="A94" s="65"/>
      <c r="B94" s="47"/>
      <c r="C94" s="47"/>
      <c r="D94" s="58"/>
      <c r="E94" s="47"/>
    </row>
    <row r="95" customFormat="false" ht="15" hidden="false" customHeight="false" outlineLevel="0" collapsed="false">
      <c r="A95" s="65"/>
      <c r="B95" s="47"/>
      <c r="C95" s="47"/>
      <c r="D95" s="58"/>
      <c r="E95" s="47"/>
    </row>
    <row r="96" customFormat="false" ht="15" hidden="false" customHeight="false" outlineLevel="0" collapsed="false">
      <c r="A96" s="65"/>
      <c r="B96" s="47"/>
      <c r="C96" s="47"/>
      <c r="D96" s="58"/>
      <c r="E96" s="47"/>
    </row>
    <row r="97" customFormat="false" ht="15" hidden="false" customHeight="false" outlineLevel="0" collapsed="false">
      <c r="A97" s="65"/>
      <c r="B97" s="47"/>
      <c r="C97" s="47"/>
      <c r="D97" s="58"/>
      <c r="E97" s="47"/>
    </row>
    <row r="98" customFormat="false" ht="15" hidden="false" customHeight="false" outlineLevel="0" collapsed="false">
      <c r="A98" s="65"/>
      <c r="B98" s="47"/>
      <c r="C98" s="47"/>
      <c r="D98" s="58"/>
      <c r="E98" s="47"/>
    </row>
    <row r="99" customFormat="false" ht="15" hidden="false" customHeight="false" outlineLevel="0" collapsed="false">
      <c r="A99" s="65"/>
      <c r="B99" s="47"/>
      <c r="C99" s="47"/>
      <c r="D99" s="58"/>
      <c r="E99" s="47"/>
    </row>
    <row r="100" customFormat="false" ht="15" hidden="false" customHeight="false" outlineLevel="0" collapsed="false">
      <c r="A100" s="65"/>
      <c r="B100" s="47"/>
      <c r="C100" s="47"/>
      <c r="D100" s="58"/>
      <c r="E100" s="47"/>
    </row>
    <row r="101" customFormat="false" ht="15" hidden="false" customHeight="false" outlineLevel="0" collapsed="false">
      <c r="A101" s="65"/>
      <c r="B101" s="47"/>
      <c r="C101" s="47"/>
      <c r="D101" s="58"/>
      <c r="E101" s="47"/>
    </row>
    <row r="102" customFormat="false" ht="15" hidden="false" customHeight="false" outlineLevel="0" collapsed="false">
      <c r="A102" s="65"/>
      <c r="B102" s="47"/>
      <c r="C102" s="47"/>
      <c r="D102" s="58"/>
      <c r="E102" s="47"/>
    </row>
    <row r="103" customFormat="false" ht="15" hidden="false" customHeight="false" outlineLevel="0" collapsed="false">
      <c r="A103" s="65"/>
      <c r="B103" s="47"/>
      <c r="C103" s="47"/>
      <c r="D103" s="58"/>
      <c r="E103" s="47"/>
    </row>
    <row r="104" customFormat="false" ht="15" hidden="false" customHeight="false" outlineLevel="0" collapsed="false">
      <c r="A104" s="65"/>
      <c r="B104" s="47"/>
      <c r="C104" s="47"/>
      <c r="D104" s="58"/>
      <c r="E104" s="47"/>
    </row>
    <row r="105" customFormat="false" ht="15" hidden="false" customHeight="false" outlineLevel="0" collapsed="false">
      <c r="A105" s="65"/>
      <c r="B105" s="47"/>
      <c r="C105" s="47"/>
      <c r="D105" s="58"/>
      <c r="E105" s="47"/>
    </row>
    <row r="106" customFormat="false" ht="15" hidden="false" customHeight="false" outlineLevel="0" collapsed="false">
      <c r="A106" s="65"/>
      <c r="B106" s="47"/>
      <c r="C106" s="47"/>
      <c r="D106" s="58"/>
      <c r="E106" s="47"/>
    </row>
    <row r="107" customFormat="false" ht="15" hidden="false" customHeight="false" outlineLevel="0" collapsed="false">
      <c r="A107" s="65"/>
      <c r="B107" s="47"/>
      <c r="C107" s="47"/>
      <c r="D107" s="58"/>
      <c r="E107" s="47"/>
    </row>
    <row r="108" customFormat="false" ht="15" hidden="false" customHeight="false" outlineLevel="0" collapsed="false">
      <c r="A108" s="65"/>
      <c r="B108" s="47"/>
      <c r="C108" s="47"/>
      <c r="D108" s="58"/>
      <c r="E108" s="47"/>
    </row>
    <row r="109" customFormat="false" ht="15" hidden="false" customHeight="false" outlineLevel="0" collapsed="false">
      <c r="A109" s="65"/>
      <c r="B109" s="47"/>
      <c r="C109" s="47"/>
      <c r="D109" s="58"/>
      <c r="E109" s="47"/>
    </row>
    <row r="110" customFormat="false" ht="15" hidden="false" customHeight="false" outlineLevel="0" collapsed="false">
      <c r="A110" s="65"/>
      <c r="B110" s="47"/>
      <c r="C110" s="47"/>
      <c r="D110" s="58"/>
      <c r="E110" s="47"/>
    </row>
    <row r="111" customFormat="false" ht="15" hidden="false" customHeight="false" outlineLevel="0" collapsed="false">
      <c r="A111" s="65"/>
      <c r="B111" s="47"/>
      <c r="C111" s="47"/>
      <c r="D111" s="58"/>
      <c r="E111" s="47"/>
    </row>
    <row r="112" customFormat="false" ht="15" hidden="false" customHeight="false" outlineLevel="0" collapsed="false">
      <c r="A112" s="65"/>
      <c r="B112" s="47"/>
      <c r="C112" s="47"/>
      <c r="D112" s="58"/>
      <c r="E112" s="47"/>
    </row>
    <row r="113" customFormat="false" ht="15" hidden="false" customHeight="false" outlineLevel="0" collapsed="false">
      <c r="A113" s="65"/>
      <c r="B113" s="47"/>
      <c r="C113" s="47"/>
      <c r="D113" s="58"/>
      <c r="E113" s="47"/>
    </row>
    <row r="114" customFormat="false" ht="15" hidden="false" customHeight="false" outlineLevel="0" collapsed="false">
      <c r="A114" s="65"/>
      <c r="B114" s="47"/>
      <c r="C114" s="47"/>
      <c r="D114" s="58"/>
      <c r="E114" s="47"/>
    </row>
    <row r="115" customFormat="false" ht="15" hidden="false" customHeight="false" outlineLevel="0" collapsed="false">
      <c r="A115" s="65"/>
      <c r="B115" s="47"/>
      <c r="C115" s="47"/>
      <c r="D115" s="58"/>
      <c r="E115" s="47"/>
    </row>
    <row r="116" customFormat="false" ht="15" hidden="false" customHeight="false" outlineLevel="0" collapsed="false">
      <c r="A116" s="65"/>
      <c r="B116" s="47"/>
      <c r="C116" s="47"/>
      <c r="D116" s="58"/>
      <c r="E116" s="47"/>
    </row>
    <row r="117" customFormat="false" ht="15" hidden="false" customHeight="false" outlineLevel="0" collapsed="false">
      <c r="A117" s="65"/>
      <c r="B117" s="47"/>
      <c r="C117" s="47"/>
      <c r="D117" s="58"/>
      <c r="E117" s="47"/>
    </row>
    <row r="118" customFormat="false" ht="15" hidden="false" customHeight="false" outlineLevel="0" collapsed="false">
      <c r="A118" s="65"/>
      <c r="B118" s="47"/>
      <c r="C118" s="47"/>
      <c r="D118" s="58"/>
      <c r="E118" s="47"/>
    </row>
    <row r="119" customFormat="false" ht="15" hidden="false" customHeight="false" outlineLevel="0" collapsed="false">
      <c r="A119" s="65"/>
      <c r="B119" s="47"/>
      <c r="C119" s="47"/>
      <c r="D119" s="58"/>
      <c r="E119" s="47"/>
    </row>
    <row r="120" customFormat="false" ht="15" hidden="false" customHeight="false" outlineLevel="0" collapsed="false">
      <c r="A120" s="65"/>
      <c r="B120" s="47"/>
      <c r="C120" s="47"/>
      <c r="D120" s="58"/>
      <c r="E120" s="47"/>
    </row>
    <row r="121" customFormat="false" ht="15" hidden="false" customHeight="false" outlineLevel="0" collapsed="false">
      <c r="A121" s="65"/>
      <c r="B121" s="47"/>
      <c r="C121" s="47"/>
      <c r="D121" s="58"/>
      <c r="E121" s="47"/>
    </row>
    <row r="122" customFormat="false" ht="15" hidden="false" customHeight="false" outlineLevel="0" collapsed="false">
      <c r="A122" s="65"/>
      <c r="B122" s="47"/>
      <c r="C122" s="47"/>
      <c r="D122" s="58"/>
      <c r="E122" s="47"/>
    </row>
    <row r="123" customFormat="false" ht="15" hidden="false" customHeight="false" outlineLevel="0" collapsed="false">
      <c r="A123" s="65"/>
      <c r="B123" s="47"/>
      <c r="C123" s="47"/>
      <c r="D123" s="58"/>
      <c r="E123" s="47"/>
    </row>
    <row r="124" customFormat="false" ht="15" hidden="false" customHeight="false" outlineLevel="0" collapsed="false">
      <c r="A124" s="65"/>
      <c r="B124" s="47"/>
      <c r="C124" s="47"/>
      <c r="D124" s="58"/>
      <c r="E124" s="47"/>
    </row>
    <row r="125" customFormat="false" ht="15" hidden="false" customHeight="false" outlineLevel="0" collapsed="false">
      <c r="A125" s="65"/>
      <c r="B125" s="47"/>
      <c r="C125" s="47"/>
      <c r="D125" s="58"/>
      <c r="E125" s="47"/>
    </row>
    <row r="126" customFormat="false" ht="15" hidden="false" customHeight="false" outlineLevel="0" collapsed="false">
      <c r="A126" s="65"/>
      <c r="B126" s="47"/>
      <c r="C126" s="47"/>
      <c r="D126" s="58"/>
      <c r="E126" s="47"/>
    </row>
    <row r="127" customFormat="false" ht="15" hidden="false" customHeight="false" outlineLevel="0" collapsed="false">
      <c r="A127" s="65"/>
      <c r="B127" s="47"/>
      <c r="C127" s="47"/>
      <c r="D127" s="58"/>
      <c r="E127" s="47"/>
    </row>
    <row r="128" customFormat="false" ht="15" hidden="false" customHeight="false" outlineLevel="0" collapsed="false">
      <c r="A128" s="65"/>
      <c r="B128" s="47"/>
      <c r="C128" s="47"/>
      <c r="D128" s="58"/>
      <c r="E128" s="47"/>
    </row>
    <row r="129" customFormat="false" ht="15" hidden="false" customHeight="false" outlineLevel="0" collapsed="false">
      <c r="A129" s="65"/>
      <c r="B129" s="47"/>
      <c r="C129" s="47"/>
      <c r="D129" s="58"/>
      <c r="E129" s="47"/>
    </row>
    <row r="130" customFormat="false" ht="15" hidden="false" customHeight="false" outlineLevel="0" collapsed="false">
      <c r="A130" s="65"/>
      <c r="B130" s="47"/>
      <c r="C130" s="47"/>
      <c r="D130" s="58"/>
      <c r="E130" s="47"/>
    </row>
    <row r="131" customFormat="false" ht="15" hidden="false" customHeight="false" outlineLevel="0" collapsed="false">
      <c r="A131" s="65"/>
      <c r="B131" s="47"/>
      <c r="C131" s="47"/>
      <c r="D131" s="58"/>
      <c r="E131" s="47"/>
    </row>
    <row r="132" customFormat="false" ht="15" hidden="false" customHeight="false" outlineLevel="0" collapsed="false">
      <c r="A132" s="65"/>
      <c r="B132" s="47"/>
      <c r="C132" s="47"/>
      <c r="D132" s="58"/>
      <c r="E132" s="47"/>
    </row>
    <row r="133" customFormat="false" ht="15" hidden="false" customHeight="false" outlineLevel="0" collapsed="false">
      <c r="A133" s="65"/>
      <c r="B133" s="47"/>
      <c r="C133" s="47"/>
      <c r="D133" s="58"/>
      <c r="E133" s="47"/>
    </row>
    <row r="134" customFormat="false" ht="15" hidden="false" customHeight="false" outlineLevel="0" collapsed="false">
      <c r="A134" s="65"/>
      <c r="B134" s="47"/>
      <c r="C134" s="47"/>
      <c r="D134" s="58"/>
      <c r="E134" s="47"/>
    </row>
    <row r="135" customFormat="false" ht="15" hidden="false" customHeight="false" outlineLevel="0" collapsed="false">
      <c r="A135" s="65"/>
      <c r="B135" s="47"/>
      <c r="C135" s="47"/>
      <c r="D135" s="58"/>
      <c r="E135" s="47"/>
    </row>
    <row r="136" customFormat="false" ht="15" hidden="false" customHeight="false" outlineLevel="0" collapsed="false">
      <c r="A136" s="65"/>
      <c r="B136" s="47"/>
      <c r="C136" s="47"/>
      <c r="D136" s="58"/>
      <c r="E136" s="47"/>
    </row>
    <row r="137" customFormat="false" ht="15" hidden="false" customHeight="false" outlineLevel="0" collapsed="false">
      <c r="A137" s="65"/>
      <c r="B137" s="47"/>
      <c r="C137" s="47"/>
      <c r="D137" s="58"/>
      <c r="E137" s="47"/>
    </row>
    <row r="138" customFormat="false" ht="15" hidden="false" customHeight="false" outlineLevel="0" collapsed="false">
      <c r="A138" s="65"/>
      <c r="B138" s="47"/>
      <c r="C138" s="47"/>
      <c r="D138" s="58"/>
      <c r="E138" s="47"/>
    </row>
    <row r="139" customFormat="false" ht="15" hidden="false" customHeight="false" outlineLevel="0" collapsed="false">
      <c r="A139" s="65"/>
      <c r="B139" s="47"/>
      <c r="C139" s="47"/>
      <c r="D139" s="58"/>
      <c r="E139" s="47"/>
    </row>
    <row r="140" customFormat="false" ht="15" hidden="false" customHeight="false" outlineLevel="0" collapsed="false">
      <c r="A140" s="65"/>
      <c r="B140" s="47"/>
      <c r="C140" s="47"/>
      <c r="D140" s="58"/>
      <c r="E140" s="47"/>
    </row>
    <row r="141" customFormat="false" ht="15" hidden="false" customHeight="false" outlineLevel="0" collapsed="false">
      <c r="A141" s="65"/>
      <c r="B141" s="47"/>
      <c r="C141" s="47"/>
      <c r="D141" s="58"/>
      <c r="E141" s="47"/>
    </row>
    <row r="142" customFormat="false" ht="15" hidden="false" customHeight="false" outlineLevel="0" collapsed="false">
      <c r="A142" s="65"/>
      <c r="B142" s="47"/>
      <c r="C142" s="47"/>
      <c r="D142" s="58"/>
      <c r="E142" s="47"/>
    </row>
    <row r="143" customFormat="false" ht="15" hidden="false" customHeight="false" outlineLevel="0" collapsed="false">
      <c r="A143" s="65"/>
      <c r="B143" s="47"/>
      <c r="C143" s="47"/>
      <c r="D143" s="58"/>
      <c r="E143" s="47"/>
    </row>
    <row r="144" customFormat="false" ht="15" hidden="false" customHeight="false" outlineLevel="0" collapsed="false">
      <c r="A144" s="65"/>
      <c r="B144" s="47"/>
      <c r="C144" s="47"/>
      <c r="D144" s="58"/>
      <c r="E144" s="47"/>
    </row>
    <row r="145" customFormat="false" ht="15" hidden="false" customHeight="false" outlineLevel="0" collapsed="false">
      <c r="A145" s="65"/>
      <c r="B145" s="47"/>
      <c r="C145" s="47"/>
      <c r="D145" s="58"/>
      <c r="E145" s="47"/>
    </row>
    <row r="146" customFormat="false" ht="15" hidden="false" customHeight="false" outlineLevel="0" collapsed="false">
      <c r="A146" s="65"/>
      <c r="B146" s="47"/>
      <c r="C146" s="47"/>
      <c r="D146" s="58"/>
      <c r="E146" s="47"/>
    </row>
    <row r="147" customFormat="false" ht="15" hidden="false" customHeight="false" outlineLevel="0" collapsed="false">
      <c r="A147" s="65"/>
      <c r="B147" s="47"/>
      <c r="C147" s="47"/>
      <c r="D147" s="58"/>
      <c r="E147" s="47"/>
    </row>
    <row r="148" customFormat="false" ht="15" hidden="false" customHeight="false" outlineLevel="0" collapsed="false">
      <c r="A148" s="65"/>
      <c r="B148" s="47"/>
      <c r="C148" s="47"/>
      <c r="D148" s="58"/>
      <c r="E148" s="47"/>
    </row>
    <row r="149" customFormat="false" ht="15" hidden="false" customHeight="false" outlineLevel="0" collapsed="false">
      <c r="A149" s="65"/>
      <c r="B149" s="47"/>
      <c r="C149" s="47"/>
      <c r="D149" s="58"/>
      <c r="E149" s="47"/>
    </row>
    <row r="150" customFormat="false" ht="15" hidden="false" customHeight="false" outlineLevel="0" collapsed="false">
      <c r="A150" s="65"/>
      <c r="B150" s="47"/>
      <c r="C150" s="47"/>
      <c r="D150" s="58"/>
      <c r="E150" s="47"/>
    </row>
    <row r="151" customFormat="false" ht="15" hidden="false" customHeight="false" outlineLevel="0" collapsed="false">
      <c r="A151" s="65"/>
      <c r="B151" s="47"/>
      <c r="C151" s="47"/>
      <c r="D151" s="58"/>
      <c r="E151" s="47"/>
    </row>
    <row r="152" customFormat="false" ht="15" hidden="false" customHeight="false" outlineLevel="0" collapsed="false">
      <c r="A152" s="65"/>
      <c r="B152" s="47"/>
      <c r="C152" s="47"/>
      <c r="D152" s="58"/>
      <c r="E152" s="47"/>
    </row>
    <row r="153" customFormat="false" ht="15" hidden="false" customHeight="false" outlineLevel="0" collapsed="false">
      <c r="A153" s="65"/>
      <c r="B153" s="47"/>
      <c r="C153" s="47"/>
      <c r="D153" s="58"/>
      <c r="E153" s="47"/>
    </row>
    <row r="154" customFormat="false" ht="15" hidden="false" customHeight="false" outlineLevel="0" collapsed="false">
      <c r="A154" s="65"/>
      <c r="B154" s="47"/>
      <c r="C154" s="47"/>
      <c r="D154" s="58"/>
      <c r="E154" s="47"/>
    </row>
    <row r="155" customFormat="false" ht="15" hidden="false" customHeight="false" outlineLevel="0" collapsed="false">
      <c r="A155" s="65"/>
      <c r="B155" s="47"/>
      <c r="C155" s="47"/>
      <c r="D155" s="58"/>
      <c r="E155" s="47"/>
    </row>
  </sheetData>
  <mergeCells count="3">
    <mergeCell ref="A1:E1"/>
    <mergeCell ref="A2:E2"/>
    <mergeCell ref="A3:E3"/>
  </mergeCells>
  <dataValidations count="2">
    <dataValidation allowBlank="true" errorStyle="stop" operator="between" showDropDown="false" showErrorMessage="false" showInputMessage="false" sqref="B6:B155" type="list">
      <formula1>"عمر المصري,عبدالعزيز,المدير"</formula1>
      <formula2>0</formula2>
    </dataValidation>
    <dataValidation allowBlank="true" errorStyle="stop" operator="between" showDropDown="false" showErrorMessage="false" showInputMessage="false" sqref="C6:C155" type="list">
      <formula1>"سلفة,دين,بضاعة,دفع,تسديد,رصيد مدوّر له,رصيد مدوّر عليه"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8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28"/>
  </cols>
  <sheetData>
    <row r="1" customFormat="false" ht="30" hidden="false" customHeight="true" outlineLevel="0" collapsed="false">
      <c r="A1" s="66" t="s">
        <v>204</v>
      </c>
      <c r="B1" s="66"/>
      <c r="C1" s="66"/>
      <c r="D1" s="66"/>
      <c r="E1" s="66"/>
      <c r="F1" s="66"/>
      <c r="G1" s="66"/>
    </row>
    <row r="2" customFormat="false" ht="15" hidden="false" customHeight="false" outlineLevel="0" collapsed="false">
      <c r="A2" s="67" t="str">
        <f aca="false">SEL_M&amp;"  "&amp;SEL_Y</f>
        <v>10 - تشرين الأول  2026</v>
      </c>
      <c r="B2" s="67"/>
      <c r="C2" s="67"/>
      <c r="D2" s="67"/>
      <c r="E2" s="67"/>
      <c r="F2" s="67"/>
      <c r="G2" s="67"/>
    </row>
    <row r="3" customFormat="false" ht="33.75" hidden="false" customHeight="true" outlineLevel="0" collapsed="false">
      <c r="A3" s="44" t="s">
        <v>205</v>
      </c>
      <c r="B3" s="44"/>
      <c r="C3" s="44"/>
      <c r="D3" s="44"/>
      <c r="E3" s="44"/>
      <c r="F3" s="44"/>
      <c r="G3" s="44"/>
    </row>
    <row r="5" customFormat="false" ht="30" hidden="false" customHeight="true" outlineLevel="0" collapsed="false">
      <c r="A5" s="68" t="s">
        <v>186</v>
      </c>
      <c r="B5" s="68" t="s">
        <v>206</v>
      </c>
      <c r="C5" s="68" t="s">
        <v>207</v>
      </c>
      <c r="D5" s="68" t="s">
        <v>208</v>
      </c>
      <c r="E5" s="68" t="s">
        <v>209</v>
      </c>
      <c r="F5" s="68" t="s">
        <v>210</v>
      </c>
      <c r="G5" s="68" t="s">
        <v>194</v>
      </c>
    </row>
    <row r="6" customFormat="false" ht="15" hidden="false" customHeight="false" outlineLevel="0" collapsed="false">
      <c r="A6" s="65"/>
      <c r="B6" s="47"/>
      <c r="C6" s="47"/>
      <c r="D6" s="58"/>
      <c r="E6" s="47"/>
      <c r="F6" s="65"/>
      <c r="G6" s="47"/>
    </row>
    <row r="7" customFormat="false" ht="15" hidden="false" customHeight="false" outlineLevel="0" collapsed="false">
      <c r="A7" s="65"/>
      <c r="B7" s="47"/>
      <c r="C7" s="47"/>
      <c r="D7" s="58"/>
      <c r="E7" s="47"/>
      <c r="F7" s="65"/>
      <c r="G7" s="47"/>
    </row>
    <row r="8" customFormat="false" ht="15" hidden="false" customHeight="false" outlineLevel="0" collapsed="false">
      <c r="A8" s="65"/>
      <c r="B8" s="47"/>
      <c r="C8" s="47"/>
      <c r="D8" s="58"/>
      <c r="E8" s="47"/>
      <c r="F8" s="65"/>
      <c r="G8" s="47"/>
    </row>
    <row r="9" customFormat="false" ht="15" hidden="false" customHeight="false" outlineLevel="0" collapsed="false">
      <c r="A9" s="65"/>
      <c r="B9" s="47"/>
      <c r="C9" s="47"/>
      <c r="D9" s="58"/>
      <c r="E9" s="47"/>
      <c r="F9" s="65"/>
      <c r="G9" s="47"/>
    </row>
    <row r="10" customFormat="false" ht="15" hidden="false" customHeight="false" outlineLevel="0" collapsed="false">
      <c r="A10" s="65"/>
      <c r="B10" s="47"/>
      <c r="C10" s="47"/>
      <c r="D10" s="58"/>
      <c r="E10" s="47"/>
      <c r="F10" s="65"/>
      <c r="G10" s="47"/>
    </row>
    <row r="11" customFormat="false" ht="15" hidden="false" customHeight="false" outlineLevel="0" collapsed="false">
      <c r="A11" s="65"/>
      <c r="B11" s="47"/>
      <c r="C11" s="47"/>
      <c r="D11" s="58"/>
      <c r="E11" s="47"/>
      <c r="F11" s="65"/>
      <c r="G11" s="47"/>
    </row>
    <row r="12" customFormat="false" ht="15" hidden="false" customHeight="false" outlineLevel="0" collapsed="false">
      <c r="A12" s="65"/>
      <c r="B12" s="47"/>
      <c r="C12" s="47"/>
      <c r="D12" s="58"/>
      <c r="E12" s="47"/>
      <c r="F12" s="65"/>
      <c r="G12" s="47"/>
    </row>
    <row r="13" customFormat="false" ht="15" hidden="false" customHeight="false" outlineLevel="0" collapsed="false">
      <c r="A13" s="65"/>
      <c r="B13" s="47"/>
      <c r="C13" s="47"/>
      <c r="D13" s="58"/>
      <c r="E13" s="47"/>
      <c r="F13" s="65"/>
      <c r="G13" s="47"/>
    </row>
    <row r="14" customFormat="false" ht="15" hidden="false" customHeight="false" outlineLevel="0" collapsed="false">
      <c r="A14" s="65"/>
      <c r="B14" s="47"/>
      <c r="C14" s="47"/>
      <c r="D14" s="58"/>
      <c r="E14" s="47"/>
      <c r="F14" s="65"/>
      <c r="G14" s="47"/>
    </row>
    <row r="15" customFormat="false" ht="15" hidden="false" customHeight="false" outlineLevel="0" collapsed="false">
      <c r="A15" s="65"/>
      <c r="B15" s="47"/>
      <c r="C15" s="47"/>
      <c r="D15" s="58"/>
      <c r="E15" s="47"/>
      <c r="F15" s="65"/>
      <c r="G15" s="47"/>
    </row>
    <row r="16" customFormat="false" ht="15" hidden="false" customHeight="false" outlineLevel="0" collapsed="false">
      <c r="A16" s="65"/>
      <c r="B16" s="47"/>
      <c r="C16" s="47"/>
      <c r="D16" s="58"/>
      <c r="E16" s="47"/>
      <c r="F16" s="65"/>
      <c r="G16" s="47"/>
    </row>
    <row r="17" customFormat="false" ht="15" hidden="false" customHeight="false" outlineLevel="0" collapsed="false">
      <c r="A17" s="65"/>
      <c r="B17" s="47"/>
      <c r="C17" s="47"/>
      <c r="D17" s="58"/>
      <c r="E17" s="47"/>
      <c r="F17" s="65"/>
      <c r="G17" s="47"/>
    </row>
    <row r="18" customFormat="false" ht="15" hidden="false" customHeight="false" outlineLevel="0" collapsed="false">
      <c r="A18" s="65"/>
      <c r="B18" s="47"/>
      <c r="C18" s="47"/>
      <c r="D18" s="58"/>
      <c r="E18" s="47"/>
      <c r="F18" s="65"/>
      <c r="G18" s="47"/>
    </row>
    <row r="19" customFormat="false" ht="15" hidden="false" customHeight="false" outlineLevel="0" collapsed="false">
      <c r="A19" s="65"/>
      <c r="B19" s="47"/>
      <c r="C19" s="47"/>
      <c r="D19" s="58"/>
      <c r="E19" s="47"/>
      <c r="F19" s="65"/>
      <c r="G19" s="47"/>
    </row>
    <row r="20" customFormat="false" ht="15" hidden="false" customHeight="false" outlineLevel="0" collapsed="false">
      <c r="A20" s="65"/>
      <c r="B20" s="47"/>
      <c r="C20" s="47"/>
      <c r="D20" s="58"/>
      <c r="E20" s="47"/>
      <c r="F20" s="65"/>
      <c r="G20" s="47"/>
    </row>
    <row r="21" customFormat="false" ht="15" hidden="false" customHeight="false" outlineLevel="0" collapsed="false">
      <c r="A21" s="65"/>
      <c r="B21" s="47"/>
      <c r="C21" s="47"/>
      <c r="D21" s="58"/>
      <c r="E21" s="47"/>
      <c r="F21" s="65"/>
      <c r="G21" s="47"/>
    </row>
    <row r="22" customFormat="false" ht="15" hidden="false" customHeight="false" outlineLevel="0" collapsed="false">
      <c r="A22" s="65"/>
      <c r="B22" s="47"/>
      <c r="C22" s="47"/>
      <c r="D22" s="58"/>
      <c r="E22" s="47"/>
      <c r="F22" s="65"/>
      <c r="G22" s="47"/>
    </row>
    <row r="23" customFormat="false" ht="15" hidden="false" customHeight="false" outlineLevel="0" collapsed="false">
      <c r="A23" s="65"/>
      <c r="B23" s="47"/>
      <c r="C23" s="47"/>
      <c r="D23" s="58"/>
      <c r="E23" s="47"/>
      <c r="F23" s="65"/>
      <c r="G23" s="47"/>
    </row>
    <row r="24" customFormat="false" ht="15" hidden="false" customHeight="false" outlineLevel="0" collapsed="false">
      <c r="A24" s="65"/>
      <c r="B24" s="47"/>
      <c r="C24" s="47"/>
      <c r="D24" s="58"/>
      <c r="E24" s="47"/>
      <c r="F24" s="65"/>
      <c r="G24" s="47"/>
    </row>
    <row r="25" customFormat="false" ht="15" hidden="false" customHeight="false" outlineLevel="0" collapsed="false">
      <c r="A25" s="65"/>
      <c r="B25" s="47"/>
      <c r="C25" s="47"/>
      <c r="D25" s="58"/>
      <c r="E25" s="47"/>
      <c r="F25" s="65"/>
      <c r="G25" s="47"/>
    </row>
    <row r="26" customFormat="false" ht="15" hidden="false" customHeight="false" outlineLevel="0" collapsed="false">
      <c r="A26" s="65"/>
      <c r="B26" s="47"/>
      <c r="C26" s="47"/>
      <c r="D26" s="58"/>
      <c r="E26" s="47"/>
      <c r="F26" s="65"/>
      <c r="G26" s="47"/>
    </row>
    <row r="27" customFormat="false" ht="15" hidden="false" customHeight="false" outlineLevel="0" collapsed="false">
      <c r="A27" s="65"/>
      <c r="B27" s="47"/>
      <c r="C27" s="47"/>
      <c r="D27" s="58"/>
      <c r="E27" s="47"/>
      <c r="F27" s="65"/>
      <c r="G27" s="47"/>
    </row>
    <row r="28" customFormat="false" ht="15" hidden="false" customHeight="false" outlineLevel="0" collapsed="false">
      <c r="A28" s="65"/>
      <c r="B28" s="47"/>
      <c r="C28" s="47"/>
      <c r="D28" s="58"/>
      <c r="E28" s="47"/>
      <c r="F28" s="65"/>
      <c r="G28" s="47"/>
    </row>
    <row r="29" customFormat="false" ht="15" hidden="false" customHeight="false" outlineLevel="0" collapsed="false">
      <c r="A29" s="65"/>
      <c r="B29" s="47"/>
      <c r="C29" s="47"/>
      <c r="D29" s="58"/>
      <c r="E29" s="47"/>
      <c r="F29" s="65"/>
      <c r="G29" s="47"/>
    </row>
    <row r="30" customFormat="false" ht="15" hidden="false" customHeight="false" outlineLevel="0" collapsed="false">
      <c r="A30" s="65"/>
      <c r="B30" s="47"/>
      <c r="C30" s="47"/>
      <c r="D30" s="58"/>
      <c r="E30" s="47"/>
      <c r="F30" s="65"/>
      <c r="G30" s="47"/>
    </row>
    <row r="31" customFormat="false" ht="15" hidden="false" customHeight="false" outlineLevel="0" collapsed="false">
      <c r="A31" s="65"/>
      <c r="B31" s="47"/>
      <c r="C31" s="47"/>
      <c r="D31" s="58"/>
      <c r="E31" s="47"/>
      <c r="F31" s="65"/>
      <c r="G31" s="47"/>
    </row>
    <row r="32" customFormat="false" ht="15" hidden="false" customHeight="false" outlineLevel="0" collapsed="false">
      <c r="A32" s="65"/>
      <c r="B32" s="47"/>
      <c r="C32" s="47"/>
      <c r="D32" s="58"/>
      <c r="E32" s="47"/>
      <c r="F32" s="65"/>
      <c r="G32" s="47"/>
    </row>
    <row r="33" customFormat="false" ht="15" hidden="false" customHeight="false" outlineLevel="0" collapsed="false">
      <c r="A33" s="65"/>
      <c r="B33" s="47"/>
      <c r="C33" s="47"/>
      <c r="D33" s="58"/>
      <c r="E33" s="47"/>
      <c r="F33" s="65"/>
      <c r="G33" s="47"/>
    </row>
    <row r="34" customFormat="false" ht="15" hidden="false" customHeight="false" outlineLevel="0" collapsed="false">
      <c r="A34" s="65"/>
      <c r="B34" s="47"/>
      <c r="C34" s="47"/>
      <c r="D34" s="58"/>
      <c r="E34" s="47"/>
      <c r="F34" s="65"/>
      <c r="G34" s="47"/>
    </row>
    <row r="35" customFormat="false" ht="15" hidden="false" customHeight="false" outlineLevel="0" collapsed="false">
      <c r="A35" s="65"/>
      <c r="B35" s="47"/>
      <c r="C35" s="47"/>
      <c r="D35" s="58"/>
      <c r="E35" s="47"/>
      <c r="F35" s="65"/>
      <c r="G35" s="47"/>
    </row>
    <row r="36" customFormat="false" ht="15" hidden="false" customHeight="false" outlineLevel="0" collapsed="false">
      <c r="A36" s="65"/>
      <c r="B36" s="47"/>
      <c r="C36" s="47"/>
      <c r="D36" s="58"/>
      <c r="E36" s="47"/>
      <c r="F36" s="65"/>
      <c r="G36" s="47"/>
    </row>
    <row r="37" customFormat="false" ht="15" hidden="false" customHeight="false" outlineLevel="0" collapsed="false">
      <c r="A37" s="65"/>
      <c r="B37" s="47"/>
      <c r="C37" s="47"/>
      <c r="D37" s="58"/>
      <c r="E37" s="47"/>
      <c r="F37" s="65"/>
      <c r="G37" s="47"/>
    </row>
    <row r="38" customFormat="false" ht="15" hidden="false" customHeight="false" outlineLevel="0" collapsed="false">
      <c r="A38" s="65"/>
      <c r="B38" s="47"/>
      <c r="C38" s="47"/>
      <c r="D38" s="58"/>
      <c r="E38" s="47"/>
      <c r="F38" s="65"/>
      <c r="G38" s="47"/>
    </row>
    <row r="39" customFormat="false" ht="15" hidden="false" customHeight="false" outlineLevel="0" collapsed="false">
      <c r="A39" s="65"/>
      <c r="B39" s="47"/>
      <c r="C39" s="47"/>
      <c r="D39" s="58"/>
      <c r="E39" s="47"/>
      <c r="F39" s="65"/>
      <c r="G39" s="47"/>
    </row>
    <row r="40" customFormat="false" ht="15" hidden="false" customHeight="false" outlineLevel="0" collapsed="false">
      <c r="A40" s="65"/>
      <c r="B40" s="47"/>
      <c r="C40" s="47"/>
      <c r="D40" s="58"/>
      <c r="E40" s="47"/>
      <c r="F40" s="65"/>
      <c r="G40" s="47"/>
    </row>
    <row r="41" customFormat="false" ht="15" hidden="false" customHeight="false" outlineLevel="0" collapsed="false">
      <c r="A41" s="65"/>
      <c r="B41" s="47"/>
      <c r="C41" s="47"/>
      <c r="D41" s="58"/>
      <c r="E41" s="47"/>
      <c r="F41" s="65"/>
      <c r="G41" s="47"/>
    </row>
    <row r="42" customFormat="false" ht="15" hidden="false" customHeight="false" outlineLevel="0" collapsed="false">
      <c r="A42" s="65"/>
      <c r="B42" s="47"/>
      <c r="C42" s="47"/>
      <c r="D42" s="58"/>
      <c r="E42" s="47"/>
      <c r="F42" s="65"/>
      <c r="G42" s="47"/>
    </row>
    <row r="43" customFormat="false" ht="15" hidden="false" customHeight="false" outlineLevel="0" collapsed="false">
      <c r="A43" s="65"/>
      <c r="B43" s="47"/>
      <c r="C43" s="47"/>
      <c r="D43" s="58"/>
      <c r="E43" s="47"/>
      <c r="F43" s="65"/>
      <c r="G43" s="47"/>
    </row>
    <row r="44" customFormat="false" ht="15" hidden="false" customHeight="false" outlineLevel="0" collapsed="false">
      <c r="A44" s="65"/>
      <c r="B44" s="47"/>
      <c r="C44" s="47"/>
      <c r="D44" s="58"/>
      <c r="E44" s="47"/>
      <c r="F44" s="65"/>
      <c r="G44" s="47"/>
    </row>
    <row r="45" customFormat="false" ht="15" hidden="false" customHeight="false" outlineLevel="0" collapsed="false">
      <c r="A45" s="65"/>
      <c r="B45" s="47"/>
      <c r="C45" s="47"/>
      <c r="D45" s="58"/>
      <c r="E45" s="47"/>
      <c r="F45" s="65"/>
      <c r="G45" s="47"/>
    </row>
    <row r="46" customFormat="false" ht="15" hidden="false" customHeight="false" outlineLevel="0" collapsed="false">
      <c r="A46" s="65"/>
      <c r="B46" s="47"/>
      <c r="C46" s="47"/>
      <c r="D46" s="58"/>
      <c r="E46" s="47"/>
      <c r="F46" s="65"/>
      <c r="G46" s="47"/>
    </row>
    <row r="47" customFormat="false" ht="15" hidden="false" customHeight="false" outlineLevel="0" collapsed="false">
      <c r="A47" s="65"/>
      <c r="B47" s="47"/>
      <c r="C47" s="47"/>
      <c r="D47" s="58"/>
      <c r="E47" s="47"/>
      <c r="F47" s="65"/>
      <c r="G47" s="47"/>
    </row>
    <row r="48" customFormat="false" ht="15" hidden="false" customHeight="false" outlineLevel="0" collapsed="false">
      <c r="A48" s="65"/>
      <c r="B48" s="47"/>
      <c r="C48" s="47"/>
      <c r="D48" s="58"/>
      <c r="E48" s="47"/>
      <c r="F48" s="65"/>
      <c r="G48" s="47"/>
    </row>
    <row r="49" customFormat="false" ht="15" hidden="false" customHeight="false" outlineLevel="0" collapsed="false">
      <c r="A49" s="65"/>
      <c r="B49" s="47"/>
      <c r="C49" s="47"/>
      <c r="D49" s="58"/>
      <c r="E49" s="47"/>
      <c r="F49" s="65"/>
      <c r="G49" s="47"/>
    </row>
    <row r="50" customFormat="false" ht="15" hidden="false" customHeight="false" outlineLevel="0" collapsed="false">
      <c r="A50" s="65"/>
      <c r="B50" s="47"/>
      <c r="C50" s="47"/>
      <c r="D50" s="58"/>
      <c r="E50" s="47"/>
      <c r="F50" s="65"/>
      <c r="G50" s="47"/>
    </row>
    <row r="51" customFormat="false" ht="15" hidden="false" customHeight="false" outlineLevel="0" collapsed="false">
      <c r="A51" s="65"/>
      <c r="B51" s="47"/>
      <c r="C51" s="47"/>
      <c r="D51" s="58"/>
      <c r="E51" s="47"/>
      <c r="F51" s="65"/>
      <c r="G51" s="47"/>
    </row>
    <row r="52" customFormat="false" ht="15" hidden="false" customHeight="false" outlineLevel="0" collapsed="false">
      <c r="A52" s="65"/>
      <c r="B52" s="47"/>
      <c r="C52" s="47"/>
      <c r="D52" s="58"/>
      <c r="E52" s="47"/>
      <c r="F52" s="65"/>
      <c r="G52" s="47"/>
    </row>
    <row r="53" customFormat="false" ht="15" hidden="false" customHeight="false" outlineLevel="0" collapsed="false">
      <c r="A53" s="65"/>
      <c r="B53" s="47"/>
      <c r="C53" s="47"/>
      <c r="D53" s="58"/>
      <c r="E53" s="47"/>
      <c r="F53" s="65"/>
      <c r="G53" s="47"/>
    </row>
    <row r="54" customFormat="false" ht="15" hidden="false" customHeight="false" outlineLevel="0" collapsed="false">
      <c r="A54" s="65"/>
      <c r="B54" s="47"/>
      <c r="C54" s="47"/>
      <c r="D54" s="58"/>
      <c r="E54" s="47"/>
      <c r="F54" s="65"/>
      <c r="G54" s="47"/>
    </row>
    <row r="55" customFormat="false" ht="15" hidden="false" customHeight="false" outlineLevel="0" collapsed="false">
      <c r="A55" s="65"/>
      <c r="B55" s="47"/>
      <c r="C55" s="47"/>
      <c r="D55" s="58"/>
      <c r="E55" s="47"/>
      <c r="F55" s="65"/>
      <c r="G55" s="47"/>
    </row>
    <row r="56" customFormat="false" ht="15" hidden="false" customHeight="false" outlineLevel="0" collapsed="false">
      <c r="A56" s="65"/>
      <c r="B56" s="47"/>
      <c r="C56" s="47"/>
      <c r="D56" s="58"/>
      <c r="E56" s="47"/>
      <c r="F56" s="65"/>
      <c r="G56" s="47"/>
    </row>
    <row r="57" customFormat="false" ht="15" hidden="false" customHeight="false" outlineLevel="0" collapsed="false">
      <c r="A57" s="65"/>
      <c r="B57" s="47"/>
      <c r="C57" s="47"/>
      <c r="D57" s="58"/>
      <c r="E57" s="47"/>
      <c r="F57" s="65"/>
      <c r="G57" s="47"/>
    </row>
    <row r="58" customFormat="false" ht="15" hidden="false" customHeight="false" outlineLevel="0" collapsed="false">
      <c r="A58" s="65"/>
      <c r="B58" s="47"/>
      <c r="C58" s="47"/>
      <c r="D58" s="58"/>
      <c r="E58" s="47"/>
      <c r="F58" s="65"/>
      <c r="G58" s="47"/>
    </row>
    <row r="59" customFormat="false" ht="15" hidden="false" customHeight="false" outlineLevel="0" collapsed="false">
      <c r="A59" s="65"/>
      <c r="B59" s="47"/>
      <c r="C59" s="47"/>
      <c r="D59" s="58"/>
      <c r="E59" s="47"/>
      <c r="F59" s="65"/>
      <c r="G59" s="47"/>
    </row>
    <row r="60" customFormat="false" ht="15" hidden="false" customHeight="false" outlineLevel="0" collapsed="false">
      <c r="A60" s="65"/>
      <c r="B60" s="47"/>
      <c r="C60" s="47"/>
      <c r="D60" s="58"/>
      <c r="E60" s="47"/>
      <c r="F60" s="65"/>
      <c r="G60" s="47"/>
    </row>
    <row r="61" customFormat="false" ht="15" hidden="false" customHeight="false" outlineLevel="0" collapsed="false">
      <c r="A61" s="65"/>
      <c r="B61" s="47"/>
      <c r="C61" s="47"/>
      <c r="D61" s="58"/>
      <c r="E61" s="47"/>
      <c r="F61" s="65"/>
      <c r="G61" s="47"/>
    </row>
    <row r="62" customFormat="false" ht="15" hidden="false" customHeight="false" outlineLevel="0" collapsed="false">
      <c r="A62" s="65"/>
      <c r="B62" s="47"/>
      <c r="C62" s="47"/>
      <c r="D62" s="58"/>
      <c r="E62" s="47"/>
      <c r="F62" s="65"/>
      <c r="G62" s="47"/>
    </row>
    <row r="63" customFormat="false" ht="15" hidden="false" customHeight="false" outlineLevel="0" collapsed="false">
      <c r="A63" s="65"/>
      <c r="B63" s="47"/>
      <c r="C63" s="47"/>
      <c r="D63" s="58"/>
      <c r="E63" s="47"/>
      <c r="F63" s="65"/>
      <c r="G63" s="47"/>
    </row>
    <row r="64" customFormat="false" ht="15" hidden="false" customHeight="false" outlineLevel="0" collapsed="false">
      <c r="A64" s="65"/>
      <c r="B64" s="47"/>
      <c r="C64" s="47"/>
      <c r="D64" s="58"/>
      <c r="E64" s="47"/>
      <c r="F64" s="65"/>
      <c r="G64" s="47"/>
    </row>
    <row r="65" customFormat="false" ht="15" hidden="false" customHeight="false" outlineLevel="0" collapsed="false">
      <c r="A65" s="65"/>
      <c r="B65" s="47"/>
      <c r="C65" s="47"/>
      <c r="D65" s="58"/>
      <c r="E65" s="47"/>
      <c r="F65" s="65"/>
      <c r="G65" s="47"/>
    </row>
    <row r="66" customFormat="false" ht="15" hidden="false" customHeight="false" outlineLevel="0" collapsed="false">
      <c r="C66" s="69" t="s">
        <v>211</v>
      </c>
      <c r="D66" s="70" t="n">
        <f aca="false">SUMIFS(D6:D65,E6:E65,"لا")</f>
        <v>0</v>
      </c>
    </row>
    <row r="67" customFormat="false" ht="15" hidden="false" customHeight="false" outlineLevel="0" collapsed="false">
      <c r="C67" s="69" t="s">
        <v>34</v>
      </c>
      <c r="D67" s="70" t="n">
        <f aca="false">SUM(D6:D65)</f>
        <v>0</v>
      </c>
    </row>
  </sheetData>
  <mergeCells count="3">
    <mergeCell ref="A1:G1"/>
    <mergeCell ref="A2:G2"/>
    <mergeCell ref="A3:G3"/>
  </mergeCells>
  <dataValidations count="1">
    <dataValidation allowBlank="true" errorStyle="stop" operator="between" showDropDown="false" showErrorMessage="false" showInputMessage="false" sqref="E6:E65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12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26"/>
  </cols>
  <sheetData>
    <row r="1" customFormat="false" ht="30" hidden="false" customHeight="true" outlineLevel="0" collapsed="false">
      <c r="A1" s="31" t="s">
        <v>212</v>
      </c>
      <c r="B1" s="31"/>
      <c r="C1" s="31"/>
      <c r="D1" s="31"/>
      <c r="E1" s="31"/>
      <c r="F1" s="31"/>
      <c r="G1" s="31"/>
      <c r="H1" s="31"/>
      <c r="I1" s="31"/>
      <c r="J1" s="31"/>
    </row>
    <row r="2" customFormat="false" ht="15" hidden="false" customHeight="false" outlineLevel="0" collapsed="false">
      <c r="A2" s="71" t="str">
        <f aca="false">SEL_M&amp;"  "&amp;SEL_Y&amp;"   ·   الفترات اللي بتخلص بهالشهر"</f>
        <v>10 - تشرين الأول  2026   ·   الفترات اللي بتخلص بهالشهر</v>
      </c>
      <c r="B2" s="71"/>
      <c r="C2" s="71"/>
      <c r="D2" s="71"/>
      <c r="E2" s="71"/>
      <c r="F2" s="71"/>
      <c r="G2" s="71"/>
      <c r="H2" s="71"/>
      <c r="I2" s="71"/>
      <c r="J2" s="71"/>
    </row>
    <row r="3" customFormat="false" ht="15" hidden="false" customHeight="true" outlineLevel="0" collapsed="false">
      <c r="A3" s="44" t="s">
        <v>213</v>
      </c>
      <c r="B3" s="44"/>
      <c r="C3" s="44"/>
      <c r="D3" s="44"/>
      <c r="E3" s="44"/>
      <c r="F3" s="44"/>
      <c r="G3" s="44"/>
      <c r="H3" s="44"/>
      <c r="I3" s="44"/>
      <c r="J3" s="44"/>
    </row>
    <row r="4" customFormat="false" ht="15" hidden="false" customHeight="false" outlineLevel="0" collapsed="false">
      <c r="L4" s="72" t="s">
        <v>214</v>
      </c>
      <c r="M4" s="72" t="n">
        <f aca="false">MAX(0,ROUNDUP((M1-MGR_START-9)/10,0))</f>
        <v>0</v>
      </c>
    </row>
    <row r="5" customFormat="false" ht="15" hidden="false" customHeight="false" outlineLevel="0" collapsed="false">
      <c r="A5" s="32" t="s">
        <v>13</v>
      </c>
      <c r="B5" s="32" t="s">
        <v>11</v>
      </c>
      <c r="C5" s="32" t="s">
        <v>12</v>
      </c>
      <c r="D5" s="32" t="s">
        <v>215</v>
      </c>
      <c r="E5" s="32" t="s">
        <v>216</v>
      </c>
      <c r="F5" s="32" t="s">
        <v>217</v>
      </c>
      <c r="G5" s="32" t="s">
        <v>218</v>
      </c>
      <c r="H5" s="32" t="s">
        <v>209</v>
      </c>
      <c r="I5" s="32" t="s">
        <v>219</v>
      </c>
      <c r="J5" s="32" t="s">
        <v>194</v>
      </c>
    </row>
    <row r="6" customFormat="false" ht="15" hidden="false" customHeight="false" outlineLevel="0" collapsed="false">
      <c r="A6" s="11" t="n">
        <f aca="false">IF(B6="","",1)</f>
        <v>1</v>
      </c>
      <c r="B6" s="46" t="n">
        <f aca="false">IF(MGR_START+10*($M$4+0)+9&lt;=MEND,MGR_START+10*($M$4+0),"")</f>
        <v>46291</v>
      </c>
      <c r="C6" s="46" t="n">
        <f aca="false">IF(B6="","",B6+9)</f>
        <v>46300</v>
      </c>
      <c r="D6" s="49" t="n">
        <f aca="false">IF(B6="","",MGR_SAL)</f>
        <v>125</v>
      </c>
      <c r="E6" s="49" t="n">
        <f aca="false">IF(B6="","",SUMIFS(LOG_A,LOG_E,"المدير",LOG_T,"سلفة",LOG_D,"&gt;="&amp;B6,LOG_D,"&lt;="&amp;C6))</f>
        <v>0</v>
      </c>
      <c r="F6" s="49" t="n">
        <f aca="false">IF(B6="","",MGR_INST)</f>
        <v>0</v>
      </c>
      <c r="G6" s="49" t="n">
        <f aca="false">IF(B6="","",D6-E6-F6)</f>
        <v>125</v>
      </c>
      <c r="H6" s="47"/>
      <c r="I6" s="58"/>
      <c r="J6" s="47"/>
    </row>
    <row r="7" customFormat="false" ht="15" hidden="false" customHeight="false" outlineLevel="0" collapsed="false">
      <c r="A7" s="11" t="n">
        <f aca="false">IF(B7="","",2)</f>
        <v>2</v>
      </c>
      <c r="B7" s="46" t="n">
        <f aca="false">IF(MGR_START+10*($M$4+1)+9&lt;=MEND,MGR_START+10*($M$4+1),"")</f>
        <v>46301</v>
      </c>
      <c r="C7" s="46" t="n">
        <f aca="false">IF(B7="","",B7+9)</f>
        <v>46310</v>
      </c>
      <c r="D7" s="49" t="n">
        <f aca="false">IF(B7="","",MGR_SAL)</f>
        <v>125</v>
      </c>
      <c r="E7" s="49" t="n">
        <f aca="false">IF(B7="","",SUMIFS(LOG_A,LOG_E,"المدير",LOG_T,"سلفة",LOG_D,"&gt;="&amp;B7,LOG_D,"&lt;="&amp;C7))</f>
        <v>0</v>
      </c>
      <c r="F7" s="49" t="n">
        <f aca="false">IF(B7="","",MGR_INST)</f>
        <v>0</v>
      </c>
      <c r="G7" s="49" t="n">
        <f aca="false">IF(B7="","",D7-E7-F7)</f>
        <v>125</v>
      </c>
      <c r="H7" s="47"/>
      <c r="I7" s="58"/>
      <c r="J7" s="47"/>
    </row>
    <row r="8" customFormat="false" ht="15" hidden="false" customHeight="false" outlineLevel="0" collapsed="false">
      <c r="A8" s="11" t="n">
        <f aca="false">IF(B8="","",3)</f>
        <v>3</v>
      </c>
      <c r="B8" s="46" t="n">
        <f aca="false">IF(MGR_START+10*($M$4+2)+9&lt;=MEND,MGR_START+10*($M$4+2),"")</f>
        <v>46311</v>
      </c>
      <c r="C8" s="46" t="n">
        <f aca="false">IF(B8="","",B8+9)</f>
        <v>46320</v>
      </c>
      <c r="D8" s="49" t="n">
        <f aca="false">IF(B8="","",MGR_SAL)</f>
        <v>125</v>
      </c>
      <c r="E8" s="49" t="n">
        <f aca="false">IF(B8="","",SUMIFS(LOG_A,LOG_E,"المدير",LOG_T,"سلفة",LOG_D,"&gt;="&amp;B8,LOG_D,"&lt;="&amp;C8))</f>
        <v>0</v>
      </c>
      <c r="F8" s="49" t="n">
        <f aca="false">IF(B8="","",MGR_INST)</f>
        <v>0</v>
      </c>
      <c r="G8" s="49" t="n">
        <f aca="false">IF(B8="","",D8-E8-F8)</f>
        <v>125</v>
      </c>
      <c r="H8" s="47"/>
      <c r="I8" s="58"/>
      <c r="J8" s="47"/>
    </row>
    <row r="9" customFormat="false" ht="15" hidden="false" customHeight="false" outlineLevel="0" collapsed="false">
      <c r="A9" s="11" t="str">
        <f aca="false">IF(B9="","",4)</f>
        <v/>
      </c>
      <c r="B9" s="46" t="str">
        <f aca="false">IF(MGR_START+10*($M$4+3)+9&lt;=MEND,MGR_START+10*($M$4+3),"")</f>
        <v/>
      </c>
      <c r="C9" s="46" t="str">
        <f aca="false">IF(B9="","",B9+9)</f>
        <v/>
      </c>
      <c r="D9" s="49" t="str">
        <f aca="false">IF(B9="","",MGR_SAL)</f>
        <v/>
      </c>
      <c r="E9" s="49" t="str">
        <f aca="false">IF(B9="","",SUMIFS(LOG_A,LOG_E,"المدير",LOG_T,"سلفة",LOG_D,"&gt;="&amp;B9,LOG_D,"&lt;="&amp;C9))</f>
        <v/>
      </c>
      <c r="F9" s="49" t="str">
        <f aca="false">IF(B9="","",MGR_INST)</f>
        <v/>
      </c>
      <c r="G9" s="49" t="str">
        <f aca="false">IF(B9="","",D9-E9-F9)</f>
        <v/>
      </c>
      <c r="H9" s="47"/>
      <c r="I9" s="58"/>
      <c r="J9" s="47"/>
    </row>
    <row r="10" customFormat="false" ht="15" hidden="false" customHeight="false" outlineLevel="0" collapsed="false">
      <c r="C10" s="73" t="s">
        <v>34</v>
      </c>
      <c r="D10" s="70" t="n">
        <f aca="false">SUM(D6:D9)</f>
        <v>375</v>
      </c>
      <c r="E10" s="70" t="n">
        <f aca="false">SUM(E6:E9)</f>
        <v>0</v>
      </c>
      <c r="F10" s="70" t="n">
        <f aca="false">SUM(F6:F9)</f>
        <v>0</v>
      </c>
      <c r="G10" s="70" t="n">
        <f aca="false">SUM(G6:G9)</f>
        <v>375</v>
      </c>
      <c r="I10" s="70" t="n">
        <f aca="false">SUM(I6:I9)</f>
        <v>0</v>
      </c>
    </row>
  </sheetData>
  <mergeCells count="3">
    <mergeCell ref="A1:J1"/>
    <mergeCell ref="A2:J2"/>
    <mergeCell ref="A3:J3"/>
  </mergeCells>
  <dataValidations count="1">
    <dataValidation allowBlank="true" errorStyle="stop" operator="between" showDropDown="false" showErrorMessage="false" showInputMessage="false" sqref="H6:H9" type="list">
      <formula1>"نعم,لا"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5"/>
  </cols>
  <sheetData>
    <row r="1" customFormat="false" ht="18.55" hidden="false" customHeight="false" outlineLevel="0" collapsed="false">
      <c r="B1" s="74" t="s">
        <v>220</v>
      </c>
    </row>
    <row r="3" customFormat="false" ht="15" hidden="false" customHeight="false" outlineLevel="0" collapsed="false">
      <c r="B3" s="75" t="s">
        <v>221</v>
      </c>
    </row>
    <row r="4" customFormat="false" ht="33.75" hidden="false" customHeight="true" outlineLevel="0" collapsed="false">
      <c r="A4" s="76" t="s">
        <v>222</v>
      </c>
      <c r="B4" s="77" t="s">
        <v>223</v>
      </c>
    </row>
    <row r="5" customFormat="false" ht="33.75" hidden="false" customHeight="true" outlineLevel="0" collapsed="false">
      <c r="A5" s="76" t="s">
        <v>224</v>
      </c>
      <c r="B5" s="77" t="s">
        <v>225</v>
      </c>
    </row>
    <row r="6" customFormat="false" ht="33.75" hidden="false" customHeight="true" outlineLevel="0" collapsed="false">
      <c r="A6" s="76" t="s">
        <v>226</v>
      </c>
      <c r="B6" s="77" t="s">
        <v>227</v>
      </c>
    </row>
    <row r="7" customFormat="false" ht="15" hidden="false" customHeight="false" outlineLevel="0" collapsed="false">
      <c r="B7" s="75" t="s">
        <v>228</v>
      </c>
    </row>
    <row r="8" customFormat="false" ht="33.75" hidden="false" customHeight="true" outlineLevel="0" collapsed="false">
      <c r="A8" s="76" t="s">
        <v>229</v>
      </c>
      <c r="B8" s="77" t="s">
        <v>230</v>
      </c>
    </row>
    <row r="9" customFormat="false" ht="33.75" hidden="false" customHeight="true" outlineLevel="0" collapsed="false">
      <c r="A9" s="76" t="s">
        <v>231</v>
      </c>
      <c r="B9" s="77" t="s">
        <v>232</v>
      </c>
    </row>
    <row r="10" customFormat="false" ht="33.75" hidden="false" customHeight="true" outlineLevel="0" collapsed="false">
      <c r="A10" s="76" t="s">
        <v>233</v>
      </c>
      <c r="B10" s="77" t="s">
        <v>234</v>
      </c>
    </row>
    <row r="11" customFormat="false" ht="15" hidden="false" customHeight="false" outlineLevel="0" collapsed="false">
      <c r="B11" s="75" t="s">
        <v>235</v>
      </c>
    </row>
    <row r="12" customFormat="false" ht="33.75" hidden="false" customHeight="true" outlineLevel="0" collapsed="false">
      <c r="A12" s="76" t="s">
        <v>236</v>
      </c>
      <c r="B12" s="77" t="s">
        <v>237</v>
      </c>
    </row>
    <row r="13" customFormat="false" ht="33.75" hidden="false" customHeight="true" outlineLevel="0" collapsed="false">
      <c r="A13" s="76" t="s">
        <v>238</v>
      </c>
      <c r="B13" s="77" t="s">
        <v>239</v>
      </c>
    </row>
    <row r="14" customFormat="false" ht="15" hidden="false" customHeight="false" outlineLevel="0" collapsed="false">
      <c r="B14" s="75" t="s">
        <v>240</v>
      </c>
    </row>
    <row r="15" customFormat="false" ht="33.75" hidden="false" customHeight="true" outlineLevel="0" collapsed="false">
      <c r="A15" s="76" t="s">
        <v>241</v>
      </c>
      <c r="B15" s="77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2026-09-26T09:39:01Z</dcterms:created>
  <dc:creator>openpyxl</dc:creator>
  <dc:description/>
  <dc:language>en-US</dc:language>
  <cp:lastModifiedBy/>
  <dcterms:modified xsi:type="dcterms:W3CDTF">2026-09-26T09:39:01Z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