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مرتجع يدوي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</font>
    <font>
      <b val="1"/>
      <sz val="13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3" fillId="0" borderId="0" pivotButton="0" quotePrefix="0" xfId="0"/>
    <xf numFmtId="0" fontId="1" fillId="2" borderId="1" applyAlignment="1" pivotButton="0" quotePrefix="0" xfId="0">
      <alignment horizontal="center" wrapText="1"/>
    </xf>
    <xf numFmtId="0" fontId="0" fillId="0" borderId="1" pivotButton="0" quotePrefix="0" xfId="0"/>
    <xf numFmtId="164" fontId="0" fillId="0" borderId="1" pivotButton="0" quotePrefix="0" xfId="0"/>
    <xf numFmtId="164" fontId="0" fillId="3" borderId="1" pivotButton="0" quotePrefix="0" xfId="0"/>
    <xf numFmtId="164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rightToLeft="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20" customWidth="1" min="2" max="2"/>
    <col width="44" customWidth="1" min="3" max="3"/>
    <col width="8" customWidth="1" min="4" max="4"/>
    <col width="12" customWidth="1" min="5" max="5"/>
    <col width="12" customWidth="1" min="6" max="6"/>
    <col width="12" customWidth="1" min="7" max="7"/>
    <col width="24" customWidth="1" min="8" max="8"/>
  </cols>
  <sheetData>
    <row r="1">
      <c r="A1" s="1" t="inlineStr">
        <is>
          <t>مرتجعات ثروت المصري (21/06/2026) اللي مش مبيّنة ببضاعته الصادرة — 17 بند</t>
        </is>
      </c>
    </row>
    <row r="2">
      <c r="A2" t="inlineStr">
        <is>
          <t>عبّي «السعر اليدوي» (الأصفر) للحبة · إذا تركته فاضي بيضل سعر الكتالوج · المجموع بيتحسب لحاله</t>
        </is>
      </c>
    </row>
    <row r="3">
      <c r="A3" s="2" t="inlineStr">
        <is>
          <t>#</t>
        </is>
      </c>
      <c r="B3" s="2" t="inlineStr">
        <is>
          <t>البند بالورقة</t>
        </is>
      </c>
      <c r="C3" s="2" t="inlineStr">
        <is>
          <t>الصنف</t>
        </is>
      </c>
      <c r="D3" s="2" t="inlineStr">
        <is>
          <t>الكمية</t>
        </is>
      </c>
      <c r="E3" s="2" t="inlineStr">
        <is>
          <t>سعر الكتالوج</t>
        </is>
      </c>
      <c r="F3" s="2" t="inlineStr">
        <is>
          <t>السعر اليدوي</t>
        </is>
      </c>
      <c r="G3" s="2" t="inlineStr">
        <is>
          <t>المجموع</t>
        </is>
      </c>
      <c r="H3" s="2" t="inlineStr">
        <is>
          <t>ملاحظتك</t>
        </is>
      </c>
    </row>
    <row r="4">
      <c r="A4" s="3" t="inlineStr">
        <is>
          <t>R4</t>
        </is>
      </c>
      <c r="B4" s="3" t="inlineStr">
        <is>
          <t>تي 2"</t>
        </is>
      </c>
      <c r="C4" s="3" t="inlineStr">
        <is>
          <t>[500429] تي بلاستيك 2" ضغط صغير ومرار</t>
        </is>
      </c>
      <c r="D4" s="3" t="n">
        <v>1</v>
      </c>
      <c r="E4" s="4" t="n">
        <v>1</v>
      </c>
      <c r="F4" s="5" t="n"/>
      <c r="G4" s="4">
        <f>D4*IF(F4="",E4,F4)</f>
        <v/>
      </c>
      <c r="H4" s="3" t="n"/>
    </row>
    <row r="5">
      <c r="A5" s="3" t="inlineStr">
        <is>
          <t>R6</t>
        </is>
      </c>
      <c r="B5" s="3" t="inlineStr">
        <is>
          <t>كوع باب 4"</t>
        </is>
      </c>
      <c r="C5" s="3" t="inlineStr">
        <is>
          <t>[500439] كوع مع باب بلاستيك 4" ضغط صغير ومرار</t>
        </is>
      </c>
      <c r="D5" s="3" t="n">
        <v>3</v>
      </c>
      <c r="E5" s="4" t="n">
        <v>2.6</v>
      </c>
      <c r="F5" s="5" t="n"/>
      <c r="G5" s="4">
        <f>D5*IF(F5="",E5,F5)</f>
        <v/>
      </c>
      <c r="H5" s="3" t="n"/>
    </row>
    <row r="6">
      <c r="A6" s="3" t="inlineStr">
        <is>
          <t>R8</t>
        </is>
      </c>
      <c r="B6" s="3" t="inlineStr">
        <is>
          <t>تي 4"</t>
        </is>
      </c>
      <c r="C6" s="3" t="inlineStr">
        <is>
          <t>[500427] تي بلاستيك 4" ضغط صغير ومرار</t>
        </is>
      </c>
      <c r="D6" s="3" t="n">
        <v>2</v>
      </c>
      <c r="E6" s="4" t="n">
        <v>3.9</v>
      </c>
      <c r="F6" s="5" t="n"/>
      <c r="G6" s="4">
        <f>D6*IF(F6="",E6,F6)</f>
        <v/>
      </c>
      <c r="H6" s="3" t="n"/>
    </row>
    <row r="7">
      <c r="A7" s="3" t="inlineStr">
        <is>
          <t>R10</t>
        </is>
      </c>
      <c r="B7" s="3" t="inlineStr">
        <is>
          <t>واي3"</t>
        </is>
      </c>
      <c r="C7" s="3" t="inlineStr">
        <is>
          <t>[500432] واي بلاستيك 3" ضغط صغير ومرار</t>
        </is>
      </c>
      <c r="D7" s="3" t="n">
        <v>1</v>
      </c>
      <c r="E7" s="4" t="n">
        <v>1.3</v>
      </c>
      <c r="F7" s="5" t="n"/>
      <c r="G7" s="4">
        <f>D7*IF(F7="",E7,F7)</f>
        <v/>
      </c>
      <c r="H7" s="3" t="n"/>
    </row>
    <row r="8">
      <c r="A8" s="3" t="inlineStr">
        <is>
          <t>R12</t>
        </is>
      </c>
      <c r="B8" s="3" t="inlineStr">
        <is>
          <t>سدة 3"</t>
        </is>
      </c>
      <c r="C8" s="3" t="inlineStr">
        <is>
          <t>[500455] سدة كبس بلاستيك 3" ضغط صغير ومرار</t>
        </is>
      </c>
      <c r="D8" s="3" t="n">
        <v>2</v>
      </c>
      <c r="E8" s="4" t="n">
        <v>0.7</v>
      </c>
      <c r="F8" s="5" t="n"/>
      <c r="G8" s="4">
        <f>D8*IF(F8="",E8,F8)</f>
        <v/>
      </c>
      <c r="H8" s="3" t="n"/>
    </row>
    <row r="9">
      <c r="A9" s="3" t="inlineStr">
        <is>
          <t>R14</t>
        </is>
      </c>
      <c r="B9" s="3" t="inlineStr">
        <is>
          <t>صباب مغسلة كبس</t>
        </is>
      </c>
      <c r="C9" s="3" t="inlineStr">
        <is>
          <t>[500088] صباب مغسلة كبس ستانلس</t>
        </is>
      </c>
      <c r="D9" s="3" t="n">
        <v>3</v>
      </c>
      <c r="E9" s="4" t="n">
        <v>2.5</v>
      </c>
      <c r="F9" s="5" t="n"/>
      <c r="G9" s="4">
        <f>D9*IF(F9="",E9,F9)</f>
        <v/>
      </c>
      <c r="H9" s="3" t="n"/>
    </row>
    <row r="10">
      <c r="A10" s="3" t="inlineStr">
        <is>
          <t>R16</t>
        </is>
      </c>
      <c r="B10" s="3" t="inlineStr">
        <is>
          <t>رداد خط 1/2"</t>
        </is>
      </c>
      <c r="C10" s="3" t="inlineStr">
        <is>
          <t>[900031] رداد خط - مضخة 1/2" نحاس ايطالي</t>
        </is>
      </c>
      <c r="D10" s="3" t="n">
        <v>1</v>
      </c>
      <c r="E10" s="4" t="n">
        <v>4.5</v>
      </c>
      <c r="F10" s="5" t="n"/>
      <c r="G10" s="4">
        <f>D10*IF(F10="",E10,F10)</f>
        <v/>
      </c>
      <c r="H10" s="3" t="n"/>
    </row>
    <row r="11">
      <c r="A11" s="3" t="inlineStr">
        <is>
          <t>R18</t>
        </is>
      </c>
      <c r="B11" s="3" t="inlineStr">
        <is>
          <t>تي نحاس</t>
        </is>
      </c>
      <c r="C11" s="3" t="inlineStr">
        <is>
          <t>[500139] تي بكس ايطالي 16ملم نحاس</t>
        </is>
      </c>
      <c r="D11" s="3" t="n">
        <v>1</v>
      </c>
      <c r="E11" s="4" t="n">
        <v>3.5</v>
      </c>
      <c r="F11" s="5" t="n"/>
      <c r="G11" s="4">
        <f>D11*IF(F11="",E11,F11)</f>
        <v/>
      </c>
      <c r="H11" s="3" t="n"/>
    </row>
    <row r="12">
      <c r="A12" s="3" t="inlineStr">
        <is>
          <t>R19</t>
        </is>
      </c>
      <c r="B12" s="3" t="inlineStr">
        <is>
          <t>مربط 1" فيشر طقم</t>
        </is>
      </c>
      <c r="C12" s="3" t="inlineStr">
        <is>
          <t>[500580] مربط مواسير ايطالي فيشر 1"</t>
        </is>
      </c>
      <c r="D12" s="3" t="n">
        <v>9</v>
      </c>
      <c r="E12" s="4" t="n">
        <v>0.5</v>
      </c>
      <c r="F12" s="5" t="n"/>
      <c r="G12" s="4">
        <f>D12*IF(F12="",E12,F12)</f>
        <v/>
      </c>
      <c r="H12" s="3" t="n"/>
    </row>
    <row r="13">
      <c r="A13" s="3" t="inlineStr">
        <is>
          <t>R21</t>
        </is>
      </c>
      <c r="B13" s="3" t="inlineStr">
        <is>
          <t>مفة 3/4"</t>
        </is>
      </c>
      <c r="C13" s="3" t="inlineStr">
        <is>
          <t>[500490] مفة سعودي 3/4"</t>
        </is>
      </c>
      <c r="D13" s="3" t="n">
        <v>14</v>
      </c>
      <c r="E13" s="4" t="n">
        <v>0.5</v>
      </c>
      <c r="F13" s="5" t="n"/>
      <c r="G13" s="4">
        <f>D13*IF(F13="",E13,F13)</f>
        <v/>
      </c>
      <c r="H13" s="3" t="n"/>
    </row>
    <row r="14">
      <c r="A14" s="3" t="inlineStr">
        <is>
          <t>R22</t>
        </is>
      </c>
      <c r="B14" s="3" t="inlineStr">
        <is>
          <t>سدة 1/2"</t>
        </is>
      </c>
      <c r="C14" s="3" t="inlineStr">
        <is>
          <t>[500501] سدة سعودي 1/2"</t>
        </is>
      </c>
      <c r="D14" s="3" t="n">
        <v>12</v>
      </c>
      <c r="E14" s="4" t="n">
        <v>0.3</v>
      </c>
      <c r="F14" s="5" t="n"/>
      <c r="G14" s="4">
        <f>D14*IF(F14="",E14,F14)</f>
        <v/>
      </c>
      <c r="H14" s="3" t="n"/>
    </row>
    <row r="15">
      <c r="A15" s="3" t="inlineStr">
        <is>
          <t>R23</t>
        </is>
      </c>
      <c r="B15" s="3" t="inlineStr">
        <is>
          <t>تي 3/4"</t>
        </is>
      </c>
      <c r="C15" s="3" t="inlineStr">
        <is>
          <t>[500485] تي T سعودي 3/4"</t>
        </is>
      </c>
      <c r="D15" s="3" t="n">
        <v>6</v>
      </c>
      <c r="E15" s="4" t="n">
        <v>0.8</v>
      </c>
      <c r="F15" s="5" t="n"/>
      <c r="G15" s="4">
        <f>D15*IF(F15="",E15,F15)</f>
        <v/>
      </c>
      <c r="H15" s="3" t="n"/>
    </row>
    <row r="16">
      <c r="A16" s="3" t="inlineStr">
        <is>
          <t>R24</t>
        </is>
      </c>
      <c r="B16" s="3" t="inlineStr">
        <is>
          <t>تي 1/2"</t>
        </is>
      </c>
      <c r="C16" s="3" t="inlineStr">
        <is>
          <t>[500484] تي T سعودي 1/2"</t>
        </is>
      </c>
      <c r="D16" s="3" t="n">
        <v>1</v>
      </c>
      <c r="E16" s="4" t="n">
        <v>0.75</v>
      </c>
      <c r="F16" s="5" t="n"/>
      <c r="G16" s="4">
        <f>D16*IF(F16="",E16,F16)</f>
        <v/>
      </c>
      <c r="H16" s="3" t="n"/>
    </row>
    <row r="17">
      <c r="A17" s="3" t="inlineStr">
        <is>
          <t>R25</t>
        </is>
      </c>
      <c r="B17" s="3" t="inlineStr">
        <is>
          <t>كوع 3/4"</t>
        </is>
      </c>
      <c r="C17" s="3" t="inlineStr">
        <is>
          <t>[500475] كوع زاوية سعودي 3/4"</t>
        </is>
      </c>
      <c r="D17" s="3" t="n">
        <v>25</v>
      </c>
      <c r="E17" s="4" t="n">
        <v>0.5</v>
      </c>
      <c r="F17" s="5" t="n"/>
      <c r="G17" s="4">
        <f>D17*IF(F17="",E17,F17)</f>
        <v/>
      </c>
      <c r="H17" s="3" t="n"/>
    </row>
    <row r="18">
      <c r="A18" s="3" t="inlineStr">
        <is>
          <t>R27</t>
        </is>
      </c>
      <c r="B18" s="3" t="inlineStr">
        <is>
          <t>تي 3/4"*1/2"</t>
        </is>
      </c>
      <c r="C18" s="3" t="inlineStr">
        <is>
          <t>[500516] تي سن نحاس سعودي 1/2×3/4</t>
        </is>
      </c>
      <c r="D18" s="3" t="n">
        <v>2</v>
      </c>
      <c r="E18" s="4" t="n">
        <v>1.5</v>
      </c>
      <c r="F18" s="5" t="n"/>
      <c r="G18" s="4">
        <f>D18*IF(F18="",E18,F18)</f>
        <v/>
      </c>
      <c r="H18" s="3" t="n"/>
    </row>
    <row r="19">
      <c r="A19" s="3" t="inlineStr">
        <is>
          <t>R28</t>
        </is>
      </c>
      <c r="B19" s="3" t="inlineStr">
        <is>
          <t>ادابتر انثى</t>
        </is>
      </c>
      <c r="C19" s="3" t="inlineStr">
        <is>
          <t>[500525] ادبتر انثى سعودي 1/2×1/2</t>
        </is>
      </c>
      <c r="D19" s="3" t="n">
        <v>6</v>
      </c>
      <c r="E19" s="4" t="n">
        <v>1</v>
      </c>
      <c r="F19" s="5" t="n"/>
      <c r="G19" s="4">
        <f>D19*IF(F19="",E19,F19)</f>
        <v/>
      </c>
      <c r="H19" s="3" t="n"/>
    </row>
    <row r="20">
      <c r="A20" s="3" t="inlineStr">
        <is>
          <t>R29</t>
        </is>
      </c>
      <c r="B20" s="3" t="inlineStr">
        <is>
          <t>يد مقص بلاط</t>
        </is>
      </c>
      <c r="C20" s="3" t="inlineStr">
        <is>
          <t>[100629] يد مقص بلاط تايواني</t>
        </is>
      </c>
      <c r="D20" s="3" t="n">
        <v>1</v>
      </c>
      <c r="E20" s="4" t="n">
        <v>3</v>
      </c>
      <c r="F20" s="5" t="n"/>
      <c r="G20" s="4">
        <f>D20*IF(F20="",E20,F20)</f>
        <v/>
      </c>
      <c r="H20" s="3" t="n"/>
    </row>
    <row r="21">
      <c r="A21" s="6" t="n"/>
      <c r="B21" s="6" t="n"/>
      <c r="C21" s="6" t="inlineStr">
        <is>
          <t>المجموع</t>
        </is>
      </c>
      <c r="D21" s="6" t="n"/>
      <c r="E21" s="6">
        <f>SUMPRODUCT(D4:D20,E4:E20)</f>
        <v/>
      </c>
      <c r="F21" s="6" t="n"/>
      <c r="G21" s="6">
        <f>SUM(G4:G20)</f>
        <v/>
      </c>
      <c r="H21" s="6" t="n"/>
    </row>
  </sheetData>
  <mergeCells count="2"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2026-10-06T22:01:44Z</dcterms:created>
  <dcterms:modified xsi:type="dcterms:W3CDTF">2026-10-06T22:01:44Z</dcterms:modified>
</cp:coreProperties>
</file>