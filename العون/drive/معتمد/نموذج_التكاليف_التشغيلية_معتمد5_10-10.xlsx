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  <sheet name="الملخص" sheetId="2" state="visible" r:id="rId2"/>
    <sheet name="القوائم" sheetId="3" state="hidden" r:id="rId3"/>
    <sheet name="التعليمات" sheetId="4" state="visible" r:id="rId4"/>
  </sheets>
  <definedNames>
    <definedName name="_xlnm._FilterDatabase" localSheetId="0" hidden="1">'التكاليف'!$A$6:$L$806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-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8E5A2B"/>
      <sz val="12"/>
    </font>
    <font>
      <name val="Arial"/>
      <b val="1"/>
      <color rgb="00FFFFFF"/>
      <sz val="15"/>
    </font>
  </fonts>
  <fills count="22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8E5A2B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DDE5E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EFE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2F5597"/>
      </patternFill>
    </fill>
    <fill>
      <patternFill patternType="solid">
        <fgColor rgb="00BF8F00"/>
      </patternFill>
    </fill>
    <fill>
      <patternFill patternType="solid">
        <fgColor rgb="005B3A6B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1F8F1"/>
      </patternFill>
    </fill>
    <fill>
      <patternFill patternType="solid">
        <fgColor rgb="00FBF4E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3" fillId="9" borderId="1" applyAlignment="1" applyProtection="1" pivotButton="0" quotePrefix="0" xfId="0">
      <alignment horizontal="right" vertical="center" wrapText="1"/>
      <protection locked="0" hidden="0"/>
    </xf>
    <xf numFmtId="0" fontId="4" fillId="0" borderId="1" applyAlignment="1" applyProtection="1" pivotButton="0" quotePrefix="0" xfId="0">
      <alignment horizontal="right" vertical="center" wrapText="1"/>
      <protection locked="0" hidden="0"/>
    </xf>
    <xf numFmtId="1" fontId="4" fillId="0" borderId="1" applyAlignment="1" applyProtection="1" pivotButton="0" quotePrefix="0" xfId="0">
      <alignment horizontal="center" vertical="center"/>
      <protection locked="0" hidden="0"/>
    </xf>
    <xf numFmtId="4" fontId="4" fillId="10" borderId="1" applyAlignment="1" applyProtection="1" pivotButton="0" quotePrefix="0" xfId="0">
      <alignment horizontal="center" vertical="center"/>
      <protection locked="0" hidden="0"/>
    </xf>
    <xf numFmtId="4" fontId="3" fillId="11" borderId="1" applyAlignment="1" pivotButton="0" quotePrefix="0" xfId="0">
      <alignment horizontal="center" vertical="center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7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applyProtection="1" pivotButton="0" quotePrefix="0" xfId="0">
      <alignment horizontal="right" vertical="center" wrapText="1"/>
      <protection locked="0" hidden="0"/>
    </xf>
    <xf numFmtId="0" fontId="1" fillId="13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" fontId="5" fillId="10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  <xf numFmtId="165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right" vertical="center"/>
    </xf>
    <xf numFmtId="165" fontId="4" fillId="20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4" fontId="5" fillId="1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18" borderId="1" applyAlignment="1" pivotButton="0" quotePrefix="0" xfId="0">
      <alignment horizontal="center" vertical="center"/>
    </xf>
    <xf numFmtId="4" fontId="3" fillId="14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5" fontId="3" fillId="21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right" vertical="center"/>
    </xf>
    <xf numFmtId="165" fontId="4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 wrapText="1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6B"/>
    <outlinePr summaryBelow="1" summaryRight="1"/>
    <pageSetUpPr/>
  </sheetPr>
  <dimension ref="A1:Q806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22" customWidth="1" min="4" max="4"/>
    <col width="36" customWidth="1" min="5" max="5"/>
    <col width="9" customWidth="1" min="6" max="6"/>
    <col width="11" customWidth="1" min="7" max="7"/>
    <col width="12" customWidth="1" min="8" max="8"/>
    <col width="19" customWidth="1" min="9" max="9"/>
    <col width="13" customWidth="1" min="10" max="10"/>
    <col width="14" customWidth="1" min="11" max="11"/>
    <col width="40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4" customHeight="1">
      <c r="A1" s="1" t="inlineStr">
        <is>
          <t>التكاليف التشغيلية — مواد وأجور عمال</t>
        </is>
      </c>
    </row>
    <row r="2">
      <c r="A2" s="2" t="inlineStr">
        <is>
          <t>الجهة</t>
        </is>
      </c>
      <c r="B2" s="3" t="inlineStr">
        <is>
          <t>محلات العون — مصاريف المحل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4" ht="22" customHeight="1">
      <c r="A4" s="2" t="inlineStr">
        <is>
          <t>البنود</t>
        </is>
      </c>
      <c r="B4" s="6">
        <f>COUNTA(E7:E806)</f>
        <v/>
      </c>
      <c r="C4" s="2" t="inlineStr">
        <is>
          <t>المجموع</t>
        </is>
      </c>
      <c r="D4" s="7">
        <f>SUM(H7:H806)</f>
        <v/>
      </c>
      <c r="E4" s="2" t="inlineStr">
        <is>
          <t>منها أصول</t>
        </is>
      </c>
      <c r="F4" s="7">
        <f>SUMIF(J7:J806,"أصل",H7:H806)</f>
        <v/>
      </c>
      <c r="G4" s="2" t="inlineStr">
        <is>
          <t>المدقَّقة</t>
        </is>
      </c>
      <c r="H4" s="6">
        <f>SUMPRODUCT((E7:E806&lt;&gt;"")*(K7:K806&lt;&gt;""))</f>
        <v/>
      </c>
      <c r="I4" s="2" t="inlineStr">
        <is>
          <t>ناقص ⚠</t>
        </is>
      </c>
      <c r="J4" s="6">
        <f>SUMPRODUCT((E7:E806&lt;&gt;"")*(LEFT(J7:J806,1)="⚠"))</f>
        <v/>
      </c>
    </row>
    <row r="6" ht="32" customHeight="1">
      <c r="A6" s="8" t="inlineStr">
        <is>
          <t>#</t>
        </is>
      </c>
      <c r="B6" s="8" t="inlineStr">
        <is>
          <t>التاريخ</t>
        </is>
      </c>
      <c r="C6" s="8" t="inlineStr">
        <is>
          <t>اليوم</t>
        </is>
      </c>
      <c r="D6" s="9" t="inlineStr">
        <is>
          <t>الورشة (شغل داخلي)</t>
        </is>
      </c>
      <c r="E6" s="8" t="inlineStr">
        <is>
          <t>البند</t>
        </is>
      </c>
      <c r="F6" s="8" t="inlineStr">
        <is>
          <t>الكمية</t>
        </is>
      </c>
      <c r="G6" s="8" t="inlineStr">
        <is>
          <t>الإفرادي</t>
        </is>
      </c>
      <c r="H6" s="10" t="inlineStr">
        <is>
          <t>الإجمالي</t>
        </is>
      </c>
      <c r="I6" s="8" t="inlineStr">
        <is>
          <t>الغرض</t>
        </is>
      </c>
      <c r="J6" s="8" t="inlineStr">
        <is>
          <t>أصل؟</t>
        </is>
      </c>
      <c r="K6" s="8" t="inlineStr">
        <is>
          <t>المدقق</t>
        </is>
      </c>
      <c r="L6" s="11" t="inlineStr">
        <is>
          <t>ملاحظات إضافية</t>
        </is>
      </c>
    </row>
    <row r="7">
      <c r="A7" s="12">
        <f>IF(E7="","",ROW()-6)</f>
        <v/>
      </c>
      <c r="B7" s="13" t="n"/>
      <c r="C7" s="12">
        <f>IF(B7="","",CHOOSE(WEEKDAY(B7,1),"الأحد","الاثنين","الثلاثاء","الأربعاء","الخميس","الجمعة","السبت"))</f>
        <v/>
      </c>
      <c r="D7" s="14" t="n"/>
      <c r="E7" s="15" t="n"/>
      <c r="F7" s="16" t="n"/>
      <c r="G7" s="17" t="n"/>
      <c r="H7" s="18">
        <f>IF(OR(F7="",G7=""),"",ROUND(F7*G7,2))</f>
        <v/>
      </c>
      <c r="I7" s="19">
        <f>IF(ISNUMBER(SEARCH("ستاند",D7)),"أثاث وستاندات","")</f>
        <v/>
      </c>
      <c r="J7" s="20">
        <f>IF(E7="","",IF(I7="","⚠ عبّي الغرض",IF(AND(D7&lt;&gt;"",OR(ISNUMBER(SEARCH("صيانة",D7)),ISNUMBER(SEARCH("تعزيل",D7)),ISNUMBER(SEARCH("تنظيف",D7)),ISNUMBER(SEARCH("تصليح",D7)))),"⚠ الصيانة بلا ورشة",IF(H7="","⚠ ناقص",IF(D7&lt;&gt;"",IF(SUMIF($D$7:$D$806,D7,$H$7:$H$806)&gt;=20,"أصل","مصروف"),IFERROR(IF(VLOOKUP(I7,'القوائم'!$A$2:$D$14,4,0)="زكاة وصدقة","زكاة وصدقة",IF(AND(VLOOKUP(I7,'القوائم'!$A$2:$D$14,3,0)&lt;&gt;"",H7&gt;=20),"أصل","مصروف")),"مصروف"))))))</f>
        <v/>
      </c>
      <c r="K7" s="21" t="n"/>
      <c r="L7" s="22" t="n"/>
      <c r="N7">
        <f>IF(B7="","",MONTH(B7))</f>
        <v/>
      </c>
      <c r="O7">
        <f>IF(B7="","",YEAR(B7))</f>
        <v/>
      </c>
      <c r="P7">
        <f>IF(AND(D7&lt;&gt;"",COUNTIF(D$7:D7,D7)=1),MAX(P$6:P6)+1,"")</f>
        <v/>
      </c>
      <c r="Q7">
        <f>IF(E7="","",IF(I7="أجور عمال","أجرة","مادة"))</f>
        <v/>
      </c>
    </row>
    <row r="8">
      <c r="A8" s="12">
        <f>IF(E8="","",ROW()-6)</f>
        <v/>
      </c>
      <c r="B8" s="13" t="n"/>
      <c r="C8" s="12">
        <f>IF(B8="","",CHOOSE(WEEKDAY(B8,1),"الأحد","الاثنين","الثلاثاء","الأربعاء","الخميس","الجمعة","السبت"))</f>
        <v/>
      </c>
      <c r="D8" s="14" t="n"/>
      <c r="E8" s="15" t="n"/>
      <c r="F8" s="16" t="n"/>
      <c r="G8" s="17" t="n"/>
      <c r="H8" s="18">
        <f>IF(OR(F8="",G8=""),"",ROUND(F8*G8,2))</f>
        <v/>
      </c>
      <c r="I8" s="19">
        <f>IF(ISNUMBER(SEARCH("ستاند",D8)),"أثاث وستاندات","")</f>
        <v/>
      </c>
      <c r="J8" s="20">
        <f>IF(E8="","",IF(I8="","⚠ عبّي الغرض",IF(AND(D8&lt;&gt;"",OR(ISNUMBER(SEARCH("صيانة",D8)),ISNUMBER(SEARCH("تعزيل",D8)),ISNUMBER(SEARCH("تنظيف",D8)),ISNUMBER(SEARCH("تصليح",D8)))),"⚠ الصيانة بلا ورشة",IF(H8="","⚠ ناقص",IF(D8&lt;&gt;"",IF(SUMIF($D$7:$D$806,D8,$H$7:$H$806)&gt;=20,"أصل","مصروف"),IFERROR(IF(VLOOKUP(I8,'القوائم'!$A$2:$D$14,4,0)="زكاة وصدقة","زكاة وصدقة",IF(AND(VLOOKUP(I8,'القوائم'!$A$2:$D$14,3,0)&lt;&gt;"",H8&gt;=20),"أصل","مصروف")),"مصروف"))))))</f>
        <v/>
      </c>
      <c r="K8" s="21" t="n"/>
      <c r="L8" s="22" t="n"/>
      <c r="N8">
        <f>IF(B8="","",MONTH(B8))</f>
        <v/>
      </c>
      <c r="O8">
        <f>IF(B8="","",YEAR(B8))</f>
        <v/>
      </c>
      <c r="P8">
        <f>IF(AND(D8&lt;&gt;"",COUNTIF(D$7:D8,D8)=1),MAX(P$6:P7)+1,"")</f>
        <v/>
      </c>
      <c r="Q8">
        <f>IF(E8="","",IF(I8="أجور عمال","أجرة","مادة"))</f>
        <v/>
      </c>
    </row>
    <row r="9">
      <c r="A9" s="12">
        <f>IF(E9="","",ROW()-6)</f>
        <v/>
      </c>
      <c r="B9" s="13" t="n"/>
      <c r="C9" s="12">
        <f>IF(B9="","",CHOOSE(WEEKDAY(B9,1),"الأحد","الاثنين","الثلاثاء","الأربعاء","الخميس","الجمعة","السبت"))</f>
        <v/>
      </c>
      <c r="D9" s="14" t="n"/>
      <c r="E9" s="15" t="n"/>
      <c r="F9" s="16" t="n"/>
      <c r="G9" s="17" t="n"/>
      <c r="H9" s="18">
        <f>IF(OR(F9="",G9=""),"",ROUND(F9*G9,2))</f>
        <v/>
      </c>
      <c r="I9" s="19">
        <f>IF(ISNUMBER(SEARCH("ستاند",D9)),"أثاث وستاندات","")</f>
        <v/>
      </c>
      <c r="J9" s="20">
        <f>IF(E9="","",IF(I9="","⚠ عبّي الغرض",IF(AND(D9&lt;&gt;"",OR(ISNUMBER(SEARCH("صيانة",D9)),ISNUMBER(SEARCH("تعزيل",D9)),ISNUMBER(SEARCH("تنظيف",D9)),ISNUMBER(SEARCH("تصليح",D9)))),"⚠ الصيانة بلا ورشة",IF(H9="","⚠ ناقص",IF(D9&lt;&gt;"",IF(SUMIF($D$7:$D$806,D9,$H$7:$H$806)&gt;=20,"أصل","مصروف"),IFERROR(IF(VLOOKUP(I9,'القوائم'!$A$2:$D$14,4,0)="زكاة وصدقة","زكاة وصدقة",IF(AND(VLOOKUP(I9,'القوائم'!$A$2:$D$14,3,0)&lt;&gt;"",H9&gt;=20),"أصل","مصروف")),"مصروف"))))))</f>
        <v/>
      </c>
      <c r="K9" s="21" t="n"/>
      <c r="L9" s="22" t="n"/>
      <c r="N9">
        <f>IF(B9="","",MONTH(B9))</f>
        <v/>
      </c>
      <c r="O9">
        <f>IF(B9="","",YEAR(B9))</f>
        <v/>
      </c>
      <c r="P9">
        <f>IF(AND(D9&lt;&gt;"",COUNTIF(D$7:D9,D9)=1),MAX(P$6:P8)+1,"")</f>
        <v/>
      </c>
      <c r="Q9">
        <f>IF(E9="","",IF(I9="أجور عمال","أجرة","مادة"))</f>
        <v/>
      </c>
    </row>
    <row r="10">
      <c r="A10" s="12">
        <f>IF(E10="","",ROW()-6)</f>
        <v/>
      </c>
      <c r="B10" s="13" t="n"/>
      <c r="C10" s="12">
        <f>IF(B10="","",CHOOSE(WEEKDAY(B10,1),"الأحد","الاثنين","الثلاثاء","الأربعاء","الخميس","الجمعة","السبت"))</f>
        <v/>
      </c>
      <c r="D10" s="14" t="n"/>
      <c r="E10" s="15" t="n"/>
      <c r="F10" s="16" t="n"/>
      <c r="G10" s="17" t="n"/>
      <c r="H10" s="18">
        <f>IF(OR(F10="",G10=""),"",ROUND(F10*G10,2))</f>
        <v/>
      </c>
      <c r="I10" s="19">
        <f>IF(ISNUMBER(SEARCH("ستاند",D10)),"أثاث وستاندات","")</f>
        <v/>
      </c>
      <c r="J10" s="20">
        <f>IF(E10="","",IF(I10="","⚠ عبّي الغرض",IF(AND(D10&lt;&gt;"",OR(ISNUMBER(SEARCH("صيانة",D10)),ISNUMBER(SEARCH("تعزيل",D10)),ISNUMBER(SEARCH("تنظيف",D10)),ISNUMBER(SEARCH("تصليح",D10)))),"⚠ الصيانة بلا ورشة",IF(H10="","⚠ ناقص",IF(D10&lt;&gt;"",IF(SUMIF($D$7:$D$806,D10,$H$7:$H$806)&gt;=20,"أصل","مصروف"),IFERROR(IF(VLOOKUP(I10,'القوائم'!$A$2:$D$14,4,0)="زكاة وصدقة","زكاة وصدقة",IF(AND(VLOOKUP(I10,'القوائم'!$A$2:$D$14,3,0)&lt;&gt;"",H10&gt;=20),"أصل","مصروف")),"مصروف"))))))</f>
        <v/>
      </c>
      <c r="K10" s="21" t="n"/>
      <c r="L10" s="22" t="n"/>
      <c r="N10">
        <f>IF(B10="","",MONTH(B10))</f>
        <v/>
      </c>
      <c r="O10">
        <f>IF(B10="","",YEAR(B10))</f>
        <v/>
      </c>
      <c r="P10">
        <f>IF(AND(D10&lt;&gt;"",COUNTIF(D$7:D10,D10)=1),MAX(P$6:P9)+1,"")</f>
        <v/>
      </c>
      <c r="Q10">
        <f>IF(E10="","",IF(I10="أجور عمال","أجرة","مادة"))</f>
        <v/>
      </c>
    </row>
    <row r="11">
      <c r="A11" s="12">
        <f>IF(E11="","",ROW()-6)</f>
        <v/>
      </c>
      <c r="B11" s="13" t="n"/>
      <c r="C11" s="12">
        <f>IF(B11="","",CHOOSE(WEEKDAY(B11,1),"الأحد","الاثنين","الثلاثاء","الأربعاء","الخميس","الجمعة","السبت"))</f>
        <v/>
      </c>
      <c r="D11" s="14" t="n"/>
      <c r="E11" s="15" t="n"/>
      <c r="F11" s="16" t="n"/>
      <c r="G11" s="17" t="n"/>
      <c r="H11" s="18">
        <f>IF(OR(F11="",G11=""),"",ROUND(F11*G11,2))</f>
        <v/>
      </c>
      <c r="I11" s="19">
        <f>IF(ISNUMBER(SEARCH("ستاند",D11)),"أثاث وستاندات","")</f>
        <v/>
      </c>
      <c r="J11" s="20">
        <f>IF(E11="","",IF(I11="","⚠ عبّي الغرض",IF(AND(D11&lt;&gt;"",OR(ISNUMBER(SEARCH("صيانة",D11)),ISNUMBER(SEARCH("تعزيل",D11)),ISNUMBER(SEARCH("تنظيف",D11)),ISNUMBER(SEARCH("تصليح",D11)))),"⚠ الصيانة بلا ورشة",IF(H11="","⚠ ناقص",IF(D11&lt;&gt;"",IF(SUMIF($D$7:$D$806,D11,$H$7:$H$806)&gt;=20,"أصل","مصروف"),IFERROR(IF(VLOOKUP(I11,'القوائم'!$A$2:$D$14,4,0)="زكاة وصدقة","زكاة وصدقة",IF(AND(VLOOKUP(I11,'القوائم'!$A$2:$D$14,3,0)&lt;&gt;"",H11&gt;=20),"أصل","مصروف")),"مصروف"))))))</f>
        <v/>
      </c>
      <c r="K11" s="21" t="n"/>
      <c r="L11" s="22" t="n"/>
      <c r="N11">
        <f>IF(B11="","",MONTH(B11))</f>
        <v/>
      </c>
      <c r="O11">
        <f>IF(B11="","",YEAR(B11))</f>
        <v/>
      </c>
      <c r="P11">
        <f>IF(AND(D11&lt;&gt;"",COUNTIF(D$7:D11,D11)=1),MAX(P$6:P10)+1,"")</f>
        <v/>
      </c>
      <c r="Q11">
        <f>IF(E11="","",IF(I11="أجور عمال","أجرة","مادة"))</f>
        <v/>
      </c>
    </row>
    <row r="12">
      <c r="A12" s="12">
        <f>IF(E12="","",ROW()-6)</f>
        <v/>
      </c>
      <c r="B12" s="13" t="n"/>
      <c r="C12" s="12">
        <f>IF(B12="","",CHOOSE(WEEKDAY(B12,1),"الأحد","الاثنين","الثلاثاء","الأربعاء","الخميس","الجمعة","السبت"))</f>
        <v/>
      </c>
      <c r="D12" s="14" t="n"/>
      <c r="E12" s="15" t="n"/>
      <c r="F12" s="16" t="n"/>
      <c r="G12" s="17" t="n"/>
      <c r="H12" s="18">
        <f>IF(OR(F12="",G12=""),"",ROUND(F12*G12,2))</f>
        <v/>
      </c>
      <c r="I12" s="19">
        <f>IF(ISNUMBER(SEARCH("ستاند",D12)),"أثاث وستاندات","")</f>
        <v/>
      </c>
      <c r="J12" s="20">
        <f>IF(E12="","",IF(I12="","⚠ عبّي الغرض",IF(AND(D12&lt;&gt;"",OR(ISNUMBER(SEARCH("صيانة",D12)),ISNUMBER(SEARCH("تعزيل",D12)),ISNUMBER(SEARCH("تنظيف",D12)),ISNUMBER(SEARCH("تصليح",D12)))),"⚠ الصيانة بلا ورشة",IF(H12="","⚠ ناقص",IF(D12&lt;&gt;"",IF(SUMIF($D$7:$D$806,D12,$H$7:$H$806)&gt;=20,"أصل","مصروف"),IFERROR(IF(VLOOKUP(I12,'القوائم'!$A$2:$D$14,4,0)="زكاة وصدقة","زكاة وصدقة",IF(AND(VLOOKUP(I12,'القوائم'!$A$2:$D$14,3,0)&lt;&gt;"",H12&gt;=20),"أصل","مصروف")),"مصروف"))))))</f>
        <v/>
      </c>
      <c r="K12" s="21" t="n"/>
      <c r="L12" s="22" t="n"/>
      <c r="N12">
        <f>IF(B12="","",MONTH(B12))</f>
        <v/>
      </c>
      <c r="O12">
        <f>IF(B12="","",YEAR(B12))</f>
        <v/>
      </c>
      <c r="P12">
        <f>IF(AND(D12&lt;&gt;"",COUNTIF(D$7:D12,D12)=1),MAX(P$6:P11)+1,"")</f>
        <v/>
      </c>
      <c r="Q12">
        <f>IF(E12="","",IF(I12="أجور عمال","أجرة","مادة"))</f>
        <v/>
      </c>
    </row>
    <row r="13">
      <c r="A13" s="12">
        <f>IF(E13="","",ROW()-6)</f>
        <v/>
      </c>
      <c r="B13" s="13" t="n"/>
      <c r="C13" s="12">
        <f>IF(B13="","",CHOOSE(WEEKDAY(B13,1),"الأحد","الاثنين","الثلاثاء","الأربعاء","الخميس","الجمعة","السبت"))</f>
        <v/>
      </c>
      <c r="D13" s="14" t="n"/>
      <c r="E13" s="15" t="n"/>
      <c r="F13" s="16" t="n"/>
      <c r="G13" s="17" t="n"/>
      <c r="H13" s="18">
        <f>IF(OR(F13="",G13=""),"",ROUND(F13*G13,2))</f>
        <v/>
      </c>
      <c r="I13" s="19">
        <f>IF(ISNUMBER(SEARCH("ستاند",D13)),"أثاث وستاندات","")</f>
        <v/>
      </c>
      <c r="J13" s="20">
        <f>IF(E13="","",IF(I13="","⚠ عبّي الغرض",IF(AND(D13&lt;&gt;"",OR(ISNUMBER(SEARCH("صيانة",D13)),ISNUMBER(SEARCH("تعزيل",D13)),ISNUMBER(SEARCH("تنظيف",D13)),ISNUMBER(SEARCH("تصليح",D13)))),"⚠ الصيانة بلا ورشة",IF(H13="","⚠ ناقص",IF(D13&lt;&gt;"",IF(SUMIF($D$7:$D$806,D13,$H$7:$H$806)&gt;=20,"أصل","مصروف"),IFERROR(IF(VLOOKUP(I13,'القوائم'!$A$2:$D$14,4,0)="زكاة وصدقة","زكاة وصدقة",IF(AND(VLOOKUP(I13,'القوائم'!$A$2:$D$14,3,0)&lt;&gt;"",H13&gt;=20),"أصل","مصروف")),"مصروف"))))))</f>
        <v/>
      </c>
      <c r="K13" s="21" t="n"/>
      <c r="L13" s="22" t="n"/>
      <c r="N13">
        <f>IF(B13="","",MONTH(B13))</f>
        <v/>
      </c>
      <c r="O13">
        <f>IF(B13="","",YEAR(B13))</f>
        <v/>
      </c>
      <c r="P13">
        <f>IF(AND(D13&lt;&gt;"",COUNTIF(D$7:D13,D13)=1),MAX(P$6:P12)+1,"")</f>
        <v/>
      </c>
      <c r="Q13">
        <f>IF(E13="","",IF(I13="أجور عمال","أجرة","مادة"))</f>
        <v/>
      </c>
    </row>
    <row r="14">
      <c r="A14" s="12">
        <f>IF(E14="","",ROW()-6)</f>
        <v/>
      </c>
      <c r="B14" s="13" t="n"/>
      <c r="C14" s="12">
        <f>IF(B14="","",CHOOSE(WEEKDAY(B14,1),"الأحد","الاثنين","الثلاثاء","الأربعاء","الخميس","الجمعة","السبت"))</f>
        <v/>
      </c>
      <c r="D14" s="14" t="n"/>
      <c r="E14" s="15" t="n"/>
      <c r="F14" s="16" t="n"/>
      <c r="G14" s="17" t="n"/>
      <c r="H14" s="18">
        <f>IF(OR(F14="",G14=""),"",ROUND(F14*G14,2))</f>
        <v/>
      </c>
      <c r="I14" s="19">
        <f>IF(ISNUMBER(SEARCH("ستاند",D14)),"أثاث وستاندات","")</f>
        <v/>
      </c>
      <c r="J14" s="20">
        <f>IF(E14="","",IF(I14="","⚠ عبّي الغرض",IF(AND(D14&lt;&gt;"",OR(ISNUMBER(SEARCH("صيانة",D14)),ISNUMBER(SEARCH("تعزيل",D14)),ISNUMBER(SEARCH("تنظيف",D14)),ISNUMBER(SEARCH("تصليح",D14)))),"⚠ الصيانة بلا ورشة",IF(H14="","⚠ ناقص",IF(D14&lt;&gt;"",IF(SUMIF($D$7:$D$806,D14,$H$7:$H$806)&gt;=20,"أصل","مصروف"),IFERROR(IF(VLOOKUP(I14,'القوائم'!$A$2:$D$14,4,0)="زكاة وصدقة","زكاة وصدقة",IF(AND(VLOOKUP(I14,'القوائم'!$A$2:$D$14,3,0)&lt;&gt;"",H14&gt;=20),"أصل","مصروف")),"مصروف"))))))</f>
        <v/>
      </c>
      <c r="K14" s="21" t="n"/>
      <c r="L14" s="22" t="n"/>
      <c r="N14">
        <f>IF(B14="","",MONTH(B14))</f>
        <v/>
      </c>
      <c r="O14">
        <f>IF(B14="","",YEAR(B14))</f>
        <v/>
      </c>
      <c r="P14">
        <f>IF(AND(D14&lt;&gt;"",COUNTIF(D$7:D14,D14)=1),MAX(P$6:P13)+1,"")</f>
        <v/>
      </c>
      <c r="Q14">
        <f>IF(E14="","",IF(I14="أجور عمال","أجرة","مادة"))</f>
        <v/>
      </c>
    </row>
    <row r="15">
      <c r="A15" s="12">
        <f>IF(E15="","",ROW()-6)</f>
        <v/>
      </c>
      <c r="B15" s="13" t="n"/>
      <c r="C15" s="12">
        <f>IF(B15="","",CHOOSE(WEEKDAY(B15,1),"الأحد","الاثنين","الثلاثاء","الأربعاء","الخميس","الجمعة","السبت"))</f>
        <v/>
      </c>
      <c r="D15" s="14" t="n"/>
      <c r="E15" s="15" t="n"/>
      <c r="F15" s="16" t="n"/>
      <c r="G15" s="17" t="n"/>
      <c r="H15" s="18">
        <f>IF(OR(F15="",G15=""),"",ROUND(F15*G15,2))</f>
        <v/>
      </c>
      <c r="I15" s="19">
        <f>IF(ISNUMBER(SEARCH("ستاند",D15)),"أثاث وستاندات","")</f>
        <v/>
      </c>
      <c r="J15" s="20">
        <f>IF(E15="","",IF(I15="","⚠ عبّي الغرض",IF(AND(D15&lt;&gt;"",OR(ISNUMBER(SEARCH("صيانة",D15)),ISNUMBER(SEARCH("تعزيل",D15)),ISNUMBER(SEARCH("تنظيف",D15)),ISNUMBER(SEARCH("تصليح",D15)))),"⚠ الصيانة بلا ورشة",IF(H15="","⚠ ناقص",IF(D15&lt;&gt;"",IF(SUMIF($D$7:$D$806,D15,$H$7:$H$806)&gt;=20,"أصل","مصروف"),IFERROR(IF(VLOOKUP(I15,'القوائم'!$A$2:$D$14,4,0)="زكاة وصدقة","زكاة وصدقة",IF(AND(VLOOKUP(I15,'القوائم'!$A$2:$D$14,3,0)&lt;&gt;"",H15&gt;=20),"أصل","مصروف")),"مصروف"))))))</f>
        <v/>
      </c>
      <c r="K15" s="21" t="n"/>
      <c r="L15" s="22" t="n"/>
      <c r="N15">
        <f>IF(B15="","",MONTH(B15))</f>
        <v/>
      </c>
      <c r="O15">
        <f>IF(B15="","",YEAR(B15))</f>
        <v/>
      </c>
      <c r="P15">
        <f>IF(AND(D15&lt;&gt;"",COUNTIF(D$7:D15,D15)=1),MAX(P$6:P14)+1,"")</f>
        <v/>
      </c>
      <c r="Q15">
        <f>IF(E15="","",IF(I15="أجور عمال","أجرة","مادة"))</f>
        <v/>
      </c>
    </row>
    <row r="16">
      <c r="A16" s="12">
        <f>IF(E16="","",ROW()-6)</f>
        <v/>
      </c>
      <c r="B16" s="13" t="n"/>
      <c r="C16" s="12">
        <f>IF(B16="","",CHOOSE(WEEKDAY(B16,1),"الأحد","الاثنين","الثلاثاء","الأربعاء","الخميس","الجمعة","السبت"))</f>
        <v/>
      </c>
      <c r="D16" s="14" t="n"/>
      <c r="E16" s="15" t="n"/>
      <c r="F16" s="16" t="n"/>
      <c r="G16" s="17" t="n"/>
      <c r="H16" s="18">
        <f>IF(OR(F16="",G16=""),"",ROUND(F16*G16,2))</f>
        <v/>
      </c>
      <c r="I16" s="19">
        <f>IF(ISNUMBER(SEARCH("ستاند",D16)),"أثاث وستاندات","")</f>
        <v/>
      </c>
      <c r="J16" s="20">
        <f>IF(E16="","",IF(I16="","⚠ عبّي الغرض",IF(AND(D16&lt;&gt;"",OR(ISNUMBER(SEARCH("صيانة",D16)),ISNUMBER(SEARCH("تعزيل",D16)),ISNUMBER(SEARCH("تنظيف",D16)),ISNUMBER(SEARCH("تصليح",D16)))),"⚠ الصيانة بلا ورشة",IF(H16="","⚠ ناقص",IF(D16&lt;&gt;"",IF(SUMIF($D$7:$D$806,D16,$H$7:$H$806)&gt;=20,"أصل","مصروف"),IFERROR(IF(VLOOKUP(I16,'القوائم'!$A$2:$D$14,4,0)="زكاة وصدقة","زكاة وصدقة",IF(AND(VLOOKUP(I16,'القوائم'!$A$2:$D$14,3,0)&lt;&gt;"",H16&gt;=20),"أصل","مصروف")),"مصروف"))))))</f>
        <v/>
      </c>
      <c r="K16" s="21" t="n"/>
      <c r="L16" s="22" t="n"/>
      <c r="N16">
        <f>IF(B16="","",MONTH(B16))</f>
        <v/>
      </c>
      <c r="O16">
        <f>IF(B16="","",YEAR(B16))</f>
        <v/>
      </c>
      <c r="P16">
        <f>IF(AND(D16&lt;&gt;"",COUNTIF(D$7:D16,D16)=1),MAX(P$6:P15)+1,"")</f>
        <v/>
      </c>
      <c r="Q16">
        <f>IF(E16="","",IF(I16="أجور عمال","أجرة","مادة"))</f>
        <v/>
      </c>
    </row>
    <row r="17">
      <c r="A17" s="12">
        <f>IF(E17="","",ROW()-6)</f>
        <v/>
      </c>
      <c r="B17" s="13" t="n"/>
      <c r="C17" s="12">
        <f>IF(B17="","",CHOOSE(WEEKDAY(B17,1),"الأحد","الاثنين","الثلاثاء","الأربعاء","الخميس","الجمعة","السبت"))</f>
        <v/>
      </c>
      <c r="D17" s="14" t="n"/>
      <c r="E17" s="15" t="n"/>
      <c r="F17" s="16" t="n"/>
      <c r="G17" s="17" t="n"/>
      <c r="H17" s="18">
        <f>IF(OR(F17="",G17=""),"",ROUND(F17*G17,2))</f>
        <v/>
      </c>
      <c r="I17" s="19">
        <f>IF(ISNUMBER(SEARCH("ستاند",D17)),"أثاث وستاندات","")</f>
        <v/>
      </c>
      <c r="J17" s="20">
        <f>IF(E17="","",IF(I17="","⚠ عبّي الغرض",IF(AND(D17&lt;&gt;"",OR(ISNUMBER(SEARCH("صيانة",D17)),ISNUMBER(SEARCH("تعزيل",D17)),ISNUMBER(SEARCH("تنظيف",D17)),ISNUMBER(SEARCH("تصليح",D17)))),"⚠ الصيانة بلا ورشة",IF(H17="","⚠ ناقص",IF(D17&lt;&gt;"",IF(SUMIF($D$7:$D$806,D17,$H$7:$H$806)&gt;=20,"أصل","مصروف"),IFERROR(IF(VLOOKUP(I17,'القوائم'!$A$2:$D$14,4,0)="زكاة وصدقة","زكاة وصدقة",IF(AND(VLOOKUP(I17,'القوائم'!$A$2:$D$14,3,0)&lt;&gt;"",H17&gt;=20),"أصل","مصروف")),"مصروف"))))))</f>
        <v/>
      </c>
      <c r="K17" s="21" t="n"/>
      <c r="L17" s="22" t="n"/>
      <c r="N17">
        <f>IF(B17="","",MONTH(B17))</f>
        <v/>
      </c>
      <c r="O17">
        <f>IF(B17="","",YEAR(B17))</f>
        <v/>
      </c>
      <c r="P17">
        <f>IF(AND(D17&lt;&gt;"",COUNTIF(D$7:D17,D17)=1),MAX(P$6:P16)+1,"")</f>
        <v/>
      </c>
      <c r="Q17">
        <f>IF(E17="","",IF(I17="أجور عمال","أجرة","مادة"))</f>
        <v/>
      </c>
    </row>
    <row r="18">
      <c r="A18" s="12">
        <f>IF(E18="","",ROW()-6)</f>
        <v/>
      </c>
      <c r="B18" s="13" t="n"/>
      <c r="C18" s="12">
        <f>IF(B18="","",CHOOSE(WEEKDAY(B18,1),"الأحد","الاثنين","الثلاثاء","الأربعاء","الخميس","الجمعة","السبت"))</f>
        <v/>
      </c>
      <c r="D18" s="14" t="n"/>
      <c r="E18" s="15" t="n"/>
      <c r="F18" s="16" t="n"/>
      <c r="G18" s="17" t="n"/>
      <c r="H18" s="18">
        <f>IF(OR(F18="",G18=""),"",ROUND(F18*G18,2))</f>
        <v/>
      </c>
      <c r="I18" s="19">
        <f>IF(ISNUMBER(SEARCH("ستاند",D18)),"أثاث وستاندات","")</f>
        <v/>
      </c>
      <c r="J18" s="20">
        <f>IF(E18="","",IF(I18="","⚠ عبّي الغرض",IF(AND(D18&lt;&gt;"",OR(ISNUMBER(SEARCH("صيانة",D18)),ISNUMBER(SEARCH("تعزيل",D18)),ISNUMBER(SEARCH("تنظيف",D18)),ISNUMBER(SEARCH("تصليح",D18)))),"⚠ الصيانة بلا ورشة",IF(H18="","⚠ ناقص",IF(D18&lt;&gt;"",IF(SUMIF($D$7:$D$806,D18,$H$7:$H$806)&gt;=20,"أصل","مصروف"),IFERROR(IF(VLOOKUP(I18,'القوائم'!$A$2:$D$14,4,0)="زكاة وصدقة","زكاة وصدقة",IF(AND(VLOOKUP(I18,'القوائم'!$A$2:$D$14,3,0)&lt;&gt;"",H18&gt;=20),"أصل","مصروف")),"مصروف"))))))</f>
        <v/>
      </c>
      <c r="K18" s="21" t="n"/>
      <c r="L18" s="22" t="n"/>
      <c r="N18">
        <f>IF(B18="","",MONTH(B18))</f>
        <v/>
      </c>
      <c r="O18">
        <f>IF(B18="","",YEAR(B18))</f>
        <v/>
      </c>
      <c r="P18">
        <f>IF(AND(D18&lt;&gt;"",COUNTIF(D$7:D18,D18)=1),MAX(P$6:P17)+1,"")</f>
        <v/>
      </c>
      <c r="Q18">
        <f>IF(E18="","",IF(I18="أجور عمال","أجرة","مادة"))</f>
        <v/>
      </c>
    </row>
    <row r="19">
      <c r="A19" s="12">
        <f>IF(E19="","",ROW()-6)</f>
        <v/>
      </c>
      <c r="B19" s="13" t="n"/>
      <c r="C19" s="12">
        <f>IF(B19="","",CHOOSE(WEEKDAY(B19,1),"الأحد","الاثنين","الثلاثاء","الأربعاء","الخميس","الجمعة","السبت"))</f>
        <v/>
      </c>
      <c r="D19" s="14" t="n"/>
      <c r="E19" s="15" t="n"/>
      <c r="F19" s="16" t="n"/>
      <c r="G19" s="17" t="n"/>
      <c r="H19" s="18">
        <f>IF(OR(F19="",G19=""),"",ROUND(F19*G19,2))</f>
        <v/>
      </c>
      <c r="I19" s="19">
        <f>IF(ISNUMBER(SEARCH("ستاند",D19)),"أثاث وستاندات","")</f>
        <v/>
      </c>
      <c r="J19" s="20">
        <f>IF(E19="","",IF(I19="","⚠ عبّي الغرض",IF(AND(D19&lt;&gt;"",OR(ISNUMBER(SEARCH("صيانة",D19)),ISNUMBER(SEARCH("تعزيل",D19)),ISNUMBER(SEARCH("تنظيف",D19)),ISNUMBER(SEARCH("تصليح",D19)))),"⚠ الصيانة بلا ورشة",IF(H19="","⚠ ناقص",IF(D19&lt;&gt;"",IF(SUMIF($D$7:$D$806,D19,$H$7:$H$806)&gt;=20,"أصل","مصروف"),IFERROR(IF(VLOOKUP(I19,'القوائم'!$A$2:$D$14,4,0)="زكاة وصدقة","زكاة وصدقة",IF(AND(VLOOKUP(I19,'القوائم'!$A$2:$D$14,3,0)&lt;&gt;"",H19&gt;=20),"أصل","مصروف")),"مصروف"))))))</f>
        <v/>
      </c>
      <c r="K19" s="21" t="n"/>
      <c r="L19" s="22" t="n"/>
      <c r="N19">
        <f>IF(B19="","",MONTH(B19))</f>
        <v/>
      </c>
      <c r="O19">
        <f>IF(B19="","",YEAR(B19))</f>
        <v/>
      </c>
      <c r="P19">
        <f>IF(AND(D19&lt;&gt;"",COUNTIF(D$7:D19,D19)=1),MAX(P$6:P18)+1,"")</f>
        <v/>
      </c>
      <c r="Q19">
        <f>IF(E19="","",IF(I19="أجور عمال","أجرة","مادة"))</f>
        <v/>
      </c>
    </row>
    <row r="20">
      <c r="A20" s="12">
        <f>IF(E20="","",ROW()-6)</f>
        <v/>
      </c>
      <c r="B20" s="13" t="n"/>
      <c r="C20" s="12">
        <f>IF(B20="","",CHOOSE(WEEKDAY(B20,1),"الأحد","الاثنين","الثلاثاء","الأربعاء","الخميس","الجمعة","السبت"))</f>
        <v/>
      </c>
      <c r="D20" s="14" t="n"/>
      <c r="E20" s="15" t="n"/>
      <c r="F20" s="16" t="n"/>
      <c r="G20" s="17" t="n"/>
      <c r="H20" s="18">
        <f>IF(OR(F20="",G20=""),"",ROUND(F20*G20,2))</f>
        <v/>
      </c>
      <c r="I20" s="19">
        <f>IF(ISNUMBER(SEARCH("ستاند",D20)),"أثاث وستاندات","")</f>
        <v/>
      </c>
      <c r="J20" s="20">
        <f>IF(E20="","",IF(I20="","⚠ عبّي الغرض",IF(AND(D20&lt;&gt;"",OR(ISNUMBER(SEARCH("صيانة",D20)),ISNUMBER(SEARCH("تعزيل",D20)),ISNUMBER(SEARCH("تنظيف",D20)),ISNUMBER(SEARCH("تصليح",D20)))),"⚠ الصيانة بلا ورشة",IF(H20="","⚠ ناقص",IF(D20&lt;&gt;"",IF(SUMIF($D$7:$D$806,D20,$H$7:$H$806)&gt;=20,"أصل","مصروف"),IFERROR(IF(VLOOKUP(I20,'القوائم'!$A$2:$D$14,4,0)="زكاة وصدقة","زكاة وصدقة",IF(AND(VLOOKUP(I20,'القوائم'!$A$2:$D$14,3,0)&lt;&gt;"",H20&gt;=20),"أصل","مصروف")),"مصروف"))))))</f>
        <v/>
      </c>
      <c r="K20" s="21" t="n"/>
      <c r="L20" s="22" t="n"/>
      <c r="N20">
        <f>IF(B20="","",MONTH(B20))</f>
        <v/>
      </c>
      <c r="O20">
        <f>IF(B20="","",YEAR(B20))</f>
        <v/>
      </c>
      <c r="P20">
        <f>IF(AND(D20&lt;&gt;"",COUNTIF(D$7:D20,D20)=1),MAX(P$6:P19)+1,"")</f>
        <v/>
      </c>
      <c r="Q20">
        <f>IF(E20="","",IF(I20="أجور عمال","أجرة","مادة"))</f>
        <v/>
      </c>
    </row>
    <row r="21">
      <c r="A21" s="12">
        <f>IF(E21="","",ROW()-6)</f>
        <v/>
      </c>
      <c r="B21" s="13" t="n"/>
      <c r="C21" s="12">
        <f>IF(B21="","",CHOOSE(WEEKDAY(B21,1),"الأحد","الاثنين","الثلاثاء","الأربعاء","الخميس","الجمعة","السبت"))</f>
        <v/>
      </c>
      <c r="D21" s="14" t="n"/>
      <c r="E21" s="15" t="n"/>
      <c r="F21" s="16" t="n"/>
      <c r="G21" s="17" t="n"/>
      <c r="H21" s="18">
        <f>IF(OR(F21="",G21=""),"",ROUND(F21*G21,2))</f>
        <v/>
      </c>
      <c r="I21" s="19">
        <f>IF(ISNUMBER(SEARCH("ستاند",D21)),"أثاث وستاندات","")</f>
        <v/>
      </c>
      <c r="J21" s="20">
        <f>IF(E21="","",IF(I21="","⚠ عبّي الغرض",IF(AND(D21&lt;&gt;"",OR(ISNUMBER(SEARCH("صيانة",D21)),ISNUMBER(SEARCH("تعزيل",D21)),ISNUMBER(SEARCH("تنظيف",D21)),ISNUMBER(SEARCH("تصليح",D21)))),"⚠ الصيانة بلا ورشة",IF(H21="","⚠ ناقص",IF(D21&lt;&gt;"",IF(SUMIF($D$7:$D$806,D21,$H$7:$H$806)&gt;=20,"أصل","مصروف"),IFERROR(IF(VLOOKUP(I21,'القوائم'!$A$2:$D$14,4,0)="زكاة وصدقة","زكاة وصدقة",IF(AND(VLOOKUP(I21,'القوائم'!$A$2:$D$14,3,0)&lt;&gt;"",H21&gt;=20),"أصل","مصروف")),"مصروف"))))))</f>
        <v/>
      </c>
      <c r="K21" s="21" t="n"/>
      <c r="L21" s="22" t="n"/>
      <c r="N21">
        <f>IF(B21="","",MONTH(B21))</f>
        <v/>
      </c>
      <c r="O21">
        <f>IF(B21="","",YEAR(B21))</f>
        <v/>
      </c>
      <c r="P21">
        <f>IF(AND(D21&lt;&gt;"",COUNTIF(D$7:D21,D21)=1),MAX(P$6:P20)+1,"")</f>
        <v/>
      </c>
      <c r="Q21">
        <f>IF(E21="","",IF(I21="أجور عمال","أجرة","مادة"))</f>
        <v/>
      </c>
    </row>
    <row r="22">
      <c r="A22" s="12">
        <f>IF(E22="","",ROW()-6)</f>
        <v/>
      </c>
      <c r="B22" s="13" t="n"/>
      <c r="C22" s="12">
        <f>IF(B22="","",CHOOSE(WEEKDAY(B22,1),"الأحد","الاثنين","الثلاثاء","الأربعاء","الخميس","الجمعة","السبت"))</f>
        <v/>
      </c>
      <c r="D22" s="14" t="n"/>
      <c r="E22" s="15" t="n"/>
      <c r="F22" s="16" t="n"/>
      <c r="G22" s="17" t="n"/>
      <c r="H22" s="18">
        <f>IF(OR(F22="",G22=""),"",ROUND(F22*G22,2))</f>
        <v/>
      </c>
      <c r="I22" s="19">
        <f>IF(ISNUMBER(SEARCH("ستاند",D22)),"أثاث وستاندات","")</f>
        <v/>
      </c>
      <c r="J22" s="20">
        <f>IF(E22="","",IF(I22="","⚠ عبّي الغرض",IF(AND(D22&lt;&gt;"",OR(ISNUMBER(SEARCH("صيانة",D22)),ISNUMBER(SEARCH("تعزيل",D22)),ISNUMBER(SEARCH("تنظيف",D22)),ISNUMBER(SEARCH("تصليح",D22)))),"⚠ الصيانة بلا ورشة",IF(H22="","⚠ ناقص",IF(D22&lt;&gt;"",IF(SUMIF($D$7:$D$806,D22,$H$7:$H$806)&gt;=20,"أصل","مصروف"),IFERROR(IF(VLOOKUP(I22,'القوائم'!$A$2:$D$14,4,0)="زكاة وصدقة","زكاة وصدقة",IF(AND(VLOOKUP(I22,'القوائم'!$A$2:$D$14,3,0)&lt;&gt;"",H22&gt;=20),"أصل","مصروف")),"مصروف"))))))</f>
        <v/>
      </c>
      <c r="K22" s="21" t="n"/>
      <c r="L22" s="22" t="n"/>
      <c r="N22">
        <f>IF(B22="","",MONTH(B22))</f>
        <v/>
      </c>
      <c r="O22">
        <f>IF(B22="","",YEAR(B22))</f>
        <v/>
      </c>
      <c r="P22">
        <f>IF(AND(D22&lt;&gt;"",COUNTIF(D$7:D22,D22)=1),MAX(P$6:P21)+1,"")</f>
        <v/>
      </c>
      <c r="Q22">
        <f>IF(E22="","",IF(I22="أجور عمال","أجرة","مادة"))</f>
        <v/>
      </c>
    </row>
    <row r="23">
      <c r="A23" s="12">
        <f>IF(E23="","",ROW()-6)</f>
        <v/>
      </c>
      <c r="B23" s="13" t="n"/>
      <c r="C23" s="12">
        <f>IF(B23="","",CHOOSE(WEEKDAY(B23,1),"الأحد","الاثنين","الثلاثاء","الأربعاء","الخميس","الجمعة","السبت"))</f>
        <v/>
      </c>
      <c r="D23" s="14" t="n"/>
      <c r="E23" s="15" t="n"/>
      <c r="F23" s="16" t="n"/>
      <c r="G23" s="17" t="n"/>
      <c r="H23" s="18">
        <f>IF(OR(F23="",G23=""),"",ROUND(F23*G23,2))</f>
        <v/>
      </c>
      <c r="I23" s="19">
        <f>IF(ISNUMBER(SEARCH("ستاند",D23)),"أثاث وستاندات","")</f>
        <v/>
      </c>
      <c r="J23" s="20">
        <f>IF(E23="","",IF(I23="","⚠ عبّي الغرض",IF(AND(D23&lt;&gt;"",OR(ISNUMBER(SEARCH("صيانة",D23)),ISNUMBER(SEARCH("تعزيل",D23)),ISNUMBER(SEARCH("تنظيف",D23)),ISNUMBER(SEARCH("تصليح",D23)))),"⚠ الصيانة بلا ورشة",IF(H23="","⚠ ناقص",IF(D23&lt;&gt;"",IF(SUMIF($D$7:$D$806,D23,$H$7:$H$806)&gt;=20,"أصل","مصروف"),IFERROR(IF(VLOOKUP(I23,'القوائم'!$A$2:$D$14,4,0)="زكاة وصدقة","زكاة وصدقة",IF(AND(VLOOKUP(I23,'القوائم'!$A$2:$D$14,3,0)&lt;&gt;"",H23&gt;=20),"أصل","مصروف")),"مصروف"))))))</f>
        <v/>
      </c>
      <c r="K23" s="21" t="n"/>
      <c r="L23" s="22" t="n"/>
      <c r="N23">
        <f>IF(B23="","",MONTH(B23))</f>
        <v/>
      </c>
      <c r="O23">
        <f>IF(B23="","",YEAR(B23))</f>
        <v/>
      </c>
      <c r="P23">
        <f>IF(AND(D23&lt;&gt;"",COUNTIF(D$7:D23,D23)=1),MAX(P$6:P22)+1,"")</f>
        <v/>
      </c>
      <c r="Q23">
        <f>IF(E23="","",IF(I23="أجور عمال","أجرة","مادة"))</f>
        <v/>
      </c>
    </row>
    <row r="24">
      <c r="A24" s="12">
        <f>IF(E24="","",ROW()-6)</f>
        <v/>
      </c>
      <c r="B24" s="13" t="n"/>
      <c r="C24" s="12">
        <f>IF(B24="","",CHOOSE(WEEKDAY(B24,1),"الأحد","الاثنين","الثلاثاء","الأربعاء","الخميس","الجمعة","السبت"))</f>
        <v/>
      </c>
      <c r="D24" s="14" t="n"/>
      <c r="E24" s="15" t="n"/>
      <c r="F24" s="16" t="n"/>
      <c r="G24" s="17" t="n"/>
      <c r="H24" s="18">
        <f>IF(OR(F24="",G24=""),"",ROUND(F24*G24,2))</f>
        <v/>
      </c>
      <c r="I24" s="19">
        <f>IF(ISNUMBER(SEARCH("ستاند",D24)),"أثاث وستاندات","")</f>
        <v/>
      </c>
      <c r="J24" s="20">
        <f>IF(E24="","",IF(I24="","⚠ عبّي الغرض",IF(AND(D24&lt;&gt;"",OR(ISNUMBER(SEARCH("صيانة",D24)),ISNUMBER(SEARCH("تعزيل",D24)),ISNUMBER(SEARCH("تنظيف",D24)),ISNUMBER(SEARCH("تصليح",D24)))),"⚠ الصيانة بلا ورشة",IF(H24="","⚠ ناقص",IF(D24&lt;&gt;"",IF(SUMIF($D$7:$D$806,D24,$H$7:$H$806)&gt;=20,"أصل","مصروف"),IFERROR(IF(VLOOKUP(I24,'القوائم'!$A$2:$D$14,4,0)="زكاة وصدقة","زكاة وصدقة",IF(AND(VLOOKUP(I24,'القوائم'!$A$2:$D$14,3,0)&lt;&gt;"",H24&gt;=20),"أصل","مصروف")),"مصروف"))))))</f>
        <v/>
      </c>
      <c r="K24" s="21" t="n"/>
      <c r="L24" s="22" t="n"/>
      <c r="N24">
        <f>IF(B24="","",MONTH(B24))</f>
        <v/>
      </c>
      <c r="O24">
        <f>IF(B24="","",YEAR(B24))</f>
        <v/>
      </c>
      <c r="P24">
        <f>IF(AND(D24&lt;&gt;"",COUNTIF(D$7:D24,D24)=1),MAX(P$6:P23)+1,"")</f>
        <v/>
      </c>
      <c r="Q24">
        <f>IF(E24="","",IF(I24="أجور عمال","أجرة","مادة"))</f>
        <v/>
      </c>
    </row>
    <row r="25">
      <c r="A25" s="12">
        <f>IF(E25="","",ROW()-6)</f>
        <v/>
      </c>
      <c r="B25" s="13" t="n"/>
      <c r="C25" s="12">
        <f>IF(B25="","",CHOOSE(WEEKDAY(B25,1),"الأحد","الاثنين","الثلاثاء","الأربعاء","الخميس","الجمعة","السبت"))</f>
        <v/>
      </c>
      <c r="D25" s="14" t="n"/>
      <c r="E25" s="15" t="n"/>
      <c r="F25" s="16" t="n"/>
      <c r="G25" s="17" t="n"/>
      <c r="H25" s="18">
        <f>IF(OR(F25="",G25=""),"",ROUND(F25*G25,2))</f>
        <v/>
      </c>
      <c r="I25" s="19">
        <f>IF(ISNUMBER(SEARCH("ستاند",D25)),"أثاث وستاندات","")</f>
        <v/>
      </c>
      <c r="J25" s="20">
        <f>IF(E25="","",IF(I25="","⚠ عبّي الغرض",IF(AND(D25&lt;&gt;"",OR(ISNUMBER(SEARCH("صيانة",D25)),ISNUMBER(SEARCH("تعزيل",D25)),ISNUMBER(SEARCH("تنظيف",D25)),ISNUMBER(SEARCH("تصليح",D25)))),"⚠ الصيانة بلا ورشة",IF(H25="","⚠ ناقص",IF(D25&lt;&gt;"",IF(SUMIF($D$7:$D$806,D25,$H$7:$H$806)&gt;=20,"أصل","مصروف"),IFERROR(IF(VLOOKUP(I25,'القوائم'!$A$2:$D$14,4,0)="زكاة وصدقة","زكاة وصدقة",IF(AND(VLOOKUP(I25,'القوائم'!$A$2:$D$14,3,0)&lt;&gt;"",H25&gt;=20),"أصل","مصروف")),"مصروف"))))))</f>
        <v/>
      </c>
      <c r="K25" s="21" t="n"/>
      <c r="L25" s="22" t="n"/>
      <c r="N25">
        <f>IF(B25="","",MONTH(B25))</f>
        <v/>
      </c>
      <c r="O25">
        <f>IF(B25="","",YEAR(B25))</f>
        <v/>
      </c>
      <c r="P25">
        <f>IF(AND(D25&lt;&gt;"",COUNTIF(D$7:D25,D25)=1),MAX(P$6:P24)+1,"")</f>
        <v/>
      </c>
      <c r="Q25">
        <f>IF(E25="","",IF(I25="أجور عمال","أجرة","مادة"))</f>
        <v/>
      </c>
    </row>
    <row r="26">
      <c r="A26" s="12">
        <f>IF(E26="","",ROW()-6)</f>
        <v/>
      </c>
      <c r="B26" s="13" t="n"/>
      <c r="C26" s="12">
        <f>IF(B26="","",CHOOSE(WEEKDAY(B26,1),"الأحد","الاثنين","الثلاثاء","الأربعاء","الخميس","الجمعة","السبت"))</f>
        <v/>
      </c>
      <c r="D26" s="14" t="n"/>
      <c r="E26" s="15" t="n"/>
      <c r="F26" s="16" t="n"/>
      <c r="G26" s="17" t="n"/>
      <c r="H26" s="18">
        <f>IF(OR(F26="",G26=""),"",ROUND(F26*G26,2))</f>
        <v/>
      </c>
      <c r="I26" s="19">
        <f>IF(ISNUMBER(SEARCH("ستاند",D26)),"أثاث وستاندات","")</f>
        <v/>
      </c>
      <c r="J26" s="20">
        <f>IF(E26="","",IF(I26="","⚠ عبّي الغرض",IF(AND(D26&lt;&gt;"",OR(ISNUMBER(SEARCH("صيانة",D26)),ISNUMBER(SEARCH("تعزيل",D26)),ISNUMBER(SEARCH("تنظيف",D26)),ISNUMBER(SEARCH("تصليح",D26)))),"⚠ الصيانة بلا ورشة",IF(H26="","⚠ ناقص",IF(D26&lt;&gt;"",IF(SUMIF($D$7:$D$806,D26,$H$7:$H$806)&gt;=20,"أصل","مصروف"),IFERROR(IF(VLOOKUP(I26,'القوائم'!$A$2:$D$14,4,0)="زكاة وصدقة","زكاة وصدقة",IF(AND(VLOOKUP(I26,'القوائم'!$A$2:$D$14,3,0)&lt;&gt;"",H26&gt;=20),"أصل","مصروف")),"مصروف"))))))</f>
        <v/>
      </c>
      <c r="K26" s="21" t="n"/>
      <c r="L26" s="22" t="n"/>
      <c r="N26">
        <f>IF(B26="","",MONTH(B26))</f>
        <v/>
      </c>
      <c r="O26">
        <f>IF(B26="","",YEAR(B26))</f>
        <v/>
      </c>
      <c r="P26">
        <f>IF(AND(D26&lt;&gt;"",COUNTIF(D$7:D26,D26)=1),MAX(P$6:P25)+1,"")</f>
        <v/>
      </c>
      <c r="Q26">
        <f>IF(E26="","",IF(I26="أجور عمال","أجرة","مادة"))</f>
        <v/>
      </c>
    </row>
    <row r="27">
      <c r="A27" s="12">
        <f>IF(E27="","",ROW()-6)</f>
        <v/>
      </c>
      <c r="B27" s="13" t="n"/>
      <c r="C27" s="12">
        <f>IF(B27="","",CHOOSE(WEEKDAY(B27,1),"الأحد","الاثنين","الثلاثاء","الأربعاء","الخميس","الجمعة","السبت"))</f>
        <v/>
      </c>
      <c r="D27" s="14" t="n"/>
      <c r="E27" s="15" t="n"/>
      <c r="F27" s="16" t="n"/>
      <c r="G27" s="17" t="n"/>
      <c r="H27" s="18">
        <f>IF(OR(F27="",G27=""),"",ROUND(F27*G27,2))</f>
        <v/>
      </c>
      <c r="I27" s="19">
        <f>IF(ISNUMBER(SEARCH("ستاند",D27)),"أثاث وستاندات","")</f>
        <v/>
      </c>
      <c r="J27" s="20">
        <f>IF(E27="","",IF(I27="","⚠ عبّي الغرض",IF(AND(D27&lt;&gt;"",OR(ISNUMBER(SEARCH("صيانة",D27)),ISNUMBER(SEARCH("تعزيل",D27)),ISNUMBER(SEARCH("تنظيف",D27)),ISNUMBER(SEARCH("تصليح",D27)))),"⚠ الصيانة بلا ورشة",IF(H27="","⚠ ناقص",IF(D27&lt;&gt;"",IF(SUMIF($D$7:$D$806,D27,$H$7:$H$806)&gt;=20,"أصل","مصروف"),IFERROR(IF(VLOOKUP(I27,'القوائم'!$A$2:$D$14,4,0)="زكاة وصدقة","زكاة وصدقة",IF(AND(VLOOKUP(I27,'القوائم'!$A$2:$D$14,3,0)&lt;&gt;"",H27&gt;=20),"أصل","مصروف")),"مصروف"))))))</f>
        <v/>
      </c>
      <c r="K27" s="21" t="n"/>
      <c r="L27" s="22" t="n"/>
      <c r="N27">
        <f>IF(B27="","",MONTH(B27))</f>
        <v/>
      </c>
      <c r="O27">
        <f>IF(B27="","",YEAR(B27))</f>
        <v/>
      </c>
      <c r="P27">
        <f>IF(AND(D27&lt;&gt;"",COUNTIF(D$7:D27,D27)=1),MAX(P$6:P26)+1,"")</f>
        <v/>
      </c>
      <c r="Q27">
        <f>IF(E27="","",IF(I27="أجور عمال","أجرة","مادة"))</f>
        <v/>
      </c>
    </row>
    <row r="28">
      <c r="A28" s="12">
        <f>IF(E28="","",ROW()-6)</f>
        <v/>
      </c>
      <c r="B28" s="13" t="n"/>
      <c r="C28" s="12">
        <f>IF(B28="","",CHOOSE(WEEKDAY(B28,1),"الأحد","الاثنين","الثلاثاء","الأربعاء","الخميس","الجمعة","السبت"))</f>
        <v/>
      </c>
      <c r="D28" s="14" t="n"/>
      <c r="E28" s="15" t="n"/>
      <c r="F28" s="16" t="n"/>
      <c r="G28" s="17" t="n"/>
      <c r="H28" s="18">
        <f>IF(OR(F28="",G28=""),"",ROUND(F28*G28,2))</f>
        <v/>
      </c>
      <c r="I28" s="19">
        <f>IF(ISNUMBER(SEARCH("ستاند",D28)),"أثاث وستاندات","")</f>
        <v/>
      </c>
      <c r="J28" s="20">
        <f>IF(E28="","",IF(I28="","⚠ عبّي الغرض",IF(AND(D28&lt;&gt;"",OR(ISNUMBER(SEARCH("صيانة",D28)),ISNUMBER(SEARCH("تعزيل",D28)),ISNUMBER(SEARCH("تنظيف",D28)),ISNUMBER(SEARCH("تصليح",D28)))),"⚠ الصيانة بلا ورشة",IF(H28="","⚠ ناقص",IF(D28&lt;&gt;"",IF(SUMIF($D$7:$D$806,D28,$H$7:$H$806)&gt;=20,"أصل","مصروف"),IFERROR(IF(VLOOKUP(I28,'القوائم'!$A$2:$D$14,4,0)="زكاة وصدقة","زكاة وصدقة",IF(AND(VLOOKUP(I28,'القوائم'!$A$2:$D$14,3,0)&lt;&gt;"",H28&gt;=20),"أصل","مصروف")),"مصروف"))))))</f>
        <v/>
      </c>
      <c r="K28" s="21" t="n"/>
      <c r="L28" s="22" t="n"/>
      <c r="N28">
        <f>IF(B28="","",MONTH(B28))</f>
        <v/>
      </c>
      <c r="O28">
        <f>IF(B28="","",YEAR(B28))</f>
        <v/>
      </c>
      <c r="P28">
        <f>IF(AND(D28&lt;&gt;"",COUNTIF(D$7:D28,D28)=1),MAX(P$6:P27)+1,"")</f>
        <v/>
      </c>
      <c r="Q28">
        <f>IF(E28="","",IF(I28="أجور عمال","أجرة","مادة"))</f>
        <v/>
      </c>
    </row>
    <row r="29">
      <c r="A29" s="12">
        <f>IF(E29="","",ROW()-6)</f>
        <v/>
      </c>
      <c r="B29" s="13" t="n"/>
      <c r="C29" s="12">
        <f>IF(B29="","",CHOOSE(WEEKDAY(B29,1),"الأحد","الاثنين","الثلاثاء","الأربعاء","الخميس","الجمعة","السبت"))</f>
        <v/>
      </c>
      <c r="D29" s="14" t="n"/>
      <c r="E29" s="15" t="n"/>
      <c r="F29" s="16" t="n"/>
      <c r="G29" s="17" t="n"/>
      <c r="H29" s="18">
        <f>IF(OR(F29="",G29=""),"",ROUND(F29*G29,2))</f>
        <v/>
      </c>
      <c r="I29" s="19">
        <f>IF(ISNUMBER(SEARCH("ستاند",D29)),"أثاث وستاندات","")</f>
        <v/>
      </c>
      <c r="J29" s="20">
        <f>IF(E29="","",IF(I29="","⚠ عبّي الغرض",IF(AND(D29&lt;&gt;"",OR(ISNUMBER(SEARCH("صيانة",D29)),ISNUMBER(SEARCH("تعزيل",D29)),ISNUMBER(SEARCH("تنظيف",D29)),ISNUMBER(SEARCH("تصليح",D29)))),"⚠ الصيانة بلا ورشة",IF(H29="","⚠ ناقص",IF(D29&lt;&gt;"",IF(SUMIF($D$7:$D$806,D29,$H$7:$H$806)&gt;=20,"أصل","مصروف"),IFERROR(IF(VLOOKUP(I29,'القوائم'!$A$2:$D$14,4,0)="زكاة وصدقة","زكاة وصدقة",IF(AND(VLOOKUP(I29,'القوائم'!$A$2:$D$14,3,0)&lt;&gt;"",H29&gt;=20),"أصل","مصروف")),"مصروف"))))))</f>
        <v/>
      </c>
      <c r="K29" s="21" t="n"/>
      <c r="L29" s="22" t="n"/>
      <c r="N29">
        <f>IF(B29="","",MONTH(B29))</f>
        <v/>
      </c>
      <c r="O29">
        <f>IF(B29="","",YEAR(B29))</f>
        <v/>
      </c>
      <c r="P29">
        <f>IF(AND(D29&lt;&gt;"",COUNTIF(D$7:D29,D29)=1),MAX(P$6:P28)+1,"")</f>
        <v/>
      </c>
      <c r="Q29">
        <f>IF(E29="","",IF(I29="أجور عمال","أجرة","مادة"))</f>
        <v/>
      </c>
    </row>
    <row r="30">
      <c r="A30" s="12">
        <f>IF(E30="","",ROW()-6)</f>
        <v/>
      </c>
      <c r="B30" s="13" t="n"/>
      <c r="C30" s="12">
        <f>IF(B30="","",CHOOSE(WEEKDAY(B30,1),"الأحد","الاثنين","الثلاثاء","الأربعاء","الخميس","الجمعة","السبت"))</f>
        <v/>
      </c>
      <c r="D30" s="14" t="n"/>
      <c r="E30" s="15" t="n"/>
      <c r="F30" s="16" t="n"/>
      <c r="G30" s="17" t="n"/>
      <c r="H30" s="18">
        <f>IF(OR(F30="",G30=""),"",ROUND(F30*G30,2))</f>
        <v/>
      </c>
      <c r="I30" s="19">
        <f>IF(ISNUMBER(SEARCH("ستاند",D30)),"أثاث وستاندات","")</f>
        <v/>
      </c>
      <c r="J30" s="20">
        <f>IF(E30="","",IF(I30="","⚠ عبّي الغرض",IF(AND(D30&lt;&gt;"",OR(ISNUMBER(SEARCH("صيانة",D30)),ISNUMBER(SEARCH("تعزيل",D30)),ISNUMBER(SEARCH("تنظيف",D30)),ISNUMBER(SEARCH("تصليح",D30)))),"⚠ الصيانة بلا ورشة",IF(H30="","⚠ ناقص",IF(D30&lt;&gt;"",IF(SUMIF($D$7:$D$806,D30,$H$7:$H$806)&gt;=20,"أصل","مصروف"),IFERROR(IF(VLOOKUP(I30,'القوائم'!$A$2:$D$14,4,0)="زكاة وصدقة","زكاة وصدقة",IF(AND(VLOOKUP(I30,'القوائم'!$A$2:$D$14,3,0)&lt;&gt;"",H30&gt;=20),"أصل","مصروف")),"مصروف"))))))</f>
        <v/>
      </c>
      <c r="K30" s="21" t="n"/>
      <c r="L30" s="22" t="n"/>
      <c r="N30">
        <f>IF(B30="","",MONTH(B30))</f>
        <v/>
      </c>
      <c r="O30">
        <f>IF(B30="","",YEAR(B30))</f>
        <v/>
      </c>
      <c r="P30">
        <f>IF(AND(D30&lt;&gt;"",COUNTIF(D$7:D30,D30)=1),MAX(P$6:P29)+1,"")</f>
        <v/>
      </c>
      <c r="Q30">
        <f>IF(E30="","",IF(I30="أجور عمال","أجرة","مادة"))</f>
        <v/>
      </c>
    </row>
    <row r="31">
      <c r="A31" s="12">
        <f>IF(E31="","",ROW()-6)</f>
        <v/>
      </c>
      <c r="B31" s="13" t="n"/>
      <c r="C31" s="12">
        <f>IF(B31="","",CHOOSE(WEEKDAY(B31,1),"الأحد","الاثنين","الثلاثاء","الأربعاء","الخميس","الجمعة","السبت"))</f>
        <v/>
      </c>
      <c r="D31" s="14" t="n"/>
      <c r="E31" s="15" t="n"/>
      <c r="F31" s="16" t="n"/>
      <c r="G31" s="17" t="n"/>
      <c r="H31" s="18">
        <f>IF(OR(F31="",G31=""),"",ROUND(F31*G31,2))</f>
        <v/>
      </c>
      <c r="I31" s="19">
        <f>IF(ISNUMBER(SEARCH("ستاند",D31)),"أثاث وستاندات","")</f>
        <v/>
      </c>
      <c r="J31" s="20">
        <f>IF(E31="","",IF(I31="","⚠ عبّي الغرض",IF(AND(D31&lt;&gt;"",OR(ISNUMBER(SEARCH("صيانة",D31)),ISNUMBER(SEARCH("تعزيل",D31)),ISNUMBER(SEARCH("تنظيف",D31)),ISNUMBER(SEARCH("تصليح",D31)))),"⚠ الصيانة بلا ورشة",IF(H31="","⚠ ناقص",IF(D31&lt;&gt;"",IF(SUMIF($D$7:$D$806,D31,$H$7:$H$806)&gt;=20,"أصل","مصروف"),IFERROR(IF(VLOOKUP(I31,'القوائم'!$A$2:$D$14,4,0)="زكاة وصدقة","زكاة وصدقة",IF(AND(VLOOKUP(I31,'القوائم'!$A$2:$D$14,3,0)&lt;&gt;"",H31&gt;=20),"أصل","مصروف")),"مصروف"))))))</f>
        <v/>
      </c>
      <c r="K31" s="21" t="n"/>
      <c r="L31" s="22" t="n"/>
      <c r="N31">
        <f>IF(B31="","",MONTH(B31))</f>
        <v/>
      </c>
      <c r="O31">
        <f>IF(B31="","",YEAR(B31))</f>
        <v/>
      </c>
      <c r="P31">
        <f>IF(AND(D31&lt;&gt;"",COUNTIF(D$7:D31,D31)=1),MAX(P$6:P30)+1,"")</f>
        <v/>
      </c>
      <c r="Q31">
        <f>IF(E31="","",IF(I31="أجور عمال","أجرة","مادة"))</f>
        <v/>
      </c>
    </row>
    <row r="32">
      <c r="A32" s="12">
        <f>IF(E32="","",ROW()-6)</f>
        <v/>
      </c>
      <c r="B32" s="13" t="n"/>
      <c r="C32" s="12">
        <f>IF(B32="","",CHOOSE(WEEKDAY(B32,1),"الأحد","الاثنين","الثلاثاء","الأربعاء","الخميس","الجمعة","السبت"))</f>
        <v/>
      </c>
      <c r="D32" s="14" t="n"/>
      <c r="E32" s="15" t="n"/>
      <c r="F32" s="16" t="n"/>
      <c r="G32" s="17" t="n"/>
      <c r="H32" s="18">
        <f>IF(OR(F32="",G32=""),"",ROUND(F32*G32,2))</f>
        <v/>
      </c>
      <c r="I32" s="19">
        <f>IF(ISNUMBER(SEARCH("ستاند",D32)),"أثاث وستاندات","")</f>
        <v/>
      </c>
      <c r="J32" s="20">
        <f>IF(E32="","",IF(I32="","⚠ عبّي الغرض",IF(AND(D32&lt;&gt;"",OR(ISNUMBER(SEARCH("صيانة",D32)),ISNUMBER(SEARCH("تعزيل",D32)),ISNUMBER(SEARCH("تنظيف",D32)),ISNUMBER(SEARCH("تصليح",D32)))),"⚠ الصيانة بلا ورشة",IF(H32="","⚠ ناقص",IF(D32&lt;&gt;"",IF(SUMIF($D$7:$D$806,D32,$H$7:$H$806)&gt;=20,"أصل","مصروف"),IFERROR(IF(VLOOKUP(I32,'القوائم'!$A$2:$D$14,4,0)="زكاة وصدقة","زكاة وصدقة",IF(AND(VLOOKUP(I32,'القوائم'!$A$2:$D$14,3,0)&lt;&gt;"",H32&gt;=20),"أصل","مصروف")),"مصروف"))))))</f>
        <v/>
      </c>
      <c r="K32" s="21" t="n"/>
      <c r="L32" s="22" t="n"/>
      <c r="N32">
        <f>IF(B32="","",MONTH(B32))</f>
        <v/>
      </c>
      <c r="O32">
        <f>IF(B32="","",YEAR(B32))</f>
        <v/>
      </c>
      <c r="P32">
        <f>IF(AND(D32&lt;&gt;"",COUNTIF(D$7:D32,D32)=1),MAX(P$6:P31)+1,"")</f>
        <v/>
      </c>
      <c r="Q32">
        <f>IF(E32="","",IF(I32="أجور عمال","أجرة","مادة"))</f>
        <v/>
      </c>
    </row>
    <row r="33">
      <c r="A33" s="12">
        <f>IF(E33="","",ROW()-6)</f>
        <v/>
      </c>
      <c r="B33" s="13" t="n"/>
      <c r="C33" s="12">
        <f>IF(B33="","",CHOOSE(WEEKDAY(B33,1),"الأحد","الاثنين","الثلاثاء","الأربعاء","الخميس","الجمعة","السبت"))</f>
        <v/>
      </c>
      <c r="D33" s="14" t="n"/>
      <c r="E33" s="15" t="n"/>
      <c r="F33" s="16" t="n"/>
      <c r="G33" s="17" t="n"/>
      <c r="H33" s="18">
        <f>IF(OR(F33="",G33=""),"",ROUND(F33*G33,2))</f>
        <v/>
      </c>
      <c r="I33" s="19">
        <f>IF(ISNUMBER(SEARCH("ستاند",D33)),"أثاث وستاندات","")</f>
        <v/>
      </c>
      <c r="J33" s="20">
        <f>IF(E33="","",IF(I33="","⚠ عبّي الغرض",IF(AND(D33&lt;&gt;"",OR(ISNUMBER(SEARCH("صيانة",D33)),ISNUMBER(SEARCH("تعزيل",D33)),ISNUMBER(SEARCH("تنظيف",D33)),ISNUMBER(SEARCH("تصليح",D33)))),"⚠ الصيانة بلا ورشة",IF(H33="","⚠ ناقص",IF(D33&lt;&gt;"",IF(SUMIF($D$7:$D$806,D33,$H$7:$H$806)&gt;=20,"أصل","مصروف"),IFERROR(IF(VLOOKUP(I33,'القوائم'!$A$2:$D$14,4,0)="زكاة وصدقة","زكاة وصدقة",IF(AND(VLOOKUP(I33,'القوائم'!$A$2:$D$14,3,0)&lt;&gt;"",H33&gt;=20),"أصل","مصروف")),"مصروف"))))))</f>
        <v/>
      </c>
      <c r="K33" s="21" t="n"/>
      <c r="L33" s="22" t="n"/>
      <c r="N33">
        <f>IF(B33="","",MONTH(B33))</f>
        <v/>
      </c>
      <c r="O33">
        <f>IF(B33="","",YEAR(B33))</f>
        <v/>
      </c>
      <c r="P33">
        <f>IF(AND(D33&lt;&gt;"",COUNTIF(D$7:D33,D33)=1),MAX(P$6:P32)+1,"")</f>
        <v/>
      </c>
      <c r="Q33">
        <f>IF(E33="","",IF(I33="أجور عمال","أجرة","مادة"))</f>
        <v/>
      </c>
    </row>
    <row r="34">
      <c r="A34" s="12">
        <f>IF(E34="","",ROW()-6)</f>
        <v/>
      </c>
      <c r="B34" s="13" t="n"/>
      <c r="C34" s="12">
        <f>IF(B34="","",CHOOSE(WEEKDAY(B34,1),"الأحد","الاثنين","الثلاثاء","الأربعاء","الخميس","الجمعة","السبت"))</f>
        <v/>
      </c>
      <c r="D34" s="14" t="n"/>
      <c r="E34" s="15" t="n"/>
      <c r="F34" s="16" t="n"/>
      <c r="G34" s="17" t="n"/>
      <c r="H34" s="18">
        <f>IF(OR(F34="",G34=""),"",ROUND(F34*G34,2))</f>
        <v/>
      </c>
      <c r="I34" s="19">
        <f>IF(ISNUMBER(SEARCH("ستاند",D34)),"أثاث وستاندات","")</f>
        <v/>
      </c>
      <c r="J34" s="20">
        <f>IF(E34="","",IF(I34="","⚠ عبّي الغرض",IF(AND(D34&lt;&gt;"",OR(ISNUMBER(SEARCH("صيانة",D34)),ISNUMBER(SEARCH("تعزيل",D34)),ISNUMBER(SEARCH("تنظيف",D34)),ISNUMBER(SEARCH("تصليح",D34)))),"⚠ الصيانة بلا ورشة",IF(H34="","⚠ ناقص",IF(D34&lt;&gt;"",IF(SUMIF($D$7:$D$806,D34,$H$7:$H$806)&gt;=20,"أصل","مصروف"),IFERROR(IF(VLOOKUP(I34,'القوائم'!$A$2:$D$14,4,0)="زكاة وصدقة","زكاة وصدقة",IF(AND(VLOOKUP(I34,'القوائم'!$A$2:$D$14,3,0)&lt;&gt;"",H34&gt;=20),"أصل","مصروف")),"مصروف"))))))</f>
        <v/>
      </c>
      <c r="K34" s="21" t="n"/>
      <c r="L34" s="22" t="n"/>
      <c r="N34">
        <f>IF(B34="","",MONTH(B34))</f>
        <v/>
      </c>
      <c r="O34">
        <f>IF(B34="","",YEAR(B34))</f>
        <v/>
      </c>
      <c r="P34">
        <f>IF(AND(D34&lt;&gt;"",COUNTIF(D$7:D34,D34)=1),MAX(P$6:P33)+1,"")</f>
        <v/>
      </c>
      <c r="Q34">
        <f>IF(E34="","",IF(I34="أجور عمال","أجرة","مادة"))</f>
        <v/>
      </c>
    </row>
    <row r="35">
      <c r="A35" s="12">
        <f>IF(E35="","",ROW()-6)</f>
        <v/>
      </c>
      <c r="B35" s="13" t="n"/>
      <c r="C35" s="12">
        <f>IF(B35="","",CHOOSE(WEEKDAY(B35,1),"الأحد","الاثنين","الثلاثاء","الأربعاء","الخميس","الجمعة","السبت"))</f>
        <v/>
      </c>
      <c r="D35" s="14" t="n"/>
      <c r="E35" s="15" t="n"/>
      <c r="F35" s="16" t="n"/>
      <c r="G35" s="17" t="n"/>
      <c r="H35" s="18">
        <f>IF(OR(F35="",G35=""),"",ROUND(F35*G35,2))</f>
        <v/>
      </c>
      <c r="I35" s="19">
        <f>IF(ISNUMBER(SEARCH("ستاند",D35)),"أثاث وستاندات","")</f>
        <v/>
      </c>
      <c r="J35" s="20">
        <f>IF(E35="","",IF(I35="","⚠ عبّي الغرض",IF(AND(D35&lt;&gt;"",OR(ISNUMBER(SEARCH("صيانة",D35)),ISNUMBER(SEARCH("تعزيل",D35)),ISNUMBER(SEARCH("تنظيف",D35)),ISNUMBER(SEARCH("تصليح",D35)))),"⚠ الصيانة بلا ورشة",IF(H35="","⚠ ناقص",IF(D35&lt;&gt;"",IF(SUMIF($D$7:$D$806,D35,$H$7:$H$806)&gt;=20,"أصل","مصروف"),IFERROR(IF(VLOOKUP(I35,'القوائم'!$A$2:$D$14,4,0)="زكاة وصدقة","زكاة وصدقة",IF(AND(VLOOKUP(I35,'القوائم'!$A$2:$D$14,3,0)&lt;&gt;"",H35&gt;=20),"أصل","مصروف")),"مصروف"))))))</f>
        <v/>
      </c>
      <c r="K35" s="21" t="n"/>
      <c r="L35" s="22" t="n"/>
      <c r="N35">
        <f>IF(B35="","",MONTH(B35))</f>
        <v/>
      </c>
      <c r="O35">
        <f>IF(B35="","",YEAR(B35))</f>
        <v/>
      </c>
      <c r="P35">
        <f>IF(AND(D35&lt;&gt;"",COUNTIF(D$7:D35,D35)=1),MAX(P$6:P34)+1,"")</f>
        <v/>
      </c>
      <c r="Q35">
        <f>IF(E35="","",IF(I35="أجور عمال","أجرة","مادة"))</f>
        <v/>
      </c>
    </row>
    <row r="36">
      <c r="A36" s="12">
        <f>IF(E36="","",ROW()-6)</f>
        <v/>
      </c>
      <c r="B36" s="13" t="n"/>
      <c r="C36" s="12">
        <f>IF(B36="","",CHOOSE(WEEKDAY(B36,1),"الأحد","الاثنين","الثلاثاء","الأربعاء","الخميس","الجمعة","السبت"))</f>
        <v/>
      </c>
      <c r="D36" s="14" t="n"/>
      <c r="E36" s="15" t="n"/>
      <c r="F36" s="16" t="n"/>
      <c r="G36" s="17" t="n"/>
      <c r="H36" s="18">
        <f>IF(OR(F36="",G36=""),"",ROUND(F36*G36,2))</f>
        <v/>
      </c>
      <c r="I36" s="19">
        <f>IF(ISNUMBER(SEARCH("ستاند",D36)),"أثاث وستاندات","")</f>
        <v/>
      </c>
      <c r="J36" s="20">
        <f>IF(E36="","",IF(I36="","⚠ عبّي الغرض",IF(AND(D36&lt;&gt;"",OR(ISNUMBER(SEARCH("صيانة",D36)),ISNUMBER(SEARCH("تعزيل",D36)),ISNUMBER(SEARCH("تنظيف",D36)),ISNUMBER(SEARCH("تصليح",D36)))),"⚠ الصيانة بلا ورشة",IF(H36="","⚠ ناقص",IF(D36&lt;&gt;"",IF(SUMIF($D$7:$D$806,D36,$H$7:$H$806)&gt;=20,"أصل","مصروف"),IFERROR(IF(VLOOKUP(I36,'القوائم'!$A$2:$D$14,4,0)="زكاة وصدقة","زكاة وصدقة",IF(AND(VLOOKUP(I36,'القوائم'!$A$2:$D$14,3,0)&lt;&gt;"",H36&gt;=20),"أصل","مصروف")),"مصروف"))))))</f>
        <v/>
      </c>
      <c r="K36" s="21" t="n"/>
      <c r="L36" s="22" t="n"/>
      <c r="N36">
        <f>IF(B36="","",MONTH(B36))</f>
        <v/>
      </c>
      <c r="O36">
        <f>IF(B36="","",YEAR(B36))</f>
        <v/>
      </c>
      <c r="P36">
        <f>IF(AND(D36&lt;&gt;"",COUNTIF(D$7:D36,D36)=1),MAX(P$6:P35)+1,"")</f>
        <v/>
      </c>
      <c r="Q36">
        <f>IF(E36="","",IF(I36="أجور عمال","أجرة","مادة"))</f>
        <v/>
      </c>
    </row>
    <row r="37">
      <c r="A37" s="12">
        <f>IF(E37="","",ROW()-6)</f>
        <v/>
      </c>
      <c r="B37" s="13" t="n"/>
      <c r="C37" s="12">
        <f>IF(B37="","",CHOOSE(WEEKDAY(B37,1),"الأحد","الاثنين","الثلاثاء","الأربعاء","الخميس","الجمعة","السبت"))</f>
        <v/>
      </c>
      <c r="D37" s="14" t="n"/>
      <c r="E37" s="15" t="n"/>
      <c r="F37" s="16" t="n"/>
      <c r="G37" s="17" t="n"/>
      <c r="H37" s="18">
        <f>IF(OR(F37="",G37=""),"",ROUND(F37*G37,2))</f>
        <v/>
      </c>
      <c r="I37" s="19">
        <f>IF(ISNUMBER(SEARCH("ستاند",D37)),"أثاث وستاندات","")</f>
        <v/>
      </c>
      <c r="J37" s="20">
        <f>IF(E37="","",IF(I37="","⚠ عبّي الغرض",IF(AND(D37&lt;&gt;"",OR(ISNUMBER(SEARCH("صيانة",D37)),ISNUMBER(SEARCH("تعزيل",D37)),ISNUMBER(SEARCH("تنظيف",D37)),ISNUMBER(SEARCH("تصليح",D37)))),"⚠ الصيانة بلا ورشة",IF(H37="","⚠ ناقص",IF(D37&lt;&gt;"",IF(SUMIF($D$7:$D$806,D37,$H$7:$H$806)&gt;=20,"أصل","مصروف"),IFERROR(IF(VLOOKUP(I37,'القوائم'!$A$2:$D$14,4,0)="زكاة وصدقة","زكاة وصدقة",IF(AND(VLOOKUP(I37,'القوائم'!$A$2:$D$14,3,0)&lt;&gt;"",H37&gt;=20),"أصل","مصروف")),"مصروف"))))))</f>
        <v/>
      </c>
      <c r="K37" s="21" t="n"/>
      <c r="L37" s="22" t="n"/>
      <c r="N37">
        <f>IF(B37="","",MONTH(B37))</f>
        <v/>
      </c>
      <c r="O37">
        <f>IF(B37="","",YEAR(B37))</f>
        <v/>
      </c>
      <c r="P37">
        <f>IF(AND(D37&lt;&gt;"",COUNTIF(D$7:D37,D37)=1),MAX(P$6:P36)+1,"")</f>
        <v/>
      </c>
      <c r="Q37">
        <f>IF(E37="","",IF(I37="أجور عمال","أجرة","مادة"))</f>
        <v/>
      </c>
    </row>
    <row r="38">
      <c r="A38" s="12">
        <f>IF(E38="","",ROW()-6)</f>
        <v/>
      </c>
      <c r="B38" s="13" t="n"/>
      <c r="C38" s="12">
        <f>IF(B38="","",CHOOSE(WEEKDAY(B38,1),"الأحد","الاثنين","الثلاثاء","الأربعاء","الخميس","الجمعة","السبت"))</f>
        <v/>
      </c>
      <c r="D38" s="14" t="n"/>
      <c r="E38" s="15" t="n"/>
      <c r="F38" s="16" t="n"/>
      <c r="G38" s="17" t="n"/>
      <c r="H38" s="18">
        <f>IF(OR(F38="",G38=""),"",ROUND(F38*G38,2))</f>
        <v/>
      </c>
      <c r="I38" s="19">
        <f>IF(ISNUMBER(SEARCH("ستاند",D38)),"أثاث وستاندات","")</f>
        <v/>
      </c>
      <c r="J38" s="20">
        <f>IF(E38="","",IF(I38="","⚠ عبّي الغرض",IF(AND(D38&lt;&gt;"",OR(ISNUMBER(SEARCH("صيانة",D38)),ISNUMBER(SEARCH("تعزيل",D38)),ISNUMBER(SEARCH("تنظيف",D38)),ISNUMBER(SEARCH("تصليح",D38)))),"⚠ الصيانة بلا ورشة",IF(H38="","⚠ ناقص",IF(D38&lt;&gt;"",IF(SUMIF($D$7:$D$806,D38,$H$7:$H$806)&gt;=20,"أصل","مصروف"),IFERROR(IF(VLOOKUP(I38,'القوائم'!$A$2:$D$14,4,0)="زكاة وصدقة","زكاة وصدقة",IF(AND(VLOOKUP(I38,'القوائم'!$A$2:$D$14,3,0)&lt;&gt;"",H38&gt;=20),"أصل","مصروف")),"مصروف"))))))</f>
        <v/>
      </c>
      <c r="K38" s="21" t="n"/>
      <c r="L38" s="22" t="n"/>
      <c r="N38">
        <f>IF(B38="","",MONTH(B38))</f>
        <v/>
      </c>
      <c r="O38">
        <f>IF(B38="","",YEAR(B38))</f>
        <v/>
      </c>
      <c r="P38">
        <f>IF(AND(D38&lt;&gt;"",COUNTIF(D$7:D38,D38)=1),MAX(P$6:P37)+1,"")</f>
        <v/>
      </c>
      <c r="Q38">
        <f>IF(E38="","",IF(I38="أجور عمال","أجرة","مادة"))</f>
        <v/>
      </c>
    </row>
    <row r="39">
      <c r="A39" s="12">
        <f>IF(E39="","",ROW()-6)</f>
        <v/>
      </c>
      <c r="B39" s="13" t="n"/>
      <c r="C39" s="12">
        <f>IF(B39="","",CHOOSE(WEEKDAY(B39,1),"الأحد","الاثنين","الثلاثاء","الأربعاء","الخميس","الجمعة","السبت"))</f>
        <v/>
      </c>
      <c r="D39" s="14" t="n"/>
      <c r="E39" s="15" t="n"/>
      <c r="F39" s="16" t="n"/>
      <c r="G39" s="17" t="n"/>
      <c r="H39" s="18">
        <f>IF(OR(F39="",G39=""),"",ROUND(F39*G39,2))</f>
        <v/>
      </c>
      <c r="I39" s="19">
        <f>IF(ISNUMBER(SEARCH("ستاند",D39)),"أثاث وستاندات","")</f>
        <v/>
      </c>
      <c r="J39" s="20">
        <f>IF(E39="","",IF(I39="","⚠ عبّي الغرض",IF(AND(D39&lt;&gt;"",OR(ISNUMBER(SEARCH("صيانة",D39)),ISNUMBER(SEARCH("تعزيل",D39)),ISNUMBER(SEARCH("تنظيف",D39)),ISNUMBER(SEARCH("تصليح",D39)))),"⚠ الصيانة بلا ورشة",IF(H39="","⚠ ناقص",IF(D39&lt;&gt;"",IF(SUMIF($D$7:$D$806,D39,$H$7:$H$806)&gt;=20,"أصل","مصروف"),IFERROR(IF(VLOOKUP(I39,'القوائم'!$A$2:$D$14,4,0)="زكاة وصدقة","زكاة وصدقة",IF(AND(VLOOKUP(I39,'القوائم'!$A$2:$D$14,3,0)&lt;&gt;"",H39&gt;=20),"أصل","مصروف")),"مصروف"))))))</f>
        <v/>
      </c>
      <c r="K39" s="21" t="n"/>
      <c r="L39" s="22" t="n"/>
      <c r="N39">
        <f>IF(B39="","",MONTH(B39))</f>
        <v/>
      </c>
      <c r="O39">
        <f>IF(B39="","",YEAR(B39))</f>
        <v/>
      </c>
      <c r="P39">
        <f>IF(AND(D39&lt;&gt;"",COUNTIF(D$7:D39,D39)=1),MAX(P$6:P38)+1,"")</f>
        <v/>
      </c>
      <c r="Q39">
        <f>IF(E39="","",IF(I39="أجور عمال","أجرة","مادة"))</f>
        <v/>
      </c>
    </row>
    <row r="40">
      <c r="A40" s="12">
        <f>IF(E40="","",ROW()-6)</f>
        <v/>
      </c>
      <c r="B40" s="13" t="n"/>
      <c r="C40" s="12">
        <f>IF(B40="","",CHOOSE(WEEKDAY(B40,1),"الأحد","الاثنين","الثلاثاء","الأربعاء","الخميس","الجمعة","السبت"))</f>
        <v/>
      </c>
      <c r="D40" s="14" t="n"/>
      <c r="E40" s="15" t="n"/>
      <c r="F40" s="16" t="n"/>
      <c r="G40" s="17" t="n"/>
      <c r="H40" s="18">
        <f>IF(OR(F40="",G40=""),"",ROUND(F40*G40,2))</f>
        <v/>
      </c>
      <c r="I40" s="19">
        <f>IF(ISNUMBER(SEARCH("ستاند",D40)),"أثاث وستاندات","")</f>
        <v/>
      </c>
      <c r="J40" s="20">
        <f>IF(E40="","",IF(I40="","⚠ عبّي الغرض",IF(AND(D40&lt;&gt;"",OR(ISNUMBER(SEARCH("صيانة",D40)),ISNUMBER(SEARCH("تعزيل",D40)),ISNUMBER(SEARCH("تنظيف",D40)),ISNUMBER(SEARCH("تصليح",D40)))),"⚠ الصيانة بلا ورشة",IF(H40="","⚠ ناقص",IF(D40&lt;&gt;"",IF(SUMIF($D$7:$D$806,D40,$H$7:$H$806)&gt;=20,"أصل","مصروف"),IFERROR(IF(VLOOKUP(I40,'القوائم'!$A$2:$D$14,4,0)="زكاة وصدقة","زكاة وصدقة",IF(AND(VLOOKUP(I40,'القوائم'!$A$2:$D$14,3,0)&lt;&gt;"",H40&gt;=20),"أصل","مصروف")),"مصروف"))))))</f>
        <v/>
      </c>
      <c r="K40" s="21" t="n"/>
      <c r="L40" s="22" t="n"/>
      <c r="N40">
        <f>IF(B40="","",MONTH(B40))</f>
        <v/>
      </c>
      <c r="O40">
        <f>IF(B40="","",YEAR(B40))</f>
        <v/>
      </c>
      <c r="P40">
        <f>IF(AND(D40&lt;&gt;"",COUNTIF(D$7:D40,D40)=1),MAX(P$6:P39)+1,"")</f>
        <v/>
      </c>
      <c r="Q40">
        <f>IF(E40="","",IF(I40="أجور عمال","أجرة","مادة"))</f>
        <v/>
      </c>
    </row>
    <row r="41">
      <c r="A41" s="12">
        <f>IF(E41="","",ROW()-6)</f>
        <v/>
      </c>
      <c r="B41" s="13" t="n"/>
      <c r="C41" s="12">
        <f>IF(B41="","",CHOOSE(WEEKDAY(B41,1),"الأحد","الاثنين","الثلاثاء","الأربعاء","الخميس","الجمعة","السبت"))</f>
        <v/>
      </c>
      <c r="D41" s="14" t="n"/>
      <c r="E41" s="15" t="n"/>
      <c r="F41" s="16" t="n"/>
      <c r="G41" s="17" t="n"/>
      <c r="H41" s="18">
        <f>IF(OR(F41="",G41=""),"",ROUND(F41*G41,2))</f>
        <v/>
      </c>
      <c r="I41" s="19">
        <f>IF(ISNUMBER(SEARCH("ستاند",D41)),"أثاث وستاندات","")</f>
        <v/>
      </c>
      <c r="J41" s="20">
        <f>IF(E41="","",IF(I41="","⚠ عبّي الغرض",IF(AND(D41&lt;&gt;"",OR(ISNUMBER(SEARCH("صيانة",D41)),ISNUMBER(SEARCH("تعزيل",D41)),ISNUMBER(SEARCH("تنظيف",D41)),ISNUMBER(SEARCH("تصليح",D41)))),"⚠ الصيانة بلا ورشة",IF(H41="","⚠ ناقص",IF(D41&lt;&gt;"",IF(SUMIF($D$7:$D$806,D41,$H$7:$H$806)&gt;=20,"أصل","مصروف"),IFERROR(IF(VLOOKUP(I41,'القوائم'!$A$2:$D$14,4,0)="زكاة وصدقة","زكاة وصدقة",IF(AND(VLOOKUP(I41,'القوائم'!$A$2:$D$14,3,0)&lt;&gt;"",H41&gt;=20),"أصل","مصروف")),"مصروف"))))))</f>
        <v/>
      </c>
      <c r="K41" s="21" t="n"/>
      <c r="L41" s="22" t="n"/>
      <c r="N41">
        <f>IF(B41="","",MONTH(B41))</f>
        <v/>
      </c>
      <c r="O41">
        <f>IF(B41="","",YEAR(B41))</f>
        <v/>
      </c>
      <c r="P41">
        <f>IF(AND(D41&lt;&gt;"",COUNTIF(D$7:D41,D41)=1),MAX(P$6:P40)+1,"")</f>
        <v/>
      </c>
      <c r="Q41">
        <f>IF(E41="","",IF(I41="أجور عمال","أجرة","مادة"))</f>
        <v/>
      </c>
    </row>
    <row r="42">
      <c r="A42" s="12">
        <f>IF(E42="","",ROW()-6)</f>
        <v/>
      </c>
      <c r="B42" s="13" t="n"/>
      <c r="C42" s="12">
        <f>IF(B42="","",CHOOSE(WEEKDAY(B42,1),"الأحد","الاثنين","الثلاثاء","الأربعاء","الخميس","الجمعة","السبت"))</f>
        <v/>
      </c>
      <c r="D42" s="14" t="n"/>
      <c r="E42" s="15" t="n"/>
      <c r="F42" s="16" t="n"/>
      <c r="G42" s="17" t="n"/>
      <c r="H42" s="18">
        <f>IF(OR(F42="",G42=""),"",ROUND(F42*G42,2))</f>
        <v/>
      </c>
      <c r="I42" s="19">
        <f>IF(ISNUMBER(SEARCH("ستاند",D42)),"أثاث وستاندات","")</f>
        <v/>
      </c>
      <c r="J42" s="20">
        <f>IF(E42="","",IF(I42="","⚠ عبّي الغرض",IF(AND(D42&lt;&gt;"",OR(ISNUMBER(SEARCH("صيانة",D42)),ISNUMBER(SEARCH("تعزيل",D42)),ISNUMBER(SEARCH("تنظيف",D42)),ISNUMBER(SEARCH("تصليح",D42)))),"⚠ الصيانة بلا ورشة",IF(H42="","⚠ ناقص",IF(D42&lt;&gt;"",IF(SUMIF($D$7:$D$806,D42,$H$7:$H$806)&gt;=20,"أصل","مصروف"),IFERROR(IF(VLOOKUP(I42,'القوائم'!$A$2:$D$14,4,0)="زكاة وصدقة","زكاة وصدقة",IF(AND(VLOOKUP(I42,'القوائم'!$A$2:$D$14,3,0)&lt;&gt;"",H42&gt;=20),"أصل","مصروف")),"مصروف"))))))</f>
        <v/>
      </c>
      <c r="K42" s="21" t="n"/>
      <c r="L42" s="22" t="n"/>
      <c r="N42">
        <f>IF(B42="","",MONTH(B42))</f>
        <v/>
      </c>
      <c r="O42">
        <f>IF(B42="","",YEAR(B42))</f>
        <v/>
      </c>
      <c r="P42">
        <f>IF(AND(D42&lt;&gt;"",COUNTIF(D$7:D42,D42)=1),MAX(P$6:P41)+1,"")</f>
        <v/>
      </c>
      <c r="Q42">
        <f>IF(E42="","",IF(I42="أجور عمال","أجرة","مادة"))</f>
        <v/>
      </c>
    </row>
    <row r="43">
      <c r="A43" s="12">
        <f>IF(E43="","",ROW()-6)</f>
        <v/>
      </c>
      <c r="B43" s="13" t="n"/>
      <c r="C43" s="12">
        <f>IF(B43="","",CHOOSE(WEEKDAY(B43,1),"الأحد","الاثنين","الثلاثاء","الأربعاء","الخميس","الجمعة","السبت"))</f>
        <v/>
      </c>
      <c r="D43" s="14" t="n"/>
      <c r="E43" s="15" t="n"/>
      <c r="F43" s="16" t="n"/>
      <c r="G43" s="17" t="n"/>
      <c r="H43" s="18">
        <f>IF(OR(F43="",G43=""),"",ROUND(F43*G43,2))</f>
        <v/>
      </c>
      <c r="I43" s="19">
        <f>IF(ISNUMBER(SEARCH("ستاند",D43)),"أثاث وستاندات","")</f>
        <v/>
      </c>
      <c r="J43" s="20">
        <f>IF(E43="","",IF(I43="","⚠ عبّي الغرض",IF(AND(D43&lt;&gt;"",OR(ISNUMBER(SEARCH("صيانة",D43)),ISNUMBER(SEARCH("تعزيل",D43)),ISNUMBER(SEARCH("تنظيف",D43)),ISNUMBER(SEARCH("تصليح",D43)))),"⚠ الصيانة بلا ورشة",IF(H43="","⚠ ناقص",IF(D43&lt;&gt;"",IF(SUMIF($D$7:$D$806,D43,$H$7:$H$806)&gt;=20,"أصل","مصروف"),IFERROR(IF(VLOOKUP(I43,'القوائم'!$A$2:$D$14,4,0)="زكاة وصدقة","زكاة وصدقة",IF(AND(VLOOKUP(I43,'القوائم'!$A$2:$D$14,3,0)&lt;&gt;"",H43&gt;=20),"أصل","مصروف")),"مصروف"))))))</f>
        <v/>
      </c>
      <c r="K43" s="21" t="n"/>
      <c r="L43" s="22" t="n"/>
      <c r="N43">
        <f>IF(B43="","",MONTH(B43))</f>
        <v/>
      </c>
      <c r="O43">
        <f>IF(B43="","",YEAR(B43))</f>
        <v/>
      </c>
      <c r="P43">
        <f>IF(AND(D43&lt;&gt;"",COUNTIF(D$7:D43,D43)=1),MAX(P$6:P42)+1,"")</f>
        <v/>
      </c>
      <c r="Q43">
        <f>IF(E43="","",IF(I43="أجور عمال","أجرة","مادة"))</f>
        <v/>
      </c>
    </row>
    <row r="44">
      <c r="A44" s="12">
        <f>IF(E44="","",ROW()-6)</f>
        <v/>
      </c>
      <c r="B44" s="13" t="n"/>
      <c r="C44" s="12">
        <f>IF(B44="","",CHOOSE(WEEKDAY(B44,1),"الأحد","الاثنين","الثلاثاء","الأربعاء","الخميس","الجمعة","السبت"))</f>
        <v/>
      </c>
      <c r="D44" s="14" t="n"/>
      <c r="E44" s="15" t="n"/>
      <c r="F44" s="16" t="n"/>
      <c r="G44" s="17" t="n"/>
      <c r="H44" s="18">
        <f>IF(OR(F44="",G44=""),"",ROUND(F44*G44,2))</f>
        <v/>
      </c>
      <c r="I44" s="19">
        <f>IF(ISNUMBER(SEARCH("ستاند",D44)),"أثاث وستاندات","")</f>
        <v/>
      </c>
      <c r="J44" s="20">
        <f>IF(E44="","",IF(I44="","⚠ عبّي الغرض",IF(AND(D44&lt;&gt;"",OR(ISNUMBER(SEARCH("صيانة",D44)),ISNUMBER(SEARCH("تعزيل",D44)),ISNUMBER(SEARCH("تنظيف",D44)),ISNUMBER(SEARCH("تصليح",D44)))),"⚠ الصيانة بلا ورشة",IF(H44="","⚠ ناقص",IF(D44&lt;&gt;"",IF(SUMIF($D$7:$D$806,D44,$H$7:$H$806)&gt;=20,"أصل","مصروف"),IFERROR(IF(VLOOKUP(I44,'القوائم'!$A$2:$D$14,4,0)="زكاة وصدقة","زكاة وصدقة",IF(AND(VLOOKUP(I44,'القوائم'!$A$2:$D$14,3,0)&lt;&gt;"",H44&gt;=20),"أصل","مصروف")),"مصروف"))))))</f>
        <v/>
      </c>
      <c r="K44" s="21" t="n"/>
      <c r="L44" s="22" t="n"/>
      <c r="N44">
        <f>IF(B44="","",MONTH(B44))</f>
        <v/>
      </c>
      <c r="O44">
        <f>IF(B44="","",YEAR(B44))</f>
        <v/>
      </c>
      <c r="P44">
        <f>IF(AND(D44&lt;&gt;"",COUNTIF(D$7:D44,D44)=1),MAX(P$6:P43)+1,"")</f>
        <v/>
      </c>
      <c r="Q44">
        <f>IF(E44="","",IF(I44="أجور عمال","أجرة","مادة"))</f>
        <v/>
      </c>
    </row>
    <row r="45">
      <c r="A45" s="12">
        <f>IF(E45="","",ROW()-6)</f>
        <v/>
      </c>
      <c r="B45" s="13" t="n"/>
      <c r="C45" s="12">
        <f>IF(B45="","",CHOOSE(WEEKDAY(B45,1),"الأحد","الاثنين","الثلاثاء","الأربعاء","الخميس","الجمعة","السبت"))</f>
        <v/>
      </c>
      <c r="D45" s="14" t="n"/>
      <c r="E45" s="15" t="n"/>
      <c r="F45" s="16" t="n"/>
      <c r="G45" s="17" t="n"/>
      <c r="H45" s="18">
        <f>IF(OR(F45="",G45=""),"",ROUND(F45*G45,2))</f>
        <v/>
      </c>
      <c r="I45" s="19">
        <f>IF(ISNUMBER(SEARCH("ستاند",D45)),"أثاث وستاندات","")</f>
        <v/>
      </c>
      <c r="J45" s="20">
        <f>IF(E45="","",IF(I45="","⚠ عبّي الغرض",IF(AND(D45&lt;&gt;"",OR(ISNUMBER(SEARCH("صيانة",D45)),ISNUMBER(SEARCH("تعزيل",D45)),ISNUMBER(SEARCH("تنظيف",D45)),ISNUMBER(SEARCH("تصليح",D45)))),"⚠ الصيانة بلا ورشة",IF(H45="","⚠ ناقص",IF(D45&lt;&gt;"",IF(SUMIF($D$7:$D$806,D45,$H$7:$H$806)&gt;=20,"أصل","مصروف"),IFERROR(IF(VLOOKUP(I45,'القوائم'!$A$2:$D$14,4,0)="زكاة وصدقة","زكاة وصدقة",IF(AND(VLOOKUP(I45,'القوائم'!$A$2:$D$14,3,0)&lt;&gt;"",H45&gt;=20),"أصل","مصروف")),"مصروف"))))))</f>
        <v/>
      </c>
      <c r="K45" s="21" t="n"/>
      <c r="L45" s="22" t="n"/>
      <c r="N45">
        <f>IF(B45="","",MONTH(B45))</f>
        <v/>
      </c>
      <c r="O45">
        <f>IF(B45="","",YEAR(B45))</f>
        <v/>
      </c>
      <c r="P45">
        <f>IF(AND(D45&lt;&gt;"",COUNTIF(D$7:D45,D45)=1),MAX(P$6:P44)+1,"")</f>
        <v/>
      </c>
      <c r="Q45">
        <f>IF(E45="","",IF(I45="أجور عمال","أجرة","مادة"))</f>
        <v/>
      </c>
    </row>
    <row r="46">
      <c r="A46" s="12">
        <f>IF(E46="","",ROW()-6)</f>
        <v/>
      </c>
      <c r="B46" s="13" t="n"/>
      <c r="C46" s="12">
        <f>IF(B46="","",CHOOSE(WEEKDAY(B46,1),"الأحد","الاثنين","الثلاثاء","الأربعاء","الخميس","الجمعة","السبت"))</f>
        <v/>
      </c>
      <c r="D46" s="14" t="n"/>
      <c r="E46" s="15" t="n"/>
      <c r="F46" s="16" t="n"/>
      <c r="G46" s="17" t="n"/>
      <c r="H46" s="18">
        <f>IF(OR(F46="",G46=""),"",ROUND(F46*G46,2))</f>
        <v/>
      </c>
      <c r="I46" s="19">
        <f>IF(ISNUMBER(SEARCH("ستاند",D46)),"أثاث وستاندات","")</f>
        <v/>
      </c>
      <c r="J46" s="20">
        <f>IF(E46="","",IF(I46="","⚠ عبّي الغرض",IF(AND(D46&lt;&gt;"",OR(ISNUMBER(SEARCH("صيانة",D46)),ISNUMBER(SEARCH("تعزيل",D46)),ISNUMBER(SEARCH("تنظيف",D46)),ISNUMBER(SEARCH("تصليح",D46)))),"⚠ الصيانة بلا ورشة",IF(H46="","⚠ ناقص",IF(D46&lt;&gt;"",IF(SUMIF($D$7:$D$806,D46,$H$7:$H$806)&gt;=20,"أصل","مصروف"),IFERROR(IF(VLOOKUP(I46,'القوائم'!$A$2:$D$14,4,0)="زكاة وصدقة","زكاة وصدقة",IF(AND(VLOOKUP(I46,'القوائم'!$A$2:$D$14,3,0)&lt;&gt;"",H46&gt;=20),"أصل","مصروف")),"مصروف"))))))</f>
        <v/>
      </c>
      <c r="K46" s="21" t="n"/>
      <c r="L46" s="22" t="n"/>
      <c r="N46">
        <f>IF(B46="","",MONTH(B46))</f>
        <v/>
      </c>
      <c r="O46">
        <f>IF(B46="","",YEAR(B46))</f>
        <v/>
      </c>
      <c r="P46">
        <f>IF(AND(D46&lt;&gt;"",COUNTIF(D$7:D46,D46)=1),MAX(P$6:P45)+1,"")</f>
        <v/>
      </c>
      <c r="Q46">
        <f>IF(E46="","",IF(I46="أجور عمال","أجرة","مادة"))</f>
        <v/>
      </c>
    </row>
    <row r="47">
      <c r="A47" s="12">
        <f>IF(E47="","",ROW()-6)</f>
        <v/>
      </c>
      <c r="B47" s="13" t="n"/>
      <c r="C47" s="12">
        <f>IF(B47="","",CHOOSE(WEEKDAY(B47,1),"الأحد","الاثنين","الثلاثاء","الأربعاء","الخميس","الجمعة","السبت"))</f>
        <v/>
      </c>
      <c r="D47" s="14" t="n"/>
      <c r="E47" s="15" t="n"/>
      <c r="F47" s="16" t="n"/>
      <c r="G47" s="17" t="n"/>
      <c r="H47" s="18">
        <f>IF(OR(F47="",G47=""),"",ROUND(F47*G47,2))</f>
        <v/>
      </c>
      <c r="I47" s="19">
        <f>IF(ISNUMBER(SEARCH("ستاند",D47)),"أثاث وستاندات","")</f>
        <v/>
      </c>
      <c r="J47" s="20">
        <f>IF(E47="","",IF(I47="","⚠ عبّي الغرض",IF(AND(D47&lt;&gt;"",OR(ISNUMBER(SEARCH("صيانة",D47)),ISNUMBER(SEARCH("تعزيل",D47)),ISNUMBER(SEARCH("تنظيف",D47)),ISNUMBER(SEARCH("تصليح",D47)))),"⚠ الصيانة بلا ورشة",IF(H47="","⚠ ناقص",IF(D47&lt;&gt;"",IF(SUMIF($D$7:$D$806,D47,$H$7:$H$806)&gt;=20,"أصل","مصروف"),IFERROR(IF(VLOOKUP(I47,'القوائم'!$A$2:$D$14,4,0)="زكاة وصدقة","زكاة وصدقة",IF(AND(VLOOKUP(I47,'القوائم'!$A$2:$D$14,3,0)&lt;&gt;"",H47&gt;=20),"أصل","مصروف")),"مصروف"))))))</f>
        <v/>
      </c>
      <c r="K47" s="21" t="n"/>
      <c r="L47" s="22" t="n"/>
      <c r="N47">
        <f>IF(B47="","",MONTH(B47))</f>
        <v/>
      </c>
      <c r="O47">
        <f>IF(B47="","",YEAR(B47))</f>
        <v/>
      </c>
      <c r="P47">
        <f>IF(AND(D47&lt;&gt;"",COUNTIF(D$7:D47,D47)=1),MAX(P$6:P46)+1,"")</f>
        <v/>
      </c>
      <c r="Q47">
        <f>IF(E47="","",IF(I47="أجور عمال","أجرة","مادة"))</f>
        <v/>
      </c>
    </row>
    <row r="48">
      <c r="A48" s="12">
        <f>IF(E48="","",ROW()-6)</f>
        <v/>
      </c>
      <c r="B48" s="13" t="n"/>
      <c r="C48" s="12">
        <f>IF(B48="","",CHOOSE(WEEKDAY(B48,1),"الأحد","الاثنين","الثلاثاء","الأربعاء","الخميس","الجمعة","السبت"))</f>
        <v/>
      </c>
      <c r="D48" s="14" t="n"/>
      <c r="E48" s="15" t="n"/>
      <c r="F48" s="16" t="n"/>
      <c r="G48" s="17" t="n"/>
      <c r="H48" s="18">
        <f>IF(OR(F48="",G48=""),"",ROUND(F48*G48,2))</f>
        <v/>
      </c>
      <c r="I48" s="19">
        <f>IF(ISNUMBER(SEARCH("ستاند",D48)),"أثاث وستاندات","")</f>
        <v/>
      </c>
      <c r="J48" s="20">
        <f>IF(E48="","",IF(I48="","⚠ عبّي الغرض",IF(AND(D48&lt;&gt;"",OR(ISNUMBER(SEARCH("صيانة",D48)),ISNUMBER(SEARCH("تعزيل",D48)),ISNUMBER(SEARCH("تنظيف",D48)),ISNUMBER(SEARCH("تصليح",D48)))),"⚠ الصيانة بلا ورشة",IF(H48="","⚠ ناقص",IF(D48&lt;&gt;"",IF(SUMIF($D$7:$D$806,D48,$H$7:$H$806)&gt;=20,"أصل","مصروف"),IFERROR(IF(VLOOKUP(I48,'القوائم'!$A$2:$D$14,4,0)="زكاة وصدقة","زكاة وصدقة",IF(AND(VLOOKUP(I48,'القوائم'!$A$2:$D$14,3,0)&lt;&gt;"",H48&gt;=20),"أصل","مصروف")),"مصروف"))))))</f>
        <v/>
      </c>
      <c r="K48" s="21" t="n"/>
      <c r="L48" s="22" t="n"/>
      <c r="N48">
        <f>IF(B48="","",MONTH(B48))</f>
        <v/>
      </c>
      <c r="O48">
        <f>IF(B48="","",YEAR(B48))</f>
        <v/>
      </c>
      <c r="P48">
        <f>IF(AND(D48&lt;&gt;"",COUNTIF(D$7:D48,D48)=1),MAX(P$6:P47)+1,"")</f>
        <v/>
      </c>
      <c r="Q48">
        <f>IF(E48="","",IF(I48="أجور عمال","أجرة","مادة"))</f>
        <v/>
      </c>
    </row>
    <row r="49">
      <c r="A49" s="12">
        <f>IF(E49="","",ROW()-6)</f>
        <v/>
      </c>
      <c r="B49" s="13" t="n"/>
      <c r="C49" s="12">
        <f>IF(B49="","",CHOOSE(WEEKDAY(B49,1),"الأحد","الاثنين","الثلاثاء","الأربعاء","الخميس","الجمعة","السبت"))</f>
        <v/>
      </c>
      <c r="D49" s="14" t="n"/>
      <c r="E49" s="15" t="n"/>
      <c r="F49" s="16" t="n"/>
      <c r="G49" s="17" t="n"/>
      <c r="H49" s="18">
        <f>IF(OR(F49="",G49=""),"",ROUND(F49*G49,2))</f>
        <v/>
      </c>
      <c r="I49" s="19">
        <f>IF(ISNUMBER(SEARCH("ستاند",D49)),"أثاث وستاندات","")</f>
        <v/>
      </c>
      <c r="J49" s="20">
        <f>IF(E49="","",IF(I49="","⚠ عبّي الغرض",IF(AND(D49&lt;&gt;"",OR(ISNUMBER(SEARCH("صيانة",D49)),ISNUMBER(SEARCH("تعزيل",D49)),ISNUMBER(SEARCH("تنظيف",D49)),ISNUMBER(SEARCH("تصليح",D49)))),"⚠ الصيانة بلا ورشة",IF(H49="","⚠ ناقص",IF(D49&lt;&gt;"",IF(SUMIF($D$7:$D$806,D49,$H$7:$H$806)&gt;=20,"أصل","مصروف"),IFERROR(IF(VLOOKUP(I49,'القوائم'!$A$2:$D$14,4,0)="زكاة وصدقة","زكاة وصدقة",IF(AND(VLOOKUP(I49,'القوائم'!$A$2:$D$14,3,0)&lt;&gt;"",H49&gt;=20),"أصل","مصروف")),"مصروف"))))))</f>
        <v/>
      </c>
      <c r="K49" s="21" t="n"/>
      <c r="L49" s="22" t="n"/>
      <c r="N49">
        <f>IF(B49="","",MONTH(B49))</f>
        <v/>
      </c>
      <c r="O49">
        <f>IF(B49="","",YEAR(B49))</f>
        <v/>
      </c>
      <c r="P49">
        <f>IF(AND(D49&lt;&gt;"",COUNTIF(D$7:D49,D49)=1),MAX(P$6:P48)+1,"")</f>
        <v/>
      </c>
      <c r="Q49">
        <f>IF(E49="","",IF(I49="أجور عمال","أجرة","مادة"))</f>
        <v/>
      </c>
    </row>
    <row r="50">
      <c r="A50" s="12">
        <f>IF(E50="","",ROW()-6)</f>
        <v/>
      </c>
      <c r="B50" s="13" t="n"/>
      <c r="C50" s="12">
        <f>IF(B50="","",CHOOSE(WEEKDAY(B50,1),"الأحد","الاثنين","الثلاثاء","الأربعاء","الخميس","الجمعة","السبت"))</f>
        <v/>
      </c>
      <c r="D50" s="14" t="n"/>
      <c r="E50" s="15" t="n"/>
      <c r="F50" s="16" t="n"/>
      <c r="G50" s="17" t="n"/>
      <c r="H50" s="18">
        <f>IF(OR(F50="",G50=""),"",ROUND(F50*G50,2))</f>
        <v/>
      </c>
      <c r="I50" s="19">
        <f>IF(ISNUMBER(SEARCH("ستاند",D50)),"أثاث وستاندات","")</f>
        <v/>
      </c>
      <c r="J50" s="20">
        <f>IF(E50="","",IF(I50="","⚠ عبّي الغرض",IF(AND(D50&lt;&gt;"",OR(ISNUMBER(SEARCH("صيانة",D50)),ISNUMBER(SEARCH("تعزيل",D50)),ISNUMBER(SEARCH("تنظيف",D50)),ISNUMBER(SEARCH("تصليح",D50)))),"⚠ الصيانة بلا ورشة",IF(H50="","⚠ ناقص",IF(D50&lt;&gt;"",IF(SUMIF($D$7:$D$806,D50,$H$7:$H$806)&gt;=20,"أصل","مصروف"),IFERROR(IF(VLOOKUP(I50,'القوائم'!$A$2:$D$14,4,0)="زكاة وصدقة","زكاة وصدقة",IF(AND(VLOOKUP(I50,'القوائم'!$A$2:$D$14,3,0)&lt;&gt;"",H50&gt;=20),"أصل","مصروف")),"مصروف"))))))</f>
        <v/>
      </c>
      <c r="K50" s="21" t="n"/>
      <c r="L50" s="22" t="n"/>
      <c r="N50">
        <f>IF(B50="","",MONTH(B50))</f>
        <v/>
      </c>
      <c r="O50">
        <f>IF(B50="","",YEAR(B50))</f>
        <v/>
      </c>
      <c r="P50">
        <f>IF(AND(D50&lt;&gt;"",COUNTIF(D$7:D50,D50)=1),MAX(P$6:P49)+1,"")</f>
        <v/>
      </c>
      <c r="Q50">
        <f>IF(E50="","",IF(I50="أجور عمال","أجرة","مادة"))</f>
        <v/>
      </c>
    </row>
    <row r="51">
      <c r="A51" s="12">
        <f>IF(E51="","",ROW()-6)</f>
        <v/>
      </c>
      <c r="B51" s="13" t="n"/>
      <c r="C51" s="12">
        <f>IF(B51="","",CHOOSE(WEEKDAY(B51,1),"الأحد","الاثنين","الثلاثاء","الأربعاء","الخميس","الجمعة","السبت"))</f>
        <v/>
      </c>
      <c r="D51" s="14" t="n"/>
      <c r="E51" s="15" t="n"/>
      <c r="F51" s="16" t="n"/>
      <c r="G51" s="17" t="n"/>
      <c r="H51" s="18">
        <f>IF(OR(F51="",G51=""),"",ROUND(F51*G51,2))</f>
        <v/>
      </c>
      <c r="I51" s="19">
        <f>IF(ISNUMBER(SEARCH("ستاند",D51)),"أثاث وستاندات","")</f>
        <v/>
      </c>
      <c r="J51" s="20">
        <f>IF(E51="","",IF(I51="","⚠ عبّي الغرض",IF(AND(D51&lt;&gt;"",OR(ISNUMBER(SEARCH("صيانة",D51)),ISNUMBER(SEARCH("تعزيل",D51)),ISNUMBER(SEARCH("تنظيف",D51)),ISNUMBER(SEARCH("تصليح",D51)))),"⚠ الصيانة بلا ورشة",IF(H51="","⚠ ناقص",IF(D51&lt;&gt;"",IF(SUMIF($D$7:$D$806,D51,$H$7:$H$806)&gt;=20,"أصل","مصروف"),IFERROR(IF(VLOOKUP(I51,'القوائم'!$A$2:$D$14,4,0)="زكاة وصدقة","زكاة وصدقة",IF(AND(VLOOKUP(I51,'القوائم'!$A$2:$D$14,3,0)&lt;&gt;"",H51&gt;=20),"أصل","مصروف")),"مصروف"))))))</f>
        <v/>
      </c>
      <c r="K51" s="21" t="n"/>
      <c r="L51" s="22" t="n"/>
      <c r="N51">
        <f>IF(B51="","",MONTH(B51))</f>
        <v/>
      </c>
      <c r="O51">
        <f>IF(B51="","",YEAR(B51))</f>
        <v/>
      </c>
      <c r="P51">
        <f>IF(AND(D51&lt;&gt;"",COUNTIF(D$7:D51,D51)=1),MAX(P$6:P50)+1,"")</f>
        <v/>
      </c>
      <c r="Q51">
        <f>IF(E51="","",IF(I51="أجور عمال","أجرة","مادة"))</f>
        <v/>
      </c>
    </row>
    <row r="52">
      <c r="A52" s="12">
        <f>IF(E52="","",ROW()-6)</f>
        <v/>
      </c>
      <c r="B52" s="13" t="n"/>
      <c r="C52" s="12">
        <f>IF(B52="","",CHOOSE(WEEKDAY(B52,1),"الأحد","الاثنين","الثلاثاء","الأربعاء","الخميس","الجمعة","السبت"))</f>
        <v/>
      </c>
      <c r="D52" s="14" t="n"/>
      <c r="E52" s="15" t="n"/>
      <c r="F52" s="16" t="n"/>
      <c r="G52" s="17" t="n"/>
      <c r="H52" s="18">
        <f>IF(OR(F52="",G52=""),"",ROUND(F52*G52,2))</f>
        <v/>
      </c>
      <c r="I52" s="19">
        <f>IF(ISNUMBER(SEARCH("ستاند",D52)),"أثاث وستاندات","")</f>
        <v/>
      </c>
      <c r="J52" s="20">
        <f>IF(E52="","",IF(I52="","⚠ عبّي الغرض",IF(AND(D52&lt;&gt;"",OR(ISNUMBER(SEARCH("صيانة",D52)),ISNUMBER(SEARCH("تعزيل",D52)),ISNUMBER(SEARCH("تنظيف",D52)),ISNUMBER(SEARCH("تصليح",D52)))),"⚠ الصيانة بلا ورشة",IF(H52="","⚠ ناقص",IF(D52&lt;&gt;"",IF(SUMIF($D$7:$D$806,D52,$H$7:$H$806)&gt;=20,"أصل","مصروف"),IFERROR(IF(VLOOKUP(I52,'القوائم'!$A$2:$D$14,4,0)="زكاة وصدقة","زكاة وصدقة",IF(AND(VLOOKUP(I52,'القوائم'!$A$2:$D$14,3,0)&lt;&gt;"",H52&gt;=20),"أصل","مصروف")),"مصروف"))))))</f>
        <v/>
      </c>
      <c r="K52" s="21" t="n"/>
      <c r="L52" s="22" t="n"/>
      <c r="N52">
        <f>IF(B52="","",MONTH(B52))</f>
        <v/>
      </c>
      <c r="O52">
        <f>IF(B52="","",YEAR(B52))</f>
        <v/>
      </c>
      <c r="P52">
        <f>IF(AND(D52&lt;&gt;"",COUNTIF(D$7:D52,D52)=1),MAX(P$6:P51)+1,"")</f>
        <v/>
      </c>
      <c r="Q52">
        <f>IF(E52="","",IF(I52="أجور عمال","أجرة","مادة"))</f>
        <v/>
      </c>
    </row>
    <row r="53">
      <c r="A53" s="12">
        <f>IF(E53="","",ROW()-6)</f>
        <v/>
      </c>
      <c r="B53" s="13" t="n"/>
      <c r="C53" s="12">
        <f>IF(B53="","",CHOOSE(WEEKDAY(B53,1),"الأحد","الاثنين","الثلاثاء","الأربعاء","الخميس","الجمعة","السبت"))</f>
        <v/>
      </c>
      <c r="D53" s="14" t="n"/>
      <c r="E53" s="15" t="n"/>
      <c r="F53" s="16" t="n"/>
      <c r="G53" s="17" t="n"/>
      <c r="H53" s="18">
        <f>IF(OR(F53="",G53=""),"",ROUND(F53*G53,2))</f>
        <v/>
      </c>
      <c r="I53" s="19">
        <f>IF(ISNUMBER(SEARCH("ستاند",D53)),"أثاث وستاندات","")</f>
        <v/>
      </c>
      <c r="J53" s="20">
        <f>IF(E53="","",IF(I53="","⚠ عبّي الغرض",IF(AND(D53&lt;&gt;"",OR(ISNUMBER(SEARCH("صيانة",D53)),ISNUMBER(SEARCH("تعزيل",D53)),ISNUMBER(SEARCH("تنظيف",D53)),ISNUMBER(SEARCH("تصليح",D53)))),"⚠ الصيانة بلا ورشة",IF(H53="","⚠ ناقص",IF(D53&lt;&gt;"",IF(SUMIF($D$7:$D$806,D53,$H$7:$H$806)&gt;=20,"أصل","مصروف"),IFERROR(IF(VLOOKUP(I53,'القوائم'!$A$2:$D$14,4,0)="زكاة وصدقة","زكاة وصدقة",IF(AND(VLOOKUP(I53,'القوائم'!$A$2:$D$14,3,0)&lt;&gt;"",H53&gt;=20),"أصل","مصروف")),"مصروف"))))))</f>
        <v/>
      </c>
      <c r="K53" s="21" t="n"/>
      <c r="L53" s="22" t="n"/>
      <c r="N53">
        <f>IF(B53="","",MONTH(B53))</f>
        <v/>
      </c>
      <c r="O53">
        <f>IF(B53="","",YEAR(B53))</f>
        <v/>
      </c>
      <c r="P53">
        <f>IF(AND(D53&lt;&gt;"",COUNTIF(D$7:D53,D53)=1),MAX(P$6:P52)+1,"")</f>
        <v/>
      </c>
      <c r="Q53">
        <f>IF(E53="","",IF(I53="أجور عمال","أجرة","مادة"))</f>
        <v/>
      </c>
    </row>
    <row r="54">
      <c r="A54" s="12">
        <f>IF(E54="","",ROW()-6)</f>
        <v/>
      </c>
      <c r="B54" s="13" t="n"/>
      <c r="C54" s="12">
        <f>IF(B54="","",CHOOSE(WEEKDAY(B54,1),"الأحد","الاثنين","الثلاثاء","الأربعاء","الخميس","الجمعة","السبت"))</f>
        <v/>
      </c>
      <c r="D54" s="14" t="n"/>
      <c r="E54" s="15" t="n"/>
      <c r="F54" s="16" t="n"/>
      <c r="G54" s="17" t="n"/>
      <c r="H54" s="18">
        <f>IF(OR(F54="",G54=""),"",ROUND(F54*G54,2))</f>
        <v/>
      </c>
      <c r="I54" s="19">
        <f>IF(ISNUMBER(SEARCH("ستاند",D54)),"أثاث وستاندات","")</f>
        <v/>
      </c>
      <c r="J54" s="20">
        <f>IF(E54="","",IF(I54="","⚠ عبّي الغرض",IF(AND(D54&lt;&gt;"",OR(ISNUMBER(SEARCH("صيانة",D54)),ISNUMBER(SEARCH("تعزيل",D54)),ISNUMBER(SEARCH("تنظيف",D54)),ISNUMBER(SEARCH("تصليح",D54)))),"⚠ الصيانة بلا ورشة",IF(H54="","⚠ ناقص",IF(D54&lt;&gt;"",IF(SUMIF($D$7:$D$806,D54,$H$7:$H$806)&gt;=20,"أصل","مصروف"),IFERROR(IF(VLOOKUP(I54,'القوائم'!$A$2:$D$14,4,0)="زكاة وصدقة","زكاة وصدقة",IF(AND(VLOOKUP(I54,'القوائم'!$A$2:$D$14,3,0)&lt;&gt;"",H54&gt;=20),"أصل","مصروف")),"مصروف"))))))</f>
        <v/>
      </c>
      <c r="K54" s="21" t="n"/>
      <c r="L54" s="22" t="n"/>
      <c r="N54">
        <f>IF(B54="","",MONTH(B54))</f>
        <v/>
      </c>
      <c r="O54">
        <f>IF(B54="","",YEAR(B54))</f>
        <v/>
      </c>
      <c r="P54">
        <f>IF(AND(D54&lt;&gt;"",COUNTIF(D$7:D54,D54)=1),MAX(P$6:P53)+1,"")</f>
        <v/>
      </c>
      <c r="Q54">
        <f>IF(E54="","",IF(I54="أجور عمال","أجرة","مادة"))</f>
        <v/>
      </c>
    </row>
    <row r="55">
      <c r="A55" s="12">
        <f>IF(E55="","",ROW()-6)</f>
        <v/>
      </c>
      <c r="B55" s="13" t="n"/>
      <c r="C55" s="12">
        <f>IF(B55="","",CHOOSE(WEEKDAY(B55,1),"الأحد","الاثنين","الثلاثاء","الأربعاء","الخميس","الجمعة","السبت"))</f>
        <v/>
      </c>
      <c r="D55" s="14" t="n"/>
      <c r="E55" s="15" t="n"/>
      <c r="F55" s="16" t="n"/>
      <c r="G55" s="17" t="n"/>
      <c r="H55" s="18">
        <f>IF(OR(F55="",G55=""),"",ROUND(F55*G55,2))</f>
        <v/>
      </c>
      <c r="I55" s="19">
        <f>IF(ISNUMBER(SEARCH("ستاند",D55)),"أثاث وستاندات","")</f>
        <v/>
      </c>
      <c r="J55" s="20">
        <f>IF(E55="","",IF(I55="","⚠ عبّي الغرض",IF(AND(D55&lt;&gt;"",OR(ISNUMBER(SEARCH("صيانة",D55)),ISNUMBER(SEARCH("تعزيل",D55)),ISNUMBER(SEARCH("تنظيف",D55)),ISNUMBER(SEARCH("تصليح",D55)))),"⚠ الصيانة بلا ورشة",IF(H55="","⚠ ناقص",IF(D55&lt;&gt;"",IF(SUMIF($D$7:$D$806,D55,$H$7:$H$806)&gt;=20,"أصل","مصروف"),IFERROR(IF(VLOOKUP(I55,'القوائم'!$A$2:$D$14,4,0)="زكاة وصدقة","زكاة وصدقة",IF(AND(VLOOKUP(I55,'القوائم'!$A$2:$D$14,3,0)&lt;&gt;"",H55&gt;=20),"أصل","مصروف")),"مصروف"))))))</f>
        <v/>
      </c>
      <c r="K55" s="21" t="n"/>
      <c r="L55" s="22" t="n"/>
      <c r="N55">
        <f>IF(B55="","",MONTH(B55))</f>
        <v/>
      </c>
      <c r="O55">
        <f>IF(B55="","",YEAR(B55))</f>
        <v/>
      </c>
      <c r="P55">
        <f>IF(AND(D55&lt;&gt;"",COUNTIF(D$7:D55,D55)=1),MAX(P$6:P54)+1,"")</f>
        <v/>
      </c>
      <c r="Q55">
        <f>IF(E55="","",IF(I55="أجور عمال","أجرة","مادة"))</f>
        <v/>
      </c>
    </row>
    <row r="56">
      <c r="A56" s="12">
        <f>IF(E56="","",ROW()-6)</f>
        <v/>
      </c>
      <c r="B56" s="13" t="n"/>
      <c r="C56" s="12">
        <f>IF(B56="","",CHOOSE(WEEKDAY(B56,1),"الأحد","الاثنين","الثلاثاء","الأربعاء","الخميس","الجمعة","السبت"))</f>
        <v/>
      </c>
      <c r="D56" s="14" t="n"/>
      <c r="E56" s="15" t="n"/>
      <c r="F56" s="16" t="n"/>
      <c r="G56" s="17" t="n"/>
      <c r="H56" s="18">
        <f>IF(OR(F56="",G56=""),"",ROUND(F56*G56,2))</f>
        <v/>
      </c>
      <c r="I56" s="19">
        <f>IF(ISNUMBER(SEARCH("ستاند",D56)),"أثاث وستاندات","")</f>
        <v/>
      </c>
      <c r="J56" s="20">
        <f>IF(E56="","",IF(I56="","⚠ عبّي الغرض",IF(AND(D56&lt;&gt;"",OR(ISNUMBER(SEARCH("صيانة",D56)),ISNUMBER(SEARCH("تعزيل",D56)),ISNUMBER(SEARCH("تنظيف",D56)),ISNUMBER(SEARCH("تصليح",D56)))),"⚠ الصيانة بلا ورشة",IF(H56="","⚠ ناقص",IF(D56&lt;&gt;"",IF(SUMIF($D$7:$D$806,D56,$H$7:$H$806)&gt;=20,"أصل","مصروف"),IFERROR(IF(VLOOKUP(I56,'القوائم'!$A$2:$D$14,4,0)="زكاة وصدقة","زكاة وصدقة",IF(AND(VLOOKUP(I56,'القوائم'!$A$2:$D$14,3,0)&lt;&gt;"",H56&gt;=20),"أصل","مصروف")),"مصروف"))))))</f>
        <v/>
      </c>
      <c r="K56" s="21" t="n"/>
      <c r="L56" s="22" t="n"/>
      <c r="N56">
        <f>IF(B56="","",MONTH(B56))</f>
        <v/>
      </c>
      <c r="O56">
        <f>IF(B56="","",YEAR(B56))</f>
        <v/>
      </c>
      <c r="P56">
        <f>IF(AND(D56&lt;&gt;"",COUNTIF(D$7:D56,D56)=1),MAX(P$6:P55)+1,"")</f>
        <v/>
      </c>
      <c r="Q56">
        <f>IF(E56="","",IF(I56="أجور عمال","أجرة","مادة"))</f>
        <v/>
      </c>
    </row>
    <row r="57">
      <c r="A57" s="12">
        <f>IF(E57="","",ROW()-6)</f>
        <v/>
      </c>
      <c r="B57" s="13" t="n"/>
      <c r="C57" s="12">
        <f>IF(B57="","",CHOOSE(WEEKDAY(B57,1),"الأحد","الاثنين","الثلاثاء","الأربعاء","الخميس","الجمعة","السبت"))</f>
        <v/>
      </c>
      <c r="D57" s="14" t="n"/>
      <c r="E57" s="15" t="n"/>
      <c r="F57" s="16" t="n"/>
      <c r="G57" s="17" t="n"/>
      <c r="H57" s="18">
        <f>IF(OR(F57="",G57=""),"",ROUND(F57*G57,2))</f>
        <v/>
      </c>
      <c r="I57" s="19">
        <f>IF(ISNUMBER(SEARCH("ستاند",D57)),"أثاث وستاندات","")</f>
        <v/>
      </c>
      <c r="J57" s="20">
        <f>IF(E57="","",IF(I57="","⚠ عبّي الغرض",IF(AND(D57&lt;&gt;"",OR(ISNUMBER(SEARCH("صيانة",D57)),ISNUMBER(SEARCH("تعزيل",D57)),ISNUMBER(SEARCH("تنظيف",D57)),ISNUMBER(SEARCH("تصليح",D57)))),"⚠ الصيانة بلا ورشة",IF(H57="","⚠ ناقص",IF(D57&lt;&gt;"",IF(SUMIF($D$7:$D$806,D57,$H$7:$H$806)&gt;=20,"أصل","مصروف"),IFERROR(IF(VLOOKUP(I57,'القوائم'!$A$2:$D$14,4,0)="زكاة وصدقة","زكاة وصدقة",IF(AND(VLOOKUP(I57,'القوائم'!$A$2:$D$14,3,0)&lt;&gt;"",H57&gt;=20),"أصل","مصروف")),"مصروف"))))))</f>
        <v/>
      </c>
      <c r="K57" s="21" t="n"/>
      <c r="L57" s="22" t="n"/>
      <c r="N57">
        <f>IF(B57="","",MONTH(B57))</f>
        <v/>
      </c>
      <c r="O57">
        <f>IF(B57="","",YEAR(B57))</f>
        <v/>
      </c>
      <c r="P57">
        <f>IF(AND(D57&lt;&gt;"",COUNTIF(D$7:D57,D57)=1),MAX(P$6:P56)+1,"")</f>
        <v/>
      </c>
      <c r="Q57">
        <f>IF(E57="","",IF(I57="أجور عمال","أجرة","مادة"))</f>
        <v/>
      </c>
    </row>
    <row r="58">
      <c r="A58" s="12">
        <f>IF(E58="","",ROW()-6)</f>
        <v/>
      </c>
      <c r="B58" s="13" t="n"/>
      <c r="C58" s="12">
        <f>IF(B58="","",CHOOSE(WEEKDAY(B58,1),"الأحد","الاثنين","الثلاثاء","الأربعاء","الخميس","الجمعة","السبت"))</f>
        <v/>
      </c>
      <c r="D58" s="14" t="n"/>
      <c r="E58" s="15" t="n"/>
      <c r="F58" s="16" t="n"/>
      <c r="G58" s="17" t="n"/>
      <c r="H58" s="18">
        <f>IF(OR(F58="",G58=""),"",ROUND(F58*G58,2))</f>
        <v/>
      </c>
      <c r="I58" s="19">
        <f>IF(ISNUMBER(SEARCH("ستاند",D58)),"أثاث وستاندات","")</f>
        <v/>
      </c>
      <c r="J58" s="20">
        <f>IF(E58="","",IF(I58="","⚠ عبّي الغرض",IF(AND(D58&lt;&gt;"",OR(ISNUMBER(SEARCH("صيانة",D58)),ISNUMBER(SEARCH("تعزيل",D58)),ISNUMBER(SEARCH("تنظيف",D58)),ISNUMBER(SEARCH("تصليح",D58)))),"⚠ الصيانة بلا ورشة",IF(H58="","⚠ ناقص",IF(D58&lt;&gt;"",IF(SUMIF($D$7:$D$806,D58,$H$7:$H$806)&gt;=20,"أصل","مصروف"),IFERROR(IF(VLOOKUP(I58,'القوائم'!$A$2:$D$14,4,0)="زكاة وصدقة","زكاة وصدقة",IF(AND(VLOOKUP(I58,'القوائم'!$A$2:$D$14,3,0)&lt;&gt;"",H58&gt;=20),"أصل","مصروف")),"مصروف"))))))</f>
        <v/>
      </c>
      <c r="K58" s="21" t="n"/>
      <c r="L58" s="22" t="n"/>
      <c r="N58">
        <f>IF(B58="","",MONTH(B58))</f>
        <v/>
      </c>
      <c r="O58">
        <f>IF(B58="","",YEAR(B58))</f>
        <v/>
      </c>
      <c r="P58">
        <f>IF(AND(D58&lt;&gt;"",COUNTIF(D$7:D58,D58)=1),MAX(P$6:P57)+1,"")</f>
        <v/>
      </c>
      <c r="Q58">
        <f>IF(E58="","",IF(I58="أجور عمال","أجرة","مادة"))</f>
        <v/>
      </c>
    </row>
    <row r="59">
      <c r="A59" s="12">
        <f>IF(E59="","",ROW()-6)</f>
        <v/>
      </c>
      <c r="B59" s="13" t="n"/>
      <c r="C59" s="12">
        <f>IF(B59="","",CHOOSE(WEEKDAY(B59,1),"الأحد","الاثنين","الثلاثاء","الأربعاء","الخميس","الجمعة","السبت"))</f>
        <v/>
      </c>
      <c r="D59" s="14" t="n"/>
      <c r="E59" s="15" t="n"/>
      <c r="F59" s="16" t="n"/>
      <c r="G59" s="17" t="n"/>
      <c r="H59" s="18">
        <f>IF(OR(F59="",G59=""),"",ROUND(F59*G59,2))</f>
        <v/>
      </c>
      <c r="I59" s="19">
        <f>IF(ISNUMBER(SEARCH("ستاند",D59)),"أثاث وستاندات","")</f>
        <v/>
      </c>
      <c r="J59" s="20">
        <f>IF(E59="","",IF(I59="","⚠ عبّي الغرض",IF(AND(D59&lt;&gt;"",OR(ISNUMBER(SEARCH("صيانة",D59)),ISNUMBER(SEARCH("تعزيل",D59)),ISNUMBER(SEARCH("تنظيف",D59)),ISNUMBER(SEARCH("تصليح",D59)))),"⚠ الصيانة بلا ورشة",IF(H59="","⚠ ناقص",IF(D59&lt;&gt;"",IF(SUMIF($D$7:$D$806,D59,$H$7:$H$806)&gt;=20,"أصل","مصروف"),IFERROR(IF(VLOOKUP(I59,'القوائم'!$A$2:$D$14,4,0)="زكاة وصدقة","زكاة وصدقة",IF(AND(VLOOKUP(I59,'القوائم'!$A$2:$D$14,3,0)&lt;&gt;"",H59&gt;=20),"أصل","مصروف")),"مصروف"))))))</f>
        <v/>
      </c>
      <c r="K59" s="21" t="n"/>
      <c r="L59" s="22" t="n"/>
      <c r="N59">
        <f>IF(B59="","",MONTH(B59))</f>
        <v/>
      </c>
      <c r="O59">
        <f>IF(B59="","",YEAR(B59))</f>
        <v/>
      </c>
      <c r="P59">
        <f>IF(AND(D59&lt;&gt;"",COUNTIF(D$7:D59,D59)=1),MAX(P$6:P58)+1,"")</f>
        <v/>
      </c>
      <c r="Q59">
        <f>IF(E59="","",IF(I59="أجور عمال","أجرة","مادة"))</f>
        <v/>
      </c>
    </row>
    <row r="60">
      <c r="A60" s="12">
        <f>IF(E60="","",ROW()-6)</f>
        <v/>
      </c>
      <c r="B60" s="13" t="n"/>
      <c r="C60" s="12">
        <f>IF(B60="","",CHOOSE(WEEKDAY(B60,1),"الأحد","الاثنين","الثلاثاء","الأربعاء","الخميس","الجمعة","السبت"))</f>
        <v/>
      </c>
      <c r="D60" s="14" t="n"/>
      <c r="E60" s="15" t="n"/>
      <c r="F60" s="16" t="n"/>
      <c r="G60" s="17" t="n"/>
      <c r="H60" s="18">
        <f>IF(OR(F60="",G60=""),"",ROUND(F60*G60,2))</f>
        <v/>
      </c>
      <c r="I60" s="19">
        <f>IF(ISNUMBER(SEARCH("ستاند",D60)),"أثاث وستاندات","")</f>
        <v/>
      </c>
      <c r="J60" s="20">
        <f>IF(E60="","",IF(I60="","⚠ عبّي الغرض",IF(AND(D60&lt;&gt;"",OR(ISNUMBER(SEARCH("صيانة",D60)),ISNUMBER(SEARCH("تعزيل",D60)),ISNUMBER(SEARCH("تنظيف",D60)),ISNUMBER(SEARCH("تصليح",D60)))),"⚠ الصيانة بلا ورشة",IF(H60="","⚠ ناقص",IF(D60&lt;&gt;"",IF(SUMIF($D$7:$D$806,D60,$H$7:$H$806)&gt;=20,"أصل","مصروف"),IFERROR(IF(VLOOKUP(I60,'القوائم'!$A$2:$D$14,4,0)="زكاة وصدقة","زكاة وصدقة",IF(AND(VLOOKUP(I60,'القوائم'!$A$2:$D$14,3,0)&lt;&gt;"",H60&gt;=20),"أصل","مصروف")),"مصروف"))))))</f>
        <v/>
      </c>
      <c r="K60" s="21" t="n"/>
      <c r="L60" s="22" t="n"/>
      <c r="N60">
        <f>IF(B60="","",MONTH(B60))</f>
        <v/>
      </c>
      <c r="O60">
        <f>IF(B60="","",YEAR(B60))</f>
        <v/>
      </c>
      <c r="P60">
        <f>IF(AND(D60&lt;&gt;"",COUNTIF(D$7:D60,D60)=1),MAX(P$6:P59)+1,"")</f>
        <v/>
      </c>
      <c r="Q60">
        <f>IF(E60="","",IF(I60="أجور عمال","أجرة","مادة"))</f>
        <v/>
      </c>
    </row>
    <row r="61">
      <c r="A61" s="12">
        <f>IF(E61="","",ROW()-6)</f>
        <v/>
      </c>
      <c r="B61" s="13" t="n"/>
      <c r="C61" s="12">
        <f>IF(B61="","",CHOOSE(WEEKDAY(B61,1),"الأحد","الاثنين","الثلاثاء","الأربعاء","الخميس","الجمعة","السبت"))</f>
        <v/>
      </c>
      <c r="D61" s="14" t="n"/>
      <c r="E61" s="15" t="n"/>
      <c r="F61" s="16" t="n"/>
      <c r="G61" s="17" t="n"/>
      <c r="H61" s="18">
        <f>IF(OR(F61="",G61=""),"",ROUND(F61*G61,2))</f>
        <v/>
      </c>
      <c r="I61" s="19">
        <f>IF(ISNUMBER(SEARCH("ستاند",D61)),"أثاث وستاندات","")</f>
        <v/>
      </c>
      <c r="J61" s="20">
        <f>IF(E61="","",IF(I61="","⚠ عبّي الغرض",IF(AND(D61&lt;&gt;"",OR(ISNUMBER(SEARCH("صيانة",D61)),ISNUMBER(SEARCH("تعزيل",D61)),ISNUMBER(SEARCH("تنظيف",D61)),ISNUMBER(SEARCH("تصليح",D61)))),"⚠ الصيانة بلا ورشة",IF(H61="","⚠ ناقص",IF(D61&lt;&gt;"",IF(SUMIF($D$7:$D$806,D61,$H$7:$H$806)&gt;=20,"أصل","مصروف"),IFERROR(IF(VLOOKUP(I61,'القوائم'!$A$2:$D$14,4,0)="زكاة وصدقة","زكاة وصدقة",IF(AND(VLOOKUP(I61,'القوائم'!$A$2:$D$14,3,0)&lt;&gt;"",H61&gt;=20),"أصل","مصروف")),"مصروف"))))))</f>
        <v/>
      </c>
      <c r="K61" s="21" t="n"/>
      <c r="L61" s="22" t="n"/>
      <c r="N61">
        <f>IF(B61="","",MONTH(B61))</f>
        <v/>
      </c>
      <c r="O61">
        <f>IF(B61="","",YEAR(B61))</f>
        <v/>
      </c>
      <c r="P61">
        <f>IF(AND(D61&lt;&gt;"",COUNTIF(D$7:D61,D61)=1),MAX(P$6:P60)+1,"")</f>
        <v/>
      </c>
      <c r="Q61">
        <f>IF(E61="","",IF(I61="أجور عمال","أجرة","مادة"))</f>
        <v/>
      </c>
    </row>
    <row r="62">
      <c r="A62" s="12">
        <f>IF(E62="","",ROW()-6)</f>
        <v/>
      </c>
      <c r="B62" s="13" t="n"/>
      <c r="C62" s="12">
        <f>IF(B62="","",CHOOSE(WEEKDAY(B62,1),"الأحد","الاثنين","الثلاثاء","الأربعاء","الخميس","الجمعة","السبت"))</f>
        <v/>
      </c>
      <c r="D62" s="14" t="n"/>
      <c r="E62" s="15" t="n"/>
      <c r="F62" s="16" t="n"/>
      <c r="G62" s="17" t="n"/>
      <c r="H62" s="18">
        <f>IF(OR(F62="",G62=""),"",ROUND(F62*G62,2))</f>
        <v/>
      </c>
      <c r="I62" s="19">
        <f>IF(ISNUMBER(SEARCH("ستاند",D62)),"أثاث وستاندات","")</f>
        <v/>
      </c>
      <c r="J62" s="20">
        <f>IF(E62="","",IF(I62="","⚠ عبّي الغرض",IF(AND(D62&lt;&gt;"",OR(ISNUMBER(SEARCH("صيانة",D62)),ISNUMBER(SEARCH("تعزيل",D62)),ISNUMBER(SEARCH("تنظيف",D62)),ISNUMBER(SEARCH("تصليح",D62)))),"⚠ الصيانة بلا ورشة",IF(H62="","⚠ ناقص",IF(D62&lt;&gt;"",IF(SUMIF($D$7:$D$806,D62,$H$7:$H$806)&gt;=20,"أصل","مصروف"),IFERROR(IF(VLOOKUP(I62,'القوائم'!$A$2:$D$14,4,0)="زكاة وصدقة","زكاة وصدقة",IF(AND(VLOOKUP(I62,'القوائم'!$A$2:$D$14,3,0)&lt;&gt;"",H62&gt;=20),"أصل","مصروف")),"مصروف"))))))</f>
        <v/>
      </c>
      <c r="K62" s="21" t="n"/>
      <c r="L62" s="22" t="n"/>
      <c r="N62">
        <f>IF(B62="","",MONTH(B62))</f>
        <v/>
      </c>
      <c r="O62">
        <f>IF(B62="","",YEAR(B62))</f>
        <v/>
      </c>
      <c r="P62">
        <f>IF(AND(D62&lt;&gt;"",COUNTIF(D$7:D62,D62)=1),MAX(P$6:P61)+1,"")</f>
        <v/>
      </c>
      <c r="Q62">
        <f>IF(E62="","",IF(I62="أجور عمال","أجرة","مادة"))</f>
        <v/>
      </c>
    </row>
    <row r="63">
      <c r="A63" s="12">
        <f>IF(E63="","",ROW()-6)</f>
        <v/>
      </c>
      <c r="B63" s="13" t="n"/>
      <c r="C63" s="12">
        <f>IF(B63="","",CHOOSE(WEEKDAY(B63,1),"الأحد","الاثنين","الثلاثاء","الأربعاء","الخميس","الجمعة","السبت"))</f>
        <v/>
      </c>
      <c r="D63" s="14" t="n"/>
      <c r="E63" s="15" t="n"/>
      <c r="F63" s="16" t="n"/>
      <c r="G63" s="17" t="n"/>
      <c r="H63" s="18">
        <f>IF(OR(F63="",G63=""),"",ROUND(F63*G63,2))</f>
        <v/>
      </c>
      <c r="I63" s="19">
        <f>IF(ISNUMBER(SEARCH("ستاند",D63)),"أثاث وستاندات","")</f>
        <v/>
      </c>
      <c r="J63" s="20">
        <f>IF(E63="","",IF(I63="","⚠ عبّي الغرض",IF(AND(D63&lt;&gt;"",OR(ISNUMBER(SEARCH("صيانة",D63)),ISNUMBER(SEARCH("تعزيل",D63)),ISNUMBER(SEARCH("تنظيف",D63)),ISNUMBER(SEARCH("تصليح",D63)))),"⚠ الصيانة بلا ورشة",IF(H63="","⚠ ناقص",IF(D63&lt;&gt;"",IF(SUMIF($D$7:$D$806,D63,$H$7:$H$806)&gt;=20,"أصل","مصروف"),IFERROR(IF(VLOOKUP(I63,'القوائم'!$A$2:$D$14,4,0)="زكاة وصدقة","زكاة وصدقة",IF(AND(VLOOKUP(I63,'القوائم'!$A$2:$D$14,3,0)&lt;&gt;"",H63&gt;=20),"أصل","مصروف")),"مصروف"))))))</f>
        <v/>
      </c>
      <c r="K63" s="21" t="n"/>
      <c r="L63" s="22" t="n"/>
      <c r="N63">
        <f>IF(B63="","",MONTH(B63))</f>
        <v/>
      </c>
      <c r="O63">
        <f>IF(B63="","",YEAR(B63))</f>
        <v/>
      </c>
      <c r="P63">
        <f>IF(AND(D63&lt;&gt;"",COUNTIF(D$7:D63,D63)=1),MAX(P$6:P62)+1,"")</f>
        <v/>
      </c>
      <c r="Q63">
        <f>IF(E63="","",IF(I63="أجور عمال","أجرة","مادة"))</f>
        <v/>
      </c>
    </row>
    <row r="64">
      <c r="A64" s="12">
        <f>IF(E64="","",ROW()-6)</f>
        <v/>
      </c>
      <c r="B64" s="13" t="n"/>
      <c r="C64" s="12">
        <f>IF(B64="","",CHOOSE(WEEKDAY(B64,1),"الأحد","الاثنين","الثلاثاء","الأربعاء","الخميس","الجمعة","السبت"))</f>
        <v/>
      </c>
      <c r="D64" s="14" t="n"/>
      <c r="E64" s="15" t="n"/>
      <c r="F64" s="16" t="n"/>
      <c r="G64" s="17" t="n"/>
      <c r="H64" s="18">
        <f>IF(OR(F64="",G64=""),"",ROUND(F64*G64,2))</f>
        <v/>
      </c>
      <c r="I64" s="19">
        <f>IF(ISNUMBER(SEARCH("ستاند",D64)),"أثاث وستاندات","")</f>
        <v/>
      </c>
      <c r="J64" s="20">
        <f>IF(E64="","",IF(I64="","⚠ عبّي الغرض",IF(AND(D64&lt;&gt;"",OR(ISNUMBER(SEARCH("صيانة",D64)),ISNUMBER(SEARCH("تعزيل",D64)),ISNUMBER(SEARCH("تنظيف",D64)),ISNUMBER(SEARCH("تصليح",D64)))),"⚠ الصيانة بلا ورشة",IF(H64="","⚠ ناقص",IF(D64&lt;&gt;"",IF(SUMIF($D$7:$D$806,D64,$H$7:$H$806)&gt;=20,"أصل","مصروف"),IFERROR(IF(VLOOKUP(I64,'القوائم'!$A$2:$D$14,4,0)="زكاة وصدقة","زكاة وصدقة",IF(AND(VLOOKUP(I64,'القوائم'!$A$2:$D$14,3,0)&lt;&gt;"",H64&gt;=20),"أصل","مصروف")),"مصروف"))))))</f>
        <v/>
      </c>
      <c r="K64" s="21" t="n"/>
      <c r="L64" s="22" t="n"/>
      <c r="N64">
        <f>IF(B64="","",MONTH(B64))</f>
        <v/>
      </c>
      <c r="O64">
        <f>IF(B64="","",YEAR(B64))</f>
        <v/>
      </c>
      <c r="P64">
        <f>IF(AND(D64&lt;&gt;"",COUNTIF(D$7:D64,D64)=1),MAX(P$6:P63)+1,"")</f>
        <v/>
      </c>
      <c r="Q64">
        <f>IF(E64="","",IF(I64="أجور عمال","أجرة","مادة"))</f>
        <v/>
      </c>
    </row>
    <row r="65">
      <c r="A65" s="12">
        <f>IF(E65="","",ROW()-6)</f>
        <v/>
      </c>
      <c r="B65" s="13" t="n"/>
      <c r="C65" s="12">
        <f>IF(B65="","",CHOOSE(WEEKDAY(B65,1),"الأحد","الاثنين","الثلاثاء","الأربعاء","الخميس","الجمعة","السبت"))</f>
        <v/>
      </c>
      <c r="D65" s="14" t="n"/>
      <c r="E65" s="15" t="n"/>
      <c r="F65" s="16" t="n"/>
      <c r="G65" s="17" t="n"/>
      <c r="H65" s="18">
        <f>IF(OR(F65="",G65=""),"",ROUND(F65*G65,2))</f>
        <v/>
      </c>
      <c r="I65" s="19">
        <f>IF(ISNUMBER(SEARCH("ستاند",D65)),"أثاث وستاندات","")</f>
        <v/>
      </c>
      <c r="J65" s="20">
        <f>IF(E65="","",IF(I65="","⚠ عبّي الغرض",IF(AND(D65&lt;&gt;"",OR(ISNUMBER(SEARCH("صيانة",D65)),ISNUMBER(SEARCH("تعزيل",D65)),ISNUMBER(SEARCH("تنظيف",D65)),ISNUMBER(SEARCH("تصليح",D65)))),"⚠ الصيانة بلا ورشة",IF(H65="","⚠ ناقص",IF(D65&lt;&gt;"",IF(SUMIF($D$7:$D$806,D65,$H$7:$H$806)&gt;=20,"أصل","مصروف"),IFERROR(IF(VLOOKUP(I65,'القوائم'!$A$2:$D$14,4,0)="زكاة وصدقة","زكاة وصدقة",IF(AND(VLOOKUP(I65,'القوائم'!$A$2:$D$14,3,0)&lt;&gt;"",H65&gt;=20),"أصل","مصروف")),"مصروف"))))))</f>
        <v/>
      </c>
      <c r="K65" s="21" t="n"/>
      <c r="L65" s="22" t="n"/>
      <c r="N65">
        <f>IF(B65="","",MONTH(B65))</f>
        <v/>
      </c>
      <c r="O65">
        <f>IF(B65="","",YEAR(B65))</f>
        <v/>
      </c>
      <c r="P65">
        <f>IF(AND(D65&lt;&gt;"",COUNTIF(D$7:D65,D65)=1),MAX(P$6:P64)+1,"")</f>
        <v/>
      </c>
      <c r="Q65">
        <f>IF(E65="","",IF(I65="أجور عمال","أجرة","مادة"))</f>
        <v/>
      </c>
    </row>
    <row r="66">
      <c r="A66" s="12">
        <f>IF(E66="","",ROW()-6)</f>
        <v/>
      </c>
      <c r="B66" s="13" t="n"/>
      <c r="C66" s="12">
        <f>IF(B66="","",CHOOSE(WEEKDAY(B66,1),"الأحد","الاثنين","الثلاثاء","الأربعاء","الخميس","الجمعة","السبت"))</f>
        <v/>
      </c>
      <c r="D66" s="14" t="n"/>
      <c r="E66" s="15" t="n"/>
      <c r="F66" s="16" t="n"/>
      <c r="G66" s="17" t="n"/>
      <c r="H66" s="18">
        <f>IF(OR(F66="",G66=""),"",ROUND(F66*G66,2))</f>
        <v/>
      </c>
      <c r="I66" s="19">
        <f>IF(ISNUMBER(SEARCH("ستاند",D66)),"أثاث وستاندات","")</f>
        <v/>
      </c>
      <c r="J66" s="20">
        <f>IF(E66="","",IF(I66="","⚠ عبّي الغرض",IF(AND(D66&lt;&gt;"",OR(ISNUMBER(SEARCH("صيانة",D66)),ISNUMBER(SEARCH("تعزيل",D66)),ISNUMBER(SEARCH("تنظيف",D66)),ISNUMBER(SEARCH("تصليح",D66)))),"⚠ الصيانة بلا ورشة",IF(H66="","⚠ ناقص",IF(D66&lt;&gt;"",IF(SUMIF($D$7:$D$806,D66,$H$7:$H$806)&gt;=20,"أصل","مصروف"),IFERROR(IF(VLOOKUP(I66,'القوائم'!$A$2:$D$14,4,0)="زكاة وصدقة","زكاة وصدقة",IF(AND(VLOOKUP(I66,'القوائم'!$A$2:$D$14,3,0)&lt;&gt;"",H66&gt;=20),"أصل","مصروف")),"مصروف"))))))</f>
        <v/>
      </c>
      <c r="K66" s="21" t="n"/>
      <c r="L66" s="22" t="n"/>
      <c r="N66">
        <f>IF(B66="","",MONTH(B66))</f>
        <v/>
      </c>
      <c r="O66">
        <f>IF(B66="","",YEAR(B66))</f>
        <v/>
      </c>
      <c r="P66">
        <f>IF(AND(D66&lt;&gt;"",COUNTIF(D$7:D66,D66)=1),MAX(P$6:P65)+1,"")</f>
        <v/>
      </c>
      <c r="Q66">
        <f>IF(E66="","",IF(I66="أجور عمال","أجرة","مادة"))</f>
        <v/>
      </c>
    </row>
    <row r="67">
      <c r="A67" s="12">
        <f>IF(E67="","",ROW()-6)</f>
        <v/>
      </c>
      <c r="B67" s="13" t="n"/>
      <c r="C67" s="12">
        <f>IF(B67="","",CHOOSE(WEEKDAY(B67,1),"الأحد","الاثنين","الثلاثاء","الأربعاء","الخميس","الجمعة","السبت"))</f>
        <v/>
      </c>
      <c r="D67" s="14" t="n"/>
      <c r="E67" s="15" t="n"/>
      <c r="F67" s="16" t="n"/>
      <c r="G67" s="17" t="n"/>
      <c r="H67" s="18">
        <f>IF(OR(F67="",G67=""),"",ROUND(F67*G67,2))</f>
        <v/>
      </c>
      <c r="I67" s="19">
        <f>IF(ISNUMBER(SEARCH("ستاند",D67)),"أثاث وستاندات","")</f>
        <v/>
      </c>
      <c r="J67" s="20">
        <f>IF(E67="","",IF(I67="","⚠ عبّي الغرض",IF(AND(D67&lt;&gt;"",OR(ISNUMBER(SEARCH("صيانة",D67)),ISNUMBER(SEARCH("تعزيل",D67)),ISNUMBER(SEARCH("تنظيف",D67)),ISNUMBER(SEARCH("تصليح",D67)))),"⚠ الصيانة بلا ورشة",IF(H67="","⚠ ناقص",IF(D67&lt;&gt;"",IF(SUMIF($D$7:$D$806,D67,$H$7:$H$806)&gt;=20,"أصل","مصروف"),IFERROR(IF(VLOOKUP(I67,'القوائم'!$A$2:$D$14,4,0)="زكاة وصدقة","زكاة وصدقة",IF(AND(VLOOKUP(I67,'القوائم'!$A$2:$D$14,3,0)&lt;&gt;"",H67&gt;=20),"أصل","مصروف")),"مصروف"))))))</f>
        <v/>
      </c>
      <c r="K67" s="21" t="n"/>
      <c r="L67" s="22" t="n"/>
      <c r="N67">
        <f>IF(B67="","",MONTH(B67))</f>
        <v/>
      </c>
      <c r="O67">
        <f>IF(B67="","",YEAR(B67))</f>
        <v/>
      </c>
      <c r="P67">
        <f>IF(AND(D67&lt;&gt;"",COUNTIF(D$7:D67,D67)=1),MAX(P$6:P66)+1,"")</f>
        <v/>
      </c>
      <c r="Q67">
        <f>IF(E67="","",IF(I67="أجور عمال","أجرة","مادة"))</f>
        <v/>
      </c>
    </row>
    <row r="68">
      <c r="A68" s="12">
        <f>IF(E68="","",ROW()-6)</f>
        <v/>
      </c>
      <c r="B68" s="13" t="n"/>
      <c r="C68" s="12">
        <f>IF(B68="","",CHOOSE(WEEKDAY(B68,1),"الأحد","الاثنين","الثلاثاء","الأربعاء","الخميس","الجمعة","السبت"))</f>
        <v/>
      </c>
      <c r="D68" s="14" t="n"/>
      <c r="E68" s="15" t="n"/>
      <c r="F68" s="16" t="n"/>
      <c r="G68" s="17" t="n"/>
      <c r="H68" s="18">
        <f>IF(OR(F68="",G68=""),"",ROUND(F68*G68,2))</f>
        <v/>
      </c>
      <c r="I68" s="19">
        <f>IF(ISNUMBER(SEARCH("ستاند",D68)),"أثاث وستاندات","")</f>
        <v/>
      </c>
      <c r="J68" s="20">
        <f>IF(E68="","",IF(I68="","⚠ عبّي الغرض",IF(AND(D68&lt;&gt;"",OR(ISNUMBER(SEARCH("صيانة",D68)),ISNUMBER(SEARCH("تعزيل",D68)),ISNUMBER(SEARCH("تنظيف",D68)),ISNUMBER(SEARCH("تصليح",D68)))),"⚠ الصيانة بلا ورشة",IF(H68="","⚠ ناقص",IF(D68&lt;&gt;"",IF(SUMIF($D$7:$D$806,D68,$H$7:$H$806)&gt;=20,"أصل","مصروف"),IFERROR(IF(VLOOKUP(I68,'القوائم'!$A$2:$D$14,4,0)="زكاة وصدقة","زكاة وصدقة",IF(AND(VLOOKUP(I68,'القوائم'!$A$2:$D$14,3,0)&lt;&gt;"",H68&gt;=20),"أصل","مصروف")),"مصروف"))))))</f>
        <v/>
      </c>
      <c r="K68" s="21" t="n"/>
      <c r="L68" s="22" t="n"/>
      <c r="N68">
        <f>IF(B68="","",MONTH(B68))</f>
        <v/>
      </c>
      <c r="O68">
        <f>IF(B68="","",YEAR(B68))</f>
        <v/>
      </c>
      <c r="P68">
        <f>IF(AND(D68&lt;&gt;"",COUNTIF(D$7:D68,D68)=1),MAX(P$6:P67)+1,"")</f>
        <v/>
      </c>
      <c r="Q68">
        <f>IF(E68="","",IF(I68="أجور عمال","أجرة","مادة"))</f>
        <v/>
      </c>
    </row>
    <row r="69">
      <c r="A69" s="12">
        <f>IF(E69="","",ROW()-6)</f>
        <v/>
      </c>
      <c r="B69" s="13" t="n"/>
      <c r="C69" s="12">
        <f>IF(B69="","",CHOOSE(WEEKDAY(B69,1),"الأحد","الاثنين","الثلاثاء","الأربعاء","الخميس","الجمعة","السبت"))</f>
        <v/>
      </c>
      <c r="D69" s="14" t="n"/>
      <c r="E69" s="15" t="n"/>
      <c r="F69" s="16" t="n"/>
      <c r="G69" s="17" t="n"/>
      <c r="H69" s="18">
        <f>IF(OR(F69="",G69=""),"",ROUND(F69*G69,2))</f>
        <v/>
      </c>
      <c r="I69" s="19">
        <f>IF(ISNUMBER(SEARCH("ستاند",D69)),"أثاث وستاندات","")</f>
        <v/>
      </c>
      <c r="J69" s="20">
        <f>IF(E69="","",IF(I69="","⚠ عبّي الغرض",IF(AND(D69&lt;&gt;"",OR(ISNUMBER(SEARCH("صيانة",D69)),ISNUMBER(SEARCH("تعزيل",D69)),ISNUMBER(SEARCH("تنظيف",D69)),ISNUMBER(SEARCH("تصليح",D69)))),"⚠ الصيانة بلا ورشة",IF(H69="","⚠ ناقص",IF(D69&lt;&gt;"",IF(SUMIF($D$7:$D$806,D69,$H$7:$H$806)&gt;=20,"أصل","مصروف"),IFERROR(IF(VLOOKUP(I69,'القوائم'!$A$2:$D$14,4,0)="زكاة وصدقة","زكاة وصدقة",IF(AND(VLOOKUP(I69,'القوائم'!$A$2:$D$14,3,0)&lt;&gt;"",H69&gt;=20),"أصل","مصروف")),"مصروف"))))))</f>
        <v/>
      </c>
      <c r="K69" s="21" t="n"/>
      <c r="L69" s="22" t="n"/>
      <c r="N69">
        <f>IF(B69="","",MONTH(B69))</f>
        <v/>
      </c>
      <c r="O69">
        <f>IF(B69="","",YEAR(B69))</f>
        <v/>
      </c>
      <c r="P69">
        <f>IF(AND(D69&lt;&gt;"",COUNTIF(D$7:D69,D69)=1),MAX(P$6:P68)+1,"")</f>
        <v/>
      </c>
      <c r="Q69">
        <f>IF(E69="","",IF(I69="أجور عمال","أجرة","مادة"))</f>
        <v/>
      </c>
    </row>
    <row r="70">
      <c r="A70" s="12">
        <f>IF(E70="","",ROW()-6)</f>
        <v/>
      </c>
      <c r="B70" s="13" t="n"/>
      <c r="C70" s="12">
        <f>IF(B70="","",CHOOSE(WEEKDAY(B70,1),"الأحد","الاثنين","الثلاثاء","الأربعاء","الخميس","الجمعة","السبت"))</f>
        <v/>
      </c>
      <c r="D70" s="14" t="n"/>
      <c r="E70" s="15" t="n"/>
      <c r="F70" s="16" t="n"/>
      <c r="G70" s="17" t="n"/>
      <c r="H70" s="18">
        <f>IF(OR(F70="",G70=""),"",ROUND(F70*G70,2))</f>
        <v/>
      </c>
      <c r="I70" s="19">
        <f>IF(ISNUMBER(SEARCH("ستاند",D70)),"أثاث وستاندات","")</f>
        <v/>
      </c>
      <c r="J70" s="20">
        <f>IF(E70="","",IF(I70="","⚠ عبّي الغرض",IF(AND(D70&lt;&gt;"",OR(ISNUMBER(SEARCH("صيانة",D70)),ISNUMBER(SEARCH("تعزيل",D70)),ISNUMBER(SEARCH("تنظيف",D70)),ISNUMBER(SEARCH("تصليح",D70)))),"⚠ الصيانة بلا ورشة",IF(H70="","⚠ ناقص",IF(D70&lt;&gt;"",IF(SUMIF($D$7:$D$806,D70,$H$7:$H$806)&gt;=20,"أصل","مصروف"),IFERROR(IF(VLOOKUP(I70,'القوائم'!$A$2:$D$14,4,0)="زكاة وصدقة","زكاة وصدقة",IF(AND(VLOOKUP(I70,'القوائم'!$A$2:$D$14,3,0)&lt;&gt;"",H70&gt;=20),"أصل","مصروف")),"مصروف"))))))</f>
        <v/>
      </c>
      <c r="K70" s="21" t="n"/>
      <c r="L70" s="22" t="n"/>
      <c r="N70">
        <f>IF(B70="","",MONTH(B70))</f>
        <v/>
      </c>
      <c r="O70">
        <f>IF(B70="","",YEAR(B70))</f>
        <v/>
      </c>
      <c r="P70">
        <f>IF(AND(D70&lt;&gt;"",COUNTIF(D$7:D70,D70)=1),MAX(P$6:P69)+1,"")</f>
        <v/>
      </c>
      <c r="Q70">
        <f>IF(E70="","",IF(I70="أجور عمال","أجرة","مادة"))</f>
        <v/>
      </c>
    </row>
    <row r="71">
      <c r="A71" s="12">
        <f>IF(E71="","",ROW()-6)</f>
        <v/>
      </c>
      <c r="B71" s="13" t="n"/>
      <c r="C71" s="12">
        <f>IF(B71="","",CHOOSE(WEEKDAY(B71,1),"الأحد","الاثنين","الثلاثاء","الأربعاء","الخميس","الجمعة","السبت"))</f>
        <v/>
      </c>
      <c r="D71" s="14" t="n"/>
      <c r="E71" s="15" t="n"/>
      <c r="F71" s="16" t="n"/>
      <c r="G71" s="17" t="n"/>
      <c r="H71" s="18">
        <f>IF(OR(F71="",G71=""),"",ROUND(F71*G71,2))</f>
        <v/>
      </c>
      <c r="I71" s="19">
        <f>IF(ISNUMBER(SEARCH("ستاند",D71)),"أثاث وستاندات","")</f>
        <v/>
      </c>
      <c r="J71" s="20">
        <f>IF(E71="","",IF(I71="","⚠ عبّي الغرض",IF(AND(D71&lt;&gt;"",OR(ISNUMBER(SEARCH("صيانة",D71)),ISNUMBER(SEARCH("تعزيل",D71)),ISNUMBER(SEARCH("تنظيف",D71)),ISNUMBER(SEARCH("تصليح",D71)))),"⚠ الصيانة بلا ورشة",IF(H71="","⚠ ناقص",IF(D71&lt;&gt;"",IF(SUMIF($D$7:$D$806,D71,$H$7:$H$806)&gt;=20,"أصل","مصروف"),IFERROR(IF(VLOOKUP(I71,'القوائم'!$A$2:$D$14,4,0)="زكاة وصدقة","زكاة وصدقة",IF(AND(VLOOKUP(I71,'القوائم'!$A$2:$D$14,3,0)&lt;&gt;"",H71&gt;=20),"أصل","مصروف")),"مصروف"))))))</f>
        <v/>
      </c>
      <c r="K71" s="21" t="n"/>
      <c r="L71" s="22" t="n"/>
      <c r="N71">
        <f>IF(B71="","",MONTH(B71))</f>
        <v/>
      </c>
      <c r="O71">
        <f>IF(B71="","",YEAR(B71))</f>
        <v/>
      </c>
      <c r="P71">
        <f>IF(AND(D71&lt;&gt;"",COUNTIF(D$7:D71,D71)=1),MAX(P$6:P70)+1,"")</f>
        <v/>
      </c>
      <c r="Q71">
        <f>IF(E71="","",IF(I71="أجور عمال","أجرة","مادة"))</f>
        <v/>
      </c>
    </row>
    <row r="72">
      <c r="A72" s="12">
        <f>IF(E72="","",ROW()-6)</f>
        <v/>
      </c>
      <c r="B72" s="13" t="n"/>
      <c r="C72" s="12">
        <f>IF(B72="","",CHOOSE(WEEKDAY(B72,1),"الأحد","الاثنين","الثلاثاء","الأربعاء","الخميس","الجمعة","السبت"))</f>
        <v/>
      </c>
      <c r="D72" s="14" t="n"/>
      <c r="E72" s="15" t="n"/>
      <c r="F72" s="16" t="n"/>
      <c r="G72" s="17" t="n"/>
      <c r="H72" s="18">
        <f>IF(OR(F72="",G72=""),"",ROUND(F72*G72,2))</f>
        <v/>
      </c>
      <c r="I72" s="19">
        <f>IF(ISNUMBER(SEARCH("ستاند",D72)),"أثاث وستاندات","")</f>
        <v/>
      </c>
      <c r="J72" s="20">
        <f>IF(E72="","",IF(I72="","⚠ عبّي الغرض",IF(AND(D72&lt;&gt;"",OR(ISNUMBER(SEARCH("صيانة",D72)),ISNUMBER(SEARCH("تعزيل",D72)),ISNUMBER(SEARCH("تنظيف",D72)),ISNUMBER(SEARCH("تصليح",D72)))),"⚠ الصيانة بلا ورشة",IF(H72="","⚠ ناقص",IF(D72&lt;&gt;"",IF(SUMIF($D$7:$D$806,D72,$H$7:$H$806)&gt;=20,"أصل","مصروف"),IFERROR(IF(VLOOKUP(I72,'القوائم'!$A$2:$D$14,4,0)="زكاة وصدقة","زكاة وصدقة",IF(AND(VLOOKUP(I72,'القوائم'!$A$2:$D$14,3,0)&lt;&gt;"",H72&gt;=20),"أصل","مصروف")),"مصروف"))))))</f>
        <v/>
      </c>
      <c r="K72" s="21" t="n"/>
      <c r="L72" s="22" t="n"/>
      <c r="N72">
        <f>IF(B72="","",MONTH(B72))</f>
        <v/>
      </c>
      <c r="O72">
        <f>IF(B72="","",YEAR(B72))</f>
        <v/>
      </c>
      <c r="P72">
        <f>IF(AND(D72&lt;&gt;"",COUNTIF(D$7:D72,D72)=1),MAX(P$6:P71)+1,"")</f>
        <v/>
      </c>
      <c r="Q72">
        <f>IF(E72="","",IF(I72="أجور عمال","أجرة","مادة"))</f>
        <v/>
      </c>
    </row>
    <row r="73">
      <c r="A73" s="12">
        <f>IF(E73="","",ROW()-6)</f>
        <v/>
      </c>
      <c r="B73" s="13" t="n"/>
      <c r="C73" s="12">
        <f>IF(B73="","",CHOOSE(WEEKDAY(B73,1),"الأحد","الاثنين","الثلاثاء","الأربعاء","الخميس","الجمعة","السبت"))</f>
        <v/>
      </c>
      <c r="D73" s="14" t="n"/>
      <c r="E73" s="15" t="n"/>
      <c r="F73" s="16" t="n"/>
      <c r="G73" s="17" t="n"/>
      <c r="H73" s="18">
        <f>IF(OR(F73="",G73=""),"",ROUND(F73*G73,2))</f>
        <v/>
      </c>
      <c r="I73" s="19">
        <f>IF(ISNUMBER(SEARCH("ستاند",D73)),"أثاث وستاندات","")</f>
        <v/>
      </c>
      <c r="J73" s="20">
        <f>IF(E73="","",IF(I73="","⚠ عبّي الغرض",IF(AND(D73&lt;&gt;"",OR(ISNUMBER(SEARCH("صيانة",D73)),ISNUMBER(SEARCH("تعزيل",D73)),ISNUMBER(SEARCH("تنظيف",D73)),ISNUMBER(SEARCH("تصليح",D73)))),"⚠ الصيانة بلا ورشة",IF(H73="","⚠ ناقص",IF(D73&lt;&gt;"",IF(SUMIF($D$7:$D$806,D73,$H$7:$H$806)&gt;=20,"أصل","مصروف"),IFERROR(IF(VLOOKUP(I73,'القوائم'!$A$2:$D$14,4,0)="زكاة وصدقة","زكاة وصدقة",IF(AND(VLOOKUP(I73,'القوائم'!$A$2:$D$14,3,0)&lt;&gt;"",H73&gt;=20),"أصل","مصروف")),"مصروف"))))))</f>
        <v/>
      </c>
      <c r="K73" s="21" t="n"/>
      <c r="L73" s="22" t="n"/>
      <c r="N73">
        <f>IF(B73="","",MONTH(B73))</f>
        <v/>
      </c>
      <c r="O73">
        <f>IF(B73="","",YEAR(B73))</f>
        <v/>
      </c>
      <c r="P73">
        <f>IF(AND(D73&lt;&gt;"",COUNTIF(D$7:D73,D73)=1),MAX(P$6:P72)+1,"")</f>
        <v/>
      </c>
      <c r="Q73">
        <f>IF(E73="","",IF(I73="أجور عمال","أجرة","مادة"))</f>
        <v/>
      </c>
    </row>
    <row r="74">
      <c r="A74" s="12">
        <f>IF(E74="","",ROW()-6)</f>
        <v/>
      </c>
      <c r="B74" s="13" t="n"/>
      <c r="C74" s="12">
        <f>IF(B74="","",CHOOSE(WEEKDAY(B74,1),"الأحد","الاثنين","الثلاثاء","الأربعاء","الخميس","الجمعة","السبت"))</f>
        <v/>
      </c>
      <c r="D74" s="14" t="n"/>
      <c r="E74" s="15" t="n"/>
      <c r="F74" s="16" t="n"/>
      <c r="G74" s="17" t="n"/>
      <c r="H74" s="18">
        <f>IF(OR(F74="",G74=""),"",ROUND(F74*G74,2))</f>
        <v/>
      </c>
      <c r="I74" s="19">
        <f>IF(ISNUMBER(SEARCH("ستاند",D74)),"أثاث وستاندات","")</f>
        <v/>
      </c>
      <c r="J74" s="20">
        <f>IF(E74="","",IF(I74="","⚠ عبّي الغرض",IF(AND(D74&lt;&gt;"",OR(ISNUMBER(SEARCH("صيانة",D74)),ISNUMBER(SEARCH("تعزيل",D74)),ISNUMBER(SEARCH("تنظيف",D74)),ISNUMBER(SEARCH("تصليح",D74)))),"⚠ الصيانة بلا ورشة",IF(H74="","⚠ ناقص",IF(D74&lt;&gt;"",IF(SUMIF($D$7:$D$806,D74,$H$7:$H$806)&gt;=20,"أصل","مصروف"),IFERROR(IF(VLOOKUP(I74,'القوائم'!$A$2:$D$14,4,0)="زكاة وصدقة","زكاة وصدقة",IF(AND(VLOOKUP(I74,'القوائم'!$A$2:$D$14,3,0)&lt;&gt;"",H74&gt;=20),"أصل","مصروف")),"مصروف"))))))</f>
        <v/>
      </c>
      <c r="K74" s="21" t="n"/>
      <c r="L74" s="22" t="n"/>
      <c r="N74">
        <f>IF(B74="","",MONTH(B74))</f>
        <v/>
      </c>
      <c r="O74">
        <f>IF(B74="","",YEAR(B74))</f>
        <v/>
      </c>
      <c r="P74">
        <f>IF(AND(D74&lt;&gt;"",COUNTIF(D$7:D74,D74)=1),MAX(P$6:P73)+1,"")</f>
        <v/>
      </c>
      <c r="Q74">
        <f>IF(E74="","",IF(I74="أجور عمال","أجرة","مادة"))</f>
        <v/>
      </c>
    </row>
    <row r="75">
      <c r="A75" s="12">
        <f>IF(E75="","",ROW()-6)</f>
        <v/>
      </c>
      <c r="B75" s="13" t="n"/>
      <c r="C75" s="12">
        <f>IF(B75="","",CHOOSE(WEEKDAY(B75,1),"الأحد","الاثنين","الثلاثاء","الأربعاء","الخميس","الجمعة","السبت"))</f>
        <v/>
      </c>
      <c r="D75" s="14" t="n"/>
      <c r="E75" s="15" t="n"/>
      <c r="F75" s="16" t="n"/>
      <c r="G75" s="17" t="n"/>
      <c r="H75" s="18">
        <f>IF(OR(F75="",G75=""),"",ROUND(F75*G75,2))</f>
        <v/>
      </c>
      <c r="I75" s="19">
        <f>IF(ISNUMBER(SEARCH("ستاند",D75)),"أثاث وستاندات","")</f>
        <v/>
      </c>
      <c r="J75" s="20">
        <f>IF(E75="","",IF(I75="","⚠ عبّي الغرض",IF(AND(D75&lt;&gt;"",OR(ISNUMBER(SEARCH("صيانة",D75)),ISNUMBER(SEARCH("تعزيل",D75)),ISNUMBER(SEARCH("تنظيف",D75)),ISNUMBER(SEARCH("تصليح",D75)))),"⚠ الصيانة بلا ورشة",IF(H75="","⚠ ناقص",IF(D75&lt;&gt;"",IF(SUMIF($D$7:$D$806,D75,$H$7:$H$806)&gt;=20,"أصل","مصروف"),IFERROR(IF(VLOOKUP(I75,'القوائم'!$A$2:$D$14,4,0)="زكاة وصدقة","زكاة وصدقة",IF(AND(VLOOKUP(I75,'القوائم'!$A$2:$D$14,3,0)&lt;&gt;"",H75&gt;=20),"أصل","مصروف")),"مصروف"))))))</f>
        <v/>
      </c>
      <c r="K75" s="21" t="n"/>
      <c r="L75" s="22" t="n"/>
      <c r="N75">
        <f>IF(B75="","",MONTH(B75))</f>
        <v/>
      </c>
      <c r="O75">
        <f>IF(B75="","",YEAR(B75))</f>
        <v/>
      </c>
      <c r="P75">
        <f>IF(AND(D75&lt;&gt;"",COUNTIF(D$7:D75,D75)=1),MAX(P$6:P74)+1,"")</f>
        <v/>
      </c>
      <c r="Q75">
        <f>IF(E75="","",IF(I75="أجور عمال","أجرة","مادة"))</f>
        <v/>
      </c>
    </row>
    <row r="76">
      <c r="A76" s="12">
        <f>IF(E76="","",ROW()-6)</f>
        <v/>
      </c>
      <c r="B76" s="13" t="n"/>
      <c r="C76" s="12">
        <f>IF(B76="","",CHOOSE(WEEKDAY(B76,1),"الأحد","الاثنين","الثلاثاء","الأربعاء","الخميس","الجمعة","السبت"))</f>
        <v/>
      </c>
      <c r="D76" s="14" t="n"/>
      <c r="E76" s="15" t="n"/>
      <c r="F76" s="16" t="n"/>
      <c r="G76" s="17" t="n"/>
      <c r="H76" s="18">
        <f>IF(OR(F76="",G76=""),"",ROUND(F76*G76,2))</f>
        <v/>
      </c>
      <c r="I76" s="19">
        <f>IF(ISNUMBER(SEARCH("ستاند",D76)),"أثاث وستاندات","")</f>
        <v/>
      </c>
      <c r="J76" s="20">
        <f>IF(E76="","",IF(I76="","⚠ عبّي الغرض",IF(AND(D76&lt;&gt;"",OR(ISNUMBER(SEARCH("صيانة",D76)),ISNUMBER(SEARCH("تعزيل",D76)),ISNUMBER(SEARCH("تنظيف",D76)),ISNUMBER(SEARCH("تصليح",D76)))),"⚠ الصيانة بلا ورشة",IF(H76="","⚠ ناقص",IF(D76&lt;&gt;"",IF(SUMIF($D$7:$D$806,D76,$H$7:$H$806)&gt;=20,"أصل","مصروف"),IFERROR(IF(VLOOKUP(I76,'القوائم'!$A$2:$D$14,4,0)="زكاة وصدقة","زكاة وصدقة",IF(AND(VLOOKUP(I76,'القوائم'!$A$2:$D$14,3,0)&lt;&gt;"",H76&gt;=20),"أصل","مصروف")),"مصروف"))))))</f>
        <v/>
      </c>
      <c r="K76" s="21" t="n"/>
      <c r="L76" s="22" t="n"/>
      <c r="N76">
        <f>IF(B76="","",MONTH(B76))</f>
        <v/>
      </c>
      <c r="O76">
        <f>IF(B76="","",YEAR(B76))</f>
        <v/>
      </c>
      <c r="P76">
        <f>IF(AND(D76&lt;&gt;"",COUNTIF(D$7:D76,D76)=1),MAX(P$6:P75)+1,"")</f>
        <v/>
      </c>
      <c r="Q76">
        <f>IF(E76="","",IF(I76="أجور عمال","أجرة","مادة"))</f>
        <v/>
      </c>
    </row>
    <row r="77">
      <c r="A77" s="12">
        <f>IF(E77="","",ROW()-6)</f>
        <v/>
      </c>
      <c r="B77" s="13" t="n"/>
      <c r="C77" s="12">
        <f>IF(B77="","",CHOOSE(WEEKDAY(B77,1),"الأحد","الاثنين","الثلاثاء","الأربعاء","الخميس","الجمعة","السبت"))</f>
        <v/>
      </c>
      <c r="D77" s="14" t="n"/>
      <c r="E77" s="15" t="n"/>
      <c r="F77" s="16" t="n"/>
      <c r="G77" s="17" t="n"/>
      <c r="H77" s="18">
        <f>IF(OR(F77="",G77=""),"",ROUND(F77*G77,2))</f>
        <v/>
      </c>
      <c r="I77" s="19">
        <f>IF(ISNUMBER(SEARCH("ستاند",D77)),"أثاث وستاندات","")</f>
        <v/>
      </c>
      <c r="J77" s="20">
        <f>IF(E77="","",IF(I77="","⚠ عبّي الغرض",IF(AND(D77&lt;&gt;"",OR(ISNUMBER(SEARCH("صيانة",D77)),ISNUMBER(SEARCH("تعزيل",D77)),ISNUMBER(SEARCH("تنظيف",D77)),ISNUMBER(SEARCH("تصليح",D77)))),"⚠ الصيانة بلا ورشة",IF(H77="","⚠ ناقص",IF(D77&lt;&gt;"",IF(SUMIF($D$7:$D$806,D77,$H$7:$H$806)&gt;=20,"أصل","مصروف"),IFERROR(IF(VLOOKUP(I77,'القوائم'!$A$2:$D$14,4,0)="زكاة وصدقة","زكاة وصدقة",IF(AND(VLOOKUP(I77,'القوائم'!$A$2:$D$14,3,0)&lt;&gt;"",H77&gt;=20),"أصل","مصروف")),"مصروف"))))))</f>
        <v/>
      </c>
      <c r="K77" s="21" t="n"/>
      <c r="L77" s="22" t="n"/>
      <c r="N77">
        <f>IF(B77="","",MONTH(B77))</f>
        <v/>
      </c>
      <c r="O77">
        <f>IF(B77="","",YEAR(B77))</f>
        <v/>
      </c>
      <c r="P77">
        <f>IF(AND(D77&lt;&gt;"",COUNTIF(D$7:D77,D77)=1),MAX(P$6:P76)+1,"")</f>
        <v/>
      </c>
      <c r="Q77">
        <f>IF(E77="","",IF(I77="أجور عمال","أجرة","مادة"))</f>
        <v/>
      </c>
    </row>
    <row r="78">
      <c r="A78" s="12">
        <f>IF(E78="","",ROW()-6)</f>
        <v/>
      </c>
      <c r="B78" s="13" t="n"/>
      <c r="C78" s="12">
        <f>IF(B78="","",CHOOSE(WEEKDAY(B78,1),"الأحد","الاثنين","الثلاثاء","الأربعاء","الخميس","الجمعة","السبت"))</f>
        <v/>
      </c>
      <c r="D78" s="14" t="n"/>
      <c r="E78" s="15" t="n"/>
      <c r="F78" s="16" t="n"/>
      <c r="G78" s="17" t="n"/>
      <c r="H78" s="18">
        <f>IF(OR(F78="",G78=""),"",ROUND(F78*G78,2))</f>
        <v/>
      </c>
      <c r="I78" s="19">
        <f>IF(ISNUMBER(SEARCH("ستاند",D78)),"أثاث وستاندات","")</f>
        <v/>
      </c>
      <c r="J78" s="20">
        <f>IF(E78="","",IF(I78="","⚠ عبّي الغرض",IF(AND(D78&lt;&gt;"",OR(ISNUMBER(SEARCH("صيانة",D78)),ISNUMBER(SEARCH("تعزيل",D78)),ISNUMBER(SEARCH("تنظيف",D78)),ISNUMBER(SEARCH("تصليح",D78)))),"⚠ الصيانة بلا ورشة",IF(H78="","⚠ ناقص",IF(D78&lt;&gt;"",IF(SUMIF($D$7:$D$806,D78,$H$7:$H$806)&gt;=20,"أصل","مصروف"),IFERROR(IF(VLOOKUP(I78,'القوائم'!$A$2:$D$14,4,0)="زكاة وصدقة","زكاة وصدقة",IF(AND(VLOOKUP(I78,'القوائم'!$A$2:$D$14,3,0)&lt;&gt;"",H78&gt;=20),"أصل","مصروف")),"مصروف"))))))</f>
        <v/>
      </c>
      <c r="K78" s="21" t="n"/>
      <c r="L78" s="22" t="n"/>
      <c r="N78">
        <f>IF(B78="","",MONTH(B78))</f>
        <v/>
      </c>
      <c r="O78">
        <f>IF(B78="","",YEAR(B78))</f>
        <v/>
      </c>
      <c r="P78">
        <f>IF(AND(D78&lt;&gt;"",COUNTIF(D$7:D78,D78)=1),MAX(P$6:P77)+1,"")</f>
        <v/>
      </c>
      <c r="Q78">
        <f>IF(E78="","",IF(I78="أجور عمال","أجرة","مادة"))</f>
        <v/>
      </c>
    </row>
    <row r="79">
      <c r="A79" s="12">
        <f>IF(E79="","",ROW()-6)</f>
        <v/>
      </c>
      <c r="B79" s="13" t="n"/>
      <c r="C79" s="12">
        <f>IF(B79="","",CHOOSE(WEEKDAY(B79,1),"الأحد","الاثنين","الثلاثاء","الأربعاء","الخميس","الجمعة","السبت"))</f>
        <v/>
      </c>
      <c r="D79" s="14" t="n"/>
      <c r="E79" s="15" t="n"/>
      <c r="F79" s="16" t="n"/>
      <c r="G79" s="17" t="n"/>
      <c r="H79" s="18">
        <f>IF(OR(F79="",G79=""),"",ROUND(F79*G79,2))</f>
        <v/>
      </c>
      <c r="I79" s="19">
        <f>IF(ISNUMBER(SEARCH("ستاند",D79)),"أثاث وستاندات","")</f>
        <v/>
      </c>
      <c r="J79" s="20">
        <f>IF(E79="","",IF(I79="","⚠ عبّي الغرض",IF(AND(D79&lt;&gt;"",OR(ISNUMBER(SEARCH("صيانة",D79)),ISNUMBER(SEARCH("تعزيل",D79)),ISNUMBER(SEARCH("تنظيف",D79)),ISNUMBER(SEARCH("تصليح",D79)))),"⚠ الصيانة بلا ورشة",IF(H79="","⚠ ناقص",IF(D79&lt;&gt;"",IF(SUMIF($D$7:$D$806,D79,$H$7:$H$806)&gt;=20,"أصل","مصروف"),IFERROR(IF(VLOOKUP(I79,'القوائم'!$A$2:$D$14,4,0)="زكاة وصدقة","زكاة وصدقة",IF(AND(VLOOKUP(I79,'القوائم'!$A$2:$D$14,3,0)&lt;&gt;"",H79&gt;=20),"أصل","مصروف")),"مصروف"))))))</f>
        <v/>
      </c>
      <c r="K79" s="21" t="n"/>
      <c r="L79" s="22" t="n"/>
      <c r="N79">
        <f>IF(B79="","",MONTH(B79))</f>
        <v/>
      </c>
      <c r="O79">
        <f>IF(B79="","",YEAR(B79))</f>
        <v/>
      </c>
      <c r="P79">
        <f>IF(AND(D79&lt;&gt;"",COUNTIF(D$7:D79,D79)=1),MAX(P$6:P78)+1,"")</f>
        <v/>
      </c>
      <c r="Q79">
        <f>IF(E79="","",IF(I79="أجور عمال","أجرة","مادة"))</f>
        <v/>
      </c>
    </row>
    <row r="80">
      <c r="A80" s="12">
        <f>IF(E80="","",ROW()-6)</f>
        <v/>
      </c>
      <c r="B80" s="13" t="n"/>
      <c r="C80" s="12">
        <f>IF(B80="","",CHOOSE(WEEKDAY(B80,1),"الأحد","الاثنين","الثلاثاء","الأربعاء","الخميس","الجمعة","السبت"))</f>
        <v/>
      </c>
      <c r="D80" s="14" t="n"/>
      <c r="E80" s="15" t="n"/>
      <c r="F80" s="16" t="n"/>
      <c r="G80" s="17" t="n"/>
      <c r="H80" s="18">
        <f>IF(OR(F80="",G80=""),"",ROUND(F80*G80,2))</f>
        <v/>
      </c>
      <c r="I80" s="19">
        <f>IF(ISNUMBER(SEARCH("ستاند",D80)),"أثاث وستاندات","")</f>
        <v/>
      </c>
      <c r="J80" s="20">
        <f>IF(E80="","",IF(I80="","⚠ عبّي الغرض",IF(AND(D80&lt;&gt;"",OR(ISNUMBER(SEARCH("صيانة",D80)),ISNUMBER(SEARCH("تعزيل",D80)),ISNUMBER(SEARCH("تنظيف",D80)),ISNUMBER(SEARCH("تصليح",D80)))),"⚠ الصيانة بلا ورشة",IF(H80="","⚠ ناقص",IF(D80&lt;&gt;"",IF(SUMIF($D$7:$D$806,D80,$H$7:$H$806)&gt;=20,"أصل","مصروف"),IFERROR(IF(VLOOKUP(I80,'القوائم'!$A$2:$D$14,4,0)="زكاة وصدقة","زكاة وصدقة",IF(AND(VLOOKUP(I80,'القوائم'!$A$2:$D$14,3,0)&lt;&gt;"",H80&gt;=20),"أصل","مصروف")),"مصروف"))))))</f>
        <v/>
      </c>
      <c r="K80" s="21" t="n"/>
      <c r="L80" s="22" t="n"/>
      <c r="N80">
        <f>IF(B80="","",MONTH(B80))</f>
        <v/>
      </c>
      <c r="O80">
        <f>IF(B80="","",YEAR(B80))</f>
        <v/>
      </c>
      <c r="P80">
        <f>IF(AND(D80&lt;&gt;"",COUNTIF(D$7:D80,D80)=1),MAX(P$6:P79)+1,"")</f>
        <v/>
      </c>
      <c r="Q80">
        <f>IF(E80="","",IF(I80="أجور عمال","أجرة","مادة"))</f>
        <v/>
      </c>
    </row>
    <row r="81">
      <c r="A81" s="12">
        <f>IF(E81="","",ROW()-6)</f>
        <v/>
      </c>
      <c r="B81" s="13" t="n"/>
      <c r="C81" s="12">
        <f>IF(B81="","",CHOOSE(WEEKDAY(B81,1),"الأحد","الاثنين","الثلاثاء","الأربعاء","الخميس","الجمعة","السبت"))</f>
        <v/>
      </c>
      <c r="D81" s="14" t="n"/>
      <c r="E81" s="15" t="n"/>
      <c r="F81" s="16" t="n"/>
      <c r="G81" s="17" t="n"/>
      <c r="H81" s="18">
        <f>IF(OR(F81="",G81=""),"",ROUND(F81*G81,2))</f>
        <v/>
      </c>
      <c r="I81" s="19">
        <f>IF(ISNUMBER(SEARCH("ستاند",D81)),"أثاث وستاندات","")</f>
        <v/>
      </c>
      <c r="J81" s="20">
        <f>IF(E81="","",IF(I81="","⚠ عبّي الغرض",IF(AND(D81&lt;&gt;"",OR(ISNUMBER(SEARCH("صيانة",D81)),ISNUMBER(SEARCH("تعزيل",D81)),ISNUMBER(SEARCH("تنظيف",D81)),ISNUMBER(SEARCH("تصليح",D81)))),"⚠ الصيانة بلا ورشة",IF(H81="","⚠ ناقص",IF(D81&lt;&gt;"",IF(SUMIF($D$7:$D$806,D81,$H$7:$H$806)&gt;=20,"أصل","مصروف"),IFERROR(IF(VLOOKUP(I81,'القوائم'!$A$2:$D$14,4,0)="زكاة وصدقة","زكاة وصدقة",IF(AND(VLOOKUP(I81,'القوائم'!$A$2:$D$14,3,0)&lt;&gt;"",H81&gt;=20),"أصل","مصروف")),"مصروف"))))))</f>
        <v/>
      </c>
      <c r="K81" s="21" t="n"/>
      <c r="L81" s="22" t="n"/>
      <c r="N81">
        <f>IF(B81="","",MONTH(B81))</f>
        <v/>
      </c>
      <c r="O81">
        <f>IF(B81="","",YEAR(B81))</f>
        <v/>
      </c>
      <c r="P81">
        <f>IF(AND(D81&lt;&gt;"",COUNTIF(D$7:D81,D81)=1),MAX(P$6:P80)+1,"")</f>
        <v/>
      </c>
      <c r="Q81">
        <f>IF(E81="","",IF(I81="أجور عمال","أجرة","مادة"))</f>
        <v/>
      </c>
    </row>
    <row r="82">
      <c r="A82" s="12">
        <f>IF(E82="","",ROW()-6)</f>
        <v/>
      </c>
      <c r="B82" s="13" t="n"/>
      <c r="C82" s="12">
        <f>IF(B82="","",CHOOSE(WEEKDAY(B82,1),"الأحد","الاثنين","الثلاثاء","الأربعاء","الخميس","الجمعة","السبت"))</f>
        <v/>
      </c>
      <c r="D82" s="14" t="n"/>
      <c r="E82" s="15" t="n"/>
      <c r="F82" s="16" t="n"/>
      <c r="G82" s="17" t="n"/>
      <c r="H82" s="18">
        <f>IF(OR(F82="",G82=""),"",ROUND(F82*G82,2))</f>
        <v/>
      </c>
      <c r="I82" s="19">
        <f>IF(ISNUMBER(SEARCH("ستاند",D82)),"أثاث وستاندات","")</f>
        <v/>
      </c>
      <c r="J82" s="20">
        <f>IF(E82="","",IF(I82="","⚠ عبّي الغرض",IF(AND(D82&lt;&gt;"",OR(ISNUMBER(SEARCH("صيانة",D82)),ISNUMBER(SEARCH("تعزيل",D82)),ISNUMBER(SEARCH("تنظيف",D82)),ISNUMBER(SEARCH("تصليح",D82)))),"⚠ الصيانة بلا ورشة",IF(H82="","⚠ ناقص",IF(D82&lt;&gt;"",IF(SUMIF($D$7:$D$806,D82,$H$7:$H$806)&gt;=20,"أصل","مصروف"),IFERROR(IF(VLOOKUP(I82,'القوائم'!$A$2:$D$14,4,0)="زكاة وصدقة","زكاة وصدقة",IF(AND(VLOOKUP(I82,'القوائم'!$A$2:$D$14,3,0)&lt;&gt;"",H82&gt;=20),"أصل","مصروف")),"مصروف"))))))</f>
        <v/>
      </c>
      <c r="K82" s="21" t="n"/>
      <c r="L82" s="22" t="n"/>
      <c r="N82">
        <f>IF(B82="","",MONTH(B82))</f>
        <v/>
      </c>
      <c r="O82">
        <f>IF(B82="","",YEAR(B82))</f>
        <v/>
      </c>
      <c r="P82">
        <f>IF(AND(D82&lt;&gt;"",COUNTIF(D$7:D82,D82)=1),MAX(P$6:P81)+1,"")</f>
        <v/>
      </c>
      <c r="Q82">
        <f>IF(E82="","",IF(I82="أجور عمال","أجرة","مادة"))</f>
        <v/>
      </c>
    </row>
    <row r="83">
      <c r="A83" s="12">
        <f>IF(E83="","",ROW()-6)</f>
        <v/>
      </c>
      <c r="B83" s="13" t="n"/>
      <c r="C83" s="12">
        <f>IF(B83="","",CHOOSE(WEEKDAY(B83,1),"الأحد","الاثنين","الثلاثاء","الأربعاء","الخميس","الجمعة","السبت"))</f>
        <v/>
      </c>
      <c r="D83" s="14" t="n"/>
      <c r="E83" s="15" t="n"/>
      <c r="F83" s="16" t="n"/>
      <c r="G83" s="17" t="n"/>
      <c r="H83" s="18">
        <f>IF(OR(F83="",G83=""),"",ROUND(F83*G83,2))</f>
        <v/>
      </c>
      <c r="I83" s="19">
        <f>IF(ISNUMBER(SEARCH("ستاند",D83)),"أثاث وستاندات","")</f>
        <v/>
      </c>
      <c r="J83" s="20">
        <f>IF(E83="","",IF(I83="","⚠ عبّي الغرض",IF(AND(D83&lt;&gt;"",OR(ISNUMBER(SEARCH("صيانة",D83)),ISNUMBER(SEARCH("تعزيل",D83)),ISNUMBER(SEARCH("تنظيف",D83)),ISNUMBER(SEARCH("تصليح",D83)))),"⚠ الصيانة بلا ورشة",IF(H83="","⚠ ناقص",IF(D83&lt;&gt;"",IF(SUMIF($D$7:$D$806,D83,$H$7:$H$806)&gt;=20,"أصل","مصروف"),IFERROR(IF(VLOOKUP(I83,'القوائم'!$A$2:$D$14,4,0)="زكاة وصدقة","زكاة وصدقة",IF(AND(VLOOKUP(I83,'القوائم'!$A$2:$D$14,3,0)&lt;&gt;"",H83&gt;=20),"أصل","مصروف")),"مصروف"))))))</f>
        <v/>
      </c>
      <c r="K83" s="21" t="n"/>
      <c r="L83" s="22" t="n"/>
      <c r="N83">
        <f>IF(B83="","",MONTH(B83))</f>
        <v/>
      </c>
      <c r="O83">
        <f>IF(B83="","",YEAR(B83))</f>
        <v/>
      </c>
      <c r="P83">
        <f>IF(AND(D83&lt;&gt;"",COUNTIF(D$7:D83,D83)=1),MAX(P$6:P82)+1,"")</f>
        <v/>
      </c>
      <c r="Q83">
        <f>IF(E83="","",IF(I83="أجور عمال","أجرة","مادة"))</f>
        <v/>
      </c>
    </row>
    <row r="84">
      <c r="A84" s="12">
        <f>IF(E84="","",ROW()-6)</f>
        <v/>
      </c>
      <c r="B84" s="13" t="n"/>
      <c r="C84" s="12">
        <f>IF(B84="","",CHOOSE(WEEKDAY(B84,1),"الأحد","الاثنين","الثلاثاء","الأربعاء","الخميس","الجمعة","السبت"))</f>
        <v/>
      </c>
      <c r="D84" s="14" t="n"/>
      <c r="E84" s="15" t="n"/>
      <c r="F84" s="16" t="n"/>
      <c r="G84" s="17" t="n"/>
      <c r="H84" s="18">
        <f>IF(OR(F84="",G84=""),"",ROUND(F84*G84,2))</f>
        <v/>
      </c>
      <c r="I84" s="19">
        <f>IF(ISNUMBER(SEARCH("ستاند",D84)),"أثاث وستاندات","")</f>
        <v/>
      </c>
      <c r="J84" s="20">
        <f>IF(E84="","",IF(I84="","⚠ عبّي الغرض",IF(AND(D84&lt;&gt;"",OR(ISNUMBER(SEARCH("صيانة",D84)),ISNUMBER(SEARCH("تعزيل",D84)),ISNUMBER(SEARCH("تنظيف",D84)),ISNUMBER(SEARCH("تصليح",D84)))),"⚠ الصيانة بلا ورشة",IF(H84="","⚠ ناقص",IF(D84&lt;&gt;"",IF(SUMIF($D$7:$D$806,D84,$H$7:$H$806)&gt;=20,"أصل","مصروف"),IFERROR(IF(VLOOKUP(I84,'القوائم'!$A$2:$D$14,4,0)="زكاة وصدقة","زكاة وصدقة",IF(AND(VLOOKUP(I84,'القوائم'!$A$2:$D$14,3,0)&lt;&gt;"",H84&gt;=20),"أصل","مصروف")),"مصروف"))))))</f>
        <v/>
      </c>
      <c r="K84" s="21" t="n"/>
      <c r="L84" s="22" t="n"/>
      <c r="N84">
        <f>IF(B84="","",MONTH(B84))</f>
        <v/>
      </c>
      <c r="O84">
        <f>IF(B84="","",YEAR(B84))</f>
        <v/>
      </c>
      <c r="P84">
        <f>IF(AND(D84&lt;&gt;"",COUNTIF(D$7:D84,D84)=1),MAX(P$6:P83)+1,"")</f>
        <v/>
      </c>
      <c r="Q84">
        <f>IF(E84="","",IF(I84="أجور عمال","أجرة","مادة"))</f>
        <v/>
      </c>
    </row>
    <row r="85">
      <c r="A85" s="12">
        <f>IF(E85="","",ROW()-6)</f>
        <v/>
      </c>
      <c r="B85" s="13" t="n"/>
      <c r="C85" s="12">
        <f>IF(B85="","",CHOOSE(WEEKDAY(B85,1),"الأحد","الاثنين","الثلاثاء","الأربعاء","الخميس","الجمعة","السبت"))</f>
        <v/>
      </c>
      <c r="D85" s="14" t="n"/>
      <c r="E85" s="15" t="n"/>
      <c r="F85" s="16" t="n"/>
      <c r="G85" s="17" t="n"/>
      <c r="H85" s="18">
        <f>IF(OR(F85="",G85=""),"",ROUND(F85*G85,2))</f>
        <v/>
      </c>
      <c r="I85" s="19">
        <f>IF(ISNUMBER(SEARCH("ستاند",D85)),"أثاث وستاندات","")</f>
        <v/>
      </c>
      <c r="J85" s="20">
        <f>IF(E85="","",IF(I85="","⚠ عبّي الغرض",IF(AND(D85&lt;&gt;"",OR(ISNUMBER(SEARCH("صيانة",D85)),ISNUMBER(SEARCH("تعزيل",D85)),ISNUMBER(SEARCH("تنظيف",D85)),ISNUMBER(SEARCH("تصليح",D85)))),"⚠ الصيانة بلا ورشة",IF(H85="","⚠ ناقص",IF(D85&lt;&gt;"",IF(SUMIF($D$7:$D$806,D85,$H$7:$H$806)&gt;=20,"أصل","مصروف"),IFERROR(IF(VLOOKUP(I85,'القوائم'!$A$2:$D$14,4,0)="زكاة وصدقة","زكاة وصدقة",IF(AND(VLOOKUP(I85,'القوائم'!$A$2:$D$14,3,0)&lt;&gt;"",H85&gt;=20),"أصل","مصروف")),"مصروف"))))))</f>
        <v/>
      </c>
      <c r="K85" s="21" t="n"/>
      <c r="L85" s="22" t="n"/>
      <c r="N85">
        <f>IF(B85="","",MONTH(B85))</f>
        <v/>
      </c>
      <c r="O85">
        <f>IF(B85="","",YEAR(B85))</f>
        <v/>
      </c>
      <c r="P85">
        <f>IF(AND(D85&lt;&gt;"",COUNTIF(D$7:D85,D85)=1),MAX(P$6:P84)+1,"")</f>
        <v/>
      </c>
      <c r="Q85">
        <f>IF(E85="","",IF(I85="أجور عمال","أجرة","مادة"))</f>
        <v/>
      </c>
    </row>
    <row r="86">
      <c r="A86" s="12">
        <f>IF(E86="","",ROW()-6)</f>
        <v/>
      </c>
      <c r="B86" s="13" t="n"/>
      <c r="C86" s="12">
        <f>IF(B86="","",CHOOSE(WEEKDAY(B86,1),"الأحد","الاثنين","الثلاثاء","الأربعاء","الخميس","الجمعة","السبت"))</f>
        <v/>
      </c>
      <c r="D86" s="14" t="n"/>
      <c r="E86" s="15" t="n"/>
      <c r="F86" s="16" t="n"/>
      <c r="G86" s="17" t="n"/>
      <c r="H86" s="18">
        <f>IF(OR(F86="",G86=""),"",ROUND(F86*G86,2))</f>
        <v/>
      </c>
      <c r="I86" s="19">
        <f>IF(ISNUMBER(SEARCH("ستاند",D86)),"أثاث وستاندات","")</f>
        <v/>
      </c>
      <c r="J86" s="20">
        <f>IF(E86="","",IF(I86="","⚠ عبّي الغرض",IF(AND(D86&lt;&gt;"",OR(ISNUMBER(SEARCH("صيانة",D86)),ISNUMBER(SEARCH("تعزيل",D86)),ISNUMBER(SEARCH("تنظيف",D86)),ISNUMBER(SEARCH("تصليح",D86)))),"⚠ الصيانة بلا ورشة",IF(H86="","⚠ ناقص",IF(D86&lt;&gt;"",IF(SUMIF($D$7:$D$806,D86,$H$7:$H$806)&gt;=20,"أصل","مصروف"),IFERROR(IF(VLOOKUP(I86,'القوائم'!$A$2:$D$14,4,0)="زكاة وصدقة","زكاة وصدقة",IF(AND(VLOOKUP(I86,'القوائم'!$A$2:$D$14,3,0)&lt;&gt;"",H86&gt;=20),"أصل","مصروف")),"مصروف"))))))</f>
        <v/>
      </c>
      <c r="K86" s="21" t="n"/>
      <c r="L86" s="22" t="n"/>
      <c r="N86">
        <f>IF(B86="","",MONTH(B86))</f>
        <v/>
      </c>
      <c r="O86">
        <f>IF(B86="","",YEAR(B86))</f>
        <v/>
      </c>
      <c r="P86">
        <f>IF(AND(D86&lt;&gt;"",COUNTIF(D$7:D86,D86)=1),MAX(P$6:P85)+1,"")</f>
        <v/>
      </c>
      <c r="Q86">
        <f>IF(E86="","",IF(I86="أجور عمال","أجرة","مادة"))</f>
        <v/>
      </c>
    </row>
    <row r="87">
      <c r="A87" s="12">
        <f>IF(E87="","",ROW()-6)</f>
        <v/>
      </c>
      <c r="B87" s="13" t="n"/>
      <c r="C87" s="12">
        <f>IF(B87="","",CHOOSE(WEEKDAY(B87,1),"الأحد","الاثنين","الثلاثاء","الأربعاء","الخميس","الجمعة","السبت"))</f>
        <v/>
      </c>
      <c r="D87" s="14" t="n"/>
      <c r="E87" s="15" t="n"/>
      <c r="F87" s="16" t="n"/>
      <c r="G87" s="17" t="n"/>
      <c r="H87" s="18">
        <f>IF(OR(F87="",G87=""),"",ROUND(F87*G87,2))</f>
        <v/>
      </c>
      <c r="I87" s="19">
        <f>IF(ISNUMBER(SEARCH("ستاند",D87)),"أثاث وستاندات","")</f>
        <v/>
      </c>
      <c r="J87" s="20">
        <f>IF(E87="","",IF(I87="","⚠ عبّي الغرض",IF(AND(D87&lt;&gt;"",OR(ISNUMBER(SEARCH("صيانة",D87)),ISNUMBER(SEARCH("تعزيل",D87)),ISNUMBER(SEARCH("تنظيف",D87)),ISNUMBER(SEARCH("تصليح",D87)))),"⚠ الصيانة بلا ورشة",IF(H87="","⚠ ناقص",IF(D87&lt;&gt;"",IF(SUMIF($D$7:$D$806,D87,$H$7:$H$806)&gt;=20,"أصل","مصروف"),IFERROR(IF(VLOOKUP(I87,'القوائم'!$A$2:$D$14,4,0)="زكاة وصدقة","زكاة وصدقة",IF(AND(VLOOKUP(I87,'القوائم'!$A$2:$D$14,3,0)&lt;&gt;"",H87&gt;=20),"أصل","مصروف")),"مصروف"))))))</f>
        <v/>
      </c>
      <c r="K87" s="21" t="n"/>
      <c r="L87" s="22" t="n"/>
      <c r="N87">
        <f>IF(B87="","",MONTH(B87))</f>
        <v/>
      </c>
      <c r="O87">
        <f>IF(B87="","",YEAR(B87))</f>
        <v/>
      </c>
      <c r="P87">
        <f>IF(AND(D87&lt;&gt;"",COUNTIF(D$7:D87,D87)=1),MAX(P$6:P86)+1,"")</f>
        <v/>
      </c>
      <c r="Q87">
        <f>IF(E87="","",IF(I87="أجور عمال","أجرة","مادة"))</f>
        <v/>
      </c>
    </row>
    <row r="88">
      <c r="A88" s="12">
        <f>IF(E88="","",ROW()-6)</f>
        <v/>
      </c>
      <c r="B88" s="13" t="n"/>
      <c r="C88" s="12">
        <f>IF(B88="","",CHOOSE(WEEKDAY(B88,1),"الأحد","الاثنين","الثلاثاء","الأربعاء","الخميس","الجمعة","السبت"))</f>
        <v/>
      </c>
      <c r="D88" s="14" t="n"/>
      <c r="E88" s="15" t="n"/>
      <c r="F88" s="16" t="n"/>
      <c r="G88" s="17" t="n"/>
      <c r="H88" s="18">
        <f>IF(OR(F88="",G88=""),"",ROUND(F88*G88,2))</f>
        <v/>
      </c>
      <c r="I88" s="19">
        <f>IF(ISNUMBER(SEARCH("ستاند",D88)),"أثاث وستاندات","")</f>
        <v/>
      </c>
      <c r="J88" s="20">
        <f>IF(E88="","",IF(I88="","⚠ عبّي الغرض",IF(AND(D88&lt;&gt;"",OR(ISNUMBER(SEARCH("صيانة",D88)),ISNUMBER(SEARCH("تعزيل",D88)),ISNUMBER(SEARCH("تنظيف",D88)),ISNUMBER(SEARCH("تصليح",D88)))),"⚠ الصيانة بلا ورشة",IF(H88="","⚠ ناقص",IF(D88&lt;&gt;"",IF(SUMIF($D$7:$D$806,D88,$H$7:$H$806)&gt;=20,"أصل","مصروف"),IFERROR(IF(VLOOKUP(I88,'القوائم'!$A$2:$D$14,4,0)="زكاة وصدقة","زكاة وصدقة",IF(AND(VLOOKUP(I88,'القوائم'!$A$2:$D$14,3,0)&lt;&gt;"",H88&gt;=20),"أصل","مصروف")),"مصروف"))))))</f>
        <v/>
      </c>
      <c r="K88" s="21" t="n"/>
      <c r="L88" s="22" t="n"/>
      <c r="N88">
        <f>IF(B88="","",MONTH(B88))</f>
        <v/>
      </c>
      <c r="O88">
        <f>IF(B88="","",YEAR(B88))</f>
        <v/>
      </c>
      <c r="P88">
        <f>IF(AND(D88&lt;&gt;"",COUNTIF(D$7:D88,D88)=1),MAX(P$6:P87)+1,"")</f>
        <v/>
      </c>
      <c r="Q88">
        <f>IF(E88="","",IF(I88="أجور عمال","أجرة","مادة"))</f>
        <v/>
      </c>
    </row>
    <row r="89">
      <c r="A89" s="12">
        <f>IF(E89="","",ROW()-6)</f>
        <v/>
      </c>
      <c r="B89" s="13" t="n"/>
      <c r="C89" s="12">
        <f>IF(B89="","",CHOOSE(WEEKDAY(B89,1),"الأحد","الاثنين","الثلاثاء","الأربعاء","الخميس","الجمعة","السبت"))</f>
        <v/>
      </c>
      <c r="D89" s="14" t="n"/>
      <c r="E89" s="15" t="n"/>
      <c r="F89" s="16" t="n"/>
      <c r="G89" s="17" t="n"/>
      <c r="H89" s="18">
        <f>IF(OR(F89="",G89=""),"",ROUND(F89*G89,2))</f>
        <v/>
      </c>
      <c r="I89" s="19">
        <f>IF(ISNUMBER(SEARCH("ستاند",D89)),"أثاث وستاندات","")</f>
        <v/>
      </c>
      <c r="J89" s="20">
        <f>IF(E89="","",IF(I89="","⚠ عبّي الغرض",IF(AND(D89&lt;&gt;"",OR(ISNUMBER(SEARCH("صيانة",D89)),ISNUMBER(SEARCH("تعزيل",D89)),ISNUMBER(SEARCH("تنظيف",D89)),ISNUMBER(SEARCH("تصليح",D89)))),"⚠ الصيانة بلا ورشة",IF(H89="","⚠ ناقص",IF(D89&lt;&gt;"",IF(SUMIF($D$7:$D$806,D89,$H$7:$H$806)&gt;=20,"أصل","مصروف"),IFERROR(IF(VLOOKUP(I89,'القوائم'!$A$2:$D$14,4,0)="زكاة وصدقة","زكاة وصدقة",IF(AND(VLOOKUP(I89,'القوائم'!$A$2:$D$14,3,0)&lt;&gt;"",H89&gt;=20),"أصل","مصروف")),"مصروف"))))))</f>
        <v/>
      </c>
      <c r="K89" s="21" t="n"/>
      <c r="L89" s="22" t="n"/>
      <c r="N89">
        <f>IF(B89="","",MONTH(B89))</f>
        <v/>
      </c>
      <c r="O89">
        <f>IF(B89="","",YEAR(B89))</f>
        <v/>
      </c>
      <c r="P89">
        <f>IF(AND(D89&lt;&gt;"",COUNTIF(D$7:D89,D89)=1),MAX(P$6:P88)+1,"")</f>
        <v/>
      </c>
      <c r="Q89">
        <f>IF(E89="","",IF(I89="أجور عمال","أجرة","مادة"))</f>
        <v/>
      </c>
    </row>
    <row r="90">
      <c r="A90" s="12">
        <f>IF(E90="","",ROW()-6)</f>
        <v/>
      </c>
      <c r="B90" s="13" t="n"/>
      <c r="C90" s="12">
        <f>IF(B90="","",CHOOSE(WEEKDAY(B90,1),"الأحد","الاثنين","الثلاثاء","الأربعاء","الخميس","الجمعة","السبت"))</f>
        <v/>
      </c>
      <c r="D90" s="14" t="n"/>
      <c r="E90" s="15" t="n"/>
      <c r="F90" s="16" t="n"/>
      <c r="G90" s="17" t="n"/>
      <c r="H90" s="18">
        <f>IF(OR(F90="",G90=""),"",ROUND(F90*G90,2))</f>
        <v/>
      </c>
      <c r="I90" s="19">
        <f>IF(ISNUMBER(SEARCH("ستاند",D90)),"أثاث وستاندات","")</f>
        <v/>
      </c>
      <c r="J90" s="20">
        <f>IF(E90="","",IF(I90="","⚠ عبّي الغرض",IF(AND(D90&lt;&gt;"",OR(ISNUMBER(SEARCH("صيانة",D90)),ISNUMBER(SEARCH("تعزيل",D90)),ISNUMBER(SEARCH("تنظيف",D90)),ISNUMBER(SEARCH("تصليح",D90)))),"⚠ الصيانة بلا ورشة",IF(H90="","⚠ ناقص",IF(D90&lt;&gt;"",IF(SUMIF($D$7:$D$806,D90,$H$7:$H$806)&gt;=20,"أصل","مصروف"),IFERROR(IF(VLOOKUP(I90,'القوائم'!$A$2:$D$14,4,0)="زكاة وصدقة","زكاة وصدقة",IF(AND(VLOOKUP(I90,'القوائم'!$A$2:$D$14,3,0)&lt;&gt;"",H90&gt;=20),"أصل","مصروف")),"مصروف"))))))</f>
        <v/>
      </c>
      <c r="K90" s="21" t="n"/>
      <c r="L90" s="22" t="n"/>
      <c r="N90">
        <f>IF(B90="","",MONTH(B90))</f>
        <v/>
      </c>
      <c r="O90">
        <f>IF(B90="","",YEAR(B90))</f>
        <v/>
      </c>
      <c r="P90">
        <f>IF(AND(D90&lt;&gt;"",COUNTIF(D$7:D90,D90)=1),MAX(P$6:P89)+1,"")</f>
        <v/>
      </c>
      <c r="Q90">
        <f>IF(E90="","",IF(I90="أجور عمال","أجرة","مادة"))</f>
        <v/>
      </c>
    </row>
    <row r="91">
      <c r="A91" s="12">
        <f>IF(E91="","",ROW()-6)</f>
        <v/>
      </c>
      <c r="B91" s="13" t="n"/>
      <c r="C91" s="12">
        <f>IF(B91="","",CHOOSE(WEEKDAY(B91,1),"الأحد","الاثنين","الثلاثاء","الأربعاء","الخميس","الجمعة","السبت"))</f>
        <v/>
      </c>
      <c r="D91" s="14" t="n"/>
      <c r="E91" s="15" t="n"/>
      <c r="F91" s="16" t="n"/>
      <c r="G91" s="17" t="n"/>
      <c r="H91" s="18">
        <f>IF(OR(F91="",G91=""),"",ROUND(F91*G91,2))</f>
        <v/>
      </c>
      <c r="I91" s="19">
        <f>IF(ISNUMBER(SEARCH("ستاند",D91)),"أثاث وستاندات","")</f>
        <v/>
      </c>
      <c r="J91" s="20">
        <f>IF(E91="","",IF(I91="","⚠ عبّي الغرض",IF(AND(D91&lt;&gt;"",OR(ISNUMBER(SEARCH("صيانة",D91)),ISNUMBER(SEARCH("تعزيل",D91)),ISNUMBER(SEARCH("تنظيف",D91)),ISNUMBER(SEARCH("تصليح",D91)))),"⚠ الصيانة بلا ورشة",IF(H91="","⚠ ناقص",IF(D91&lt;&gt;"",IF(SUMIF($D$7:$D$806,D91,$H$7:$H$806)&gt;=20,"أصل","مصروف"),IFERROR(IF(VLOOKUP(I91,'القوائم'!$A$2:$D$14,4,0)="زكاة وصدقة","زكاة وصدقة",IF(AND(VLOOKUP(I91,'القوائم'!$A$2:$D$14,3,0)&lt;&gt;"",H91&gt;=20),"أصل","مصروف")),"مصروف"))))))</f>
        <v/>
      </c>
      <c r="K91" s="21" t="n"/>
      <c r="L91" s="22" t="n"/>
      <c r="N91">
        <f>IF(B91="","",MONTH(B91))</f>
        <v/>
      </c>
      <c r="O91">
        <f>IF(B91="","",YEAR(B91))</f>
        <v/>
      </c>
      <c r="P91">
        <f>IF(AND(D91&lt;&gt;"",COUNTIF(D$7:D91,D91)=1),MAX(P$6:P90)+1,"")</f>
        <v/>
      </c>
      <c r="Q91">
        <f>IF(E91="","",IF(I91="أجور عمال","أجرة","مادة"))</f>
        <v/>
      </c>
    </row>
    <row r="92">
      <c r="A92" s="12">
        <f>IF(E92="","",ROW()-6)</f>
        <v/>
      </c>
      <c r="B92" s="13" t="n"/>
      <c r="C92" s="12">
        <f>IF(B92="","",CHOOSE(WEEKDAY(B92,1),"الأحد","الاثنين","الثلاثاء","الأربعاء","الخميس","الجمعة","السبت"))</f>
        <v/>
      </c>
      <c r="D92" s="14" t="n"/>
      <c r="E92" s="15" t="n"/>
      <c r="F92" s="16" t="n"/>
      <c r="G92" s="17" t="n"/>
      <c r="H92" s="18">
        <f>IF(OR(F92="",G92=""),"",ROUND(F92*G92,2))</f>
        <v/>
      </c>
      <c r="I92" s="19">
        <f>IF(ISNUMBER(SEARCH("ستاند",D92)),"أثاث وستاندات","")</f>
        <v/>
      </c>
      <c r="J92" s="20">
        <f>IF(E92="","",IF(I92="","⚠ عبّي الغرض",IF(AND(D92&lt;&gt;"",OR(ISNUMBER(SEARCH("صيانة",D92)),ISNUMBER(SEARCH("تعزيل",D92)),ISNUMBER(SEARCH("تنظيف",D92)),ISNUMBER(SEARCH("تصليح",D92)))),"⚠ الصيانة بلا ورشة",IF(H92="","⚠ ناقص",IF(D92&lt;&gt;"",IF(SUMIF($D$7:$D$806,D92,$H$7:$H$806)&gt;=20,"أصل","مصروف"),IFERROR(IF(VLOOKUP(I92,'القوائم'!$A$2:$D$14,4,0)="زكاة وصدقة","زكاة وصدقة",IF(AND(VLOOKUP(I92,'القوائم'!$A$2:$D$14,3,0)&lt;&gt;"",H92&gt;=20),"أصل","مصروف")),"مصروف"))))))</f>
        <v/>
      </c>
      <c r="K92" s="21" t="n"/>
      <c r="L92" s="22" t="n"/>
      <c r="N92">
        <f>IF(B92="","",MONTH(B92))</f>
        <v/>
      </c>
      <c r="O92">
        <f>IF(B92="","",YEAR(B92))</f>
        <v/>
      </c>
      <c r="P92">
        <f>IF(AND(D92&lt;&gt;"",COUNTIF(D$7:D92,D92)=1),MAX(P$6:P91)+1,"")</f>
        <v/>
      </c>
      <c r="Q92">
        <f>IF(E92="","",IF(I92="أجور عمال","أجرة","مادة"))</f>
        <v/>
      </c>
    </row>
    <row r="93">
      <c r="A93" s="12">
        <f>IF(E93="","",ROW()-6)</f>
        <v/>
      </c>
      <c r="B93" s="13" t="n"/>
      <c r="C93" s="12">
        <f>IF(B93="","",CHOOSE(WEEKDAY(B93,1),"الأحد","الاثنين","الثلاثاء","الأربعاء","الخميس","الجمعة","السبت"))</f>
        <v/>
      </c>
      <c r="D93" s="14" t="n"/>
      <c r="E93" s="15" t="n"/>
      <c r="F93" s="16" t="n"/>
      <c r="G93" s="17" t="n"/>
      <c r="H93" s="18">
        <f>IF(OR(F93="",G93=""),"",ROUND(F93*G93,2))</f>
        <v/>
      </c>
      <c r="I93" s="19">
        <f>IF(ISNUMBER(SEARCH("ستاند",D93)),"أثاث وستاندات","")</f>
        <v/>
      </c>
      <c r="J93" s="20">
        <f>IF(E93="","",IF(I93="","⚠ عبّي الغرض",IF(AND(D93&lt;&gt;"",OR(ISNUMBER(SEARCH("صيانة",D93)),ISNUMBER(SEARCH("تعزيل",D93)),ISNUMBER(SEARCH("تنظيف",D93)),ISNUMBER(SEARCH("تصليح",D93)))),"⚠ الصيانة بلا ورشة",IF(H93="","⚠ ناقص",IF(D93&lt;&gt;"",IF(SUMIF($D$7:$D$806,D93,$H$7:$H$806)&gt;=20,"أصل","مصروف"),IFERROR(IF(VLOOKUP(I93,'القوائم'!$A$2:$D$14,4,0)="زكاة وصدقة","زكاة وصدقة",IF(AND(VLOOKUP(I93,'القوائم'!$A$2:$D$14,3,0)&lt;&gt;"",H93&gt;=20),"أصل","مصروف")),"مصروف"))))))</f>
        <v/>
      </c>
      <c r="K93" s="21" t="n"/>
      <c r="L93" s="22" t="n"/>
      <c r="N93">
        <f>IF(B93="","",MONTH(B93))</f>
        <v/>
      </c>
      <c r="O93">
        <f>IF(B93="","",YEAR(B93))</f>
        <v/>
      </c>
      <c r="P93">
        <f>IF(AND(D93&lt;&gt;"",COUNTIF(D$7:D93,D93)=1),MAX(P$6:P92)+1,"")</f>
        <v/>
      </c>
      <c r="Q93">
        <f>IF(E93="","",IF(I93="أجور عمال","أجرة","مادة"))</f>
        <v/>
      </c>
    </row>
    <row r="94">
      <c r="A94" s="12">
        <f>IF(E94="","",ROW()-6)</f>
        <v/>
      </c>
      <c r="B94" s="13" t="n"/>
      <c r="C94" s="12">
        <f>IF(B94="","",CHOOSE(WEEKDAY(B94,1),"الأحد","الاثنين","الثلاثاء","الأربعاء","الخميس","الجمعة","السبت"))</f>
        <v/>
      </c>
      <c r="D94" s="14" t="n"/>
      <c r="E94" s="15" t="n"/>
      <c r="F94" s="16" t="n"/>
      <c r="G94" s="17" t="n"/>
      <c r="H94" s="18">
        <f>IF(OR(F94="",G94=""),"",ROUND(F94*G94,2))</f>
        <v/>
      </c>
      <c r="I94" s="19">
        <f>IF(ISNUMBER(SEARCH("ستاند",D94)),"أثاث وستاندات","")</f>
        <v/>
      </c>
      <c r="J94" s="20">
        <f>IF(E94="","",IF(I94="","⚠ عبّي الغرض",IF(AND(D94&lt;&gt;"",OR(ISNUMBER(SEARCH("صيانة",D94)),ISNUMBER(SEARCH("تعزيل",D94)),ISNUMBER(SEARCH("تنظيف",D94)),ISNUMBER(SEARCH("تصليح",D94)))),"⚠ الصيانة بلا ورشة",IF(H94="","⚠ ناقص",IF(D94&lt;&gt;"",IF(SUMIF($D$7:$D$806,D94,$H$7:$H$806)&gt;=20,"أصل","مصروف"),IFERROR(IF(VLOOKUP(I94,'القوائم'!$A$2:$D$14,4,0)="زكاة وصدقة","زكاة وصدقة",IF(AND(VLOOKUP(I94,'القوائم'!$A$2:$D$14,3,0)&lt;&gt;"",H94&gt;=20),"أصل","مصروف")),"مصروف"))))))</f>
        <v/>
      </c>
      <c r="K94" s="21" t="n"/>
      <c r="L94" s="22" t="n"/>
      <c r="N94">
        <f>IF(B94="","",MONTH(B94))</f>
        <v/>
      </c>
      <c r="O94">
        <f>IF(B94="","",YEAR(B94))</f>
        <v/>
      </c>
      <c r="P94">
        <f>IF(AND(D94&lt;&gt;"",COUNTIF(D$7:D94,D94)=1),MAX(P$6:P93)+1,"")</f>
        <v/>
      </c>
      <c r="Q94">
        <f>IF(E94="","",IF(I94="أجور عمال","أجرة","مادة"))</f>
        <v/>
      </c>
    </row>
    <row r="95">
      <c r="A95" s="12">
        <f>IF(E95="","",ROW()-6)</f>
        <v/>
      </c>
      <c r="B95" s="13" t="n"/>
      <c r="C95" s="12">
        <f>IF(B95="","",CHOOSE(WEEKDAY(B95,1),"الأحد","الاثنين","الثلاثاء","الأربعاء","الخميس","الجمعة","السبت"))</f>
        <v/>
      </c>
      <c r="D95" s="14" t="n"/>
      <c r="E95" s="15" t="n"/>
      <c r="F95" s="16" t="n"/>
      <c r="G95" s="17" t="n"/>
      <c r="H95" s="18">
        <f>IF(OR(F95="",G95=""),"",ROUND(F95*G95,2))</f>
        <v/>
      </c>
      <c r="I95" s="19">
        <f>IF(ISNUMBER(SEARCH("ستاند",D95)),"أثاث وستاندات","")</f>
        <v/>
      </c>
      <c r="J95" s="20">
        <f>IF(E95="","",IF(I95="","⚠ عبّي الغرض",IF(AND(D95&lt;&gt;"",OR(ISNUMBER(SEARCH("صيانة",D95)),ISNUMBER(SEARCH("تعزيل",D95)),ISNUMBER(SEARCH("تنظيف",D95)),ISNUMBER(SEARCH("تصليح",D95)))),"⚠ الصيانة بلا ورشة",IF(H95="","⚠ ناقص",IF(D95&lt;&gt;"",IF(SUMIF($D$7:$D$806,D95,$H$7:$H$806)&gt;=20,"أصل","مصروف"),IFERROR(IF(VLOOKUP(I95,'القوائم'!$A$2:$D$14,4,0)="زكاة وصدقة","زكاة وصدقة",IF(AND(VLOOKUP(I95,'القوائم'!$A$2:$D$14,3,0)&lt;&gt;"",H95&gt;=20),"أصل","مصروف")),"مصروف"))))))</f>
        <v/>
      </c>
      <c r="K95" s="21" t="n"/>
      <c r="L95" s="22" t="n"/>
      <c r="N95">
        <f>IF(B95="","",MONTH(B95))</f>
        <v/>
      </c>
      <c r="O95">
        <f>IF(B95="","",YEAR(B95))</f>
        <v/>
      </c>
      <c r="P95">
        <f>IF(AND(D95&lt;&gt;"",COUNTIF(D$7:D95,D95)=1),MAX(P$6:P94)+1,"")</f>
        <v/>
      </c>
      <c r="Q95">
        <f>IF(E95="","",IF(I95="أجور عمال","أجرة","مادة"))</f>
        <v/>
      </c>
    </row>
    <row r="96">
      <c r="A96" s="12">
        <f>IF(E96="","",ROW()-6)</f>
        <v/>
      </c>
      <c r="B96" s="13" t="n"/>
      <c r="C96" s="12">
        <f>IF(B96="","",CHOOSE(WEEKDAY(B96,1),"الأحد","الاثنين","الثلاثاء","الأربعاء","الخميس","الجمعة","السبت"))</f>
        <v/>
      </c>
      <c r="D96" s="14" t="n"/>
      <c r="E96" s="15" t="n"/>
      <c r="F96" s="16" t="n"/>
      <c r="G96" s="17" t="n"/>
      <c r="H96" s="18">
        <f>IF(OR(F96="",G96=""),"",ROUND(F96*G96,2))</f>
        <v/>
      </c>
      <c r="I96" s="19">
        <f>IF(ISNUMBER(SEARCH("ستاند",D96)),"أثاث وستاندات","")</f>
        <v/>
      </c>
      <c r="J96" s="20">
        <f>IF(E96="","",IF(I96="","⚠ عبّي الغرض",IF(AND(D96&lt;&gt;"",OR(ISNUMBER(SEARCH("صيانة",D96)),ISNUMBER(SEARCH("تعزيل",D96)),ISNUMBER(SEARCH("تنظيف",D96)),ISNUMBER(SEARCH("تصليح",D96)))),"⚠ الصيانة بلا ورشة",IF(H96="","⚠ ناقص",IF(D96&lt;&gt;"",IF(SUMIF($D$7:$D$806,D96,$H$7:$H$806)&gt;=20,"أصل","مصروف"),IFERROR(IF(VLOOKUP(I96,'القوائم'!$A$2:$D$14,4,0)="زكاة وصدقة","زكاة وصدقة",IF(AND(VLOOKUP(I96,'القوائم'!$A$2:$D$14,3,0)&lt;&gt;"",H96&gt;=20),"أصل","مصروف")),"مصروف"))))))</f>
        <v/>
      </c>
      <c r="K96" s="21" t="n"/>
      <c r="L96" s="22" t="n"/>
      <c r="N96">
        <f>IF(B96="","",MONTH(B96))</f>
        <v/>
      </c>
      <c r="O96">
        <f>IF(B96="","",YEAR(B96))</f>
        <v/>
      </c>
      <c r="P96">
        <f>IF(AND(D96&lt;&gt;"",COUNTIF(D$7:D96,D96)=1),MAX(P$6:P95)+1,"")</f>
        <v/>
      </c>
      <c r="Q96">
        <f>IF(E96="","",IF(I96="أجور عمال","أجرة","مادة"))</f>
        <v/>
      </c>
    </row>
    <row r="97">
      <c r="A97" s="12">
        <f>IF(E97="","",ROW()-6)</f>
        <v/>
      </c>
      <c r="B97" s="13" t="n"/>
      <c r="C97" s="12">
        <f>IF(B97="","",CHOOSE(WEEKDAY(B97,1),"الأحد","الاثنين","الثلاثاء","الأربعاء","الخميس","الجمعة","السبت"))</f>
        <v/>
      </c>
      <c r="D97" s="14" t="n"/>
      <c r="E97" s="15" t="n"/>
      <c r="F97" s="16" t="n"/>
      <c r="G97" s="17" t="n"/>
      <c r="H97" s="18">
        <f>IF(OR(F97="",G97=""),"",ROUND(F97*G97,2))</f>
        <v/>
      </c>
      <c r="I97" s="19">
        <f>IF(ISNUMBER(SEARCH("ستاند",D97)),"أثاث وستاندات","")</f>
        <v/>
      </c>
      <c r="J97" s="20">
        <f>IF(E97="","",IF(I97="","⚠ عبّي الغرض",IF(AND(D97&lt;&gt;"",OR(ISNUMBER(SEARCH("صيانة",D97)),ISNUMBER(SEARCH("تعزيل",D97)),ISNUMBER(SEARCH("تنظيف",D97)),ISNUMBER(SEARCH("تصليح",D97)))),"⚠ الصيانة بلا ورشة",IF(H97="","⚠ ناقص",IF(D97&lt;&gt;"",IF(SUMIF($D$7:$D$806,D97,$H$7:$H$806)&gt;=20,"أصل","مصروف"),IFERROR(IF(VLOOKUP(I97,'القوائم'!$A$2:$D$14,4,0)="زكاة وصدقة","زكاة وصدقة",IF(AND(VLOOKUP(I97,'القوائم'!$A$2:$D$14,3,0)&lt;&gt;"",H97&gt;=20),"أصل","مصروف")),"مصروف"))))))</f>
        <v/>
      </c>
      <c r="K97" s="21" t="n"/>
      <c r="L97" s="22" t="n"/>
      <c r="N97">
        <f>IF(B97="","",MONTH(B97))</f>
        <v/>
      </c>
      <c r="O97">
        <f>IF(B97="","",YEAR(B97))</f>
        <v/>
      </c>
      <c r="P97">
        <f>IF(AND(D97&lt;&gt;"",COUNTIF(D$7:D97,D97)=1),MAX(P$6:P96)+1,"")</f>
        <v/>
      </c>
      <c r="Q97">
        <f>IF(E97="","",IF(I97="أجور عمال","أجرة","مادة"))</f>
        <v/>
      </c>
    </row>
    <row r="98">
      <c r="A98" s="12">
        <f>IF(E98="","",ROW()-6)</f>
        <v/>
      </c>
      <c r="B98" s="13" t="n"/>
      <c r="C98" s="12">
        <f>IF(B98="","",CHOOSE(WEEKDAY(B98,1),"الأحد","الاثنين","الثلاثاء","الأربعاء","الخميس","الجمعة","السبت"))</f>
        <v/>
      </c>
      <c r="D98" s="14" t="n"/>
      <c r="E98" s="15" t="n"/>
      <c r="F98" s="16" t="n"/>
      <c r="G98" s="17" t="n"/>
      <c r="H98" s="18">
        <f>IF(OR(F98="",G98=""),"",ROUND(F98*G98,2))</f>
        <v/>
      </c>
      <c r="I98" s="19">
        <f>IF(ISNUMBER(SEARCH("ستاند",D98)),"أثاث وستاندات","")</f>
        <v/>
      </c>
      <c r="J98" s="20">
        <f>IF(E98="","",IF(I98="","⚠ عبّي الغرض",IF(AND(D98&lt;&gt;"",OR(ISNUMBER(SEARCH("صيانة",D98)),ISNUMBER(SEARCH("تعزيل",D98)),ISNUMBER(SEARCH("تنظيف",D98)),ISNUMBER(SEARCH("تصليح",D98)))),"⚠ الصيانة بلا ورشة",IF(H98="","⚠ ناقص",IF(D98&lt;&gt;"",IF(SUMIF($D$7:$D$806,D98,$H$7:$H$806)&gt;=20,"أصل","مصروف"),IFERROR(IF(VLOOKUP(I98,'القوائم'!$A$2:$D$14,4,0)="زكاة وصدقة","زكاة وصدقة",IF(AND(VLOOKUP(I98,'القوائم'!$A$2:$D$14,3,0)&lt;&gt;"",H98&gt;=20),"أصل","مصروف")),"مصروف"))))))</f>
        <v/>
      </c>
      <c r="K98" s="21" t="n"/>
      <c r="L98" s="22" t="n"/>
      <c r="N98">
        <f>IF(B98="","",MONTH(B98))</f>
        <v/>
      </c>
      <c r="O98">
        <f>IF(B98="","",YEAR(B98))</f>
        <v/>
      </c>
      <c r="P98">
        <f>IF(AND(D98&lt;&gt;"",COUNTIF(D$7:D98,D98)=1),MAX(P$6:P97)+1,"")</f>
        <v/>
      </c>
      <c r="Q98">
        <f>IF(E98="","",IF(I98="أجور عمال","أجرة","مادة"))</f>
        <v/>
      </c>
    </row>
    <row r="99">
      <c r="A99" s="12">
        <f>IF(E99="","",ROW()-6)</f>
        <v/>
      </c>
      <c r="B99" s="13" t="n"/>
      <c r="C99" s="12">
        <f>IF(B99="","",CHOOSE(WEEKDAY(B99,1),"الأحد","الاثنين","الثلاثاء","الأربعاء","الخميس","الجمعة","السبت"))</f>
        <v/>
      </c>
      <c r="D99" s="14" t="n"/>
      <c r="E99" s="15" t="n"/>
      <c r="F99" s="16" t="n"/>
      <c r="G99" s="17" t="n"/>
      <c r="H99" s="18">
        <f>IF(OR(F99="",G99=""),"",ROUND(F99*G99,2))</f>
        <v/>
      </c>
      <c r="I99" s="19">
        <f>IF(ISNUMBER(SEARCH("ستاند",D99)),"أثاث وستاندات","")</f>
        <v/>
      </c>
      <c r="J99" s="20">
        <f>IF(E99="","",IF(I99="","⚠ عبّي الغرض",IF(AND(D99&lt;&gt;"",OR(ISNUMBER(SEARCH("صيانة",D99)),ISNUMBER(SEARCH("تعزيل",D99)),ISNUMBER(SEARCH("تنظيف",D99)),ISNUMBER(SEARCH("تصليح",D99)))),"⚠ الصيانة بلا ورشة",IF(H99="","⚠ ناقص",IF(D99&lt;&gt;"",IF(SUMIF($D$7:$D$806,D99,$H$7:$H$806)&gt;=20,"أصل","مصروف"),IFERROR(IF(VLOOKUP(I99,'القوائم'!$A$2:$D$14,4,0)="زكاة وصدقة","زكاة وصدقة",IF(AND(VLOOKUP(I99,'القوائم'!$A$2:$D$14,3,0)&lt;&gt;"",H99&gt;=20),"أصل","مصروف")),"مصروف"))))))</f>
        <v/>
      </c>
      <c r="K99" s="21" t="n"/>
      <c r="L99" s="22" t="n"/>
      <c r="N99">
        <f>IF(B99="","",MONTH(B99))</f>
        <v/>
      </c>
      <c r="O99">
        <f>IF(B99="","",YEAR(B99))</f>
        <v/>
      </c>
      <c r="P99">
        <f>IF(AND(D99&lt;&gt;"",COUNTIF(D$7:D99,D99)=1),MAX(P$6:P98)+1,"")</f>
        <v/>
      </c>
      <c r="Q99">
        <f>IF(E99="","",IF(I99="أجور عمال","أجرة","مادة"))</f>
        <v/>
      </c>
    </row>
    <row r="100">
      <c r="A100" s="12">
        <f>IF(E100="","",ROW()-6)</f>
        <v/>
      </c>
      <c r="B100" s="13" t="n"/>
      <c r="C100" s="12">
        <f>IF(B100="","",CHOOSE(WEEKDAY(B100,1),"الأحد","الاثنين","الثلاثاء","الأربعاء","الخميس","الجمعة","السبت"))</f>
        <v/>
      </c>
      <c r="D100" s="14" t="n"/>
      <c r="E100" s="15" t="n"/>
      <c r="F100" s="16" t="n"/>
      <c r="G100" s="17" t="n"/>
      <c r="H100" s="18">
        <f>IF(OR(F100="",G100=""),"",ROUND(F100*G100,2))</f>
        <v/>
      </c>
      <c r="I100" s="19">
        <f>IF(ISNUMBER(SEARCH("ستاند",D100)),"أثاث وستاندات","")</f>
        <v/>
      </c>
      <c r="J100" s="20">
        <f>IF(E100="","",IF(I100="","⚠ عبّي الغرض",IF(AND(D100&lt;&gt;"",OR(ISNUMBER(SEARCH("صيانة",D100)),ISNUMBER(SEARCH("تعزيل",D100)),ISNUMBER(SEARCH("تنظيف",D100)),ISNUMBER(SEARCH("تصليح",D100)))),"⚠ الصيانة بلا ورشة",IF(H100="","⚠ ناقص",IF(D100&lt;&gt;"",IF(SUMIF($D$7:$D$806,D100,$H$7:$H$806)&gt;=20,"أصل","مصروف"),IFERROR(IF(VLOOKUP(I100,'القوائم'!$A$2:$D$14,4,0)="زكاة وصدقة","زكاة وصدقة",IF(AND(VLOOKUP(I100,'القوائم'!$A$2:$D$14,3,0)&lt;&gt;"",H100&gt;=20),"أصل","مصروف")),"مصروف"))))))</f>
        <v/>
      </c>
      <c r="K100" s="21" t="n"/>
      <c r="L100" s="22" t="n"/>
      <c r="N100">
        <f>IF(B100="","",MONTH(B100))</f>
        <v/>
      </c>
      <c r="O100">
        <f>IF(B100="","",YEAR(B100))</f>
        <v/>
      </c>
      <c r="P100">
        <f>IF(AND(D100&lt;&gt;"",COUNTIF(D$7:D100,D100)=1),MAX(P$6:P99)+1,"")</f>
        <v/>
      </c>
      <c r="Q100">
        <f>IF(E100="","",IF(I100="أجور عمال","أجرة","مادة"))</f>
        <v/>
      </c>
    </row>
    <row r="101">
      <c r="A101" s="12">
        <f>IF(E101="","",ROW()-6)</f>
        <v/>
      </c>
      <c r="B101" s="13" t="n"/>
      <c r="C101" s="12">
        <f>IF(B101="","",CHOOSE(WEEKDAY(B101,1),"الأحد","الاثنين","الثلاثاء","الأربعاء","الخميس","الجمعة","السبت"))</f>
        <v/>
      </c>
      <c r="D101" s="14" t="n"/>
      <c r="E101" s="15" t="n"/>
      <c r="F101" s="16" t="n"/>
      <c r="G101" s="17" t="n"/>
      <c r="H101" s="18">
        <f>IF(OR(F101="",G101=""),"",ROUND(F101*G101,2))</f>
        <v/>
      </c>
      <c r="I101" s="19">
        <f>IF(ISNUMBER(SEARCH("ستاند",D101)),"أثاث وستاندات","")</f>
        <v/>
      </c>
      <c r="J101" s="20">
        <f>IF(E101="","",IF(I101="","⚠ عبّي الغرض",IF(AND(D101&lt;&gt;"",OR(ISNUMBER(SEARCH("صيانة",D101)),ISNUMBER(SEARCH("تعزيل",D101)),ISNUMBER(SEARCH("تنظيف",D101)),ISNUMBER(SEARCH("تصليح",D101)))),"⚠ الصيانة بلا ورشة",IF(H101="","⚠ ناقص",IF(D101&lt;&gt;"",IF(SUMIF($D$7:$D$806,D101,$H$7:$H$806)&gt;=20,"أصل","مصروف"),IFERROR(IF(VLOOKUP(I101,'القوائم'!$A$2:$D$14,4,0)="زكاة وصدقة","زكاة وصدقة",IF(AND(VLOOKUP(I101,'القوائم'!$A$2:$D$14,3,0)&lt;&gt;"",H101&gt;=20),"أصل","مصروف")),"مصروف"))))))</f>
        <v/>
      </c>
      <c r="K101" s="21" t="n"/>
      <c r="L101" s="22" t="n"/>
      <c r="N101">
        <f>IF(B101="","",MONTH(B101))</f>
        <v/>
      </c>
      <c r="O101">
        <f>IF(B101="","",YEAR(B101))</f>
        <v/>
      </c>
      <c r="P101">
        <f>IF(AND(D101&lt;&gt;"",COUNTIF(D$7:D101,D101)=1),MAX(P$6:P100)+1,"")</f>
        <v/>
      </c>
      <c r="Q101">
        <f>IF(E101="","",IF(I101="أجور عمال","أجرة","مادة"))</f>
        <v/>
      </c>
    </row>
    <row r="102">
      <c r="A102" s="12">
        <f>IF(E102="","",ROW()-6)</f>
        <v/>
      </c>
      <c r="B102" s="13" t="n"/>
      <c r="C102" s="12">
        <f>IF(B102="","",CHOOSE(WEEKDAY(B102,1),"الأحد","الاثنين","الثلاثاء","الأربعاء","الخميس","الجمعة","السبت"))</f>
        <v/>
      </c>
      <c r="D102" s="14" t="n"/>
      <c r="E102" s="15" t="n"/>
      <c r="F102" s="16" t="n"/>
      <c r="G102" s="17" t="n"/>
      <c r="H102" s="18">
        <f>IF(OR(F102="",G102=""),"",ROUND(F102*G102,2))</f>
        <v/>
      </c>
      <c r="I102" s="19">
        <f>IF(ISNUMBER(SEARCH("ستاند",D102)),"أثاث وستاندات","")</f>
        <v/>
      </c>
      <c r="J102" s="20">
        <f>IF(E102="","",IF(I102="","⚠ عبّي الغرض",IF(AND(D102&lt;&gt;"",OR(ISNUMBER(SEARCH("صيانة",D102)),ISNUMBER(SEARCH("تعزيل",D102)),ISNUMBER(SEARCH("تنظيف",D102)),ISNUMBER(SEARCH("تصليح",D102)))),"⚠ الصيانة بلا ورشة",IF(H102="","⚠ ناقص",IF(D102&lt;&gt;"",IF(SUMIF($D$7:$D$806,D102,$H$7:$H$806)&gt;=20,"أصل","مصروف"),IFERROR(IF(VLOOKUP(I102,'القوائم'!$A$2:$D$14,4,0)="زكاة وصدقة","زكاة وصدقة",IF(AND(VLOOKUP(I102,'القوائم'!$A$2:$D$14,3,0)&lt;&gt;"",H102&gt;=20),"أصل","مصروف")),"مصروف"))))))</f>
        <v/>
      </c>
      <c r="K102" s="21" t="n"/>
      <c r="L102" s="22" t="n"/>
      <c r="N102">
        <f>IF(B102="","",MONTH(B102))</f>
        <v/>
      </c>
      <c r="O102">
        <f>IF(B102="","",YEAR(B102))</f>
        <v/>
      </c>
      <c r="P102">
        <f>IF(AND(D102&lt;&gt;"",COUNTIF(D$7:D102,D102)=1),MAX(P$6:P101)+1,"")</f>
        <v/>
      </c>
      <c r="Q102">
        <f>IF(E102="","",IF(I102="أجور عمال","أجرة","مادة"))</f>
        <v/>
      </c>
    </row>
    <row r="103">
      <c r="A103" s="12">
        <f>IF(E103="","",ROW()-6)</f>
        <v/>
      </c>
      <c r="B103" s="13" t="n"/>
      <c r="C103" s="12">
        <f>IF(B103="","",CHOOSE(WEEKDAY(B103,1),"الأحد","الاثنين","الثلاثاء","الأربعاء","الخميس","الجمعة","السبت"))</f>
        <v/>
      </c>
      <c r="D103" s="14" t="n"/>
      <c r="E103" s="15" t="n"/>
      <c r="F103" s="16" t="n"/>
      <c r="G103" s="17" t="n"/>
      <c r="H103" s="18">
        <f>IF(OR(F103="",G103=""),"",ROUND(F103*G103,2))</f>
        <v/>
      </c>
      <c r="I103" s="19">
        <f>IF(ISNUMBER(SEARCH("ستاند",D103)),"أثاث وستاندات","")</f>
        <v/>
      </c>
      <c r="J103" s="20">
        <f>IF(E103="","",IF(I103="","⚠ عبّي الغرض",IF(AND(D103&lt;&gt;"",OR(ISNUMBER(SEARCH("صيانة",D103)),ISNUMBER(SEARCH("تعزيل",D103)),ISNUMBER(SEARCH("تنظيف",D103)),ISNUMBER(SEARCH("تصليح",D103)))),"⚠ الصيانة بلا ورشة",IF(H103="","⚠ ناقص",IF(D103&lt;&gt;"",IF(SUMIF($D$7:$D$806,D103,$H$7:$H$806)&gt;=20,"أصل","مصروف"),IFERROR(IF(VLOOKUP(I103,'القوائم'!$A$2:$D$14,4,0)="زكاة وصدقة","زكاة وصدقة",IF(AND(VLOOKUP(I103,'القوائم'!$A$2:$D$14,3,0)&lt;&gt;"",H103&gt;=20),"أصل","مصروف")),"مصروف"))))))</f>
        <v/>
      </c>
      <c r="K103" s="21" t="n"/>
      <c r="L103" s="22" t="n"/>
      <c r="N103">
        <f>IF(B103="","",MONTH(B103))</f>
        <v/>
      </c>
      <c r="O103">
        <f>IF(B103="","",YEAR(B103))</f>
        <v/>
      </c>
      <c r="P103">
        <f>IF(AND(D103&lt;&gt;"",COUNTIF(D$7:D103,D103)=1),MAX(P$6:P102)+1,"")</f>
        <v/>
      </c>
      <c r="Q103">
        <f>IF(E103="","",IF(I103="أجور عمال","أجرة","مادة"))</f>
        <v/>
      </c>
    </row>
    <row r="104">
      <c r="A104" s="12">
        <f>IF(E104="","",ROW()-6)</f>
        <v/>
      </c>
      <c r="B104" s="13" t="n"/>
      <c r="C104" s="12">
        <f>IF(B104="","",CHOOSE(WEEKDAY(B104,1),"الأحد","الاثنين","الثلاثاء","الأربعاء","الخميس","الجمعة","السبت"))</f>
        <v/>
      </c>
      <c r="D104" s="14" t="n"/>
      <c r="E104" s="15" t="n"/>
      <c r="F104" s="16" t="n"/>
      <c r="G104" s="17" t="n"/>
      <c r="H104" s="18">
        <f>IF(OR(F104="",G104=""),"",ROUND(F104*G104,2))</f>
        <v/>
      </c>
      <c r="I104" s="19">
        <f>IF(ISNUMBER(SEARCH("ستاند",D104)),"أثاث وستاندات","")</f>
        <v/>
      </c>
      <c r="J104" s="20">
        <f>IF(E104="","",IF(I104="","⚠ عبّي الغرض",IF(AND(D104&lt;&gt;"",OR(ISNUMBER(SEARCH("صيانة",D104)),ISNUMBER(SEARCH("تعزيل",D104)),ISNUMBER(SEARCH("تنظيف",D104)),ISNUMBER(SEARCH("تصليح",D104)))),"⚠ الصيانة بلا ورشة",IF(H104="","⚠ ناقص",IF(D104&lt;&gt;"",IF(SUMIF($D$7:$D$806,D104,$H$7:$H$806)&gt;=20,"أصل","مصروف"),IFERROR(IF(VLOOKUP(I104,'القوائم'!$A$2:$D$14,4,0)="زكاة وصدقة","زكاة وصدقة",IF(AND(VLOOKUP(I104,'القوائم'!$A$2:$D$14,3,0)&lt;&gt;"",H104&gt;=20),"أصل","مصروف")),"مصروف"))))))</f>
        <v/>
      </c>
      <c r="K104" s="21" t="n"/>
      <c r="L104" s="22" t="n"/>
      <c r="N104">
        <f>IF(B104="","",MONTH(B104))</f>
        <v/>
      </c>
      <c r="O104">
        <f>IF(B104="","",YEAR(B104))</f>
        <v/>
      </c>
      <c r="P104">
        <f>IF(AND(D104&lt;&gt;"",COUNTIF(D$7:D104,D104)=1),MAX(P$6:P103)+1,"")</f>
        <v/>
      </c>
      <c r="Q104">
        <f>IF(E104="","",IF(I104="أجور عمال","أجرة","مادة"))</f>
        <v/>
      </c>
    </row>
    <row r="105">
      <c r="A105" s="12">
        <f>IF(E105="","",ROW()-6)</f>
        <v/>
      </c>
      <c r="B105" s="13" t="n"/>
      <c r="C105" s="12">
        <f>IF(B105="","",CHOOSE(WEEKDAY(B105,1),"الأحد","الاثنين","الثلاثاء","الأربعاء","الخميس","الجمعة","السبت"))</f>
        <v/>
      </c>
      <c r="D105" s="14" t="n"/>
      <c r="E105" s="15" t="n"/>
      <c r="F105" s="16" t="n"/>
      <c r="G105" s="17" t="n"/>
      <c r="H105" s="18">
        <f>IF(OR(F105="",G105=""),"",ROUND(F105*G105,2))</f>
        <v/>
      </c>
      <c r="I105" s="19">
        <f>IF(ISNUMBER(SEARCH("ستاند",D105)),"أثاث وستاندات","")</f>
        <v/>
      </c>
      <c r="J105" s="20">
        <f>IF(E105="","",IF(I105="","⚠ عبّي الغرض",IF(AND(D105&lt;&gt;"",OR(ISNUMBER(SEARCH("صيانة",D105)),ISNUMBER(SEARCH("تعزيل",D105)),ISNUMBER(SEARCH("تنظيف",D105)),ISNUMBER(SEARCH("تصليح",D105)))),"⚠ الصيانة بلا ورشة",IF(H105="","⚠ ناقص",IF(D105&lt;&gt;"",IF(SUMIF($D$7:$D$806,D105,$H$7:$H$806)&gt;=20,"أصل","مصروف"),IFERROR(IF(VLOOKUP(I105,'القوائم'!$A$2:$D$14,4,0)="زكاة وصدقة","زكاة وصدقة",IF(AND(VLOOKUP(I105,'القوائم'!$A$2:$D$14,3,0)&lt;&gt;"",H105&gt;=20),"أصل","مصروف")),"مصروف"))))))</f>
        <v/>
      </c>
      <c r="K105" s="21" t="n"/>
      <c r="L105" s="22" t="n"/>
      <c r="N105">
        <f>IF(B105="","",MONTH(B105))</f>
        <v/>
      </c>
      <c r="O105">
        <f>IF(B105="","",YEAR(B105))</f>
        <v/>
      </c>
      <c r="P105">
        <f>IF(AND(D105&lt;&gt;"",COUNTIF(D$7:D105,D105)=1),MAX(P$6:P104)+1,"")</f>
        <v/>
      </c>
      <c r="Q105">
        <f>IF(E105="","",IF(I105="أجور عمال","أجرة","مادة"))</f>
        <v/>
      </c>
    </row>
    <row r="106">
      <c r="A106" s="12">
        <f>IF(E106="","",ROW()-6)</f>
        <v/>
      </c>
      <c r="B106" s="13" t="n"/>
      <c r="C106" s="12">
        <f>IF(B106="","",CHOOSE(WEEKDAY(B106,1),"الأحد","الاثنين","الثلاثاء","الأربعاء","الخميس","الجمعة","السبت"))</f>
        <v/>
      </c>
      <c r="D106" s="14" t="n"/>
      <c r="E106" s="15" t="n"/>
      <c r="F106" s="16" t="n"/>
      <c r="G106" s="17" t="n"/>
      <c r="H106" s="18">
        <f>IF(OR(F106="",G106=""),"",ROUND(F106*G106,2))</f>
        <v/>
      </c>
      <c r="I106" s="19">
        <f>IF(ISNUMBER(SEARCH("ستاند",D106)),"أثاث وستاندات","")</f>
        <v/>
      </c>
      <c r="J106" s="20">
        <f>IF(E106="","",IF(I106="","⚠ عبّي الغرض",IF(AND(D106&lt;&gt;"",OR(ISNUMBER(SEARCH("صيانة",D106)),ISNUMBER(SEARCH("تعزيل",D106)),ISNUMBER(SEARCH("تنظيف",D106)),ISNUMBER(SEARCH("تصليح",D106)))),"⚠ الصيانة بلا ورشة",IF(H106="","⚠ ناقص",IF(D106&lt;&gt;"",IF(SUMIF($D$7:$D$806,D106,$H$7:$H$806)&gt;=20,"أصل","مصروف"),IFERROR(IF(VLOOKUP(I106,'القوائم'!$A$2:$D$14,4,0)="زكاة وصدقة","زكاة وصدقة",IF(AND(VLOOKUP(I106,'القوائم'!$A$2:$D$14,3,0)&lt;&gt;"",H106&gt;=20),"أصل","مصروف")),"مصروف"))))))</f>
        <v/>
      </c>
      <c r="K106" s="21" t="n"/>
      <c r="L106" s="22" t="n"/>
      <c r="N106">
        <f>IF(B106="","",MONTH(B106))</f>
        <v/>
      </c>
      <c r="O106">
        <f>IF(B106="","",YEAR(B106))</f>
        <v/>
      </c>
      <c r="P106">
        <f>IF(AND(D106&lt;&gt;"",COUNTIF(D$7:D106,D106)=1),MAX(P$6:P105)+1,"")</f>
        <v/>
      </c>
      <c r="Q106">
        <f>IF(E106="","",IF(I106="أجور عمال","أجرة","مادة"))</f>
        <v/>
      </c>
    </row>
    <row r="107">
      <c r="A107" s="12">
        <f>IF(E107="","",ROW()-6)</f>
        <v/>
      </c>
      <c r="B107" s="13" t="n"/>
      <c r="C107" s="12">
        <f>IF(B107="","",CHOOSE(WEEKDAY(B107,1),"الأحد","الاثنين","الثلاثاء","الأربعاء","الخميس","الجمعة","السبت"))</f>
        <v/>
      </c>
      <c r="D107" s="14" t="n"/>
      <c r="E107" s="15" t="n"/>
      <c r="F107" s="16" t="n"/>
      <c r="G107" s="17" t="n"/>
      <c r="H107" s="18">
        <f>IF(OR(F107="",G107=""),"",ROUND(F107*G107,2))</f>
        <v/>
      </c>
      <c r="I107" s="19">
        <f>IF(ISNUMBER(SEARCH("ستاند",D107)),"أثاث وستاندات","")</f>
        <v/>
      </c>
      <c r="J107" s="20">
        <f>IF(E107="","",IF(I107="","⚠ عبّي الغرض",IF(AND(D107&lt;&gt;"",OR(ISNUMBER(SEARCH("صيانة",D107)),ISNUMBER(SEARCH("تعزيل",D107)),ISNUMBER(SEARCH("تنظيف",D107)),ISNUMBER(SEARCH("تصليح",D107)))),"⚠ الصيانة بلا ورشة",IF(H107="","⚠ ناقص",IF(D107&lt;&gt;"",IF(SUMIF($D$7:$D$806,D107,$H$7:$H$806)&gt;=20,"أصل","مصروف"),IFERROR(IF(VLOOKUP(I107,'القوائم'!$A$2:$D$14,4,0)="زكاة وصدقة","زكاة وصدقة",IF(AND(VLOOKUP(I107,'القوائم'!$A$2:$D$14,3,0)&lt;&gt;"",H107&gt;=20),"أصل","مصروف")),"مصروف"))))))</f>
        <v/>
      </c>
      <c r="K107" s="21" t="n"/>
      <c r="L107" s="22" t="n"/>
      <c r="N107">
        <f>IF(B107="","",MONTH(B107))</f>
        <v/>
      </c>
      <c r="O107">
        <f>IF(B107="","",YEAR(B107))</f>
        <v/>
      </c>
      <c r="P107">
        <f>IF(AND(D107&lt;&gt;"",COUNTIF(D$7:D107,D107)=1),MAX(P$6:P106)+1,"")</f>
        <v/>
      </c>
      <c r="Q107">
        <f>IF(E107="","",IF(I107="أجور عمال","أجرة","مادة"))</f>
        <v/>
      </c>
    </row>
    <row r="108">
      <c r="A108" s="12">
        <f>IF(E108="","",ROW()-6)</f>
        <v/>
      </c>
      <c r="B108" s="13" t="n"/>
      <c r="C108" s="12">
        <f>IF(B108="","",CHOOSE(WEEKDAY(B108,1),"الأحد","الاثنين","الثلاثاء","الأربعاء","الخميس","الجمعة","السبت"))</f>
        <v/>
      </c>
      <c r="D108" s="14" t="n"/>
      <c r="E108" s="15" t="n"/>
      <c r="F108" s="16" t="n"/>
      <c r="G108" s="17" t="n"/>
      <c r="H108" s="18">
        <f>IF(OR(F108="",G108=""),"",ROUND(F108*G108,2))</f>
        <v/>
      </c>
      <c r="I108" s="19">
        <f>IF(ISNUMBER(SEARCH("ستاند",D108)),"أثاث وستاندات","")</f>
        <v/>
      </c>
      <c r="J108" s="20">
        <f>IF(E108="","",IF(I108="","⚠ عبّي الغرض",IF(AND(D108&lt;&gt;"",OR(ISNUMBER(SEARCH("صيانة",D108)),ISNUMBER(SEARCH("تعزيل",D108)),ISNUMBER(SEARCH("تنظيف",D108)),ISNUMBER(SEARCH("تصليح",D108)))),"⚠ الصيانة بلا ورشة",IF(H108="","⚠ ناقص",IF(D108&lt;&gt;"",IF(SUMIF($D$7:$D$806,D108,$H$7:$H$806)&gt;=20,"أصل","مصروف"),IFERROR(IF(VLOOKUP(I108,'القوائم'!$A$2:$D$14,4,0)="زكاة وصدقة","زكاة وصدقة",IF(AND(VLOOKUP(I108,'القوائم'!$A$2:$D$14,3,0)&lt;&gt;"",H108&gt;=20),"أصل","مصروف")),"مصروف"))))))</f>
        <v/>
      </c>
      <c r="K108" s="21" t="n"/>
      <c r="L108" s="22" t="n"/>
      <c r="N108">
        <f>IF(B108="","",MONTH(B108))</f>
        <v/>
      </c>
      <c r="O108">
        <f>IF(B108="","",YEAR(B108))</f>
        <v/>
      </c>
      <c r="P108">
        <f>IF(AND(D108&lt;&gt;"",COUNTIF(D$7:D108,D108)=1),MAX(P$6:P107)+1,"")</f>
        <v/>
      </c>
      <c r="Q108">
        <f>IF(E108="","",IF(I108="أجور عمال","أجرة","مادة"))</f>
        <v/>
      </c>
    </row>
    <row r="109">
      <c r="A109" s="12">
        <f>IF(E109="","",ROW()-6)</f>
        <v/>
      </c>
      <c r="B109" s="13" t="n"/>
      <c r="C109" s="12">
        <f>IF(B109="","",CHOOSE(WEEKDAY(B109,1),"الأحد","الاثنين","الثلاثاء","الأربعاء","الخميس","الجمعة","السبت"))</f>
        <v/>
      </c>
      <c r="D109" s="14" t="n"/>
      <c r="E109" s="15" t="n"/>
      <c r="F109" s="16" t="n"/>
      <c r="G109" s="17" t="n"/>
      <c r="H109" s="18">
        <f>IF(OR(F109="",G109=""),"",ROUND(F109*G109,2))</f>
        <v/>
      </c>
      <c r="I109" s="19">
        <f>IF(ISNUMBER(SEARCH("ستاند",D109)),"أثاث وستاندات","")</f>
        <v/>
      </c>
      <c r="J109" s="20">
        <f>IF(E109="","",IF(I109="","⚠ عبّي الغرض",IF(AND(D109&lt;&gt;"",OR(ISNUMBER(SEARCH("صيانة",D109)),ISNUMBER(SEARCH("تعزيل",D109)),ISNUMBER(SEARCH("تنظيف",D109)),ISNUMBER(SEARCH("تصليح",D109)))),"⚠ الصيانة بلا ورشة",IF(H109="","⚠ ناقص",IF(D109&lt;&gt;"",IF(SUMIF($D$7:$D$806,D109,$H$7:$H$806)&gt;=20,"أصل","مصروف"),IFERROR(IF(VLOOKUP(I109,'القوائم'!$A$2:$D$14,4,0)="زكاة وصدقة","زكاة وصدقة",IF(AND(VLOOKUP(I109,'القوائم'!$A$2:$D$14,3,0)&lt;&gt;"",H109&gt;=20),"أصل","مصروف")),"مصروف"))))))</f>
        <v/>
      </c>
      <c r="K109" s="21" t="n"/>
      <c r="L109" s="22" t="n"/>
      <c r="N109">
        <f>IF(B109="","",MONTH(B109))</f>
        <v/>
      </c>
      <c r="O109">
        <f>IF(B109="","",YEAR(B109))</f>
        <v/>
      </c>
      <c r="P109">
        <f>IF(AND(D109&lt;&gt;"",COUNTIF(D$7:D109,D109)=1),MAX(P$6:P108)+1,"")</f>
        <v/>
      </c>
      <c r="Q109">
        <f>IF(E109="","",IF(I109="أجور عمال","أجرة","مادة"))</f>
        <v/>
      </c>
    </row>
    <row r="110">
      <c r="A110" s="12">
        <f>IF(E110="","",ROW()-6)</f>
        <v/>
      </c>
      <c r="B110" s="13" t="n"/>
      <c r="C110" s="12">
        <f>IF(B110="","",CHOOSE(WEEKDAY(B110,1),"الأحد","الاثنين","الثلاثاء","الأربعاء","الخميس","الجمعة","السبت"))</f>
        <v/>
      </c>
      <c r="D110" s="14" t="n"/>
      <c r="E110" s="15" t="n"/>
      <c r="F110" s="16" t="n"/>
      <c r="G110" s="17" t="n"/>
      <c r="H110" s="18">
        <f>IF(OR(F110="",G110=""),"",ROUND(F110*G110,2))</f>
        <v/>
      </c>
      <c r="I110" s="19">
        <f>IF(ISNUMBER(SEARCH("ستاند",D110)),"أثاث وستاندات","")</f>
        <v/>
      </c>
      <c r="J110" s="20">
        <f>IF(E110="","",IF(I110="","⚠ عبّي الغرض",IF(AND(D110&lt;&gt;"",OR(ISNUMBER(SEARCH("صيانة",D110)),ISNUMBER(SEARCH("تعزيل",D110)),ISNUMBER(SEARCH("تنظيف",D110)),ISNUMBER(SEARCH("تصليح",D110)))),"⚠ الصيانة بلا ورشة",IF(H110="","⚠ ناقص",IF(D110&lt;&gt;"",IF(SUMIF($D$7:$D$806,D110,$H$7:$H$806)&gt;=20,"أصل","مصروف"),IFERROR(IF(VLOOKUP(I110,'القوائم'!$A$2:$D$14,4,0)="زكاة وصدقة","زكاة وصدقة",IF(AND(VLOOKUP(I110,'القوائم'!$A$2:$D$14,3,0)&lt;&gt;"",H110&gt;=20),"أصل","مصروف")),"مصروف"))))))</f>
        <v/>
      </c>
      <c r="K110" s="21" t="n"/>
      <c r="L110" s="22" t="n"/>
      <c r="N110">
        <f>IF(B110="","",MONTH(B110))</f>
        <v/>
      </c>
      <c r="O110">
        <f>IF(B110="","",YEAR(B110))</f>
        <v/>
      </c>
      <c r="P110">
        <f>IF(AND(D110&lt;&gt;"",COUNTIF(D$7:D110,D110)=1),MAX(P$6:P109)+1,"")</f>
        <v/>
      </c>
      <c r="Q110">
        <f>IF(E110="","",IF(I110="أجور عمال","أجرة","مادة"))</f>
        <v/>
      </c>
    </row>
    <row r="111">
      <c r="A111" s="12">
        <f>IF(E111="","",ROW()-6)</f>
        <v/>
      </c>
      <c r="B111" s="13" t="n"/>
      <c r="C111" s="12">
        <f>IF(B111="","",CHOOSE(WEEKDAY(B111,1),"الأحد","الاثنين","الثلاثاء","الأربعاء","الخميس","الجمعة","السبت"))</f>
        <v/>
      </c>
      <c r="D111" s="14" t="n"/>
      <c r="E111" s="15" t="n"/>
      <c r="F111" s="16" t="n"/>
      <c r="G111" s="17" t="n"/>
      <c r="H111" s="18">
        <f>IF(OR(F111="",G111=""),"",ROUND(F111*G111,2))</f>
        <v/>
      </c>
      <c r="I111" s="19">
        <f>IF(ISNUMBER(SEARCH("ستاند",D111)),"أثاث وستاندات","")</f>
        <v/>
      </c>
      <c r="J111" s="20">
        <f>IF(E111="","",IF(I111="","⚠ عبّي الغرض",IF(AND(D111&lt;&gt;"",OR(ISNUMBER(SEARCH("صيانة",D111)),ISNUMBER(SEARCH("تعزيل",D111)),ISNUMBER(SEARCH("تنظيف",D111)),ISNUMBER(SEARCH("تصليح",D111)))),"⚠ الصيانة بلا ورشة",IF(H111="","⚠ ناقص",IF(D111&lt;&gt;"",IF(SUMIF($D$7:$D$806,D111,$H$7:$H$806)&gt;=20,"أصل","مصروف"),IFERROR(IF(VLOOKUP(I111,'القوائم'!$A$2:$D$14,4,0)="زكاة وصدقة","زكاة وصدقة",IF(AND(VLOOKUP(I111,'القوائم'!$A$2:$D$14,3,0)&lt;&gt;"",H111&gt;=20),"أصل","مصروف")),"مصروف"))))))</f>
        <v/>
      </c>
      <c r="K111" s="21" t="n"/>
      <c r="L111" s="22" t="n"/>
      <c r="N111">
        <f>IF(B111="","",MONTH(B111))</f>
        <v/>
      </c>
      <c r="O111">
        <f>IF(B111="","",YEAR(B111))</f>
        <v/>
      </c>
      <c r="P111">
        <f>IF(AND(D111&lt;&gt;"",COUNTIF(D$7:D111,D111)=1),MAX(P$6:P110)+1,"")</f>
        <v/>
      </c>
      <c r="Q111">
        <f>IF(E111="","",IF(I111="أجور عمال","أجرة","مادة"))</f>
        <v/>
      </c>
    </row>
    <row r="112">
      <c r="A112" s="12">
        <f>IF(E112="","",ROW()-6)</f>
        <v/>
      </c>
      <c r="B112" s="13" t="n"/>
      <c r="C112" s="12">
        <f>IF(B112="","",CHOOSE(WEEKDAY(B112,1),"الأحد","الاثنين","الثلاثاء","الأربعاء","الخميس","الجمعة","السبت"))</f>
        <v/>
      </c>
      <c r="D112" s="14" t="n"/>
      <c r="E112" s="15" t="n"/>
      <c r="F112" s="16" t="n"/>
      <c r="G112" s="17" t="n"/>
      <c r="H112" s="18">
        <f>IF(OR(F112="",G112=""),"",ROUND(F112*G112,2))</f>
        <v/>
      </c>
      <c r="I112" s="19">
        <f>IF(ISNUMBER(SEARCH("ستاند",D112)),"أثاث وستاندات","")</f>
        <v/>
      </c>
      <c r="J112" s="20">
        <f>IF(E112="","",IF(I112="","⚠ عبّي الغرض",IF(AND(D112&lt;&gt;"",OR(ISNUMBER(SEARCH("صيانة",D112)),ISNUMBER(SEARCH("تعزيل",D112)),ISNUMBER(SEARCH("تنظيف",D112)),ISNUMBER(SEARCH("تصليح",D112)))),"⚠ الصيانة بلا ورشة",IF(H112="","⚠ ناقص",IF(D112&lt;&gt;"",IF(SUMIF($D$7:$D$806,D112,$H$7:$H$806)&gt;=20,"أصل","مصروف"),IFERROR(IF(VLOOKUP(I112,'القوائم'!$A$2:$D$14,4,0)="زكاة وصدقة","زكاة وصدقة",IF(AND(VLOOKUP(I112,'القوائم'!$A$2:$D$14,3,0)&lt;&gt;"",H112&gt;=20),"أصل","مصروف")),"مصروف"))))))</f>
        <v/>
      </c>
      <c r="K112" s="21" t="n"/>
      <c r="L112" s="22" t="n"/>
      <c r="N112">
        <f>IF(B112="","",MONTH(B112))</f>
        <v/>
      </c>
      <c r="O112">
        <f>IF(B112="","",YEAR(B112))</f>
        <v/>
      </c>
      <c r="P112">
        <f>IF(AND(D112&lt;&gt;"",COUNTIF(D$7:D112,D112)=1),MAX(P$6:P111)+1,"")</f>
        <v/>
      </c>
      <c r="Q112">
        <f>IF(E112="","",IF(I112="أجور عمال","أجرة","مادة"))</f>
        <v/>
      </c>
    </row>
    <row r="113">
      <c r="A113" s="12">
        <f>IF(E113="","",ROW()-6)</f>
        <v/>
      </c>
      <c r="B113" s="13" t="n"/>
      <c r="C113" s="12">
        <f>IF(B113="","",CHOOSE(WEEKDAY(B113,1),"الأحد","الاثنين","الثلاثاء","الأربعاء","الخميس","الجمعة","السبت"))</f>
        <v/>
      </c>
      <c r="D113" s="14" t="n"/>
      <c r="E113" s="15" t="n"/>
      <c r="F113" s="16" t="n"/>
      <c r="G113" s="17" t="n"/>
      <c r="H113" s="18">
        <f>IF(OR(F113="",G113=""),"",ROUND(F113*G113,2))</f>
        <v/>
      </c>
      <c r="I113" s="19">
        <f>IF(ISNUMBER(SEARCH("ستاند",D113)),"أثاث وستاندات","")</f>
        <v/>
      </c>
      <c r="J113" s="20">
        <f>IF(E113="","",IF(I113="","⚠ عبّي الغرض",IF(AND(D113&lt;&gt;"",OR(ISNUMBER(SEARCH("صيانة",D113)),ISNUMBER(SEARCH("تعزيل",D113)),ISNUMBER(SEARCH("تنظيف",D113)),ISNUMBER(SEARCH("تصليح",D113)))),"⚠ الصيانة بلا ورشة",IF(H113="","⚠ ناقص",IF(D113&lt;&gt;"",IF(SUMIF($D$7:$D$806,D113,$H$7:$H$806)&gt;=20,"أصل","مصروف"),IFERROR(IF(VLOOKUP(I113,'القوائم'!$A$2:$D$14,4,0)="زكاة وصدقة","زكاة وصدقة",IF(AND(VLOOKUP(I113,'القوائم'!$A$2:$D$14,3,0)&lt;&gt;"",H113&gt;=20),"أصل","مصروف")),"مصروف"))))))</f>
        <v/>
      </c>
      <c r="K113" s="21" t="n"/>
      <c r="L113" s="22" t="n"/>
      <c r="N113">
        <f>IF(B113="","",MONTH(B113))</f>
        <v/>
      </c>
      <c r="O113">
        <f>IF(B113="","",YEAR(B113))</f>
        <v/>
      </c>
      <c r="P113">
        <f>IF(AND(D113&lt;&gt;"",COUNTIF(D$7:D113,D113)=1),MAX(P$6:P112)+1,"")</f>
        <v/>
      </c>
      <c r="Q113">
        <f>IF(E113="","",IF(I113="أجور عمال","أجرة","مادة"))</f>
        <v/>
      </c>
    </row>
    <row r="114">
      <c r="A114" s="12">
        <f>IF(E114="","",ROW()-6)</f>
        <v/>
      </c>
      <c r="B114" s="13" t="n"/>
      <c r="C114" s="12">
        <f>IF(B114="","",CHOOSE(WEEKDAY(B114,1),"الأحد","الاثنين","الثلاثاء","الأربعاء","الخميس","الجمعة","السبت"))</f>
        <v/>
      </c>
      <c r="D114" s="14" t="n"/>
      <c r="E114" s="15" t="n"/>
      <c r="F114" s="16" t="n"/>
      <c r="G114" s="17" t="n"/>
      <c r="H114" s="18">
        <f>IF(OR(F114="",G114=""),"",ROUND(F114*G114,2))</f>
        <v/>
      </c>
      <c r="I114" s="19">
        <f>IF(ISNUMBER(SEARCH("ستاند",D114)),"أثاث وستاندات","")</f>
        <v/>
      </c>
      <c r="J114" s="20">
        <f>IF(E114="","",IF(I114="","⚠ عبّي الغرض",IF(AND(D114&lt;&gt;"",OR(ISNUMBER(SEARCH("صيانة",D114)),ISNUMBER(SEARCH("تعزيل",D114)),ISNUMBER(SEARCH("تنظيف",D114)),ISNUMBER(SEARCH("تصليح",D114)))),"⚠ الصيانة بلا ورشة",IF(H114="","⚠ ناقص",IF(D114&lt;&gt;"",IF(SUMIF($D$7:$D$806,D114,$H$7:$H$806)&gt;=20,"أصل","مصروف"),IFERROR(IF(VLOOKUP(I114,'القوائم'!$A$2:$D$14,4,0)="زكاة وصدقة","زكاة وصدقة",IF(AND(VLOOKUP(I114,'القوائم'!$A$2:$D$14,3,0)&lt;&gt;"",H114&gt;=20),"أصل","مصروف")),"مصروف"))))))</f>
        <v/>
      </c>
      <c r="K114" s="21" t="n"/>
      <c r="L114" s="22" t="n"/>
      <c r="N114">
        <f>IF(B114="","",MONTH(B114))</f>
        <v/>
      </c>
      <c r="O114">
        <f>IF(B114="","",YEAR(B114))</f>
        <v/>
      </c>
      <c r="P114">
        <f>IF(AND(D114&lt;&gt;"",COUNTIF(D$7:D114,D114)=1),MAX(P$6:P113)+1,"")</f>
        <v/>
      </c>
      <c r="Q114">
        <f>IF(E114="","",IF(I114="أجور عمال","أجرة","مادة"))</f>
        <v/>
      </c>
    </row>
    <row r="115">
      <c r="A115" s="12">
        <f>IF(E115="","",ROW()-6)</f>
        <v/>
      </c>
      <c r="B115" s="13" t="n"/>
      <c r="C115" s="12">
        <f>IF(B115="","",CHOOSE(WEEKDAY(B115,1),"الأحد","الاثنين","الثلاثاء","الأربعاء","الخميس","الجمعة","السبت"))</f>
        <v/>
      </c>
      <c r="D115" s="14" t="n"/>
      <c r="E115" s="15" t="n"/>
      <c r="F115" s="16" t="n"/>
      <c r="G115" s="17" t="n"/>
      <c r="H115" s="18">
        <f>IF(OR(F115="",G115=""),"",ROUND(F115*G115,2))</f>
        <v/>
      </c>
      <c r="I115" s="19">
        <f>IF(ISNUMBER(SEARCH("ستاند",D115)),"أثاث وستاندات","")</f>
        <v/>
      </c>
      <c r="J115" s="20">
        <f>IF(E115="","",IF(I115="","⚠ عبّي الغرض",IF(AND(D115&lt;&gt;"",OR(ISNUMBER(SEARCH("صيانة",D115)),ISNUMBER(SEARCH("تعزيل",D115)),ISNUMBER(SEARCH("تنظيف",D115)),ISNUMBER(SEARCH("تصليح",D115)))),"⚠ الصيانة بلا ورشة",IF(H115="","⚠ ناقص",IF(D115&lt;&gt;"",IF(SUMIF($D$7:$D$806,D115,$H$7:$H$806)&gt;=20,"أصل","مصروف"),IFERROR(IF(VLOOKUP(I115,'القوائم'!$A$2:$D$14,4,0)="زكاة وصدقة","زكاة وصدقة",IF(AND(VLOOKUP(I115,'القوائم'!$A$2:$D$14,3,0)&lt;&gt;"",H115&gt;=20),"أصل","مصروف")),"مصروف"))))))</f>
        <v/>
      </c>
      <c r="K115" s="21" t="n"/>
      <c r="L115" s="22" t="n"/>
      <c r="N115">
        <f>IF(B115="","",MONTH(B115))</f>
        <v/>
      </c>
      <c r="O115">
        <f>IF(B115="","",YEAR(B115))</f>
        <v/>
      </c>
      <c r="P115">
        <f>IF(AND(D115&lt;&gt;"",COUNTIF(D$7:D115,D115)=1),MAX(P$6:P114)+1,"")</f>
        <v/>
      </c>
      <c r="Q115">
        <f>IF(E115="","",IF(I115="أجور عمال","أجرة","مادة"))</f>
        <v/>
      </c>
    </row>
    <row r="116">
      <c r="A116" s="12">
        <f>IF(E116="","",ROW()-6)</f>
        <v/>
      </c>
      <c r="B116" s="13" t="n"/>
      <c r="C116" s="12">
        <f>IF(B116="","",CHOOSE(WEEKDAY(B116,1),"الأحد","الاثنين","الثلاثاء","الأربعاء","الخميس","الجمعة","السبت"))</f>
        <v/>
      </c>
      <c r="D116" s="14" t="n"/>
      <c r="E116" s="15" t="n"/>
      <c r="F116" s="16" t="n"/>
      <c r="G116" s="17" t="n"/>
      <c r="H116" s="18">
        <f>IF(OR(F116="",G116=""),"",ROUND(F116*G116,2))</f>
        <v/>
      </c>
      <c r="I116" s="19">
        <f>IF(ISNUMBER(SEARCH("ستاند",D116)),"أثاث وستاندات","")</f>
        <v/>
      </c>
      <c r="J116" s="20">
        <f>IF(E116="","",IF(I116="","⚠ عبّي الغرض",IF(AND(D116&lt;&gt;"",OR(ISNUMBER(SEARCH("صيانة",D116)),ISNUMBER(SEARCH("تعزيل",D116)),ISNUMBER(SEARCH("تنظيف",D116)),ISNUMBER(SEARCH("تصليح",D116)))),"⚠ الصيانة بلا ورشة",IF(H116="","⚠ ناقص",IF(D116&lt;&gt;"",IF(SUMIF($D$7:$D$806,D116,$H$7:$H$806)&gt;=20,"أصل","مصروف"),IFERROR(IF(VLOOKUP(I116,'القوائم'!$A$2:$D$14,4,0)="زكاة وصدقة","زكاة وصدقة",IF(AND(VLOOKUP(I116,'القوائم'!$A$2:$D$14,3,0)&lt;&gt;"",H116&gt;=20),"أصل","مصروف")),"مصروف"))))))</f>
        <v/>
      </c>
      <c r="K116" s="21" t="n"/>
      <c r="L116" s="22" t="n"/>
      <c r="N116">
        <f>IF(B116="","",MONTH(B116))</f>
        <v/>
      </c>
      <c r="O116">
        <f>IF(B116="","",YEAR(B116))</f>
        <v/>
      </c>
      <c r="P116">
        <f>IF(AND(D116&lt;&gt;"",COUNTIF(D$7:D116,D116)=1),MAX(P$6:P115)+1,"")</f>
        <v/>
      </c>
      <c r="Q116">
        <f>IF(E116="","",IF(I116="أجور عمال","أجرة","مادة"))</f>
        <v/>
      </c>
    </row>
    <row r="117">
      <c r="A117" s="12">
        <f>IF(E117="","",ROW()-6)</f>
        <v/>
      </c>
      <c r="B117" s="13" t="n"/>
      <c r="C117" s="12">
        <f>IF(B117="","",CHOOSE(WEEKDAY(B117,1),"الأحد","الاثنين","الثلاثاء","الأربعاء","الخميس","الجمعة","السبت"))</f>
        <v/>
      </c>
      <c r="D117" s="14" t="n"/>
      <c r="E117" s="15" t="n"/>
      <c r="F117" s="16" t="n"/>
      <c r="G117" s="17" t="n"/>
      <c r="H117" s="18">
        <f>IF(OR(F117="",G117=""),"",ROUND(F117*G117,2))</f>
        <v/>
      </c>
      <c r="I117" s="19">
        <f>IF(ISNUMBER(SEARCH("ستاند",D117)),"أثاث وستاندات","")</f>
        <v/>
      </c>
      <c r="J117" s="20">
        <f>IF(E117="","",IF(I117="","⚠ عبّي الغرض",IF(AND(D117&lt;&gt;"",OR(ISNUMBER(SEARCH("صيانة",D117)),ISNUMBER(SEARCH("تعزيل",D117)),ISNUMBER(SEARCH("تنظيف",D117)),ISNUMBER(SEARCH("تصليح",D117)))),"⚠ الصيانة بلا ورشة",IF(H117="","⚠ ناقص",IF(D117&lt;&gt;"",IF(SUMIF($D$7:$D$806,D117,$H$7:$H$806)&gt;=20,"أصل","مصروف"),IFERROR(IF(VLOOKUP(I117,'القوائم'!$A$2:$D$14,4,0)="زكاة وصدقة","زكاة وصدقة",IF(AND(VLOOKUP(I117,'القوائم'!$A$2:$D$14,3,0)&lt;&gt;"",H117&gt;=20),"أصل","مصروف")),"مصروف"))))))</f>
        <v/>
      </c>
      <c r="K117" s="21" t="n"/>
      <c r="L117" s="22" t="n"/>
      <c r="N117">
        <f>IF(B117="","",MONTH(B117))</f>
        <v/>
      </c>
      <c r="O117">
        <f>IF(B117="","",YEAR(B117))</f>
        <v/>
      </c>
      <c r="P117">
        <f>IF(AND(D117&lt;&gt;"",COUNTIF(D$7:D117,D117)=1),MAX(P$6:P116)+1,"")</f>
        <v/>
      </c>
      <c r="Q117">
        <f>IF(E117="","",IF(I117="أجور عمال","أجرة","مادة"))</f>
        <v/>
      </c>
    </row>
    <row r="118">
      <c r="A118" s="12">
        <f>IF(E118="","",ROW()-6)</f>
        <v/>
      </c>
      <c r="B118" s="13" t="n"/>
      <c r="C118" s="12">
        <f>IF(B118="","",CHOOSE(WEEKDAY(B118,1),"الأحد","الاثنين","الثلاثاء","الأربعاء","الخميس","الجمعة","السبت"))</f>
        <v/>
      </c>
      <c r="D118" s="14" t="n"/>
      <c r="E118" s="15" t="n"/>
      <c r="F118" s="16" t="n"/>
      <c r="G118" s="17" t="n"/>
      <c r="H118" s="18">
        <f>IF(OR(F118="",G118=""),"",ROUND(F118*G118,2))</f>
        <v/>
      </c>
      <c r="I118" s="19">
        <f>IF(ISNUMBER(SEARCH("ستاند",D118)),"أثاث وستاندات","")</f>
        <v/>
      </c>
      <c r="J118" s="20">
        <f>IF(E118="","",IF(I118="","⚠ عبّي الغرض",IF(AND(D118&lt;&gt;"",OR(ISNUMBER(SEARCH("صيانة",D118)),ISNUMBER(SEARCH("تعزيل",D118)),ISNUMBER(SEARCH("تنظيف",D118)),ISNUMBER(SEARCH("تصليح",D118)))),"⚠ الصيانة بلا ورشة",IF(H118="","⚠ ناقص",IF(D118&lt;&gt;"",IF(SUMIF($D$7:$D$806,D118,$H$7:$H$806)&gt;=20,"أصل","مصروف"),IFERROR(IF(VLOOKUP(I118,'القوائم'!$A$2:$D$14,4,0)="زكاة وصدقة","زكاة وصدقة",IF(AND(VLOOKUP(I118,'القوائم'!$A$2:$D$14,3,0)&lt;&gt;"",H118&gt;=20),"أصل","مصروف")),"مصروف"))))))</f>
        <v/>
      </c>
      <c r="K118" s="21" t="n"/>
      <c r="L118" s="22" t="n"/>
      <c r="N118">
        <f>IF(B118="","",MONTH(B118))</f>
        <v/>
      </c>
      <c r="O118">
        <f>IF(B118="","",YEAR(B118))</f>
        <v/>
      </c>
      <c r="P118">
        <f>IF(AND(D118&lt;&gt;"",COUNTIF(D$7:D118,D118)=1),MAX(P$6:P117)+1,"")</f>
        <v/>
      </c>
      <c r="Q118">
        <f>IF(E118="","",IF(I118="أجور عمال","أجرة","مادة"))</f>
        <v/>
      </c>
    </row>
    <row r="119">
      <c r="A119" s="12">
        <f>IF(E119="","",ROW()-6)</f>
        <v/>
      </c>
      <c r="B119" s="13" t="n"/>
      <c r="C119" s="12">
        <f>IF(B119="","",CHOOSE(WEEKDAY(B119,1),"الأحد","الاثنين","الثلاثاء","الأربعاء","الخميس","الجمعة","السبت"))</f>
        <v/>
      </c>
      <c r="D119" s="14" t="n"/>
      <c r="E119" s="15" t="n"/>
      <c r="F119" s="16" t="n"/>
      <c r="G119" s="17" t="n"/>
      <c r="H119" s="18">
        <f>IF(OR(F119="",G119=""),"",ROUND(F119*G119,2))</f>
        <v/>
      </c>
      <c r="I119" s="19">
        <f>IF(ISNUMBER(SEARCH("ستاند",D119)),"أثاث وستاندات","")</f>
        <v/>
      </c>
      <c r="J119" s="20">
        <f>IF(E119="","",IF(I119="","⚠ عبّي الغرض",IF(AND(D119&lt;&gt;"",OR(ISNUMBER(SEARCH("صيانة",D119)),ISNUMBER(SEARCH("تعزيل",D119)),ISNUMBER(SEARCH("تنظيف",D119)),ISNUMBER(SEARCH("تصليح",D119)))),"⚠ الصيانة بلا ورشة",IF(H119="","⚠ ناقص",IF(D119&lt;&gt;"",IF(SUMIF($D$7:$D$806,D119,$H$7:$H$806)&gt;=20,"أصل","مصروف"),IFERROR(IF(VLOOKUP(I119,'القوائم'!$A$2:$D$14,4,0)="زكاة وصدقة","زكاة وصدقة",IF(AND(VLOOKUP(I119,'القوائم'!$A$2:$D$14,3,0)&lt;&gt;"",H119&gt;=20),"أصل","مصروف")),"مصروف"))))))</f>
        <v/>
      </c>
      <c r="K119" s="21" t="n"/>
      <c r="L119" s="22" t="n"/>
      <c r="N119">
        <f>IF(B119="","",MONTH(B119))</f>
        <v/>
      </c>
      <c r="O119">
        <f>IF(B119="","",YEAR(B119))</f>
        <v/>
      </c>
      <c r="P119">
        <f>IF(AND(D119&lt;&gt;"",COUNTIF(D$7:D119,D119)=1),MAX(P$6:P118)+1,"")</f>
        <v/>
      </c>
      <c r="Q119">
        <f>IF(E119="","",IF(I119="أجور عمال","أجرة","مادة"))</f>
        <v/>
      </c>
    </row>
    <row r="120">
      <c r="A120" s="12">
        <f>IF(E120="","",ROW()-6)</f>
        <v/>
      </c>
      <c r="B120" s="13" t="n"/>
      <c r="C120" s="12">
        <f>IF(B120="","",CHOOSE(WEEKDAY(B120,1),"الأحد","الاثنين","الثلاثاء","الأربعاء","الخميس","الجمعة","السبت"))</f>
        <v/>
      </c>
      <c r="D120" s="14" t="n"/>
      <c r="E120" s="15" t="n"/>
      <c r="F120" s="16" t="n"/>
      <c r="G120" s="17" t="n"/>
      <c r="H120" s="18">
        <f>IF(OR(F120="",G120=""),"",ROUND(F120*G120,2))</f>
        <v/>
      </c>
      <c r="I120" s="19">
        <f>IF(ISNUMBER(SEARCH("ستاند",D120)),"أثاث وستاندات","")</f>
        <v/>
      </c>
      <c r="J120" s="20">
        <f>IF(E120="","",IF(I120="","⚠ عبّي الغرض",IF(AND(D120&lt;&gt;"",OR(ISNUMBER(SEARCH("صيانة",D120)),ISNUMBER(SEARCH("تعزيل",D120)),ISNUMBER(SEARCH("تنظيف",D120)),ISNUMBER(SEARCH("تصليح",D120)))),"⚠ الصيانة بلا ورشة",IF(H120="","⚠ ناقص",IF(D120&lt;&gt;"",IF(SUMIF($D$7:$D$806,D120,$H$7:$H$806)&gt;=20,"أصل","مصروف"),IFERROR(IF(VLOOKUP(I120,'القوائم'!$A$2:$D$14,4,0)="زكاة وصدقة","زكاة وصدقة",IF(AND(VLOOKUP(I120,'القوائم'!$A$2:$D$14,3,0)&lt;&gt;"",H120&gt;=20),"أصل","مصروف")),"مصروف"))))))</f>
        <v/>
      </c>
      <c r="K120" s="21" t="n"/>
      <c r="L120" s="22" t="n"/>
      <c r="N120">
        <f>IF(B120="","",MONTH(B120))</f>
        <v/>
      </c>
      <c r="O120">
        <f>IF(B120="","",YEAR(B120))</f>
        <v/>
      </c>
      <c r="P120">
        <f>IF(AND(D120&lt;&gt;"",COUNTIF(D$7:D120,D120)=1),MAX(P$6:P119)+1,"")</f>
        <v/>
      </c>
      <c r="Q120">
        <f>IF(E120="","",IF(I120="أجور عمال","أجرة","مادة"))</f>
        <v/>
      </c>
    </row>
    <row r="121">
      <c r="A121" s="12">
        <f>IF(E121="","",ROW()-6)</f>
        <v/>
      </c>
      <c r="B121" s="13" t="n"/>
      <c r="C121" s="12">
        <f>IF(B121="","",CHOOSE(WEEKDAY(B121,1),"الأحد","الاثنين","الثلاثاء","الأربعاء","الخميس","الجمعة","السبت"))</f>
        <v/>
      </c>
      <c r="D121" s="14" t="n"/>
      <c r="E121" s="15" t="n"/>
      <c r="F121" s="16" t="n"/>
      <c r="G121" s="17" t="n"/>
      <c r="H121" s="18">
        <f>IF(OR(F121="",G121=""),"",ROUND(F121*G121,2))</f>
        <v/>
      </c>
      <c r="I121" s="19">
        <f>IF(ISNUMBER(SEARCH("ستاند",D121)),"أثاث وستاندات","")</f>
        <v/>
      </c>
      <c r="J121" s="20">
        <f>IF(E121="","",IF(I121="","⚠ عبّي الغرض",IF(AND(D121&lt;&gt;"",OR(ISNUMBER(SEARCH("صيانة",D121)),ISNUMBER(SEARCH("تعزيل",D121)),ISNUMBER(SEARCH("تنظيف",D121)),ISNUMBER(SEARCH("تصليح",D121)))),"⚠ الصيانة بلا ورشة",IF(H121="","⚠ ناقص",IF(D121&lt;&gt;"",IF(SUMIF($D$7:$D$806,D121,$H$7:$H$806)&gt;=20,"أصل","مصروف"),IFERROR(IF(VLOOKUP(I121,'القوائم'!$A$2:$D$14,4,0)="زكاة وصدقة","زكاة وصدقة",IF(AND(VLOOKUP(I121,'القوائم'!$A$2:$D$14,3,0)&lt;&gt;"",H121&gt;=20),"أصل","مصروف")),"مصروف"))))))</f>
        <v/>
      </c>
      <c r="K121" s="21" t="n"/>
      <c r="L121" s="22" t="n"/>
      <c r="N121">
        <f>IF(B121="","",MONTH(B121))</f>
        <v/>
      </c>
      <c r="O121">
        <f>IF(B121="","",YEAR(B121))</f>
        <v/>
      </c>
      <c r="P121">
        <f>IF(AND(D121&lt;&gt;"",COUNTIF(D$7:D121,D121)=1),MAX(P$6:P120)+1,"")</f>
        <v/>
      </c>
      <c r="Q121">
        <f>IF(E121="","",IF(I121="أجور عمال","أجرة","مادة"))</f>
        <v/>
      </c>
    </row>
    <row r="122">
      <c r="A122" s="12">
        <f>IF(E122="","",ROW()-6)</f>
        <v/>
      </c>
      <c r="B122" s="13" t="n"/>
      <c r="C122" s="12">
        <f>IF(B122="","",CHOOSE(WEEKDAY(B122,1),"الأحد","الاثنين","الثلاثاء","الأربعاء","الخميس","الجمعة","السبت"))</f>
        <v/>
      </c>
      <c r="D122" s="14" t="n"/>
      <c r="E122" s="15" t="n"/>
      <c r="F122" s="16" t="n"/>
      <c r="G122" s="17" t="n"/>
      <c r="H122" s="18">
        <f>IF(OR(F122="",G122=""),"",ROUND(F122*G122,2))</f>
        <v/>
      </c>
      <c r="I122" s="19">
        <f>IF(ISNUMBER(SEARCH("ستاند",D122)),"أثاث وستاندات","")</f>
        <v/>
      </c>
      <c r="J122" s="20">
        <f>IF(E122="","",IF(I122="","⚠ عبّي الغرض",IF(AND(D122&lt;&gt;"",OR(ISNUMBER(SEARCH("صيانة",D122)),ISNUMBER(SEARCH("تعزيل",D122)),ISNUMBER(SEARCH("تنظيف",D122)),ISNUMBER(SEARCH("تصليح",D122)))),"⚠ الصيانة بلا ورشة",IF(H122="","⚠ ناقص",IF(D122&lt;&gt;"",IF(SUMIF($D$7:$D$806,D122,$H$7:$H$806)&gt;=20,"أصل","مصروف"),IFERROR(IF(VLOOKUP(I122,'القوائم'!$A$2:$D$14,4,0)="زكاة وصدقة","زكاة وصدقة",IF(AND(VLOOKUP(I122,'القوائم'!$A$2:$D$14,3,0)&lt;&gt;"",H122&gt;=20),"أصل","مصروف")),"مصروف"))))))</f>
        <v/>
      </c>
      <c r="K122" s="21" t="n"/>
      <c r="L122" s="22" t="n"/>
      <c r="N122">
        <f>IF(B122="","",MONTH(B122))</f>
        <v/>
      </c>
      <c r="O122">
        <f>IF(B122="","",YEAR(B122))</f>
        <v/>
      </c>
      <c r="P122">
        <f>IF(AND(D122&lt;&gt;"",COUNTIF(D$7:D122,D122)=1),MAX(P$6:P121)+1,"")</f>
        <v/>
      </c>
      <c r="Q122">
        <f>IF(E122="","",IF(I122="أجور عمال","أجرة","مادة"))</f>
        <v/>
      </c>
    </row>
    <row r="123">
      <c r="A123" s="12">
        <f>IF(E123="","",ROW()-6)</f>
        <v/>
      </c>
      <c r="B123" s="13" t="n"/>
      <c r="C123" s="12">
        <f>IF(B123="","",CHOOSE(WEEKDAY(B123,1),"الأحد","الاثنين","الثلاثاء","الأربعاء","الخميس","الجمعة","السبت"))</f>
        <v/>
      </c>
      <c r="D123" s="14" t="n"/>
      <c r="E123" s="15" t="n"/>
      <c r="F123" s="16" t="n"/>
      <c r="G123" s="17" t="n"/>
      <c r="H123" s="18">
        <f>IF(OR(F123="",G123=""),"",ROUND(F123*G123,2))</f>
        <v/>
      </c>
      <c r="I123" s="19">
        <f>IF(ISNUMBER(SEARCH("ستاند",D123)),"أثاث وستاندات","")</f>
        <v/>
      </c>
      <c r="J123" s="20">
        <f>IF(E123="","",IF(I123="","⚠ عبّي الغرض",IF(AND(D123&lt;&gt;"",OR(ISNUMBER(SEARCH("صيانة",D123)),ISNUMBER(SEARCH("تعزيل",D123)),ISNUMBER(SEARCH("تنظيف",D123)),ISNUMBER(SEARCH("تصليح",D123)))),"⚠ الصيانة بلا ورشة",IF(H123="","⚠ ناقص",IF(D123&lt;&gt;"",IF(SUMIF($D$7:$D$806,D123,$H$7:$H$806)&gt;=20,"أصل","مصروف"),IFERROR(IF(VLOOKUP(I123,'القوائم'!$A$2:$D$14,4,0)="زكاة وصدقة","زكاة وصدقة",IF(AND(VLOOKUP(I123,'القوائم'!$A$2:$D$14,3,0)&lt;&gt;"",H123&gt;=20),"أصل","مصروف")),"مصروف"))))))</f>
        <v/>
      </c>
      <c r="K123" s="21" t="n"/>
      <c r="L123" s="22" t="n"/>
      <c r="N123">
        <f>IF(B123="","",MONTH(B123))</f>
        <v/>
      </c>
      <c r="O123">
        <f>IF(B123="","",YEAR(B123))</f>
        <v/>
      </c>
      <c r="P123">
        <f>IF(AND(D123&lt;&gt;"",COUNTIF(D$7:D123,D123)=1),MAX(P$6:P122)+1,"")</f>
        <v/>
      </c>
      <c r="Q123">
        <f>IF(E123="","",IF(I123="أجور عمال","أجرة","مادة"))</f>
        <v/>
      </c>
    </row>
    <row r="124">
      <c r="A124" s="12">
        <f>IF(E124="","",ROW()-6)</f>
        <v/>
      </c>
      <c r="B124" s="13" t="n"/>
      <c r="C124" s="12">
        <f>IF(B124="","",CHOOSE(WEEKDAY(B124,1),"الأحد","الاثنين","الثلاثاء","الأربعاء","الخميس","الجمعة","السبت"))</f>
        <v/>
      </c>
      <c r="D124" s="14" t="n"/>
      <c r="E124" s="15" t="n"/>
      <c r="F124" s="16" t="n"/>
      <c r="G124" s="17" t="n"/>
      <c r="H124" s="18">
        <f>IF(OR(F124="",G124=""),"",ROUND(F124*G124,2))</f>
        <v/>
      </c>
      <c r="I124" s="19">
        <f>IF(ISNUMBER(SEARCH("ستاند",D124)),"أثاث وستاندات","")</f>
        <v/>
      </c>
      <c r="J124" s="20">
        <f>IF(E124="","",IF(I124="","⚠ عبّي الغرض",IF(AND(D124&lt;&gt;"",OR(ISNUMBER(SEARCH("صيانة",D124)),ISNUMBER(SEARCH("تعزيل",D124)),ISNUMBER(SEARCH("تنظيف",D124)),ISNUMBER(SEARCH("تصليح",D124)))),"⚠ الصيانة بلا ورشة",IF(H124="","⚠ ناقص",IF(D124&lt;&gt;"",IF(SUMIF($D$7:$D$806,D124,$H$7:$H$806)&gt;=20,"أصل","مصروف"),IFERROR(IF(VLOOKUP(I124,'القوائم'!$A$2:$D$14,4,0)="زكاة وصدقة","زكاة وصدقة",IF(AND(VLOOKUP(I124,'القوائم'!$A$2:$D$14,3,0)&lt;&gt;"",H124&gt;=20),"أصل","مصروف")),"مصروف"))))))</f>
        <v/>
      </c>
      <c r="K124" s="21" t="n"/>
      <c r="L124" s="22" t="n"/>
      <c r="N124">
        <f>IF(B124="","",MONTH(B124))</f>
        <v/>
      </c>
      <c r="O124">
        <f>IF(B124="","",YEAR(B124))</f>
        <v/>
      </c>
      <c r="P124">
        <f>IF(AND(D124&lt;&gt;"",COUNTIF(D$7:D124,D124)=1),MAX(P$6:P123)+1,"")</f>
        <v/>
      </c>
      <c r="Q124">
        <f>IF(E124="","",IF(I124="أجور عمال","أجرة","مادة"))</f>
        <v/>
      </c>
    </row>
    <row r="125">
      <c r="A125" s="12">
        <f>IF(E125="","",ROW()-6)</f>
        <v/>
      </c>
      <c r="B125" s="13" t="n"/>
      <c r="C125" s="12">
        <f>IF(B125="","",CHOOSE(WEEKDAY(B125,1),"الأحد","الاثنين","الثلاثاء","الأربعاء","الخميس","الجمعة","السبت"))</f>
        <v/>
      </c>
      <c r="D125" s="14" t="n"/>
      <c r="E125" s="15" t="n"/>
      <c r="F125" s="16" t="n"/>
      <c r="G125" s="17" t="n"/>
      <c r="H125" s="18">
        <f>IF(OR(F125="",G125=""),"",ROUND(F125*G125,2))</f>
        <v/>
      </c>
      <c r="I125" s="19">
        <f>IF(ISNUMBER(SEARCH("ستاند",D125)),"أثاث وستاندات","")</f>
        <v/>
      </c>
      <c r="J125" s="20">
        <f>IF(E125="","",IF(I125="","⚠ عبّي الغرض",IF(AND(D125&lt;&gt;"",OR(ISNUMBER(SEARCH("صيانة",D125)),ISNUMBER(SEARCH("تعزيل",D125)),ISNUMBER(SEARCH("تنظيف",D125)),ISNUMBER(SEARCH("تصليح",D125)))),"⚠ الصيانة بلا ورشة",IF(H125="","⚠ ناقص",IF(D125&lt;&gt;"",IF(SUMIF($D$7:$D$806,D125,$H$7:$H$806)&gt;=20,"أصل","مصروف"),IFERROR(IF(VLOOKUP(I125,'القوائم'!$A$2:$D$14,4,0)="زكاة وصدقة","زكاة وصدقة",IF(AND(VLOOKUP(I125,'القوائم'!$A$2:$D$14,3,0)&lt;&gt;"",H125&gt;=20),"أصل","مصروف")),"مصروف"))))))</f>
        <v/>
      </c>
      <c r="K125" s="21" t="n"/>
      <c r="L125" s="22" t="n"/>
      <c r="N125">
        <f>IF(B125="","",MONTH(B125))</f>
        <v/>
      </c>
      <c r="O125">
        <f>IF(B125="","",YEAR(B125))</f>
        <v/>
      </c>
      <c r="P125">
        <f>IF(AND(D125&lt;&gt;"",COUNTIF(D$7:D125,D125)=1),MAX(P$6:P124)+1,"")</f>
        <v/>
      </c>
      <c r="Q125">
        <f>IF(E125="","",IF(I125="أجور عمال","أجرة","مادة"))</f>
        <v/>
      </c>
    </row>
    <row r="126">
      <c r="A126" s="12">
        <f>IF(E126="","",ROW()-6)</f>
        <v/>
      </c>
      <c r="B126" s="13" t="n"/>
      <c r="C126" s="12">
        <f>IF(B126="","",CHOOSE(WEEKDAY(B126,1),"الأحد","الاثنين","الثلاثاء","الأربعاء","الخميس","الجمعة","السبت"))</f>
        <v/>
      </c>
      <c r="D126" s="14" t="n"/>
      <c r="E126" s="15" t="n"/>
      <c r="F126" s="16" t="n"/>
      <c r="G126" s="17" t="n"/>
      <c r="H126" s="18">
        <f>IF(OR(F126="",G126=""),"",ROUND(F126*G126,2))</f>
        <v/>
      </c>
      <c r="I126" s="19">
        <f>IF(ISNUMBER(SEARCH("ستاند",D126)),"أثاث وستاندات","")</f>
        <v/>
      </c>
      <c r="J126" s="20">
        <f>IF(E126="","",IF(I126="","⚠ عبّي الغرض",IF(AND(D126&lt;&gt;"",OR(ISNUMBER(SEARCH("صيانة",D126)),ISNUMBER(SEARCH("تعزيل",D126)),ISNUMBER(SEARCH("تنظيف",D126)),ISNUMBER(SEARCH("تصليح",D126)))),"⚠ الصيانة بلا ورشة",IF(H126="","⚠ ناقص",IF(D126&lt;&gt;"",IF(SUMIF($D$7:$D$806,D126,$H$7:$H$806)&gt;=20,"أصل","مصروف"),IFERROR(IF(VLOOKUP(I126,'القوائم'!$A$2:$D$14,4,0)="زكاة وصدقة","زكاة وصدقة",IF(AND(VLOOKUP(I126,'القوائم'!$A$2:$D$14,3,0)&lt;&gt;"",H126&gt;=20),"أصل","مصروف")),"مصروف"))))))</f>
        <v/>
      </c>
      <c r="K126" s="21" t="n"/>
      <c r="L126" s="22" t="n"/>
      <c r="N126">
        <f>IF(B126="","",MONTH(B126))</f>
        <v/>
      </c>
      <c r="O126">
        <f>IF(B126="","",YEAR(B126))</f>
        <v/>
      </c>
      <c r="P126">
        <f>IF(AND(D126&lt;&gt;"",COUNTIF(D$7:D126,D126)=1),MAX(P$6:P125)+1,"")</f>
        <v/>
      </c>
      <c r="Q126">
        <f>IF(E126="","",IF(I126="أجور عمال","أجرة","مادة"))</f>
        <v/>
      </c>
    </row>
    <row r="127">
      <c r="A127" s="12">
        <f>IF(E127="","",ROW()-6)</f>
        <v/>
      </c>
      <c r="B127" s="13" t="n"/>
      <c r="C127" s="12">
        <f>IF(B127="","",CHOOSE(WEEKDAY(B127,1),"الأحد","الاثنين","الثلاثاء","الأربعاء","الخميس","الجمعة","السبت"))</f>
        <v/>
      </c>
      <c r="D127" s="14" t="n"/>
      <c r="E127" s="15" t="n"/>
      <c r="F127" s="16" t="n"/>
      <c r="G127" s="17" t="n"/>
      <c r="H127" s="18">
        <f>IF(OR(F127="",G127=""),"",ROUND(F127*G127,2))</f>
        <v/>
      </c>
      <c r="I127" s="19">
        <f>IF(ISNUMBER(SEARCH("ستاند",D127)),"أثاث وستاندات","")</f>
        <v/>
      </c>
      <c r="J127" s="20">
        <f>IF(E127="","",IF(I127="","⚠ عبّي الغرض",IF(AND(D127&lt;&gt;"",OR(ISNUMBER(SEARCH("صيانة",D127)),ISNUMBER(SEARCH("تعزيل",D127)),ISNUMBER(SEARCH("تنظيف",D127)),ISNUMBER(SEARCH("تصليح",D127)))),"⚠ الصيانة بلا ورشة",IF(H127="","⚠ ناقص",IF(D127&lt;&gt;"",IF(SUMIF($D$7:$D$806,D127,$H$7:$H$806)&gt;=20,"أصل","مصروف"),IFERROR(IF(VLOOKUP(I127,'القوائم'!$A$2:$D$14,4,0)="زكاة وصدقة","زكاة وصدقة",IF(AND(VLOOKUP(I127,'القوائم'!$A$2:$D$14,3,0)&lt;&gt;"",H127&gt;=20),"أصل","مصروف")),"مصروف"))))))</f>
        <v/>
      </c>
      <c r="K127" s="21" t="n"/>
      <c r="L127" s="22" t="n"/>
      <c r="N127">
        <f>IF(B127="","",MONTH(B127))</f>
        <v/>
      </c>
      <c r="O127">
        <f>IF(B127="","",YEAR(B127))</f>
        <v/>
      </c>
      <c r="P127">
        <f>IF(AND(D127&lt;&gt;"",COUNTIF(D$7:D127,D127)=1),MAX(P$6:P126)+1,"")</f>
        <v/>
      </c>
      <c r="Q127">
        <f>IF(E127="","",IF(I127="أجور عمال","أجرة","مادة"))</f>
        <v/>
      </c>
    </row>
    <row r="128">
      <c r="A128" s="12">
        <f>IF(E128="","",ROW()-6)</f>
        <v/>
      </c>
      <c r="B128" s="13" t="n"/>
      <c r="C128" s="12">
        <f>IF(B128="","",CHOOSE(WEEKDAY(B128,1),"الأحد","الاثنين","الثلاثاء","الأربعاء","الخميس","الجمعة","السبت"))</f>
        <v/>
      </c>
      <c r="D128" s="14" t="n"/>
      <c r="E128" s="15" t="n"/>
      <c r="F128" s="16" t="n"/>
      <c r="G128" s="17" t="n"/>
      <c r="H128" s="18">
        <f>IF(OR(F128="",G128=""),"",ROUND(F128*G128,2))</f>
        <v/>
      </c>
      <c r="I128" s="19">
        <f>IF(ISNUMBER(SEARCH("ستاند",D128)),"أثاث وستاندات","")</f>
        <v/>
      </c>
      <c r="J128" s="20">
        <f>IF(E128="","",IF(I128="","⚠ عبّي الغرض",IF(AND(D128&lt;&gt;"",OR(ISNUMBER(SEARCH("صيانة",D128)),ISNUMBER(SEARCH("تعزيل",D128)),ISNUMBER(SEARCH("تنظيف",D128)),ISNUMBER(SEARCH("تصليح",D128)))),"⚠ الصيانة بلا ورشة",IF(H128="","⚠ ناقص",IF(D128&lt;&gt;"",IF(SUMIF($D$7:$D$806,D128,$H$7:$H$806)&gt;=20,"أصل","مصروف"),IFERROR(IF(VLOOKUP(I128,'القوائم'!$A$2:$D$14,4,0)="زكاة وصدقة","زكاة وصدقة",IF(AND(VLOOKUP(I128,'القوائم'!$A$2:$D$14,3,0)&lt;&gt;"",H128&gt;=20),"أصل","مصروف")),"مصروف"))))))</f>
        <v/>
      </c>
      <c r="K128" s="21" t="n"/>
      <c r="L128" s="22" t="n"/>
      <c r="N128">
        <f>IF(B128="","",MONTH(B128))</f>
        <v/>
      </c>
      <c r="O128">
        <f>IF(B128="","",YEAR(B128))</f>
        <v/>
      </c>
      <c r="P128">
        <f>IF(AND(D128&lt;&gt;"",COUNTIF(D$7:D128,D128)=1),MAX(P$6:P127)+1,"")</f>
        <v/>
      </c>
      <c r="Q128">
        <f>IF(E128="","",IF(I128="أجور عمال","أجرة","مادة"))</f>
        <v/>
      </c>
    </row>
    <row r="129">
      <c r="A129" s="12">
        <f>IF(E129="","",ROW()-6)</f>
        <v/>
      </c>
      <c r="B129" s="13" t="n"/>
      <c r="C129" s="12">
        <f>IF(B129="","",CHOOSE(WEEKDAY(B129,1),"الأحد","الاثنين","الثلاثاء","الأربعاء","الخميس","الجمعة","السبت"))</f>
        <v/>
      </c>
      <c r="D129" s="14" t="n"/>
      <c r="E129" s="15" t="n"/>
      <c r="F129" s="16" t="n"/>
      <c r="G129" s="17" t="n"/>
      <c r="H129" s="18">
        <f>IF(OR(F129="",G129=""),"",ROUND(F129*G129,2))</f>
        <v/>
      </c>
      <c r="I129" s="19">
        <f>IF(ISNUMBER(SEARCH("ستاند",D129)),"أثاث وستاندات","")</f>
        <v/>
      </c>
      <c r="J129" s="20">
        <f>IF(E129="","",IF(I129="","⚠ عبّي الغرض",IF(AND(D129&lt;&gt;"",OR(ISNUMBER(SEARCH("صيانة",D129)),ISNUMBER(SEARCH("تعزيل",D129)),ISNUMBER(SEARCH("تنظيف",D129)),ISNUMBER(SEARCH("تصليح",D129)))),"⚠ الصيانة بلا ورشة",IF(H129="","⚠ ناقص",IF(D129&lt;&gt;"",IF(SUMIF($D$7:$D$806,D129,$H$7:$H$806)&gt;=20,"أصل","مصروف"),IFERROR(IF(VLOOKUP(I129,'القوائم'!$A$2:$D$14,4,0)="زكاة وصدقة","زكاة وصدقة",IF(AND(VLOOKUP(I129,'القوائم'!$A$2:$D$14,3,0)&lt;&gt;"",H129&gt;=20),"أصل","مصروف")),"مصروف"))))))</f>
        <v/>
      </c>
      <c r="K129" s="21" t="n"/>
      <c r="L129" s="22" t="n"/>
      <c r="N129">
        <f>IF(B129="","",MONTH(B129))</f>
        <v/>
      </c>
      <c r="O129">
        <f>IF(B129="","",YEAR(B129))</f>
        <v/>
      </c>
      <c r="P129">
        <f>IF(AND(D129&lt;&gt;"",COUNTIF(D$7:D129,D129)=1),MAX(P$6:P128)+1,"")</f>
        <v/>
      </c>
      <c r="Q129">
        <f>IF(E129="","",IF(I129="أجور عمال","أجرة","مادة"))</f>
        <v/>
      </c>
    </row>
    <row r="130">
      <c r="A130" s="12">
        <f>IF(E130="","",ROW()-6)</f>
        <v/>
      </c>
      <c r="B130" s="13" t="n"/>
      <c r="C130" s="12">
        <f>IF(B130="","",CHOOSE(WEEKDAY(B130,1),"الأحد","الاثنين","الثلاثاء","الأربعاء","الخميس","الجمعة","السبت"))</f>
        <v/>
      </c>
      <c r="D130" s="14" t="n"/>
      <c r="E130" s="15" t="n"/>
      <c r="F130" s="16" t="n"/>
      <c r="G130" s="17" t="n"/>
      <c r="H130" s="18">
        <f>IF(OR(F130="",G130=""),"",ROUND(F130*G130,2))</f>
        <v/>
      </c>
      <c r="I130" s="19">
        <f>IF(ISNUMBER(SEARCH("ستاند",D130)),"أثاث وستاندات","")</f>
        <v/>
      </c>
      <c r="J130" s="20">
        <f>IF(E130="","",IF(I130="","⚠ عبّي الغرض",IF(AND(D130&lt;&gt;"",OR(ISNUMBER(SEARCH("صيانة",D130)),ISNUMBER(SEARCH("تعزيل",D130)),ISNUMBER(SEARCH("تنظيف",D130)),ISNUMBER(SEARCH("تصليح",D130)))),"⚠ الصيانة بلا ورشة",IF(H130="","⚠ ناقص",IF(D130&lt;&gt;"",IF(SUMIF($D$7:$D$806,D130,$H$7:$H$806)&gt;=20,"أصل","مصروف"),IFERROR(IF(VLOOKUP(I130,'القوائم'!$A$2:$D$14,4,0)="زكاة وصدقة","زكاة وصدقة",IF(AND(VLOOKUP(I130,'القوائم'!$A$2:$D$14,3,0)&lt;&gt;"",H130&gt;=20),"أصل","مصروف")),"مصروف"))))))</f>
        <v/>
      </c>
      <c r="K130" s="21" t="n"/>
      <c r="L130" s="22" t="n"/>
      <c r="N130">
        <f>IF(B130="","",MONTH(B130))</f>
        <v/>
      </c>
      <c r="O130">
        <f>IF(B130="","",YEAR(B130))</f>
        <v/>
      </c>
      <c r="P130">
        <f>IF(AND(D130&lt;&gt;"",COUNTIF(D$7:D130,D130)=1),MAX(P$6:P129)+1,"")</f>
        <v/>
      </c>
      <c r="Q130">
        <f>IF(E130="","",IF(I130="أجور عمال","أجرة","مادة"))</f>
        <v/>
      </c>
    </row>
    <row r="131">
      <c r="A131" s="12">
        <f>IF(E131="","",ROW()-6)</f>
        <v/>
      </c>
      <c r="B131" s="13" t="n"/>
      <c r="C131" s="12">
        <f>IF(B131="","",CHOOSE(WEEKDAY(B131,1),"الأحد","الاثنين","الثلاثاء","الأربعاء","الخميس","الجمعة","السبت"))</f>
        <v/>
      </c>
      <c r="D131" s="14" t="n"/>
      <c r="E131" s="15" t="n"/>
      <c r="F131" s="16" t="n"/>
      <c r="G131" s="17" t="n"/>
      <c r="H131" s="18">
        <f>IF(OR(F131="",G131=""),"",ROUND(F131*G131,2))</f>
        <v/>
      </c>
      <c r="I131" s="19">
        <f>IF(ISNUMBER(SEARCH("ستاند",D131)),"أثاث وستاندات","")</f>
        <v/>
      </c>
      <c r="J131" s="20">
        <f>IF(E131="","",IF(I131="","⚠ عبّي الغرض",IF(AND(D131&lt;&gt;"",OR(ISNUMBER(SEARCH("صيانة",D131)),ISNUMBER(SEARCH("تعزيل",D131)),ISNUMBER(SEARCH("تنظيف",D131)),ISNUMBER(SEARCH("تصليح",D131)))),"⚠ الصيانة بلا ورشة",IF(H131="","⚠ ناقص",IF(D131&lt;&gt;"",IF(SUMIF($D$7:$D$806,D131,$H$7:$H$806)&gt;=20,"أصل","مصروف"),IFERROR(IF(VLOOKUP(I131,'القوائم'!$A$2:$D$14,4,0)="زكاة وصدقة","زكاة وصدقة",IF(AND(VLOOKUP(I131,'القوائم'!$A$2:$D$14,3,0)&lt;&gt;"",H131&gt;=20),"أصل","مصروف")),"مصروف"))))))</f>
        <v/>
      </c>
      <c r="K131" s="21" t="n"/>
      <c r="L131" s="22" t="n"/>
      <c r="N131">
        <f>IF(B131="","",MONTH(B131))</f>
        <v/>
      </c>
      <c r="O131">
        <f>IF(B131="","",YEAR(B131))</f>
        <v/>
      </c>
      <c r="P131">
        <f>IF(AND(D131&lt;&gt;"",COUNTIF(D$7:D131,D131)=1),MAX(P$6:P130)+1,"")</f>
        <v/>
      </c>
      <c r="Q131">
        <f>IF(E131="","",IF(I131="أجور عمال","أجرة","مادة"))</f>
        <v/>
      </c>
    </row>
    <row r="132">
      <c r="A132" s="12">
        <f>IF(E132="","",ROW()-6)</f>
        <v/>
      </c>
      <c r="B132" s="13" t="n"/>
      <c r="C132" s="12">
        <f>IF(B132="","",CHOOSE(WEEKDAY(B132,1),"الأحد","الاثنين","الثلاثاء","الأربعاء","الخميس","الجمعة","السبت"))</f>
        <v/>
      </c>
      <c r="D132" s="14" t="n"/>
      <c r="E132" s="15" t="n"/>
      <c r="F132" s="16" t="n"/>
      <c r="G132" s="17" t="n"/>
      <c r="H132" s="18">
        <f>IF(OR(F132="",G132=""),"",ROUND(F132*G132,2))</f>
        <v/>
      </c>
      <c r="I132" s="19">
        <f>IF(ISNUMBER(SEARCH("ستاند",D132)),"أثاث وستاندات","")</f>
        <v/>
      </c>
      <c r="J132" s="20">
        <f>IF(E132="","",IF(I132="","⚠ عبّي الغرض",IF(AND(D132&lt;&gt;"",OR(ISNUMBER(SEARCH("صيانة",D132)),ISNUMBER(SEARCH("تعزيل",D132)),ISNUMBER(SEARCH("تنظيف",D132)),ISNUMBER(SEARCH("تصليح",D132)))),"⚠ الصيانة بلا ورشة",IF(H132="","⚠ ناقص",IF(D132&lt;&gt;"",IF(SUMIF($D$7:$D$806,D132,$H$7:$H$806)&gt;=20,"أصل","مصروف"),IFERROR(IF(VLOOKUP(I132,'القوائم'!$A$2:$D$14,4,0)="زكاة وصدقة","زكاة وصدقة",IF(AND(VLOOKUP(I132,'القوائم'!$A$2:$D$14,3,0)&lt;&gt;"",H132&gt;=20),"أصل","مصروف")),"مصروف"))))))</f>
        <v/>
      </c>
      <c r="K132" s="21" t="n"/>
      <c r="L132" s="22" t="n"/>
      <c r="N132">
        <f>IF(B132="","",MONTH(B132))</f>
        <v/>
      </c>
      <c r="O132">
        <f>IF(B132="","",YEAR(B132))</f>
        <v/>
      </c>
      <c r="P132">
        <f>IF(AND(D132&lt;&gt;"",COUNTIF(D$7:D132,D132)=1),MAX(P$6:P131)+1,"")</f>
        <v/>
      </c>
      <c r="Q132">
        <f>IF(E132="","",IF(I132="أجور عمال","أجرة","مادة"))</f>
        <v/>
      </c>
    </row>
    <row r="133">
      <c r="A133" s="12">
        <f>IF(E133="","",ROW()-6)</f>
        <v/>
      </c>
      <c r="B133" s="13" t="n"/>
      <c r="C133" s="12">
        <f>IF(B133="","",CHOOSE(WEEKDAY(B133,1),"الأحد","الاثنين","الثلاثاء","الأربعاء","الخميس","الجمعة","السبت"))</f>
        <v/>
      </c>
      <c r="D133" s="14" t="n"/>
      <c r="E133" s="15" t="n"/>
      <c r="F133" s="16" t="n"/>
      <c r="G133" s="17" t="n"/>
      <c r="H133" s="18">
        <f>IF(OR(F133="",G133=""),"",ROUND(F133*G133,2))</f>
        <v/>
      </c>
      <c r="I133" s="19">
        <f>IF(ISNUMBER(SEARCH("ستاند",D133)),"أثاث وستاندات","")</f>
        <v/>
      </c>
      <c r="J133" s="20">
        <f>IF(E133="","",IF(I133="","⚠ عبّي الغرض",IF(AND(D133&lt;&gt;"",OR(ISNUMBER(SEARCH("صيانة",D133)),ISNUMBER(SEARCH("تعزيل",D133)),ISNUMBER(SEARCH("تنظيف",D133)),ISNUMBER(SEARCH("تصليح",D133)))),"⚠ الصيانة بلا ورشة",IF(H133="","⚠ ناقص",IF(D133&lt;&gt;"",IF(SUMIF($D$7:$D$806,D133,$H$7:$H$806)&gt;=20,"أصل","مصروف"),IFERROR(IF(VLOOKUP(I133,'القوائم'!$A$2:$D$14,4,0)="زكاة وصدقة","زكاة وصدقة",IF(AND(VLOOKUP(I133,'القوائم'!$A$2:$D$14,3,0)&lt;&gt;"",H133&gt;=20),"أصل","مصروف")),"مصروف"))))))</f>
        <v/>
      </c>
      <c r="K133" s="21" t="n"/>
      <c r="L133" s="22" t="n"/>
      <c r="N133">
        <f>IF(B133="","",MONTH(B133))</f>
        <v/>
      </c>
      <c r="O133">
        <f>IF(B133="","",YEAR(B133))</f>
        <v/>
      </c>
      <c r="P133">
        <f>IF(AND(D133&lt;&gt;"",COUNTIF(D$7:D133,D133)=1),MAX(P$6:P132)+1,"")</f>
        <v/>
      </c>
      <c r="Q133">
        <f>IF(E133="","",IF(I133="أجور عمال","أجرة","مادة"))</f>
        <v/>
      </c>
    </row>
    <row r="134">
      <c r="A134" s="12">
        <f>IF(E134="","",ROW()-6)</f>
        <v/>
      </c>
      <c r="B134" s="13" t="n"/>
      <c r="C134" s="12">
        <f>IF(B134="","",CHOOSE(WEEKDAY(B134,1),"الأحد","الاثنين","الثلاثاء","الأربعاء","الخميس","الجمعة","السبت"))</f>
        <v/>
      </c>
      <c r="D134" s="14" t="n"/>
      <c r="E134" s="15" t="n"/>
      <c r="F134" s="16" t="n"/>
      <c r="G134" s="17" t="n"/>
      <c r="H134" s="18">
        <f>IF(OR(F134="",G134=""),"",ROUND(F134*G134,2))</f>
        <v/>
      </c>
      <c r="I134" s="19">
        <f>IF(ISNUMBER(SEARCH("ستاند",D134)),"أثاث وستاندات","")</f>
        <v/>
      </c>
      <c r="J134" s="20">
        <f>IF(E134="","",IF(I134="","⚠ عبّي الغرض",IF(AND(D134&lt;&gt;"",OR(ISNUMBER(SEARCH("صيانة",D134)),ISNUMBER(SEARCH("تعزيل",D134)),ISNUMBER(SEARCH("تنظيف",D134)),ISNUMBER(SEARCH("تصليح",D134)))),"⚠ الصيانة بلا ورشة",IF(H134="","⚠ ناقص",IF(D134&lt;&gt;"",IF(SUMIF($D$7:$D$806,D134,$H$7:$H$806)&gt;=20,"أصل","مصروف"),IFERROR(IF(VLOOKUP(I134,'القوائم'!$A$2:$D$14,4,0)="زكاة وصدقة","زكاة وصدقة",IF(AND(VLOOKUP(I134,'القوائم'!$A$2:$D$14,3,0)&lt;&gt;"",H134&gt;=20),"أصل","مصروف")),"مصروف"))))))</f>
        <v/>
      </c>
      <c r="K134" s="21" t="n"/>
      <c r="L134" s="22" t="n"/>
      <c r="N134">
        <f>IF(B134="","",MONTH(B134))</f>
        <v/>
      </c>
      <c r="O134">
        <f>IF(B134="","",YEAR(B134))</f>
        <v/>
      </c>
      <c r="P134">
        <f>IF(AND(D134&lt;&gt;"",COUNTIF(D$7:D134,D134)=1),MAX(P$6:P133)+1,"")</f>
        <v/>
      </c>
      <c r="Q134">
        <f>IF(E134="","",IF(I134="أجور عمال","أجرة","مادة"))</f>
        <v/>
      </c>
    </row>
    <row r="135">
      <c r="A135" s="12">
        <f>IF(E135="","",ROW()-6)</f>
        <v/>
      </c>
      <c r="B135" s="13" t="n"/>
      <c r="C135" s="12">
        <f>IF(B135="","",CHOOSE(WEEKDAY(B135,1),"الأحد","الاثنين","الثلاثاء","الأربعاء","الخميس","الجمعة","السبت"))</f>
        <v/>
      </c>
      <c r="D135" s="14" t="n"/>
      <c r="E135" s="15" t="n"/>
      <c r="F135" s="16" t="n"/>
      <c r="G135" s="17" t="n"/>
      <c r="H135" s="18">
        <f>IF(OR(F135="",G135=""),"",ROUND(F135*G135,2))</f>
        <v/>
      </c>
      <c r="I135" s="19">
        <f>IF(ISNUMBER(SEARCH("ستاند",D135)),"أثاث وستاندات","")</f>
        <v/>
      </c>
      <c r="J135" s="20">
        <f>IF(E135="","",IF(I135="","⚠ عبّي الغرض",IF(AND(D135&lt;&gt;"",OR(ISNUMBER(SEARCH("صيانة",D135)),ISNUMBER(SEARCH("تعزيل",D135)),ISNUMBER(SEARCH("تنظيف",D135)),ISNUMBER(SEARCH("تصليح",D135)))),"⚠ الصيانة بلا ورشة",IF(H135="","⚠ ناقص",IF(D135&lt;&gt;"",IF(SUMIF($D$7:$D$806,D135,$H$7:$H$806)&gt;=20,"أصل","مصروف"),IFERROR(IF(VLOOKUP(I135,'القوائم'!$A$2:$D$14,4,0)="زكاة وصدقة","زكاة وصدقة",IF(AND(VLOOKUP(I135,'القوائم'!$A$2:$D$14,3,0)&lt;&gt;"",H135&gt;=20),"أصل","مصروف")),"مصروف"))))))</f>
        <v/>
      </c>
      <c r="K135" s="21" t="n"/>
      <c r="L135" s="22" t="n"/>
      <c r="N135">
        <f>IF(B135="","",MONTH(B135))</f>
        <v/>
      </c>
      <c r="O135">
        <f>IF(B135="","",YEAR(B135))</f>
        <v/>
      </c>
      <c r="P135">
        <f>IF(AND(D135&lt;&gt;"",COUNTIF(D$7:D135,D135)=1),MAX(P$6:P134)+1,"")</f>
        <v/>
      </c>
      <c r="Q135">
        <f>IF(E135="","",IF(I135="أجور عمال","أجرة","مادة"))</f>
        <v/>
      </c>
    </row>
    <row r="136">
      <c r="A136" s="12">
        <f>IF(E136="","",ROW()-6)</f>
        <v/>
      </c>
      <c r="B136" s="13" t="n"/>
      <c r="C136" s="12">
        <f>IF(B136="","",CHOOSE(WEEKDAY(B136,1),"الأحد","الاثنين","الثلاثاء","الأربعاء","الخميس","الجمعة","السبت"))</f>
        <v/>
      </c>
      <c r="D136" s="14" t="n"/>
      <c r="E136" s="15" t="n"/>
      <c r="F136" s="16" t="n"/>
      <c r="G136" s="17" t="n"/>
      <c r="H136" s="18">
        <f>IF(OR(F136="",G136=""),"",ROUND(F136*G136,2))</f>
        <v/>
      </c>
      <c r="I136" s="19">
        <f>IF(ISNUMBER(SEARCH("ستاند",D136)),"أثاث وستاندات","")</f>
        <v/>
      </c>
      <c r="J136" s="20">
        <f>IF(E136="","",IF(I136="","⚠ عبّي الغرض",IF(AND(D136&lt;&gt;"",OR(ISNUMBER(SEARCH("صيانة",D136)),ISNUMBER(SEARCH("تعزيل",D136)),ISNUMBER(SEARCH("تنظيف",D136)),ISNUMBER(SEARCH("تصليح",D136)))),"⚠ الصيانة بلا ورشة",IF(H136="","⚠ ناقص",IF(D136&lt;&gt;"",IF(SUMIF($D$7:$D$806,D136,$H$7:$H$806)&gt;=20,"أصل","مصروف"),IFERROR(IF(VLOOKUP(I136,'القوائم'!$A$2:$D$14,4,0)="زكاة وصدقة","زكاة وصدقة",IF(AND(VLOOKUP(I136,'القوائم'!$A$2:$D$14,3,0)&lt;&gt;"",H136&gt;=20),"أصل","مصروف")),"مصروف"))))))</f>
        <v/>
      </c>
      <c r="K136" s="21" t="n"/>
      <c r="L136" s="22" t="n"/>
      <c r="N136">
        <f>IF(B136="","",MONTH(B136))</f>
        <v/>
      </c>
      <c r="O136">
        <f>IF(B136="","",YEAR(B136))</f>
        <v/>
      </c>
      <c r="P136">
        <f>IF(AND(D136&lt;&gt;"",COUNTIF(D$7:D136,D136)=1),MAX(P$6:P135)+1,"")</f>
        <v/>
      </c>
      <c r="Q136">
        <f>IF(E136="","",IF(I136="أجور عمال","أجرة","مادة"))</f>
        <v/>
      </c>
    </row>
    <row r="137">
      <c r="A137" s="12">
        <f>IF(E137="","",ROW()-6)</f>
        <v/>
      </c>
      <c r="B137" s="13" t="n"/>
      <c r="C137" s="12">
        <f>IF(B137="","",CHOOSE(WEEKDAY(B137,1),"الأحد","الاثنين","الثلاثاء","الأربعاء","الخميس","الجمعة","السبت"))</f>
        <v/>
      </c>
      <c r="D137" s="14" t="n"/>
      <c r="E137" s="15" t="n"/>
      <c r="F137" s="16" t="n"/>
      <c r="G137" s="17" t="n"/>
      <c r="H137" s="18">
        <f>IF(OR(F137="",G137=""),"",ROUND(F137*G137,2))</f>
        <v/>
      </c>
      <c r="I137" s="19">
        <f>IF(ISNUMBER(SEARCH("ستاند",D137)),"أثاث وستاندات","")</f>
        <v/>
      </c>
      <c r="J137" s="20">
        <f>IF(E137="","",IF(I137="","⚠ عبّي الغرض",IF(AND(D137&lt;&gt;"",OR(ISNUMBER(SEARCH("صيانة",D137)),ISNUMBER(SEARCH("تعزيل",D137)),ISNUMBER(SEARCH("تنظيف",D137)),ISNUMBER(SEARCH("تصليح",D137)))),"⚠ الصيانة بلا ورشة",IF(H137="","⚠ ناقص",IF(D137&lt;&gt;"",IF(SUMIF($D$7:$D$806,D137,$H$7:$H$806)&gt;=20,"أصل","مصروف"),IFERROR(IF(VLOOKUP(I137,'القوائم'!$A$2:$D$14,4,0)="زكاة وصدقة","زكاة وصدقة",IF(AND(VLOOKUP(I137,'القوائم'!$A$2:$D$14,3,0)&lt;&gt;"",H137&gt;=20),"أصل","مصروف")),"مصروف"))))))</f>
        <v/>
      </c>
      <c r="K137" s="21" t="n"/>
      <c r="L137" s="22" t="n"/>
      <c r="N137">
        <f>IF(B137="","",MONTH(B137))</f>
        <v/>
      </c>
      <c r="O137">
        <f>IF(B137="","",YEAR(B137))</f>
        <v/>
      </c>
      <c r="P137">
        <f>IF(AND(D137&lt;&gt;"",COUNTIF(D$7:D137,D137)=1),MAX(P$6:P136)+1,"")</f>
        <v/>
      </c>
      <c r="Q137">
        <f>IF(E137="","",IF(I137="أجور عمال","أجرة","مادة"))</f>
        <v/>
      </c>
    </row>
    <row r="138">
      <c r="A138" s="12">
        <f>IF(E138="","",ROW()-6)</f>
        <v/>
      </c>
      <c r="B138" s="13" t="n"/>
      <c r="C138" s="12">
        <f>IF(B138="","",CHOOSE(WEEKDAY(B138,1),"الأحد","الاثنين","الثلاثاء","الأربعاء","الخميس","الجمعة","السبت"))</f>
        <v/>
      </c>
      <c r="D138" s="14" t="n"/>
      <c r="E138" s="15" t="n"/>
      <c r="F138" s="16" t="n"/>
      <c r="G138" s="17" t="n"/>
      <c r="H138" s="18">
        <f>IF(OR(F138="",G138=""),"",ROUND(F138*G138,2))</f>
        <v/>
      </c>
      <c r="I138" s="19">
        <f>IF(ISNUMBER(SEARCH("ستاند",D138)),"أثاث وستاندات","")</f>
        <v/>
      </c>
      <c r="J138" s="20">
        <f>IF(E138="","",IF(I138="","⚠ عبّي الغرض",IF(AND(D138&lt;&gt;"",OR(ISNUMBER(SEARCH("صيانة",D138)),ISNUMBER(SEARCH("تعزيل",D138)),ISNUMBER(SEARCH("تنظيف",D138)),ISNUMBER(SEARCH("تصليح",D138)))),"⚠ الصيانة بلا ورشة",IF(H138="","⚠ ناقص",IF(D138&lt;&gt;"",IF(SUMIF($D$7:$D$806,D138,$H$7:$H$806)&gt;=20,"أصل","مصروف"),IFERROR(IF(VLOOKUP(I138,'القوائم'!$A$2:$D$14,4,0)="زكاة وصدقة","زكاة وصدقة",IF(AND(VLOOKUP(I138,'القوائم'!$A$2:$D$14,3,0)&lt;&gt;"",H138&gt;=20),"أصل","مصروف")),"مصروف"))))))</f>
        <v/>
      </c>
      <c r="K138" s="21" t="n"/>
      <c r="L138" s="22" t="n"/>
      <c r="N138">
        <f>IF(B138="","",MONTH(B138))</f>
        <v/>
      </c>
      <c r="O138">
        <f>IF(B138="","",YEAR(B138))</f>
        <v/>
      </c>
      <c r="P138">
        <f>IF(AND(D138&lt;&gt;"",COUNTIF(D$7:D138,D138)=1),MAX(P$6:P137)+1,"")</f>
        <v/>
      </c>
      <c r="Q138">
        <f>IF(E138="","",IF(I138="أجور عمال","أجرة","مادة"))</f>
        <v/>
      </c>
    </row>
    <row r="139">
      <c r="A139" s="12">
        <f>IF(E139="","",ROW()-6)</f>
        <v/>
      </c>
      <c r="B139" s="13" t="n"/>
      <c r="C139" s="12">
        <f>IF(B139="","",CHOOSE(WEEKDAY(B139,1),"الأحد","الاثنين","الثلاثاء","الأربعاء","الخميس","الجمعة","السبت"))</f>
        <v/>
      </c>
      <c r="D139" s="14" t="n"/>
      <c r="E139" s="15" t="n"/>
      <c r="F139" s="16" t="n"/>
      <c r="G139" s="17" t="n"/>
      <c r="H139" s="18">
        <f>IF(OR(F139="",G139=""),"",ROUND(F139*G139,2))</f>
        <v/>
      </c>
      <c r="I139" s="19">
        <f>IF(ISNUMBER(SEARCH("ستاند",D139)),"أثاث وستاندات","")</f>
        <v/>
      </c>
      <c r="J139" s="20">
        <f>IF(E139="","",IF(I139="","⚠ عبّي الغرض",IF(AND(D139&lt;&gt;"",OR(ISNUMBER(SEARCH("صيانة",D139)),ISNUMBER(SEARCH("تعزيل",D139)),ISNUMBER(SEARCH("تنظيف",D139)),ISNUMBER(SEARCH("تصليح",D139)))),"⚠ الصيانة بلا ورشة",IF(H139="","⚠ ناقص",IF(D139&lt;&gt;"",IF(SUMIF($D$7:$D$806,D139,$H$7:$H$806)&gt;=20,"أصل","مصروف"),IFERROR(IF(VLOOKUP(I139,'القوائم'!$A$2:$D$14,4,0)="زكاة وصدقة","زكاة وصدقة",IF(AND(VLOOKUP(I139,'القوائم'!$A$2:$D$14,3,0)&lt;&gt;"",H139&gt;=20),"أصل","مصروف")),"مصروف"))))))</f>
        <v/>
      </c>
      <c r="K139" s="21" t="n"/>
      <c r="L139" s="22" t="n"/>
      <c r="N139">
        <f>IF(B139="","",MONTH(B139))</f>
        <v/>
      </c>
      <c r="O139">
        <f>IF(B139="","",YEAR(B139))</f>
        <v/>
      </c>
      <c r="P139">
        <f>IF(AND(D139&lt;&gt;"",COUNTIF(D$7:D139,D139)=1),MAX(P$6:P138)+1,"")</f>
        <v/>
      </c>
      <c r="Q139">
        <f>IF(E139="","",IF(I139="أجور عمال","أجرة","مادة"))</f>
        <v/>
      </c>
    </row>
    <row r="140">
      <c r="A140" s="12">
        <f>IF(E140="","",ROW()-6)</f>
        <v/>
      </c>
      <c r="B140" s="13" t="n"/>
      <c r="C140" s="12">
        <f>IF(B140="","",CHOOSE(WEEKDAY(B140,1),"الأحد","الاثنين","الثلاثاء","الأربعاء","الخميس","الجمعة","السبت"))</f>
        <v/>
      </c>
      <c r="D140" s="14" t="n"/>
      <c r="E140" s="15" t="n"/>
      <c r="F140" s="16" t="n"/>
      <c r="G140" s="17" t="n"/>
      <c r="H140" s="18">
        <f>IF(OR(F140="",G140=""),"",ROUND(F140*G140,2))</f>
        <v/>
      </c>
      <c r="I140" s="19">
        <f>IF(ISNUMBER(SEARCH("ستاند",D140)),"أثاث وستاندات","")</f>
        <v/>
      </c>
      <c r="J140" s="20">
        <f>IF(E140="","",IF(I140="","⚠ عبّي الغرض",IF(AND(D140&lt;&gt;"",OR(ISNUMBER(SEARCH("صيانة",D140)),ISNUMBER(SEARCH("تعزيل",D140)),ISNUMBER(SEARCH("تنظيف",D140)),ISNUMBER(SEARCH("تصليح",D140)))),"⚠ الصيانة بلا ورشة",IF(H140="","⚠ ناقص",IF(D140&lt;&gt;"",IF(SUMIF($D$7:$D$806,D140,$H$7:$H$806)&gt;=20,"أصل","مصروف"),IFERROR(IF(VLOOKUP(I140,'القوائم'!$A$2:$D$14,4,0)="زكاة وصدقة","زكاة وصدقة",IF(AND(VLOOKUP(I140,'القوائم'!$A$2:$D$14,3,0)&lt;&gt;"",H140&gt;=20),"أصل","مصروف")),"مصروف"))))))</f>
        <v/>
      </c>
      <c r="K140" s="21" t="n"/>
      <c r="L140" s="22" t="n"/>
      <c r="N140">
        <f>IF(B140="","",MONTH(B140))</f>
        <v/>
      </c>
      <c r="O140">
        <f>IF(B140="","",YEAR(B140))</f>
        <v/>
      </c>
      <c r="P140">
        <f>IF(AND(D140&lt;&gt;"",COUNTIF(D$7:D140,D140)=1),MAX(P$6:P139)+1,"")</f>
        <v/>
      </c>
      <c r="Q140">
        <f>IF(E140="","",IF(I140="أجور عمال","أجرة","مادة"))</f>
        <v/>
      </c>
    </row>
    <row r="141">
      <c r="A141" s="12">
        <f>IF(E141="","",ROW()-6)</f>
        <v/>
      </c>
      <c r="B141" s="13" t="n"/>
      <c r="C141" s="12">
        <f>IF(B141="","",CHOOSE(WEEKDAY(B141,1),"الأحد","الاثنين","الثلاثاء","الأربعاء","الخميس","الجمعة","السبت"))</f>
        <v/>
      </c>
      <c r="D141" s="14" t="n"/>
      <c r="E141" s="15" t="n"/>
      <c r="F141" s="16" t="n"/>
      <c r="G141" s="17" t="n"/>
      <c r="H141" s="18">
        <f>IF(OR(F141="",G141=""),"",ROUND(F141*G141,2))</f>
        <v/>
      </c>
      <c r="I141" s="19">
        <f>IF(ISNUMBER(SEARCH("ستاند",D141)),"أثاث وستاندات","")</f>
        <v/>
      </c>
      <c r="J141" s="20">
        <f>IF(E141="","",IF(I141="","⚠ عبّي الغرض",IF(AND(D141&lt;&gt;"",OR(ISNUMBER(SEARCH("صيانة",D141)),ISNUMBER(SEARCH("تعزيل",D141)),ISNUMBER(SEARCH("تنظيف",D141)),ISNUMBER(SEARCH("تصليح",D141)))),"⚠ الصيانة بلا ورشة",IF(H141="","⚠ ناقص",IF(D141&lt;&gt;"",IF(SUMIF($D$7:$D$806,D141,$H$7:$H$806)&gt;=20,"أصل","مصروف"),IFERROR(IF(VLOOKUP(I141,'القوائم'!$A$2:$D$14,4,0)="زكاة وصدقة","زكاة وصدقة",IF(AND(VLOOKUP(I141,'القوائم'!$A$2:$D$14,3,0)&lt;&gt;"",H141&gt;=20),"أصل","مصروف")),"مصروف"))))))</f>
        <v/>
      </c>
      <c r="K141" s="21" t="n"/>
      <c r="L141" s="22" t="n"/>
      <c r="N141">
        <f>IF(B141="","",MONTH(B141))</f>
        <v/>
      </c>
      <c r="O141">
        <f>IF(B141="","",YEAR(B141))</f>
        <v/>
      </c>
      <c r="P141">
        <f>IF(AND(D141&lt;&gt;"",COUNTIF(D$7:D141,D141)=1),MAX(P$6:P140)+1,"")</f>
        <v/>
      </c>
      <c r="Q141">
        <f>IF(E141="","",IF(I141="أجور عمال","أجرة","مادة"))</f>
        <v/>
      </c>
    </row>
    <row r="142">
      <c r="A142" s="12">
        <f>IF(E142="","",ROW()-6)</f>
        <v/>
      </c>
      <c r="B142" s="13" t="n"/>
      <c r="C142" s="12">
        <f>IF(B142="","",CHOOSE(WEEKDAY(B142,1),"الأحد","الاثنين","الثلاثاء","الأربعاء","الخميس","الجمعة","السبت"))</f>
        <v/>
      </c>
      <c r="D142" s="14" t="n"/>
      <c r="E142" s="15" t="n"/>
      <c r="F142" s="16" t="n"/>
      <c r="G142" s="17" t="n"/>
      <c r="H142" s="18">
        <f>IF(OR(F142="",G142=""),"",ROUND(F142*G142,2))</f>
        <v/>
      </c>
      <c r="I142" s="19">
        <f>IF(ISNUMBER(SEARCH("ستاند",D142)),"أثاث وستاندات","")</f>
        <v/>
      </c>
      <c r="J142" s="20">
        <f>IF(E142="","",IF(I142="","⚠ عبّي الغرض",IF(AND(D142&lt;&gt;"",OR(ISNUMBER(SEARCH("صيانة",D142)),ISNUMBER(SEARCH("تعزيل",D142)),ISNUMBER(SEARCH("تنظيف",D142)),ISNUMBER(SEARCH("تصليح",D142)))),"⚠ الصيانة بلا ورشة",IF(H142="","⚠ ناقص",IF(D142&lt;&gt;"",IF(SUMIF($D$7:$D$806,D142,$H$7:$H$806)&gt;=20,"أصل","مصروف"),IFERROR(IF(VLOOKUP(I142,'القوائم'!$A$2:$D$14,4,0)="زكاة وصدقة","زكاة وصدقة",IF(AND(VLOOKUP(I142,'القوائم'!$A$2:$D$14,3,0)&lt;&gt;"",H142&gt;=20),"أصل","مصروف")),"مصروف"))))))</f>
        <v/>
      </c>
      <c r="K142" s="21" t="n"/>
      <c r="L142" s="22" t="n"/>
      <c r="N142">
        <f>IF(B142="","",MONTH(B142))</f>
        <v/>
      </c>
      <c r="O142">
        <f>IF(B142="","",YEAR(B142))</f>
        <v/>
      </c>
      <c r="P142">
        <f>IF(AND(D142&lt;&gt;"",COUNTIF(D$7:D142,D142)=1),MAX(P$6:P141)+1,"")</f>
        <v/>
      </c>
      <c r="Q142">
        <f>IF(E142="","",IF(I142="أجور عمال","أجرة","مادة"))</f>
        <v/>
      </c>
    </row>
    <row r="143">
      <c r="A143" s="12">
        <f>IF(E143="","",ROW()-6)</f>
        <v/>
      </c>
      <c r="B143" s="13" t="n"/>
      <c r="C143" s="12">
        <f>IF(B143="","",CHOOSE(WEEKDAY(B143,1),"الأحد","الاثنين","الثلاثاء","الأربعاء","الخميس","الجمعة","السبت"))</f>
        <v/>
      </c>
      <c r="D143" s="14" t="n"/>
      <c r="E143" s="15" t="n"/>
      <c r="F143" s="16" t="n"/>
      <c r="G143" s="17" t="n"/>
      <c r="H143" s="18">
        <f>IF(OR(F143="",G143=""),"",ROUND(F143*G143,2))</f>
        <v/>
      </c>
      <c r="I143" s="19">
        <f>IF(ISNUMBER(SEARCH("ستاند",D143)),"أثاث وستاندات","")</f>
        <v/>
      </c>
      <c r="J143" s="20">
        <f>IF(E143="","",IF(I143="","⚠ عبّي الغرض",IF(AND(D143&lt;&gt;"",OR(ISNUMBER(SEARCH("صيانة",D143)),ISNUMBER(SEARCH("تعزيل",D143)),ISNUMBER(SEARCH("تنظيف",D143)),ISNUMBER(SEARCH("تصليح",D143)))),"⚠ الصيانة بلا ورشة",IF(H143="","⚠ ناقص",IF(D143&lt;&gt;"",IF(SUMIF($D$7:$D$806,D143,$H$7:$H$806)&gt;=20,"أصل","مصروف"),IFERROR(IF(VLOOKUP(I143,'القوائم'!$A$2:$D$14,4,0)="زكاة وصدقة","زكاة وصدقة",IF(AND(VLOOKUP(I143,'القوائم'!$A$2:$D$14,3,0)&lt;&gt;"",H143&gt;=20),"أصل","مصروف")),"مصروف"))))))</f>
        <v/>
      </c>
      <c r="K143" s="21" t="n"/>
      <c r="L143" s="22" t="n"/>
      <c r="N143">
        <f>IF(B143="","",MONTH(B143))</f>
        <v/>
      </c>
      <c r="O143">
        <f>IF(B143="","",YEAR(B143))</f>
        <v/>
      </c>
      <c r="P143">
        <f>IF(AND(D143&lt;&gt;"",COUNTIF(D$7:D143,D143)=1),MAX(P$6:P142)+1,"")</f>
        <v/>
      </c>
      <c r="Q143">
        <f>IF(E143="","",IF(I143="أجور عمال","أجرة","مادة"))</f>
        <v/>
      </c>
    </row>
    <row r="144">
      <c r="A144" s="12">
        <f>IF(E144="","",ROW()-6)</f>
        <v/>
      </c>
      <c r="B144" s="13" t="n"/>
      <c r="C144" s="12">
        <f>IF(B144="","",CHOOSE(WEEKDAY(B144,1),"الأحد","الاثنين","الثلاثاء","الأربعاء","الخميس","الجمعة","السبت"))</f>
        <v/>
      </c>
      <c r="D144" s="14" t="n"/>
      <c r="E144" s="15" t="n"/>
      <c r="F144" s="16" t="n"/>
      <c r="G144" s="17" t="n"/>
      <c r="H144" s="18">
        <f>IF(OR(F144="",G144=""),"",ROUND(F144*G144,2))</f>
        <v/>
      </c>
      <c r="I144" s="19">
        <f>IF(ISNUMBER(SEARCH("ستاند",D144)),"أثاث وستاندات","")</f>
        <v/>
      </c>
      <c r="J144" s="20">
        <f>IF(E144="","",IF(I144="","⚠ عبّي الغرض",IF(AND(D144&lt;&gt;"",OR(ISNUMBER(SEARCH("صيانة",D144)),ISNUMBER(SEARCH("تعزيل",D144)),ISNUMBER(SEARCH("تنظيف",D144)),ISNUMBER(SEARCH("تصليح",D144)))),"⚠ الصيانة بلا ورشة",IF(H144="","⚠ ناقص",IF(D144&lt;&gt;"",IF(SUMIF($D$7:$D$806,D144,$H$7:$H$806)&gt;=20,"أصل","مصروف"),IFERROR(IF(VLOOKUP(I144,'القوائم'!$A$2:$D$14,4,0)="زكاة وصدقة","زكاة وصدقة",IF(AND(VLOOKUP(I144,'القوائم'!$A$2:$D$14,3,0)&lt;&gt;"",H144&gt;=20),"أصل","مصروف")),"مصروف"))))))</f>
        <v/>
      </c>
      <c r="K144" s="21" t="n"/>
      <c r="L144" s="22" t="n"/>
      <c r="N144">
        <f>IF(B144="","",MONTH(B144))</f>
        <v/>
      </c>
      <c r="O144">
        <f>IF(B144="","",YEAR(B144))</f>
        <v/>
      </c>
      <c r="P144">
        <f>IF(AND(D144&lt;&gt;"",COUNTIF(D$7:D144,D144)=1),MAX(P$6:P143)+1,"")</f>
        <v/>
      </c>
      <c r="Q144">
        <f>IF(E144="","",IF(I144="أجور عمال","أجرة","مادة"))</f>
        <v/>
      </c>
    </row>
    <row r="145">
      <c r="A145" s="12">
        <f>IF(E145="","",ROW()-6)</f>
        <v/>
      </c>
      <c r="B145" s="13" t="n"/>
      <c r="C145" s="12">
        <f>IF(B145="","",CHOOSE(WEEKDAY(B145,1),"الأحد","الاثنين","الثلاثاء","الأربعاء","الخميس","الجمعة","السبت"))</f>
        <v/>
      </c>
      <c r="D145" s="14" t="n"/>
      <c r="E145" s="15" t="n"/>
      <c r="F145" s="16" t="n"/>
      <c r="G145" s="17" t="n"/>
      <c r="H145" s="18">
        <f>IF(OR(F145="",G145=""),"",ROUND(F145*G145,2))</f>
        <v/>
      </c>
      <c r="I145" s="19">
        <f>IF(ISNUMBER(SEARCH("ستاند",D145)),"أثاث وستاندات","")</f>
        <v/>
      </c>
      <c r="J145" s="20">
        <f>IF(E145="","",IF(I145="","⚠ عبّي الغرض",IF(AND(D145&lt;&gt;"",OR(ISNUMBER(SEARCH("صيانة",D145)),ISNUMBER(SEARCH("تعزيل",D145)),ISNUMBER(SEARCH("تنظيف",D145)),ISNUMBER(SEARCH("تصليح",D145)))),"⚠ الصيانة بلا ورشة",IF(H145="","⚠ ناقص",IF(D145&lt;&gt;"",IF(SUMIF($D$7:$D$806,D145,$H$7:$H$806)&gt;=20,"أصل","مصروف"),IFERROR(IF(VLOOKUP(I145,'القوائم'!$A$2:$D$14,4,0)="زكاة وصدقة","زكاة وصدقة",IF(AND(VLOOKUP(I145,'القوائم'!$A$2:$D$14,3,0)&lt;&gt;"",H145&gt;=20),"أصل","مصروف")),"مصروف"))))))</f>
        <v/>
      </c>
      <c r="K145" s="21" t="n"/>
      <c r="L145" s="22" t="n"/>
      <c r="N145">
        <f>IF(B145="","",MONTH(B145))</f>
        <v/>
      </c>
      <c r="O145">
        <f>IF(B145="","",YEAR(B145))</f>
        <v/>
      </c>
      <c r="P145">
        <f>IF(AND(D145&lt;&gt;"",COUNTIF(D$7:D145,D145)=1),MAX(P$6:P144)+1,"")</f>
        <v/>
      </c>
      <c r="Q145">
        <f>IF(E145="","",IF(I145="أجور عمال","أجرة","مادة"))</f>
        <v/>
      </c>
    </row>
    <row r="146">
      <c r="A146" s="12">
        <f>IF(E146="","",ROW()-6)</f>
        <v/>
      </c>
      <c r="B146" s="13" t="n"/>
      <c r="C146" s="12">
        <f>IF(B146="","",CHOOSE(WEEKDAY(B146,1),"الأحد","الاثنين","الثلاثاء","الأربعاء","الخميس","الجمعة","السبت"))</f>
        <v/>
      </c>
      <c r="D146" s="14" t="n"/>
      <c r="E146" s="15" t="n"/>
      <c r="F146" s="16" t="n"/>
      <c r="G146" s="17" t="n"/>
      <c r="H146" s="18">
        <f>IF(OR(F146="",G146=""),"",ROUND(F146*G146,2))</f>
        <v/>
      </c>
      <c r="I146" s="19">
        <f>IF(ISNUMBER(SEARCH("ستاند",D146)),"أثاث وستاندات","")</f>
        <v/>
      </c>
      <c r="J146" s="20">
        <f>IF(E146="","",IF(I146="","⚠ عبّي الغرض",IF(AND(D146&lt;&gt;"",OR(ISNUMBER(SEARCH("صيانة",D146)),ISNUMBER(SEARCH("تعزيل",D146)),ISNUMBER(SEARCH("تنظيف",D146)),ISNUMBER(SEARCH("تصليح",D146)))),"⚠ الصيانة بلا ورشة",IF(H146="","⚠ ناقص",IF(D146&lt;&gt;"",IF(SUMIF($D$7:$D$806,D146,$H$7:$H$806)&gt;=20,"أصل","مصروف"),IFERROR(IF(VLOOKUP(I146,'القوائم'!$A$2:$D$14,4,0)="زكاة وصدقة","زكاة وصدقة",IF(AND(VLOOKUP(I146,'القوائم'!$A$2:$D$14,3,0)&lt;&gt;"",H146&gt;=20),"أصل","مصروف")),"مصروف"))))))</f>
        <v/>
      </c>
      <c r="K146" s="21" t="n"/>
      <c r="L146" s="22" t="n"/>
      <c r="N146">
        <f>IF(B146="","",MONTH(B146))</f>
        <v/>
      </c>
      <c r="O146">
        <f>IF(B146="","",YEAR(B146))</f>
        <v/>
      </c>
      <c r="P146">
        <f>IF(AND(D146&lt;&gt;"",COUNTIF(D$7:D146,D146)=1),MAX(P$6:P145)+1,"")</f>
        <v/>
      </c>
      <c r="Q146">
        <f>IF(E146="","",IF(I146="أجور عمال","أجرة","مادة"))</f>
        <v/>
      </c>
    </row>
    <row r="147">
      <c r="A147" s="12">
        <f>IF(E147="","",ROW()-6)</f>
        <v/>
      </c>
      <c r="B147" s="13" t="n"/>
      <c r="C147" s="12">
        <f>IF(B147="","",CHOOSE(WEEKDAY(B147,1),"الأحد","الاثنين","الثلاثاء","الأربعاء","الخميس","الجمعة","السبت"))</f>
        <v/>
      </c>
      <c r="D147" s="14" t="n"/>
      <c r="E147" s="15" t="n"/>
      <c r="F147" s="16" t="n"/>
      <c r="G147" s="17" t="n"/>
      <c r="H147" s="18">
        <f>IF(OR(F147="",G147=""),"",ROUND(F147*G147,2))</f>
        <v/>
      </c>
      <c r="I147" s="19">
        <f>IF(ISNUMBER(SEARCH("ستاند",D147)),"أثاث وستاندات","")</f>
        <v/>
      </c>
      <c r="J147" s="20">
        <f>IF(E147="","",IF(I147="","⚠ عبّي الغرض",IF(AND(D147&lt;&gt;"",OR(ISNUMBER(SEARCH("صيانة",D147)),ISNUMBER(SEARCH("تعزيل",D147)),ISNUMBER(SEARCH("تنظيف",D147)),ISNUMBER(SEARCH("تصليح",D147)))),"⚠ الصيانة بلا ورشة",IF(H147="","⚠ ناقص",IF(D147&lt;&gt;"",IF(SUMIF($D$7:$D$806,D147,$H$7:$H$806)&gt;=20,"أصل","مصروف"),IFERROR(IF(VLOOKUP(I147,'القوائم'!$A$2:$D$14,4,0)="زكاة وصدقة","زكاة وصدقة",IF(AND(VLOOKUP(I147,'القوائم'!$A$2:$D$14,3,0)&lt;&gt;"",H147&gt;=20),"أصل","مصروف")),"مصروف"))))))</f>
        <v/>
      </c>
      <c r="K147" s="21" t="n"/>
      <c r="L147" s="22" t="n"/>
      <c r="N147">
        <f>IF(B147="","",MONTH(B147))</f>
        <v/>
      </c>
      <c r="O147">
        <f>IF(B147="","",YEAR(B147))</f>
        <v/>
      </c>
      <c r="P147">
        <f>IF(AND(D147&lt;&gt;"",COUNTIF(D$7:D147,D147)=1),MAX(P$6:P146)+1,"")</f>
        <v/>
      </c>
      <c r="Q147">
        <f>IF(E147="","",IF(I147="أجور عمال","أجرة","مادة"))</f>
        <v/>
      </c>
    </row>
    <row r="148">
      <c r="A148" s="12">
        <f>IF(E148="","",ROW()-6)</f>
        <v/>
      </c>
      <c r="B148" s="13" t="n"/>
      <c r="C148" s="12">
        <f>IF(B148="","",CHOOSE(WEEKDAY(B148,1),"الأحد","الاثنين","الثلاثاء","الأربعاء","الخميس","الجمعة","السبت"))</f>
        <v/>
      </c>
      <c r="D148" s="14" t="n"/>
      <c r="E148" s="15" t="n"/>
      <c r="F148" s="16" t="n"/>
      <c r="G148" s="17" t="n"/>
      <c r="H148" s="18">
        <f>IF(OR(F148="",G148=""),"",ROUND(F148*G148,2))</f>
        <v/>
      </c>
      <c r="I148" s="19">
        <f>IF(ISNUMBER(SEARCH("ستاند",D148)),"أثاث وستاندات","")</f>
        <v/>
      </c>
      <c r="J148" s="20">
        <f>IF(E148="","",IF(I148="","⚠ عبّي الغرض",IF(AND(D148&lt;&gt;"",OR(ISNUMBER(SEARCH("صيانة",D148)),ISNUMBER(SEARCH("تعزيل",D148)),ISNUMBER(SEARCH("تنظيف",D148)),ISNUMBER(SEARCH("تصليح",D148)))),"⚠ الصيانة بلا ورشة",IF(H148="","⚠ ناقص",IF(D148&lt;&gt;"",IF(SUMIF($D$7:$D$806,D148,$H$7:$H$806)&gt;=20,"أصل","مصروف"),IFERROR(IF(VLOOKUP(I148,'القوائم'!$A$2:$D$14,4,0)="زكاة وصدقة","زكاة وصدقة",IF(AND(VLOOKUP(I148,'القوائم'!$A$2:$D$14,3,0)&lt;&gt;"",H148&gt;=20),"أصل","مصروف")),"مصروف"))))))</f>
        <v/>
      </c>
      <c r="K148" s="21" t="n"/>
      <c r="L148" s="22" t="n"/>
      <c r="N148">
        <f>IF(B148="","",MONTH(B148))</f>
        <v/>
      </c>
      <c r="O148">
        <f>IF(B148="","",YEAR(B148))</f>
        <v/>
      </c>
      <c r="P148">
        <f>IF(AND(D148&lt;&gt;"",COUNTIF(D$7:D148,D148)=1),MAX(P$6:P147)+1,"")</f>
        <v/>
      </c>
      <c r="Q148">
        <f>IF(E148="","",IF(I148="أجور عمال","أجرة","مادة"))</f>
        <v/>
      </c>
    </row>
    <row r="149">
      <c r="A149" s="12">
        <f>IF(E149="","",ROW()-6)</f>
        <v/>
      </c>
      <c r="B149" s="13" t="n"/>
      <c r="C149" s="12">
        <f>IF(B149="","",CHOOSE(WEEKDAY(B149,1),"الأحد","الاثنين","الثلاثاء","الأربعاء","الخميس","الجمعة","السبت"))</f>
        <v/>
      </c>
      <c r="D149" s="14" t="n"/>
      <c r="E149" s="15" t="n"/>
      <c r="F149" s="16" t="n"/>
      <c r="G149" s="17" t="n"/>
      <c r="H149" s="18">
        <f>IF(OR(F149="",G149=""),"",ROUND(F149*G149,2))</f>
        <v/>
      </c>
      <c r="I149" s="19">
        <f>IF(ISNUMBER(SEARCH("ستاند",D149)),"أثاث وستاندات","")</f>
        <v/>
      </c>
      <c r="J149" s="20">
        <f>IF(E149="","",IF(I149="","⚠ عبّي الغرض",IF(AND(D149&lt;&gt;"",OR(ISNUMBER(SEARCH("صيانة",D149)),ISNUMBER(SEARCH("تعزيل",D149)),ISNUMBER(SEARCH("تنظيف",D149)),ISNUMBER(SEARCH("تصليح",D149)))),"⚠ الصيانة بلا ورشة",IF(H149="","⚠ ناقص",IF(D149&lt;&gt;"",IF(SUMIF($D$7:$D$806,D149,$H$7:$H$806)&gt;=20,"أصل","مصروف"),IFERROR(IF(VLOOKUP(I149,'القوائم'!$A$2:$D$14,4,0)="زكاة وصدقة","زكاة وصدقة",IF(AND(VLOOKUP(I149,'القوائم'!$A$2:$D$14,3,0)&lt;&gt;"",H149&gt;=20),"أصل","مصروف")),"مصروف"))))))</f>
        <v/>
      </c>
      <c r="K149" s="21" t="n"/>
      <c r="L149" s="22" t="n"/>
      <c r="N149">
        <f>IF(B149="","",MONTH(B149))</f>
        <v/>
      </c>
      <c r="O149">
        <f>IF(B149="","",YEAR(B149))</f>
        <v/>
      </c>
      <c r="P149">
        <f>IF(AND(D149&lt;&gt;"",COUNTIF(D$7:D149,D149)=1),MAX(P$6:P148)+1,"")</f>
        <v/>
      </c>
      <c r="Q149">
        <f>IF(E149="","",IF(I149="أجور عمال","أجرة","مادة"))</f>
        <v/>
      </c>
    </row>
    <row r="150">
      <c r="A150" s="12">
        <f>IF(E150="","",ROW()-6)</f>
        <v/>
      </c>
      <c r="B150" s="13" t="n"/>
      <c r="C150" s="12">
        <f>IF(B150="","",CHOOSE(WEEKDAY(B150,1),"الأحد","الاثنين","الثلاثاء","الأربعاء","الخميس","الجمعة","السبت"))</f>
        <v/>
      </c>
      <c r="D150" s="14" t="n"/>
      <c r="E150" s="15" t="n"/>
      <c r="F150" s="16" t="n"/>
      <c r="G150" s="17" t="n"/>
      <c r="H150" s="18">
        <f>IF(OR(F150="",G150=""),"",ROUND(F150*G150,2))</f>
        <v/>
      </c>
      <c r="I150" s="19">
        <f>IF(ISNUMBER(SEARCH("ستاند",D150)),"أثاث وستاندات","")</f>
        <v/>
      </c>
      <c r="J150" s="20">
        <f>IF(E150="","",IF(I150="","⚠ عبّي الغرض",IF(AND(D150&lt;&gt;"",OR(ISNUMBER(SEARCH("صيانة",D150)),ISNUMBER(SEARCH("تعزيل",D150)),ISNUMBER(SEARCH("تنظيف",D150)),ISNUMBER(SEARCH("تصليح",D150)))),"⚠ الصيانة بلا ورشة",IF(H150="","⚠ ناقص",IF(D150&lt;&gt;"",IF(SUMIF($D$7:$D$806,D150,$H$7:$H$806)&gt;=20,"أصل","مصروف"),IFERROR(IF(VLOOKUP(I150,'القوائم'!$A$2:$D$14,4,0)="زكاة وصدقة","زكاة وصدقة",IF(AND(VLOOKUP(I150,'القوائم'!$A$2:$D$14,3,0)&lt;&gt;"",H150&gt;=20),"أصل","مصروف")),"مصروف"))))))</f>
        <v/>
      </c>
      <c r="K150" s="21" t="n"/>
      <c r="L150" s="22" t="n"/>
      <c r="N150">
        <f>IF(B150="","",MONTH(B150))</f>
        <v/>
      </c>
      <c r="O150">
        <f>IF(B150="","",YEAR(B150))</f>
        <v/>
      </c>
      <c r="P150">
        <f>IF(AND(D150&lt;&gt;"",COUNTIF(D$7:D150,D150)=1),MAX(P$6:P149)+1,"")</f>
        <v/>
      </c>
      <c r="Q150">
        <f>IF(E150="","",IF(I150="أجور عمال","أجرة","مادة"))</f>
        <v/>
      </c>
    </row>
    <row r="151">
      <c r="A151" s="12">
        <f>IF(E151="","",ROW()-6)</f>
        <v/>
      </c>
      <c r="B151" s="13" t="n"/>
      <c r="C151" s="12">
        <f>IF(B151="","",CHOOSE(WEEKDAY(B151,1),"الأحد","الاثنين","الثلاثاء","الأربعاء","الخميس","الجمعة","السبت"))</f>
        <v/>
      </c>
      <c r="D151" s="14" t="n"/>
      <c r="E151" s="15" t="n"/>
      <c r="F151" s="16" t="n"/>
      <c r="G151" s="17" t="n"/>
      <c r="H151" s="18">
        <f>IF(OR(F151="",G151=""),"",ROUND(F151*G151,2))</f>
        <v/>
      </c>
      <c r="I151" s="19">
        <f>IF(ISNUMBER(SEARCH("ستاند",D151)),"أثاث وستاندات","")</f>
        <v/>
      </c>
      <c r="J151" s="20">
        <f>IF(E151="","",IF(I151="","⚠ عبّي الغرض",IF(AND(D151&lt;&gt;"",OR(ISNUMBER(SEARCH("صيانة",D151)),ISNUMBER(SEARCH("تعزيل",D151)),ISNUMBER(SEARCH("تنظيف",D151)),ISNUMBER(SEARCH("تصليح",D151)))),"⚠ الصيانة بلا ورشة",IF(H151="","⚠ ناقص",IF(D151&lt;&gt;"",IF(SUMIF($D$7:$D$806,D151,$H$7:$H$806)&gt;=20,"أصل","مصروف"),IFERROR(IF(VLOOKUP(I151,'القوائم'!$A$2:$D$14,4,0)="زكاة وصدقة","زكاة وصدقة",IF(AND(VLOOKUP(I151,'القوائم'!$A$2:$D$14,3,0)&lt;&gt;"",H151&gt;=20),"أصل","مصروف")),"مصروف"))))))</f>
        <v/>
      </c>
      <c r="K151" s="21" t="n"/>
      <c r="L151" s="22" t="n"/>
      <c r="N151">
        <f>IF(B151="","",MONTH(B151))</f>
        <v/>
      </c>
      <c r="O151">
        <f>IF(B151="","",YEAR(B151))</f>
        <v/>
      </c>
      <c r="P151">
        <f>IF(AND(D151&lt;&gt;"",COUNTIF(D$7:D151,D151)=1),MAX(P$6:P150)+1,"")</f>
        <v/>
      </c>
      <c r="Q151">
        <f>IF(E151="","",IF(I151="أجور عمال","أجرة","مادة"))</f>
        <v/>
      </c>
    </row>
    <row r="152">
      <c r="A152" s="12">
        <f>IF(E152="","",ROW()-6)</f>
        <v/>
      </c>
      <c r="B152" s="13" t="n"/>
      <c r="C152" s="12">
        <f>IF(B152="","",CHOOSE(WEEKDAY(B152,1),"الأحد","الاثنين","الثلاثاء","الأربعاء","الخميس","الجمعة","السبت"))</f>
        <v/>
      </c>
      <c r="D152" s="14" t="n"/>
      <c r="E152" s="15" t="n"/>
      <c r="F152" s="16" t="n"/>
      <c r="G152" s="17" t="n"/>
      <c r="H152" s="18">
        <f>IF(OR(F152="",G152=""),"",ROUND(F152*G152,2))</f>
        <v/>
      </c>
      <c r="I152" s="19">
        <f>IF(ISNUMBER(SEARCH("ستاند",D152)),"أثاث وستاندات","")</f>
        <v/>
      </c>
      <c r="J152" s="20">
        <f>IF(E152="","",IF(I152="","⚠ عبّي الغرض",IF(AND(D152&lt;&gt;"",OR(ISNUMBER(SEARCH("صيانة",D152)),ISNUMBER(SEARCH("تعزيل",D152)),ISNUMBER(SEARCH("تنظيف",D152)),ISNUMBER(SEARCH("تصليح",D152)))),"⚠ الصيانة بلا ورشة",IF(H152="","⚠ ناقص",IF(D152&lt;&gt;"",IF(SUMIF($D$7:$D$806,D152,$H$7:$H$806)&gt;=20,"أصل","مصروف"),IFERROR(IF(VLOOKUP(I152,'القوائم'!$A$2:$D$14,4,0)="زكاة وصدقة","زكاة وصدقة",IF(AND(VLOOKUP(I152,'القوائم'!$A$2:$D$14,3,0)&lt;&gt;"",H152&gt;=20),"أصل","مصروف")),"مصروف"))))))</f>
        <v/>
      </c>
      <c r="K152" s="21" t="n"/>
      <c r="L152" s="22" t="n"/>
      <c r="N152">
        <f>IF(B152="","",MONTH(B152))</f>
        <v/>
      </c>
      <c r="O152">
        <f>IF(B152="","",YEAR(B152))</f>
        <v/>
      </c>
      <c r="P152">
        <f>IF(AND(D152&lt;&gt;"",COUNTIF(D$7:D152,D152)=1),MAX(P$6:P151)+1,"")</f>
        <v/>
      </c>
      <c r="Q152">
        <f>IF(E152="","",IF(I152="أجور عمال","أجرة","مادة"))</f>
        <v/>
      </c>
    </row>
    <row r="153">
      <c r="A153" s="12">
        <f>IF(E153="","",ROW()-6)</f>
        <v/>
      </c>
      <c r="B153" s="13" t="n"/>
      <c r="C153" s="12">
        <f>IF(B153="","",CHOOSE(WEEKDAY(B153,1),"الأحد","الاثنين","الثلاثاء","الأربعاء","الخميس","الجمعة","السبت"))</f>
        <v/>
      </c>
      <c r="D153" s="14" t="n"/>
      <c r="E153" s="15" t="n"/>
      <c r="F153" s="16" t="n"/>
      <c r="G153" s="17" t="n"/>
      <c r="H153" s="18">
        <f>IF(OR(F153="",G153=""),"",ROUND(F153*G153,2))</f>
        <v/>
      </c>
      <c r="I153" s="19">
        <f>IF(ISNUMBER(SEARCH("ستاند",D153)),"أثاث وستاندات","")</f>
        <v/>
      </c>
      <c r="J153" s="20">
        <f>IF(E153="","",IF(I153="","⚠ عبّي الغرض",IF(AND(D153&lt;&gt;"",OR(ISNUMBER(SEARCH("صيانة",D153)),ISNUMBER(SEARCH("تعزيل",D153)),ISNUMBER(SEARCH("تنظيف",D153)),ISNUMBER(SEARCH("تصليح",D153)))),"⚠ الصيانة بلا ورشة",IF(H153="","⚠ ناقص",IF(D153&lt;&gt;"",IF(SUMIF($D$7:$D$806,D153,$H$7:$H$806)&gt;=20,"أصل","مصروف"),IFERROR(IF(VLOOKUP(I153,'القوائم'!$A$2:$D$14,4,0)="زكاة وصدقة","زكاة وصدقة",IF(AND(VLOOKUP(I153,'القوائم'!$A$2:$D$14,3,0)&lt;&gt;"",H153&gt;=20),"أصل","مصروف")),"مصروف"))))))</f>
        <v/>
      </c>
      <c r="K153" s="21" t="n"/>
      <c r="L153" s="22" t="n"/>
      <c r="N153">
        <f>IF(B153="","",MONTH(B153))</f>
        <v/>
      </c>
      <c r="O153">
        <f>IF(B153="","",YEAR(B153))</f>
        <v/>
      </c>
      <c r="P153">
        <f>IF(AND(D153&lt;&gt;"",COUNTIF(D$7:D153,D153)=1),MAX(P$6:P152)+1,"")</f>
        <v/>
      </c>
      <c r="Q153">
        <f>IF(E153="","",IF(I153="أجور عمال","أجرة","مادة"))</f>
        <v/>
      </c>
    </row>
    <row r="154">
      <c r="A154" s="12">
        <f>IF(E154="","",ROW()-6)</f>
        <v/>
      </c>
      <c r="B154" s="13" t="n"/>
      <c r="C154" s="12">
        <f>IF(B154="","",CHOOSE(WEEKDAY(B154,1),"الأحد","الاثنين","الثلاثاء","الأربعاء","الخميس","الجمعة","السبت"))</f>
        <v/>
      </c>
      <c r="D154" s="14" t="n"/>
      <c r="E154" s="15" t="n"/>
      <c r="F154" s="16" t="n"/>
      <c r="G154" s="17" t="n"/>
      <c r="H154" s="18">
        <f>IF(OR(F154="",G154=""),"",ROUND(F154*G154,2))</f>
        <v/>
      </c>
      <c r="I154" s="19">
        <f>IF(ISNUMBER(SEARCH("ستاند",D154)),"أثاث وستاندات","")</f>
        <v/>
      </c>
      <c r="J154" s="20">
        <f>IF(E154="","",IF(I154="","⚠ عبّي الغرض",IF(AND(D154&lt;&gt;"",OR(ISNUMBER(SEARCH("صيانة",D154)),ISNUMBER(SEARCH("تعزيل",D154)),ISNUMBER(SEARCH("تنظيف",D154)),ISNUMBER(SEARCH("تصليح",D154)))),"⚠ الصيانة بلا ورشة",IF(H154="","⚠ ناقص",IF(D154&lt;&gt;"",IF(SUMIF($D$7:$D$806,D154,$H$7:$H$806)&gt;=20,"أصل","مصروف"),IFERROR(IF(VLOOKUP(I154,'القوائم'!$A$2:$D$14,4,0)="زكاة وصدقة","زكاة وصدقة",IF(AND(VLOOKUP(I154,'القوائم'!$A$2:$D$14,3,0)&lt;&gt;"",H154&gt;=20),"أصل","مصروف")),"مصروف"))))))</f>
        <v/>
      </c>
      <c r="K154" s="21" t="n"/>
      <c r="L154" s="22" t="n"/>
      <c r="N154">
        <f>IF(B154="","",MONTH(B154))</f>
        <v/>
      </c>
      <c r="O154">
        <f>IF(B154="","",YEAR(B154))</f>
        <v/>
      </c>
      <c r="P154">
        <f>IF(AND(D154&lt;&gt;"",COUNTIF(D$7:D154,D154)=1),MAX(P$6:P153)+1,"")</f>
        <v/>
      </c>
      <c r="Q154">
        <f>IF(E154="","",IF(I154="أجور عمال","أجرة","مادة"))</f>
        <v/>
      </c>
    </row>
    <row r="155">
      <c r="A155" s="12">
        <f>IF(E155="","",ROW()-6)</f>
        <v/>
      </c>
      <c r="B155" s="13" t="n"/>
      <c r="C155" s="12">
        <f>IF(B155="","",CHOOSE(WEEKDAY(B155,1),"الأحد","الاثنين","الثلاثاء","الأربعاء","الخميس","الجمعة","السبت"))</f>
        <v/>
      </c>
      <c r="D155" s="14" t="n"/>
      <c r="E155" s="15" t="n"/>
      <c r="F155" s="16" t="n"/>
      <c r="G155" s="17" t="n"/>
      <c r="H155" s="18">
        <f>IF(OR(F155="",G155=""),"",ROUND(F155*G155,2))</f>
        <v/>
      </c>
      <c r="I155" s="19">
        <f>IF(ISNUMBER(SEARCH("ستاند",D155)),"أثاث وستاندات","")</f>
        <v/>
      </c>
      <c r="J155" s="20">
        <f>IF(E155="","",IF(I155="","⚠ عبّي الغرض",IF(AND(D155&lt;&gt;"",OR(ISNUMBER(SEARCH("صيانة",D155)),ISNUMBER(SEARCH("تعزيل",D155)),ISNUMBER(SEARCH("تنظيف",D155)),ISNUMBER(SEARCH("تصليح",D155)))),"⚠ الصيانة بلا ورشة",IF(H155="","⚠ ناقص",IF(D155&lt;&gt;"",IF(SUMIF($D$7:$D$806,D155,$H$7:$H$806)&gt;=20,"أصل","مصروف"),IFERROR(IF(VLOOKUP(I155,'القوائم'!$A$2:$D$14,4,0)="زكاة وصدقة","زكاة وصدقة",IF(AND(VLOOKUP(I155,'القوائم'!$A$2:$D$14,3,0)&lt;&gt;"",H155&gt;=20),"أصل","مصروف")),"مصروف"))))))</f>
        <v/>
      </c>
      <c r="K155" s="21" t="n"/>
      <c r="L155" s="22" t="n"/>
      <c r="N155">
        <f>IF(B155="","",MONTH(B155))</f>
        <v/>
      </c>
      <c r="O155">
        <f>IF(B155="","",YEAR(B155))</f>
        <v/>
      </c>
      <c r="P155">
        <f>IF(AND(D155&lt;&gt;"",COUNTIF(D$7:D155,D155)=1),MAX(P$6:P154)+1,"")</f>
        <v/>
      </c>
      <c r="Q155">
        <f>IF(E155="","",IF(I155="أجور عمال","أجرة","مادة"))</f>
        <v/>
      </c>
    </row>
    <row r="156">
      <c r="A156" s="12">
        <f>IF(E156="","",ROW()-6)</f>
        <v/>
      </c>
      <c r="B156" s="13" t="n"/>
      <c r="C156" s="12">
        <f>IF(B156="","",CHOOSE(WEEKDAY(B156,1),"الأحد","الاثنين","الثلاثاء","الأربعاء","الخميس","الجمعة","السبت"))</f>
        <v/>
      </c>
      <c r="D156" s="14" t="n"/>
      <c r="E156" s="15" t="n"/>
      <c r="F156" s="16" t="n"/>
      <c r="G156" s="17" t="n"/>
      <c r="H156" s="18">
        <f>IF(OR(F156="",G156=""),"",ROUND(F156*G156,2))</f>
        <v/>
      </c>
      <c r="I156" s="19">
        <f>IF(ISNUMBER(SEARCH("ستاند",D156)),"أثاث وستاندات","")</f>
        <v/>
      </c>
      <c r="J156" s="20">
        <f>IF(E156="","",IF(I156="","⚠ عبّي الغرض",IF(AND(D156&lt;&gt;"",OR(ISNUMBER(SEARCH("صيانة",D156)),ISNUMBER(SEARCH("تعزيل",D156)),ISNUMBER(SEARCH("تنظيف",D156)),ISNUMBER(SEARCH("تصليح",D156)))),"⚠ الصيانة بلا ورشة",IF(H156="","⚠ ناقص",IF(D156&lt;&gt;"",IF(SUMIF($D$7:$D$806,D156,$H$7:$H$806)&gt;=20,"أصل","مصروف"),IFERROR(IF(VLOOKUP(I156,'القوائم'!$A$2:$D$14,4,0)="زكاة وصدقة","زكاة وصدقة",IF(AND(VLOOKUP(I156,'القوائم'!$A$2:$D$14,3,0)&lt;&gt;"",H156&gt;=20),"أصل","مصروف")),"مصروف"))))))</f>
        <v/>
      </c>
      <c r="K156" s="21" t="n"/>
      <c r="L156" s="22" t="n"/>
      <c r="N156">
        <f>IF(B156="","",MONTH(B156))</f>
        <v/>
      </c>
      <c r="O156">
        <f>IF(B156="","",YEAR(B156))</f>
        <v/>
      </c>
      <c r="P156">
        <f>IF(AND(D156&lt;&gt;"",COUNTIF(D$7:D156,D156)=1),MAX(P$6:P155)+1,"")</f>
        <v/>
      </c>
      <c r="Q156">
        <f>IF(E156="","",IF(I156="أجور عمال","أجرة","مادة"))</f>
        <v/>
      </c>
    </row>
    <row r="157">
      <c r="A157" s="12">
        <f>IF(E157="","",ROW()-6)</f>
        <v/>
      </c>
      <c r="B157" s="13" t="n"/>
      <c r="C157" s="12">
        <f>IF(B157="","",CHOOSE(WEEKDAY(B157,1),"الأحد","الاثنين","الثلاثاء","الأربعاء","الخميس","الجمعة","السبت"))</f>
        <v/>
      </c>
      <c r="D157" s="14" t="n"/>
      <c r="E157" s="15" t="n"/>
      <c r="F157" s="16" t="n"/>
      <c r="G157" s="17" t="n"/>
      <c r="H157" s="18">
        <f>IF(OR(F157="",G157=""),"",ROUND(F157*G157,2))</f>
        <v/>
      </c>
      <c r="I157" s="19">
        <f>IF(ISNUMBER(SEARCH("ستاند",D157)),"أثاث وستاندات","")</f>
        <v/>
      </c>
      <c r="J157" s="20">
        <f>IF(E157="","",IF(I157="","⚠ عبّي الغرض",IF(AND(D157&lt;&gt;"",OR(ISNUMBER(SEARCH("صيانة",D157)),ISNUMBER(SEARCH("تعزيل",D157)),ISNUMBER(SEARCH("تنظيف",D157)),ISNUMBER(SEARCH("تصليح",D157)))),"⚠ الصيانة بلا ورشة",IF(H157="","⚠ ناقص",IF(D157&lt;&gt;"",IF(SUMIF($D$7:$D$806,D157,$H$7:$H$806)&gt;=20,"أصل","مصروف"),IFERROR(IF(VLOOKUP(I157,'القوائم'!$A$2:$D$14,4,0)="زكاة وصدقة","زكاة وصدقة",IF(AND(VLOOKUP(I157,'القوائم'!$A$2:$D$14,3,0)&lt;&gt;"",H157&gt;=20),"أصل","مصروف")),"مصروف"))))))</f>
        <v/>
      </c>
      <c r="K157" s="21" t="n"/>
      <c r="L157" s="22" t="n"/>
      <c r="N157">
        <f>IF(B157="","",MONTH(B157))</f>
        <v/>
      </c>
      <c r="O157">
        <f>IF(B157="","",YEAR(B157))</f>
        <v/>
      </c>
      <c r="P157">
        <f>IF(AND(D157&lt;&gt;"",COUNTIF(D$7:D157,D157)=1),MAX(P$6:P156)+1,"")</f>
        <v/>
      </c>
      <c r="Q157">
        <f>IF(E157="","",IF(I157="أجور عمال","أجرة","مادة"))</f>
        <v/>
      </c>
    </row>
    <row r="158">
      <c r="A158" s="12">
        <f>IF(E158="","",ROW()-6)</f>
        <v/>
      </c>
      <c r="B158" s="13" t="n"/>
      <c r="C158" s="12">
        <f>IF(B158="","",CHOOSE(WEEKDAY(B158,1),"الأحد","الاثنين","الثلاثاء","الأربعاء","الخميس","الجمعة","السبت"))</f>
        <v/>
      </c>
      <c r="D158" s="14" t="n"/>
      <c r="E158" s="15" t="n"/>
      <c r="F158" s="16" t="n"/>
      <c r="G158" s="17" t="n"/>
      <c r="H158" s="18">
        <f>IF(OR(F158="",G158=""),"",ROUND(F158*G158,2))</f>
        <v/>
      </c>
      <c r="I158" s="19">
        <f>IF(ISNUMBER(SEARCH("ستاند",D158)),"أثاث وستاندات","")</f>
        <v/>
      </c>
      <c r="J158" s="20">
        <f>IF(E158="","",IF(I158="","⚠ عبّي الغرض",IF(AND(D158&lt;&gt;"",OR(ISNUMBER(SEARCH("صيانة",D158)),ISNUMBER(SEARCH("تعزيل",D158)),ISNUMBER(SEARCH("تنظيف",D158)),ISNUMBER(SEARCH("تصليح",D158)))),"⚠ الصيانة بلا ورشة",IF(H158="","⚠ ناقص",IF(D158&lt;&gt;"",IF(SUMIF($D$7:$D$806,D158,$H$7:$H$806)&gt;=20,"أصل","مصروف"),IFERROR(IF(VLOOKUP(I158,'القوائم'!$A$2:$D$14,4,0)="زكاة وصدقة","زكاة وصدقة",IF(AND(VLOOKUP(I158,'القوائم'!$A$2:$D$14,3,0)&lt;&gt;"",H158&gt;=20),"أصل","مصروف")),"مصروف"))))))</f>
        <v/>
      </c>
      <c r="K158" s="21" t="n"/>
      <c r="L158" s="22" t="n"/>
      <c r="N158">
        <f>IF(B158="","",MONTH(B158))</f>
        <v/>
      </c>
      <c r="O158">
        <f>IF(B158="","",YEAR(B158))</f>
        <v/>
      </c>
      <c r="P158">
        <f>IF(AND(D158&lt;&gt;"",COUNTIF(D$7:D158,D158)=1),MAX(P$6:P157)+1,"")</f>
        <v/>
      </c>
      <c r="Q158">
        <f>IF(E158="","",IF(I158="أجور عمال","أجرة","مادة"))</f>
        <v/>
      </c>
    </row>
    <row r="159">
      <c r="A159" s="12">
        <f>IF(E159="","",ROW()-6)</f>
        <v/>
      </c>
      <c r="B159" s="13" t="n"/>
      <c r="C159" s="12">
        <f>IF(B159="","",CHOOSE(WEEKDAY(B159,1),"الأحد","الاثنين","الثلاثاء","الأربعاء","الخميس","الجمعة","السبت"))</f>
        <v/>
      </c>
      <c r="D159" s="14" t="n"/>
      <c r="E159" s="15" t="n"/>
      <c r="F159" s="16" t="n"/>
      <c r="G159" s="17" t="n"/>
      <c r="H159" s="18">
        <f>IF(OR(F159="",G159=""),"",ROUND(F159*G159,2))</f>
        <v/>
      </c>
      <c r="I159" s="19">
        <f>IF(ISNUMBER(SEARCH("ستاند",D159)),"أثاث وستاندات","")</f>
        <v/>
      </c>
      <c r="J159" s="20">
        <f>IF(E159="","",IF(I159="","⚠ عبّي الغرض",IF(AND(D159&lt;&gt;"",OR(ISNUMBER(SEARCH("صيانة",D159)),ISNUMBER(SEARCH("تعزيل",D159)),ISNUMBER(SEARCH("تنظيف",D159)),ISNUMBER(SEARCH("تصليح",D159)))),"⚠ الصيانة بلا ورشة",IF(H159="","⚠ ناقص",IF(D159&lt;&gt;"",IF(SUMIF($D$7:$D$806,D159,$H$7:$H$806)&gt;=20,"أصل","مصروف"),IFERROR(IF(VLOOKUP(I159,'القوائم'!$A$2:$D$14,4,0)="زكاة وصدقة","زكاة وصدقة",IF(AND(VLOOKUP(I159,'القوائم'!$A$2:$D$14,3,0)&lt;&gt;"",H159&gt;=20),"أصل","مصروف")),"مصروف"))))))</f>
        <v/>
      </c>
      <c r="K159" s="21" t="n"/>
      <c r="L159" s="22" t="n"/>
      <c r="N159">
        <f>IF(B159="","",MONTH(B159))</f>
        <v/>
      </c>
      <c r="O159">
        <f>IF(B159="","",YEAR(B159))</f>
        <v/>
      </c>
      <c r="P159">
        <f>IF(AND(D159&lt;&gt;"",COUNTIF(D$7:D159,D159)=1),MAX(P$6:P158)+1,"")</f>
        <v/>
      </c>
      <c r="Q159">
        <f>IF(E159="","",IF(I159="أجور عمال","أجرة","مادة"))</f>
        <v/>
      </c>
    </row>
    <row r="160">
      <c r="A160" s="12">
        <f>IF(E160="","",ROW()-6)</f>
        <v/>
      </c>
      <c r="B160" s="13" t="n"/>
      <c r="C160" s="12">
        <f>IF(B160="","",CHOOSE(WEEKDAY(B160,1),"الأحد","الاثنين","الثلاثاء","الأربعاء","الخميس","الجمعة","السبت"))</f>
        <v/>
      </c>
      <c r="D160" s="14" t="n"/>
      <c r="E160" s="15" t="n"/>
      <c r="F160" s="16" t="n"/>
      <c r="G160" s="17" t="n"/>
      <c r="H160" s="18">
        <f>IF(OR(F160="",G160=""),"",ROUND(F160*G160,2))</f>
        <v/>
      </c>
      <c r="I160" s="19">
        <f>IF(ISNUMBER(SEARCH("ستاند",D160)),"أثاث وستاندات","")</f>
        <v/>
      </c>
      <c r="J160" s="20">
        <f>IF(E160="","",IF(I160="","⚠ عبّي الغرض",IF(AND(D160&lt;&gt;"",OR(ISNUMBER(SEARCH("صيانة",D160)),ISNUMBER(SEARCH("تعزيل",D160)),ISNUMBER(SEARCH("تنظيف",D160)),ISNUMBER(SEARCH("تصليح",D160)))),"⚠ الصيانة بلا ورشة",IF(H160="","⚠ ناقص",IF(D160&lt;&gt;"",IF(SUMIF($D$7:$D$806,D160,$H$7:$H$806)&gt;=20,"أصل","مصروف"),IFERROR(IF(VLOOKUP(I160,'القوائم'!$A$2:$D$14,4,0)="زكاة وصدقة","زكاة وصدقة",IF(AND(VLOOKUP(I160,'القوائم'!$A$2:$D$14,3,0)&lt;&gt;"",H160&gt;=20),"أصل","مصروف")),"مصروف"))))))</f>
        <v/>
      </c>
      <c r="K160" s="21" t="n"/>
      <c r="L160" s="22" t="n"/>
      <c r="N160">
        <f>IF(B160="","",MONTH(B160))</f>
        <v/>
      </c>
      <c r="O160">
        <f>IF(B160="","",YEAR(B160))</f>
        <v/>
      </c>
      <c r="P160">
        <f>IF(AND(D160&lt;&gt;"",COUNTIF(D$7:D160,D160)=1),MAX(P$6:P159)+1,"")</f>
        <v/>
      </c>
      <c r="Q160">
        <f>IF(E160="","",IF(I160="أجور عمال","أجرة","مادة"))</f>
        <v/>
      </c>
    </row>
    <row r="161">
      <c r="A161" s="12">
        <f>IF(E161="","",ROW()-6)</f>
        <v/>
      </c>
      <c r="B161" s="13" t="n"/>
      <c r="C161" s="12">
        <f>IF(B161="","",CHOOSE(WEEKDAY(B161,1),"الأحد","الاثنين","الثلاثاء","الأربعاء","الخميس","الجمعة","السبت"))</f>
        <v/>
      </c>
      <c r="D161" s="14" t="n"/>
      <c r="E161" s="15" t="n"/>
      <c r="F161" s="16" t="n"/>
      <c r="G161" s="17" t="n"/>
      <c r="H161" s="18">
        <f>IF(OR(F161="",G161=""),"",ROUND(F161*G161,2))</f>
        <v/>
      </c>
      <c r="I161" s="19">
        <f>IF(ISNUMBER(SEARCH("ستاند",D161)),"أثاث وستاندات","")</f>
        <v/>
      </c>
      <c r="J161" s="20">
        <f>IF(E161="","",IF(I161="","⚠ عبّي الغرض",IF(AND(D161&lt;&gt;"",OR(ISNUMBER(SEARCH("صيانة",D161)),ISNUMBER(SEARCH("تعزيل",D161)),ISNUMBER(SEARCH("تنظيف",D161)),ISNUMBER(SEARCH("تصليح",D161)))),"⚠ الصيانة بلا ورشة",IF(H161="","⚠ ناقص",IF(D161&lt;&gt;"",IF(SUMIF($D$7:$D$806,D161,$H$7:$H$806)&gt;=20,"أصل","مصروف"),IFERROR(IF(VLOOKUP(I161,'القوائم'!$A$2:$D$14,4,0)="زكاة وصدقة","زكاة وصدقة",IF(AND(VLOOKUP(I161,'القوائم'!$A$2:$D$14,3,0)&lt;&gt;"",H161&gt;=20),"أصل","مصروف")),"مصروف"))))))</f>
        <v/>
      </c>
      <c r="K161" s="21" t="n"/>
      <c r="L161" s="22" t="n"/>
      <c r="N161">
        <f>IF(B161="","",MONTH(B161))</f>
        <v/>
      </c>
      <c r="O161">
        <f>IF(B161="","",YEAR(B161))</f>
        <v/>
      </c>
      <c r="P161">
        <f>IF(AND(D161&lt;&gt;"",COUNTIF(D$7:D161,D161)=1),MAX(P$6:P160)+1,"")</f>
        <v/>
      </c>
      <c r="Q161">
        <f>IF(E161="","",IF(I161="أجور عمال","أجرة","مادة"))</f>
        <v/>
      </c>
    </row>
    <row r="162">
      <c r="A162" s="12">
        <f>IF(E162="","",ROW()-6)</f>
        <v/>
      </c>
      <c r="B162" s="13" t="n"/>
      <c r="C162" s="12">
        <f>IF(B162="","",CHOOSE(WEEKDAY(B162,1),"الأحد","الاثنين","الثلاثاء","الأربعاء","الخميس","الجمعة","السبت"))</f>
        <v/>
      </c>
      <c r="D162" s="14" t="n"/>
      <c r="E162" s="15" t="n"/>
      <c r="F162" s="16" t="n"/>
      <c r="G162" s="17" t="n"/>
      <c r="H162" s="18">
        <f>IF(OR(F162="",G162=""),"",ROUND(F162*G162,2))</f>
        <v/>
      </c>
      <c r="I162" s="19">
        <f>IF(ISNUMBER(SEARCH("ستاند",D162)),"أثاث وستاندات","")</f>
        <v/>
      </c>
      <c r="J162" s="20">
        <f>IF(E162="","",IF(I162="","⚠ عبّي الغرض",IF(AND(D162&lt;&gt;"",OR(ISNUMBER(SEARCH("صيانة",D162)),ISNUMBER(SEARCH("تعزيل",D162)),ISNUMBER(SEARCH("تنظيف",D162)),ISNUMBER(SEARCH("تصليح",D162)))),"⚠ الصيانة بلا ورشة",IF(H162="","⚠ ناقص",IF(D162&lt;&gt;"",IF(SUMIF($D$7:$D$806,D162,$H$7:$H$806)&gt;=20,"أصل","مصروف"),IFERROR(IF(VLOOKUP(I162,'القوائم'!$A$2:$D$14,4,0)="زكاة وصدقة","زكاة وصدقة",IF(AND(VLOOKUP(I162,'القوائم'!$A$2:$D$14,3,0)&lt;&gt;"",H162&gt;=20),"أصل","مصروف")),"مصروف"))))))</f>
        <v/>
      </c>
      <c r="K162" s="21" t="n"/>
      <c r="L162" s="22" t="n"/>
      <c r="N162">
        <f>IF(B162="","",MONTH(B162))</f>
        <v/>
      </c>
      <c r="O162">
        <f>IF(B162="","",YEAR(B162))</f>
        <v/>
      </c>
      <c r="P162">
        <f>IF(AND(D162&lt;&gt;"",COUNTIF(D$7:D162,D162)=1),MAX(P$6:P161)+1,"")</f>
        <v/>
      </c>
      <c r="Q162">
        <f>IF(E162="","",IF(I162="أجور عمال","أجرة","مادة"))</f>
        <v/>
      </c>
    </row>
    <row r="163">
      <c r="A163" s="12">
        <f>IF(E163="","",ROW()-6)</f>
        <v/>
      </c>
      <c r="B163" s="13" t="n"/>
      <c r="C163" s="12">
        <f>IF(B163="","",CHOOSE(WEEKDAY(B163,1),"الأحد","الاثنين","الثلاثاء","الأربعاء","الخميس","الجمعة","السبت"))</f>
        <v/>
      </c>
      <c r="D163" s="14" t="n"/>
      <c r="E163" s="15" t="n"/>
      <c r="F163" s="16" t="n"/>
      <c r="G163" s="17" t="n"/>
      <c r="H163" s="18">
        <f>IF(OR(F163="",G163=""),"",ROUND(F163*G163,2))</f>
        <v/>
      </c>
      <c r="I163" s="19">
        <f>IF(ISNUMBER(SEARCH("ستاند",D163)),"أثاث وستاندات","")</f>
        <v/>
      </c>
      <c r="J163" s="20">
        <f>IF(E163="","",IF(I163="","⚠ عبّي الغرض",IF(AND(D163&lt;&gt;"",OR(ISNUMBER(SEARCH("صيانة",D163)),ISNUMBER(SEARCH("تعزيل",D163)),ISNUMBER(SEARCH("تنظيف",D163)),ISNUMBER(SEARCH("تصليح",D163)))),"⚠ الصيانة بلا ورشة",IF(H163="","⚠ ناقص",IF(D163&lt;&gt;"",IF(SUMIF($D$7:$D$806,D163,$H$7:$H$806)&gt;=20,"أصل","مصروف"),IFERROR(IF(VLOOKUP(I163,'القوائم'!$A$2:$D$14,4,0)="زكاة وصدقة","زكاة وصدقة",IF(AND(VLOOKUP(I163,'القوائم'!$A$2:$D$14,3,0)&lt;&gt;"",H163&gt;=20),"أصل","مصروف")),"مصروف"))))))</f>
        <v/>
      </c>
      <c r="K163" s="21" t="n"/>
      <c r="L163" s="22" t="n"/>
      <c r="N163">
        <f>IF(B163="","",MONTH(B163))</f>
        <v/>
      </c>
      <c r="O163">
        <f>IF(B163="","",YEAR(B163))</f>
        <v/>
      </c>
      <c r="P163">
        <f>IF(AND(D163&lt;&gt;"",COUNTIF(D$7:D163,D163)=1),MAX(P$6:P162)+1,"")</f>
        <v/>
      </c>
      <c r="Q163">
        <f>IF(E163="","",IF(I163="أجور عمال","أجرة","مادة"))</f>
        <v/>
      </c>
    </row>
    <row r="164">
      <c r="A164" s="12">
        <f>IF(E164="","",ROW()-6)</f>
        <v/>
      </c>
      <c r="B164" s="13" t="n"/>
      <c r="C164" s="12">
        <f>IF(B164="","",CHOOSE(WEEKDAY(B164,1),"الأحد","الاثنين","الثلاثاء","الأربعاء","الخميس","الجمعة","السبت"))</f>
        <v/>
      </c>
      <c r="D164" s="14" t="n"/>
      <c r="E164" s="15" t="n"/>
      <c r="F164" s="16" t="n"/>
      <c r="G164" s="17" t="n"/>
      <c r="H164" s="18">
        <f>IF(OR(F164="",G164=""),"",ROUND(F164*G164,2))</f>
        <v/>
      </c>
      <c r="I164" s="19">
        <f>IF(ISNUMBER(SEARCH("ستاند",D164)),"أثاث وستاندات","")</f>
        <v/>
      </c>
      <c r="J164" s="20">
        <f>IF(E164="","",IF(I164="","⚠ عبّي الغرض",IF(AND(D164&lt;&gt;"",OR(ISNUMBER(SEARCH("صيانة",D164)),ISNUMBER(SEARCH("تعزيل",D164)),ISNUMBER(SEARCH("تنظيف",D164)),ISNUMBER(SEARCH("تصليح",D164)))),"⚠ الصيانة بلا ورشة",IF(H164="","⚠ ناقص",IF(D164&lt;&gt;"",IF(SUMIF($D$7:$D$806,D164,$H$7:$H$806)&gt;=20,"أصل","مصروف"),IFERROR(IF(VLOOKUP(I164,'القوائم'!$A$2:$D$14,4,0)="زكاة وصدقة","زكاة وصدقة",IF(AND(VLOOKUP(I164,'القوائم'!$A$2:$D$14,3,0)&lt;&gt;"",H164&gt;=20),"أصل","مصروف")),"مصروف"))))))</f>
        <v/>
      </c>
      <c r="K164" s="21" t="n"/>
      <c r="L164" s="22" t="n"/>
      <c r="N164">
        <f>IF(B164="","",MONTH(B164))</f>
        <v/>
      </c>
      <c r="O164">
        <f>IF(B164="","",YEAR(B164))</f>
        <v/>
      </c>
      <c r="P164">
        <f>IF(AND(D164&lt;&gt;"",COUNTIF(D$7:D164,D164)=1),MAX(P$6:P163)+1,"")</f>
        <v/>
      </c>
      <c r="Q164">
        <f>IF(E164="","",IF(I164="أجور عمال","أجرة","مادة"))</f>
        <v/>
      </c>
    </row>
    <row r="165">
      <c r="A165" s="12">
        <f>IF(E165="","",ROW()-6)</f>
        <v/>
      </c>
      <c r="B165" s="13" t="n"/>
      <c r="C165" s="12">
        <f>IF(B165="","",CHOOSE(WEEKDAY(B165,1),"الأحد","الاثنين","الثلاثاء","الأربعاء","الخميس","الجمعة","السبت"))</f>
        <v/>
      </c>
      <c r="D165" s="14" t="n"/>
      <c r="E165" s="15" t="n"/>
      <c r="F165" s="16" t="n"/>
      <c r="G165" s="17" t="n"/>
      <c r="H165" s="18">
        <f>IF(OR(F165="",G165=""),"",ROUND(F165*G165,2))</f>
        <v/>
      </c>
      <c r="I165" s="19">
        <f>IF(ISNUMBER(SEARCH("ستاند",D165)),"أثاث وستاندات","")</f>
        <v/>
      </c>
      <c r="J165" s="20">
        <f>IF(E165="","",IF(I165="","⚠ عبّي الغرض",IF(AND(D165&lt;&gt;"",OR(ISNUMBER(SEARCH("صيانة",D165)),ISNUMBER(SEARCH("تعزيل",D165)),ISNUMBER(SEARCH("تنظيف",D165)),ISNUMBER(SEARCH("تصليح",D165)))),"⚠ الصيانة بلا ورشة",IF(H165="","⚠ ناقص",IF(D165&lt;&gt;"",IF(SUMIF($D$7:$D$806,D165,$H$7:$H$806)&gt;=20,"أصل","مصروف"),IFERROR(IF(VLOOKUP(I165,'القوائم'!$A$2:$D$14,4,0)="زكاة وصدقة","زكاة وصدقة",IF(AND(VLOOKUP(I165,'القوائم'!$A$2:$D$14,3,0)&lt;&gt;"",H165&gt;=20),"أصل","مصروف")),"مصروف"))))))</f>
        <v/>
      </c>
      <c r="K165" s="21" t="n"/>
      <c r="L165" s="22" t="n"/>
      <c r="N165">
        <f>IF(B165="","",MONTH(B165))</f>
        <v/>
      </c>
      <c r="O165">
        <f>IF(B165="","",YEAR(B165))</f>
        <v/>
      </c>
      <c r="P165">
        <f>IF(AND(D165&lt;&gt;"",COUNTIF(D$7:D165,D165)=1),MAX(P$6:P164)+1,"")</f>
        <v/>
      </c>
      <c r="Q165">
        <f>IF(E165="","",IF(I165="أجور عمال","أجرة","مادة"))</f>
        <v/>
      </c>
    </row>
    <row r="166">
      <c r="A166" s="12">
        <f>IF(E166="","",ROW()-6)</f>
        <v/>
      </c>
      <c r="B166" s="13" t="n"/>
      <c r="C166" s="12">
        <f>IF(B166="","",CHOOSE(WEEKDAY(B166,1),"الأحد","الاثنين","الثلاثاء","الأربعاء","الخميس","الجمعة","السبت"))</f>
        <v/>
      </c>
      <c r="D166" s="14" t="n"/>
      <c r="E166" s="15" t="n"/>
      <c r="F166" s="16" t="n"/>
      <c r="G166" s="17" t="n"/>
      <c r="H166" s="18">
        <f>IF(OR(F166="",G166=""),"",ROUND(F166*G166,2))</f>
        <v/>
      </c>
      <c r="I166" s="19">
        <f>IF(ISNUMBER(SEARCH("ستاند",D166)),"أثاث وستاندات","")</f>
        <v/>
      </c>
      <c r="J166" s="20">
        <f>IF(E166="","",IF(I166="","⚠ عبّي الغرض",IF(AND(D166&lt;&gt;"",OR(ISNUMBER(SEARCH("صيانة",D166)),ISNUMBER(SEARCH("تعزيل",D166)),ISNUMBER(SEARCH("تنظيف",D166)),ISNUMBER(SEARCH("تصليح",D166)))),"⚠ الصيانة بلا ورشة",IF(H166="","⚠ ناقص",IF(D166&lt;&gt;"",IF(SUMIF($D$7:$D$806,D166,$H$7:$H$806)&gt;=20,"أصل","مصروف"),IFERROR(IF(VLOOKUP(I166,'القوائم'!$A$2:$D$14,4,0)="زكاة وصدقة","زكاة وصدقة",IF(AND(VLOOKUP(I166,'القوائم'!$A$2:$D$14,3,0)&lt;&gt;"",H166&gt;=20),"أصل","مصروف")),"مصروف"))))))</f>
        <v/>
      </c>
      <c r="K166" s="21" t="n"/>
      <c r="L166" s="22" t="n"/>
      <c r="N166">
        <f>IF(B166="","",MONTH(B166))</f>
        <v/>
      </c>
      <c r="O166">
        <f>IF(B166="","",YEAR(B166))</f>
        <v/>
      </c>
      <c r="P166">
        <f>IF(AND(D166&lt;&gt;"",COUNTIF(D$7:D166,D166)=1),MAX(P$6:P165)+1,"")</f>
        <v/>
      </c>
      <c r="Q166">
        <f>IF(E166="","",IF(I166="أجور عمال","أجرة","مادة"))</f>
        <v/>
      </c>
    </row>
    <row r="167">
      <c r="A167" s="12">
        <f>IF(E167="","",ROW()-6)</f>
        <v/>
      </c>
      <c r="B167" s="13" t="n"/>
      <c r="C167" s="12">
        <f>IF(B167="","",CHOOSE(WEEKDAY(B167,1),"الأحد","الاثنين","الثلاثاء","الأربعاء","الخميس","الجمعة","السبت"))</f>
        <v/>
      </c>
      <c r="D167" s="14" t="n"/>
      <c r="E167" s="15" t="n"/>
      <c r="F167" s="16" t="n"/>
      <c r="G167" s="17" t="n"/>
      <c r="H167" s="18">
        <f>IF(OR(F167="",G167=""),"",ROUND(F167*G167,2))</f>
        <v/>
      </c>
      <c r="I167" s="19">
        <f>IF(ISNUMBER(SEARCH("ستاند",D167)),"أثاث وستاندات","")</f>
        <v/>
      </c>
      <c r="J167" s="20">
        <f>IF(E167="","",IF(I167="","⚠ عبّي الغرض",IF(AND(D167&lt;&gt;"",OR(ISNUMBER(SEARCH("صيانة",D167)),ISNUMBER(SEARCH("تعزيل",D167)),ISNUMBER(SEARCH("تنظيف",D167)),ISNUMBER(SEARCH("تصليح",D167)))),"⚠ الصيانة بلا ورشة",IF(H167="","⚠ ناقص",IF(D167&lt;&gt;"",IF(SUMIF($D$7:$D$806,D167,$H$7:$H$806)&gt;=20,"أصل","مصروف"),IFERROR(IF(VLOOKUP(I167,'القوائم'!$A$2:$D$14,4,0)="زكاة وصدقة","زكاة وصدقة",IF(AND(VLOOKUP(I167,'القوائم'!$A$2:$D$14,3,0)&lt;&gt;"",H167&gt;=20),"أصل","مصروف")),"مصروف"))))))</f>
        <v/>
      </c>
      <c r="K167" s="21" t="n"/>
      <c r="L167" s="22" t="n"/>
      <c r="N167">
        <f>IF(B167="","",MONTH(B167))</f>
        <v/>
      </c>
      <c r="O167">
        <f>IF(B167="","",YEAR(B167))</f>
        <v/>
      </c>
      <c r="P167">
        <f>IF(AND(D167&lt;&gt;"",COUNTIF(D$7:D167,D167)=1),MAX(P$6:P166)+1,"")</f>
        <v/>
      </c>
      <c r="Q167">
        <f>IF(E167="","",IF(I167="أجور عمال","أجرة","مادة"))</f>
        <v/>
      </c>
    </row>
    <row r="168">
      <c r="A168" s="12">
        <f>IF(E168="","",ROW()-6)</f>
        <v/>
      </c>
      <c r="B168" s="13" t="n"/>
      <c r="C168" s="12">
        <f>IF(B168="","",CHOOSE(WEEKDAY(B168,1),"الأحد","الاثنين","الثلاثاء","الأربعاء","الخميس","الجمعة","السبت"))</f>
        <v/>
      </c>
      <c r="D168" s="14" t="n"/>
      <c r="E168" s="15" t="n"/>
      <c r="F168" s="16" t="n"/>
      <c r="G168" s="17" t="n"/>
      <c r="H168" s="18">
        <f>IF(OR(F168="",G168=""),"",ROUND(F168*G168,2))</f>
        <v/>
      </c>
      <c r="I168" s="19">
        <f>IF(ISNUMBER(SEARCH("ستاند",D168)),"أثاث وستاندات","")</f>
        <v/>
      </c>
      <c r="J168" s="20">
        <f>IF(E168="","",IF(I168="","⚠ عبّي الغرض",IF(AND(D168&lt;&gt;"",OR(ISNUMBER(SEARCH("صيانة",D168)),ISNUMBER(SEARCH("تعزيل",D168)),ISNUMBER(SEARCH("تنظيف",D168)),ISNUMBER(SEARCH("تصليح",D168)))),"⚠ الصيانة بلا ورشة",IF(H168="","⚠ ناقص",IF(D168&lt;&gt;"",IF(SUMIF($D$7:$D$806,D168,$H$7:$H$806)&gt;=20,"أصل","مصروف"),IFERROR(IF(VLOOKUP(I168,'القوائم'!$A$2:$D$14,4,0)="زكاة وصدقة","زكاة وصدقة",IF(AND(VLOOKUP(I168,'القوائم'!$A$2:$D$14,3,0)&lt;&gt;"",H168&gt;=20),"أصل","مصروف")),"مصروف"))))))</f>
        <v/>
      </c>
      <c r="K168" s="21" t="n"/>
      <c r="L168" s="22" t="n"/>
      <c r="N168">
        <f>IF(B168="","",MONTH(B168))</f>
        <v/>
      </c>
      <c r="O168">
        <f>IF(B168="","",YEAR(B168))</f>
        <v/>
      </c>
      <c r="P168">
        <f>IF(AND(D168&lt;&gt;"",COUNTIF(D$7:D168,D168)=1),MAX(P$6:P167)+1,"")</f>
        <v/>
      </c>
      <c r="Q168">
        <f>IF(E168="","",IF(I168="أجور عمال","أجرة","مادة"))</f>
        <v/>
      </c>
    </row>
    <row r="169">
      <c r="A169" s="12">
        <f>IF(E169="","",ROW()-6)</f>
        <v/>
      </c>
      <c r="B169" s="13" t="n"/>
      <c r="C169" s="12">
        <f>IF(B169="","",CHOOSE(WEEKDAY(B169,1),"الأحد","الاثنين","الثلاثاء","الأربعاء","الخميس","الجمعة","السبت"))</f>
        <v/>
      </c>
      <c r="D169" s="14" t="n"/>
      <c r="E169" s="15" t="n"/>
      <c r="F169" s="16" t="n"/>
      <c r="G169" s="17" t="n"/>
      <c r="H169" s="18">
        <f>IF(OR(F169="",G169=""),"",ROUND(F169*G169,2))</f>
        <v/>
      </c>
      <c r="I169" s="19">
        <f>IF(ISNUMBER(SEARCH("ستاند",D169)),"أثاث وستاندات","")</f>
        <v/>
      </c>
      <c r="J169" s="20">
        <f>IF(E169="","",IF(I169="","⚠ عبّي الغرض",IF(AND(D169&lt;&gt;"",OR(ISNUMBER(SEARCH("صيانة",D169)),ISNUMBER(SEARCH("تعزيل",D169)),ISNUMBER(SEARCH("تنظيف",D169)),ISNUMBER(SEARCH("تصليح",D169)))),"⚠ الصيانة بلا ورشة",IF(H169="","⚠ ناقص",IF(D169&lt;&gt;"",IF(SUMIF($D$7:$D$806,D169,$H$7:$H$806)&gt;=20,"أصل","مصروف"),IFERROR(IF(VLOOKUP(I169,'القوائم'!$A$2:$D$14,4,0)="زكاة وصدقة","زكاة وصدقة",IF(AND(VLOOKUP(I169,'القوائم'!$A$2:$D$14,3,0)&lt;&gt;"",H169&gt;=20),"أصل","مصروف")),"مصروف"))))))</f>
        <v/>
      </c>
      <c r="K169" s="21" t="n"/>
      <c r="L169" s="22" t="n"/>
      <c r="N169">
        <f>IF(B169="","",MONTH(B169))</f>
        <v/>
      </c>
      <c r="O169">
        <f>IF(B169="","",YEAR(B169))</f>
        <v/>
      </c>
      <c r="P169">
        <f>IF(AND(D169&lt;&gt;"",COUNTIF(D$7:D169,D169)=1),MAX(P$6:P168)+1,"")</f>
        <v/>
      </c>
      <c r="Q169">
        <f>IF(E169="","",IF(I169="أجور عمال","أجرة","مادة"))</f>
        <v/>
      </c>
    </row>
    <row r="170">
      <c r="A170" s="12">
        <f>IF(E170="","",ROW()-6)</f>
        <v/>
      </c>
      <c r="B170" s="13" t="n"/>
      <c r="C170" s="12">
        <f>IF(B170="","",CHOOSE(WEEKDAY(B170,1),"الأحد","الاثنين","الثلاثاء","الأربعاء","الخميس","الجمعة","السبت"))</f>
        <v/>
      </c>
      <c r="D170" s="14" t="n"/>
      <c r="E170" s="15" t="n"/>
      <c r="F170" s="16" t="n"/>
      <c r="G170" s="17" t="n"/>
      <c r="H170" s="18">
        <f>IF(OR(F170="",G170=""),"",ROUND(F170*G170,2))</f>
        <v/>
      </c>
      <c r="I170" s="19">
        <f>IF(ISNUMBER(SEARCH("ستاند",D170)),"أثاث وستاندات","")</f>
        <v/>
      </c>
      <c r="J170" s="20">
        <f>IF(E170="","",IF(I170="","⚠ عبّي الغرض",IF(AND(D170&lt;&gt;"",OR(ISNUMBER(SEARCH("صيانة",D170)),ISNUMBER(SEARCH("تعزيل",D170)),ISNUMBER(SEARCH("تنظيف",D170)),ISNUMBER(SEARCH("تصليح",D170)))),"⚠ الصيانة بلا ورشة",IF(H170="","⚠ ناقص",IF(D170&lt;&gt;"",IF(SUMIF($D$7:$D$806,D170,$H$7:$H$806)&gt;=20,"أصل","مصروف"),IFERROR(IF(VLOOKUP(I170,'القوائم'!$A$2:$D$14,4,0)="زكاة وصدقة","زكاة وصدقة",IF(AND(VLOOKUP(I170,'القوائم'!$A$2:$D$14,3,0)&lt;&gt;"",H170&gt;=20),"أصل","مصروف")),"مصروف"))))))</f>
        <v/>
      </c>
      <c r="K170" s="21" t="n"/>
      <c r="L170" s="22" t="n"/>
      <c r="N170">
        <f>IF(B170="","",MONTH(B170))</f>
        <v/>
      </c>
      <c r="O170">
        <f>IF(B170="","",YEAR(B170))</f>
        <v/>
      </c>
      <c r="P170">
        <f>IF(AND(D170&lt;&gt;"",COUNTIF(D$7:D170,D170)=1),MAX(P$6:P169)+1,"")</f>
        <v/>
      </c>
      <c r="Q170">
        <f>IF(E170="","",IF(I170="أجور عمال","أجرة","مادة"))</f>
        <v/>
      </c>
    </row>
    <row r="171">
      <c r="A171" s="12">
        <f>IF(E171="","",ROW()-6)</f>
        <v/>
      </c>
      <c r="B171" s="13" t="n"/>
      <c r="C171" s="12">
        <f>IF(B171="","",CHOOSE(WEEKDAY(B171,1),"الأحد","الاثنين","الثلاثاء","الأربعاء","الخميس","الجمعة","السبت"))</f>
        <v/>
      </c>
      <c r="D171" s="14" t="n"/>
      <c r="E171" s="15" t="n"/>
      <c r="F171" s="16" t="n"/>
      <c r="G171" s="17" t="n"/>
      <c r="H171" s="18">
        <f>IF(OR(F171="",G171=""),"",ROUND(F171*G171,2))</f>
        <v/>
      </c>
      <c r="I171" s="19">
        <f>IF(ISNUMBER(SEARCH("ستاند",D171)),"أثاث وستاندات","")</f>
        <v/>
      </c>
      <c r="J171" s="20">
        <f>IF(E171="","",IF(I171="","⚠ عبّي الغرض",IF(AND(D171&lt;&gt;"",OR(ISNUMBER(SEARCH("صيانة",D171)),ISNUMBER(SEARCH("تعزيل",D171)),ISNUMBER(SEARCH("تنظيف",D171)),ISNUMBER(SEARCH("تصليح",D171)))),"⚠ الصيانة بلا ورشة",IF(H171="","⚠ ناقص",IF(D171&lt;&gt;"",IF(SUMIF($D$7:$D$806,D171,$H$7:$H$806)&gt;=20,"أصل","مصروف"),IFERROR(IF(VLOOKUP(I171,'القوائم'!$A$2:$D$14,4,0)="زكاة وصدقة","زكاة وصدقة",IF(AND(VLOOKUP(I171,'القوائم'!$A$2:$D$14,3,0)&lt;&gt;"",H171&gt;=20),"أصل","مصروف")),"مصروف"))))))</f>
        <v/>
      </c>
      <c r="K171" s="21" t="n"/>
      <c r="L171" s="22" t="n"/>
      <c r="N171">
        <f>IF(B171="","",MONTH(B171))</f>
        <v/>
      </c>
      <c r="O171">
        <f>IF(B171="","",YEAR(B171))</f>
        <v/>
      </c>
      <c r="P171">
        <f>IF(AND(D171&lt;&gt;"",COUNTIF(D$7:D171,D171)=1),MAX(P$6:P170)+1,"")</f>
        <v/>
      </c>
      <c r="Q171">
        <f>IF(E171="","",IF(I171="أجور عمال","أجرة","مادة"))</f>
        <v/>
      </c>
    </row>
    <row r="172">
      <c r="A172" s="12">
        <f>IF(E172="","",ROW()-6)</f>
        <v/>
      </c>
      <c r="B172" s="13" t="n"/>
      <c r="C172" s="12">
        <f>IF(B172="","",CHOOSE(WEEKDAY(B172,1),"الأحد","الاثنين","الثلاثاء","الأربعاء","الخميس","الجمعة","السبت"))</f>
        <v/>
      </c>
      <c r="D172" s="14" t="n"/>
      <c r="E172" s="15" t="n"/>
      <c r="F172" s="16" t="n"/>
      <c r="G172" s="17" t="n"/>
      <c r="H172" s="18">
        <f>IF(OR(F172="",G172=""),"",ROUND(F172*G172,2))</f>
        <v/>
      </c>
      <c r="I172" s="19">
        <f>IF(ISNUMBER(SEARCH("ستاند",D172)),"أثاث وستاندات","")</f>
        <v/>
      </c>
      <c r="J172" s="20">
        <f>IF(E172="","",IF(I172="","⚠ عبّي الغرض",IF(AND(D172&lt;&gt;"",OR(ISNUMBER(SEARCH("صيانة",D172)),ISNUMBER(SEARCH("تعزيل",D172)),ISNUMBER(SEARCH("تنظيف",D172)),ISNUMBER(SEARCH("تصليح",D172)))),"⚠ الصيانة بلا ورشة",IF(H172="","⚠ ناقص",IF(D172&lt;&gt;"",IF(SUMIF($D$7:$D$806,D172,$H$7:$H$806)&gt;=20,"أصل","مصروف"),IFERROR(IF(VLOOKUP(I172,'القوائم'!$A$2:$D$14,4,0)="زكاة وصدقة","زكاة وصدقة",IF(AND(VLOOKUP(I172,'القوائم'!$A$2:$D$14,3,0)&lt;&gt;"",H172&gt;=20),"أصل","مصروف")),"مصروف"))))))</f>
        <v/>
      </c>
      <c r="K172" s="21" t="n"/>
      <c r="L172" s="22" t="n"/>
      <c r="N172">
        <f>IF(B172="","",MONTH(B172))</f>
        <v/>
      </c>
      <c r="O172">
        <f>IF(B172="","",YEAR(B172))</f>
        <v/>
      </c>
      <c r="P172">
        <f>IF(AND(D172&lt;&gt;"",COUNTIF(D$7:D172,D172)=1),MAX(P$6:P171)+1,"")</f>
        <v/>
      </c>
      <c r="Q172">
        <f>IF(E172="","",IF(I172="أجور عمال","أجرة","مادة"))</f>
        <v/>
      </c>
    </row>
    <row r="173">
      <c r="A173" s="12">
        <f>IF(E173="","",ROW()-6)</f>
        <v/>
      </c>
      <c r="B173" s="13" t="n"/>
      <c r="C173" s="12">
        <f>IF(B173="","",CHOOSE(WEEKDAY(B173,1),"الأحد","الاثنين","الثلاثاء","الأربعاء","الخميس","الجمعة","السبت"))</f>
        <v/>
      </c>
      <c r="D173" s="14" t="n"/>
      <c r="E173" s="15" t="n"/>
      <c r="F173" s="16" t="n"/>
      <c r="G173" s="17" t="n"/>
      <c r="H173" s="18">
        <f>IF(OR(F173="",G173=""),"",ROUND(F173*G173,2))</f>
        <v/>
      </c>
      <c r="I173" s="19">
        <f>IF(ISNUMBER(SEARCH("ستاند",D173)),"أثاث وستاندات","")</f>
        <v/>
      </c>
      <c r="J173" s="20">
        <f>IF(E173="","",IF(I173="","⚠ عبّي الغرض",IF(AND(D173&lt;&gt;"",OR(ISNUMBER(SEARCH("صيانة",D173)),ISNUMBER(SEARCH("تعزيل",D173)),ISNUMBER(SEARCH("تنظيف",D173)),ISNUMBER(SEARCH("تصليح",D173)))),"⚠ الصيانة بلا ورشة",IF(H173="","⚠ ناقص",IF(D173&lt;&gt;"",IF(SUMIF($D$7:$D$806,D173,$H$7:$H$806)&gt;=20,"أصل","مصروف"),IFERROR(IF(VLOOKUP(I173,'القوائم'!$A$2:$D$14,4,0)="زكاة وصدقة","زكاة وصدقة",IF(AND(VLOOKUP(I173,'القوائم'!$A$2:$D$14,3,0)&lt;&gt;"",H173&gt;=20),"أصل","مصروف")),"مصروف"))))))</f>
        <v/>
      </c>
      <c r="K173" s="21" t="n"/>
      <c r="L173" s="22" t="n"/>
      <c r="N173">
        <f>IF(B173="","",MONTH(B173))</f>
        <v/>
      </c>
      <c r="O173">
        <f>IF(B173="","",YEAR(B173))</f>
        <v/>
      </c>
      <c r="P173">
        <f>IF(AND(D173&lt;&gt;"",COUNTIF(D$7:D173,D173)=1),MAX(P$6:P172)+1,"")</f>
        <v/>
      </c>
      <c r="Q173">
        <f>IF(E173="","",IF(I173="أجور عمال","أجرة","مادة"))</f>
        <v/>
      </c>
    </row>
    <row r="174">
      <c r="A174" s="12">
        <f>IF(E174="","",ROW()-6)</f>
        <v/>
      </c>
      <c r="B174" s="13" t="n"/>
      <c r="C174" s="12">
        <f>IF(B174="","",CHOOSE(WEEKDAY(B174,1),"الأحد","الاثنين","الثلاثاء","الأربعاء","الخميس","الجمعة","السبت"))</f>
        <v/>
      </c>
      <c r="D174" s="14" t="n"/>
      <c r="E174" s="15" t="n"/>
      <c r="F174" s="16" t="n"/>
      <c r="G174" s="17" t="n"/>
      <c r="H174" s="18">
        <f>IF(OR(F174="",G174=""),"",ROUND(F174*G174,2))</f>
        <v/>
      </c>
      <c r="I174" s="19">
        <f>IF(ISNUMBER(SEARCH("ستاند",D174)),"أثاث وستاندات","")</f>
        <v/>
      </c>
      <c r="J174" s="20">
        <f>IF(E174="","",IF(I174="","⚠ عبّي الغرض",IF(AND(D174&lt;&gt;"",OR(ISNUMBER(SEARCH("صيانة",D174)),ISNUMBER(SEARCH("تعزيل",D174)),ISNUMBER(SEARCH("تنظيف",D174)),ISNUMBER(SEARCH("تصليح",D174)))),"⚠ الصيانة بلا ورشة",IF(H174="","⚠ ناقص",IF(D174&lt;&gt;"",IF(SUMIF($D$7:$D$806,D174,$H$7:$H$806)&gt;=20,"أصل","مصروف"),IFERROR(IF(VLOOKUP(I174,'القوائم'!$A$2:$D$14,4,0)="زكاة وصدقة","زكاة وصدقة",IF(AND(VLOOKUP(I174,'القوائم'!$A$2:$D$14,3,0)&lt;&gt;"",H174&gt;=20),"أصل","مصروف")),"مصروف"))))))</f>
        <v/>
      </c>
      <c r="K174" s="21" t="n"/>
      <c r="L174" s="22" t="n"/>
      <c r="N174">
        <f>IF(B174="","",MONTH(B174))</f>
        <v/>
      </c>
      <c r="O174">
        <f>IF(B174="","",YEAR(B174))</f>
        <v/>
      </c>
      <c r="P174">
        <f>IF(AND(D174&lt;&gt;"",COUNTIF(D$7:D174,D174)=1),MAX(P$6:P173)+1,"")</f>
        <v/>
      </c>
      <c r="Q174">
        <f>IF(E174="","",IF(I174="أجور عمال","أجرة","مادة"))</f>
        <v/>
      </c>
    </row>
    <row r="175">
      <c r="A175" s="12">
        <f>IF(E175="","",ROW()-6)</f>
        <v/>
      </c>
      <c r="B175" s="13" t="n"/>
      <c r="C175" s="12">
        <f>IF(B175="","",CHOOSE(WEEKDAY(B175,1),"الأحد","الاثنين","الثلاثاء","الأربعاء","الخميس","الجمعة","السبت"))</f>
        <v/>
      </c>
      <c r="D175" s="14" t="n"/>
      <c r="E175" s="15" t="n"/>
      <c r="F175" s="16" t="n"/>
      <c r="G175" s="17" t="n"/>
      <c r="H175" s="18">
        <f>IF(OR(F175="",G175=""),"",ROUND(F175*G175,2))</f>
        <v/>
      </c>
      <c r="I175" s="19">
        <f>IF(ISNUMBER(SEARCH("ستاند",D175)),"أثاث وستاندات","")</f>
        <v/>
      </c>
      <c r="J175" s="20">
        <f>IF(E175="","",IF(I175="","⚠ عبّي الغرض",IF(AND(D175&lt;&gt;"",OR(ISNUMBER(SEARCH("صيانة",D175)),ISNUMBER(SEARCH("تعزيل",D175)),ISNUMBER(SEARCH("تنظيف",D175)),ISNUMBER(SEARCH("تصليح",D175)))),"⚠ الصيانة بلا ورشة",IF(H175="","⚠ ناقص",IF(D175&lt;&gt;"",IF(SUMIF($D$7:$D$806,D175,$H$7:$H$806)&gt;=20,"أصل","مصروف"),IFERROR(IF(VLOOKUP(I175,'القوائم'!$A$2:$D$14,4,0)="زكاة وصدقة","زكاة وصدقة",IF(AND(VLOOKUP(I175,'القوائم'!$A$2:$D$14,3,0)&lt;&gt;"",H175&gt;=20),"أصل","مصروف")),"مصروف"))))))</f>
        <v/>
      </c>
      <c r="K175" s="21" t="n"/>
      <c r="L175" s="22" t="n"/>
      <c r="N175">
        <f>IF(B175="","",MONTH(B175))</f>
        <v/>
      </c>
      <c r="O175">
        <f>IF(B175="","",YEAR(B175))</f>
        <v/>
      </c>
      <c r="P175">
        <f>IF(AND(D175&lt;&gt;"",COUNTIF(D$7:D175,D175)=1),MAX(P$6:P174)+1,"")</f>
        <v/>
      </c>
      <c r="Q175">
        <f>IF(E175="","",IF(I175="أجور عمال","أجرة","مادة"))</f>
        <v/>
      </c>
    </row>
    <row r="176">
      <c r="A176" s="12">
        <f>IF(E176="","",ROW()-6)</f>
        <v/>
      </c>
      <c r="B176" s="13" t="n"/>
      <c r="C176" s="12">
        <f>IF(B176="","",CHOOSE(WEEKDAY(B176,1),"الأحد","الاثنين","الثلاثاء","الأربعاء","الخميس","الجمعة","السبت"))</f>
        <v/>
      </c>
      <c r="D176" s="14" t="n"/>
      <c r="E176" s="15" t="n"/>
      <c r="F176" s="16" t="n"/>
      <c r="G176" s="17" t="n"/>
      <c r="H176" s="18">
        <f>IF(OR(F176="",G176=""),"",ROUND(F176*G176,2))</f>
        <v/>
      </c>
      <c r="I176" s="19">
        <f>IF(ISNUMBER(SEARCH("ستاند",D176)),"أثاث وستاندات","")</f>
        <v/>
      </c>
      <c r="J176" s="20">
        <f>IF(E176="","",IF(I176="","⚠ عبّي الغرض",IF(AND(D176&lt;&gt;"",OR(ISNUMBER(SEARCH("صيانة",D176)),ISNUMBER(SEARCH("تعزيل",D176)),ISNUMBER(SEARCH("تنظيف",D176)),ISNUMBER(SEARCH("تصليح",D176)))),"⚠ الصيانة بلا ورشة",IF(H176="","⚠ ناقص",IF(D176&lt;&gt;"",IF(SUMIF($D$7:$D$806,D176,$H$7:$H$806)&gt;=20,"أصل","مصروف"),IFERROR(IF(VLOOKUP(I176,'القوائم'!$A$2:$D$14,4,0)="زكاة وصدقة","زكاة وصدقة",IF(AND(VLOOKUP(I176,'القوائم'!$A$2:$D$14,3,0)&lt;&gt;"",H176&gt;=20),"أصل","مصروف")),"مصروف"))))))</f>
        <v/>
      </c>
      <c r="K176" s="21" t="n"/>
      <c r="L176" s="22" t="n"/>
      <c r="N176">
        <f>IF(B176="","",MONTH(B176))</f>
        <v/>
      </c>
      <c r="O176">
        <f>IF(B176="","",YEAR(B176))</f>
        <v/>
      </c>
      <c r="P176">
        <f>IF(AND(D176&lt;&gt;"",COUNTIF(D$7:D176,D176)=1),MAX(P$6:P175)+1,"")</f>
        <v/>
      </c>
      <c r="Q176">
        <f>IF(E176="","",IF(I176="أجور عمال","أجرة","مادة"))</f>
        <v/>
      </c>
    </row>
    <row r="177">
      <c r="A177" s="12">
        <f>IF(E177="","",ROW()-6)</f>
        <v/>
      </c>
      <c r="B177" s="13" t="n"/>
      <c r="C177" s="12">
        <f>IF(B177="","",CHOOSE(WEEKDAY(B177,1),"الأحد","الاثنين","الثلاثاء","الأربعاء","الخميس","الجمعة","السبت"))</f>
        <v/>
      </c>
      <c r="D177" s="14" t="n"/>
      <c r="E177" s="15" t="n"/>
      <c r="F177" s="16" t="n"/>
      <c r="G177" s="17" t="n"/>
      <c r="H177" s="18">
        <f>IF(OR(F177="",G177=""),"",ROUND(F177*G177,2))</f>
        <v/>
      </c>
      <c r="I177" s="19">
        <f>IF(ISNUMBER(SEARCH("ستاند",D177)),"أثاث وستاندات","")</f>
        <v/>
      </c>
      <c r="J177" s="20">
        <f>IF(E177="","",IF(I177="","⚠ عبّي الغرض",IF(AND(D177&lt;&gt;"",OR(ISNUMBER(SEARCH("صيانة",D177)),ISNUMBER(SEARCH("تعزيل",D177)),ISNUMBER(SEARCH("تنظيف",D177)),ISNUMBER(SEARCH("تصليح",D177)))),"⚠ الصيانة بلا ورشة",IF(H177="","⚠ ناقص",IF(D177&lt;&gt;"",IF(SUMIF($D$7:$D$806,D177,$H$7:$H$806)&gt;=20,"أصل","مصروف"),IFERROR(IF(VLOOKUP(I177,'القوائم'!$A$2:$D$14,4,0)="زكاة وصدقة","زكاة وصدقة",IF(AND(VLOOKUP(I177,'القوائم'!$A$2:$D$14,3,0)&lt;&gt;"",H177&gt;=20),"أصل","مصروف")),"مصروف"))))))</f>
        <v/>
      </c>
      <c r="K177" s="21" t="n"/>
      <c r="L177" s="22" t="n"/>
      <c r="N177">
        <f>IF(B177="","",MONTH(B177))</f>
        <v/>
      </c>
      <c r="O177">
        <f>IF(B177="","",YEAR(B177))</f>
        <v/>
      </c>
      <c r="P177">
        <f>IF(AND(D177&lt;&gt;"",COUNTIF(D$7:D177,D177)=1),MAX(P$6:P176)+1,"")</f>
        <v/>
      </c>
      <c r="Q177">
        <f>IF(E177="","",IF(I177="أجور عمال","أجرة","مادة"))</f>
        <v/>
      </c>
    </row>
    <row r="178">
      <c r="A178" s="12">
        <f>IF(E178="","",ROW()-6)</f>
        <v/>
      </c>
      <c r="B178" s="13" t="n"/>
      <c r="C178" s="12">
        <f>IF(B178="","",CHOOSE(WEEKDAY(B178,1),"الأحد","الاثنين","الثلاثاء","الأربعاء","الخميس","الجمعة","السبت"))</f>
        <v/>
      </c>
      <c r="D178" s="14" t="n"/>
      <c r="E178" s="15" t="n"/>
      <c r="F178" s="16" t="n"/>
      <c r="G178" s="17" t="n"/>
      <c r="H178" s="18">
        <f>IF(OR(F178="",G178=""),"",ROUND(F178*G178,2))</f>
        <v/>
      </c>
      <c r="I178" s="19">
        <f>IF(ISNUMBER(SEARCH("ستاند",D178)),"أثاث وستاندات","")</f>
        <v/>
      </c>
      <c r="J178" s="20">
        <f>IF(E178="","",IF(I178="","⚠ عبّي الغرض",IF(AND(D178&lt;&gt;"",OR(ISNUMBER(SEARCH("صيانة",D178)),ISNUMBER(SEARCH("تعزيل",D178)),ISNUMBER(SEARCH("تنظيف",D178)),ISNUMBER(SEARCH("تصليح",D178)))),"⚠ الصيانة بلا ورشة",IF(H178="","⚠ ناقص",IF(D178&lt;&gt;"",IF(SUMIF($D$7:$D$806,D178,$H$7:$H$806)&gt;=20,"أصل","مصروف"),IFERROR(IF(VLOOKUP(I178,'القوائم'!$A$2:$D$14,4,0)="زكاة وصدقة","زكاة وصدقة",IF(AND(VLOOKUP(I178,'القوائم'!$A$2:$D$14,3,0)&lt;&gt;"",H178&gt;=20),"أصل","مصروف")),"مصروف"))))))</f>
        <v/>
      </c>
      <c r="K178" s="21" t="n"/>
      <c r="L178" s="22" t="n"/>
      <c r="N178">
        <f>IF(B178="","",MONTH(B178))</f>
        <v/>
      </c>
      <c r="O178">
        <f>IF(B178="","",YEAR(B178))</f>
        <v/>
      </c>
      <c r="P178">
        <f>IF(AND(D178&lt;&gt;"",COUNTIF(D$7:D178,D178)=1),MAX(P$6:P177)+1,"")</f>
        <v/>
      </c>
      <c r="Q178">
        <f>IF(E178="","",IF(I178="أجور عمال","أجرة","مادة"))</f>
        <v/>
      </c>
    </row>
    <row r="179">
      <c r="A179" s="12">
        <f>IF(E179="","",ROW()-6)</f>
        <v/>
      </c>
      <c r="B179" s="13" t="n"/>
      <c r="C179" s="12">
        <f>IF(B179="","",CHOOSE(WEEKDAY(B179,1),"الأحد","الاثنين","الثلاثاء","الأربعاء","الخميس","الجمعة","السبت"))</f>
        <v/>
      </c>
      <c r="D179" s="14" t="n"/>
      <c r="E179" s="15" t="n"/>
      <c r="F179" s="16" t="n"/>
      <c r="G179" s="17" t="n"/>
      <c r="H179" s="18">
        <f>IF(OR(F179="",G179=""),"",ROUND(F179*G179,2))</f>
        <v/>
      </c>
      <c r="I179" s="19">
        <f>IF(ISNUMBER(SEARCH("ستاند",D179)),"أثاث وستاندات","")</f>
        <v/>
      </c>
      <c r="J179" s="20">
        <f>IF(E179="","",IF(I179="","⚠ عبّي الغرض",IF(AND(D179&lt;&gt;"",OR(ISNUMBER(SEARCH("صيانة",D179)),ISNUMBER(SEARCH("تعزيل",D179)),ISNUMBER(SEARCH("تنظيف",D179)),ISNUMBER(SEARCH("تصليح",D179)))),"⚠ الصيانة بلا ورشة",IF(H179="","⚠ ناقص",IF(D179&lt;&gt;"",IF(SUMIF($D$7:$D$806,D179,$H$7:$H$806)&gt;=20,"أصل","مصروف"),IFERROR(IF(VLOOKUP(I179,'القوائم'!$A$2:$D$14,4,0)="زكاة وصدقة","زكاة وصدقة",IF(AND(VLOOKUP(I179,'القوائم'!$A$2:$D$14,3,0)&lt;&gt;"",H179&gt;=20),"أصل","مصروف")),"مصروف"))))))</f>
        <v/>
      </c>
      <c r="K179" s="21" t="n"/>
      <c r="L179" s="22" t="n"/>
      <c r="N179">
        <f>IF(B179="","",MONTH(B179))</f>
        <v/>
      </c>
      <c r="O179">
        <f>IF(B179="","",YEAR(B179))</f>
        <v/>
      </c>
      <c r="P179">
        <f>IF(AND(D179&lt;&gt;"",COUNTIF(D$7:D179,D179)=1),MAX(P$6:P178)+1,"")</f>
        <v/>
      </c>
      <c r="Q179">
        <f>IF(E179="","",IF(I179="أجور عمال","أجرة","مادة"))</f>
        <v/>
      </c>
    </row>
    <row r="180">
      <c r="A180" s="12">
        <f>IF(E180="","",ROW()-6)</f>
        <v/>
      </c>
      <c r="B180" s="13" t="n"/>
      <c r="C180" s="12">
        <f>IF(B180="","",CHOOSE(WEEKDAY(B180,1),"الأحد","الاثنين","الثلاثاء","الأربعاء","الخميس","الجمعة","السبت"))</f>
        <v/>
      </c>
      <c r="D180" s="14" t="n"/>
      <c r="E180" s="15" t="n"/>
      <c r="F180" s="16" t="n"/>
      <c r="G180" s="17" t="n"/>
      <c r="H180" s="18">
        <f>IF(OR(F180="",G180=""),"",ROUND(F180*G180,2))</f>
        <v/>
      </c>
      <c r="I180" s="19">
        <f>IF(ISNUMBER(SEARCH("ستاند",D180)),"أثاث وستاندات","")</f>
        <v/>
      </c>
      <c r="J180" s="20">
        <f>IF(E180="","",IF(I180="","⚠ عبّي الغرض",IF(AND(D180&lt;&gt;"",OR(ISNUMBER(SEARCH("صيانة",D180)),ISNUMBER(SEARCH("تعزيل",D180)),ISNUMBER(SEARCH("تنظيف",D180)),ISNUMBER(SEARCH("تصليح",D180)))),"⚠ الصيانة بلا ورشة",IF(H180="","⚠ ناقص",IF(D180&lt;&gt;"",IF(SUMIF($D$7:$D$806,D180,$H$7:$H$806)&gt;=20,"أصل","مصروف"),IFERROR(IF(VLOOKUP(I180,'القوائم'!$A$2:$D$14,4,0)="زكاة وصدقة","زكاة وصدقة",IF(AND(VLOOKUP(I180,'القوائم'!$A$2:$D$14,3,0)&lt;&gt;"",H180&gt;=20),"أصل","مصروف")),"مصروف"))))))</f>
        <v/>
      </c>
      <c r="K180" s="21" t="n"/>
      <c r="L180" s="22" t="n"/>
      <c r="N180">
        <f>IF(B180="","",MONTH(B180))</f>
        <v/>
      </c>
      <c r="O180">
        <f>IF(B180="","",YEAR(B180))</f>
        <v/>
      </c>
      <c r="P180">
        <f>IF(AND(D180&lt;&gt;"",COUNTIF(D$7:D180,D180)=1),MAX(P$6:P179)+1,"")</f>
        <v/>
      </c>
      <c r="Q180">
        <f>IF(E180="","",IF(I180="أجور عمال","أجرة","مادة"))</f>
        <v/>
      </c>
    </row>
    <row r="181">
      <c r="A181" s="12">
        <f>IF(E181="","",ROW()-6)</f>
        <v/>
      </c>
      <c r="B181" s="13" t="n"/>
      <c r="C181" s="12">
        <f>IF(B181="","",CHOOSE(WEEKDAY(B181,1),"الأحد","الاثنين","الثلاثاء","الأربعاء","الخميس","الجمعة","السبت"))</f>
        <v/>
      </c>
      <c r="D181" s="14" t="n"/>
      <c r="E181" s="15" t="n"/>
      <c r="F181" s="16" t="n"/>
      <c r="G181" s="17" t="n"/>
      <c r="H181" s="18">
        <f>IF(OR(F181="",G181=""),"",ROUND(F181*G181,2))</f>
        <v/>
      </c>
      <c r="I181" s="19">
        <f>IF(ISNUMBER(SEARCH("ستاند",D181)),"أثاث وستاندات","")</f>
        <v/>
      </c>
      <c r="J181" s="20">
        <f>IF(E181="","",IF(I181="","⚠ عبّي الغرض",IF(AND(D181&lt;&gt;"",OR(ISNUMBER(SEARCH("صيانة",D181)),ISNUMBER(SEARCH("تعزيل",D181)),ISNUMBER(SEARCH("تنظيف",D181)),ISNUMBER(SEARCH("تصليح",D181)))),"⚠ الصيانة بلا ورشة",IF(H181="","⚠ ناقص",IF(D181&lt;&gt;"",IF(SUMIF($D$7:$D$806,D181,$H$7:$H$806)&gt;=20,"أصل","مصروف"),IFERROR(IF(VLOOKUP(I181,'القوائم'!$A$2:$D$14,4,0)="زكاة وصدقة","زكاة وصدقة",IF(AND(VLOOKUP(I181,'القوائم'!$A$2:$D$14,3,0)&lt;&gt;"",H181&gt;=20),"أصل","مصروف")),"مصروف"))))))</f>
        <v/>
      </c>
      <c r="K181" s="21" t="n"/>
      <c r="L181" s="22" t="n"/>
      <c r="N181">
        <f>IF(B181="","",MONTH(B181))</f>
        <v/>
      </c>
      <c r="O181">
        <f>IF(B181="","",YEAR(B181))</f>
        <v/>
      </c>
      <c r="P181">
        <f>IF(AND(D181&lt;&gt;"",COUNTIF(D$7:D181,D181)=1),MAX(P$6:P180)+1,"")</f>
        <v/>
      </c>
      <c r="Q181">
        <f>IF(E181="","",IF(I181="أجور عمال","أجرة","مادة"))</f>
        <v/>
      </c>
    </row>
    <row r="182">
      <c r="A182" s="12">
        <f>IF(E182="","",ROW()-6)</f>
        <v/>
      </c>
      <c r="B182" s="13" t="n"/>
      <c r="C182" s="12">
        <f>IF(B182="","",CHOOSE(WEEKDAY(B182,1),"الأحد","الاثنين","الثلاثاء","الأربعاء","الخميس","الجمعة","السبت"))</f>
        <v/>
      </c>
      <c r="D182" s="14" t="n"/>
      <c r="E182" s="15" t="n"/>
      <c r="F182" s="16" t="n"/>
      <c r="G182" s="17" t="n"/>
      <c r="H182" s="18">
        <f>IF(OR(F182="",G182=""),"",ROUND(F182*G182,2))</f>
        <v/>
      </c>
      <c r="I182" s="19">
        <f>IF(ISNUMBER(SEARCH("ستاند",D182)),"أثاث وستاندات","")</f>
        <v/>
      </c>
      <c r="J182" s="20">
        <f>IF(E182="","",IF(I182="","⚠ عبّي الغرض",IF(AND(D182&lt;&gt;"",OR(ISNUMBER(SEARCH("صيانة",D182)),ISNUMBER(SEARCH("تعزيل",D182)),ISNUMBER(SEARCH("تنظيف",D182)),ISNUMBER(SEARCH("تصليح",D182)))),"⚠ الصيانة بلا ورشة",IF(H182="","⚠ ناقص",IF(D182&lt;&gt;"",IF(SUMIF($D$7:$D$806,D182,$H$7:$H$806)&gt;=20,"أصل","مصروف"),IFERROR(IF(VLOOKUP(I182,'القوائم'!$A$2:$D$14,4,0)="زكاة وصدقة","زكاة وصدقة",IF(AND(VLOOKUP(I182,'القوائم'!$A$2:$D$14,3,0)&lt;&gt;"",H182&gt;=20),"أصل","مصروف")),"مصروف"))))))</f>
        <v/>
      </c>
      <c r="K182" s="21" t="n"/>
      <c r="L182" s="22" t="n"/>
      <c r="N182">
        <f>IF(B182="","",MONTH(B182))</f>
        <v/>
      </c>
      <c r="O182">
        <f>IF(B182="","",YEAR(B182))</f>
        <v/>
      </c>
      <c r="P182">
        <f>IF(AND(D182&lt;&gt;"",COUNTIF(D$7:D182,D182)=1),MAX(P$6:P181)+1,"")</f>
        <v/>
      </c>
      <c r="Q182">
        <f>IF(E182="","",IF(I182="أجور عمال","أجرة","مادة"))</f>
        <v/>
      </c>
    </row>
    <row r="183">
      <c r="A183" s="12">
        <f>IF(E183="","",ROW()-6)</f>
        <v/>
      </c>
      <c r="B183" s="13" t="n"/>
      <c r="C183" s="12">
        <f>IF(B183="","",CHOOSE(WEEKDAY(B183,1),"الأحد","الاثنين","الثلاثاء","الأربعاء","الخميس","الجمعة","السبت"))</f>
        <v/>
      </c>
      <c r="D183" s="14" t="n"/>
      <c r="E183" s="15" t="n"/>
      <c r="F183" s="16" t="n"/>
      <c r="G183" s="17" t="n"/>
      <c r="H183" s="18">
        <f>IF(OR(F183="",G183=""),"",ROUND(F183*G183,2))</f>
        <v/>
      </c>
      <c r="I183" s="19">
        <f>IF(ISNUMBER(SEARCH("ستاند",D183)),"أثاث وستاندات","")</f>
        <v/>
      </c>
      <c r="J183" s="20">
        <f>IF(E183="","",IF(I183="","⚠ عبّي الغرض",IF(AND(D183&lt;&gt;"",OR(ISNUMBER(SEARCH("صيانة",D183)),ISNUMBER(SEARCH("تعزيل",D183)),ISNUMBER(SEARCH("تنظيف",D183)),ISNUMBER(SEARCH("تصليح",D183)))),"⚠ الصيانة بلا ورشة",IF(H183="","⚠ ناقص",IF(D183&lt;&gt;"",IF(SUMIF($D$7:$D$806,D183,$H$7:$H$806)&gt;=20,"أصل","مصروف"),IFERROR(IF(VLOOKUP(I183,'القوائم'!$A$2:$D$14,4,0)="زكاة وصدقة","زكاة وصدقة",IF(AND(VLOOKUP(I183,'القوائم'!$A$2:$D$14,3,0)&lt;&gt;"",H183&gt;=20),"أصل","مصروف")),"مصروف"))))))</f>
        <v/>
      </c>
      <c r="K183" s="21" t="n"/>
      <c r="L183" s="22" t="n"/>
      <c r="N183">
        <f>IF(B183="","",MONTH(B183))</f>
        <v/>
      </c>
      <c r="O183">
        <f>IF(B183="","",YEAR(B183))</f>
        <v/>
      </c>
      <c r="P183">
        <f>IF(AND(D183&lt;&gt;"",COUNTIF(D$7:D183,D183)=1),MAX(P$6:P182)+1,"")</f>
        <v/>
      </c>
      <c r="Q183">
        <f>IF(E183="","",IF(I183="أجور عمال","أجرة","مادة"))</f>
        <v/>
      </c>
    </row>
    <row r="184">
      <c r="A184" s="12">
        <f>IF(E184="","",ROW()-6)</f>
        <v/>
      </c>
      <c r="B184" s="13" t="n"/>
      <c r="C184" s="12">
        <f>IF(B184="","",CHOOSE(WEEKDAY(B184,1),"الأحد","الاثنين","الثلاثاء","الأربعاء","الخميس","الجمعة","السبت"))</f>
        <v/>
      </c>
      <c r="D184" s="14" t="n"/>
      <c r="E184" s="15" t="n"/>
      <c r="F184" s="16" t="n"/>
      <c r="G184" s="17" t="n"/>
      <c r="H184" s="18">
        <f>IF(OR(F184="",G184=""),"",ROUND(F184*G184,2))</f>
        <v/>
      </c>
      <c r="I184" s="19">
        <f>IF(ISNUMBER(SEARCH("ستاند",D184)),"أثاث وستاندات","")</f>
        <v/>
      </c>
      <c r="J184" s="20">
        <f>IF(E184="","",IF(I184="","⚠ عبّي الغرض",IF(AND(D184&lt;&gt;"",OR(ISNUMBER(SEARCH("صيانة",D184)),ISNUMBER(SEARCH("تعزيل",D184)),ISNUMBER(SEARCH("تنظيف",D184)),ISNUMBER(SEARCH("تصليح",D184)))),"⚠ الصيانة بلا ورشة",IF(H184="","⚠ ناقص",IF(D184&lt;&gt;"",IF(SUMIF($D$7:$D$806,D184,$H$7:$H$806)&gt;=20,"أصل","مصروف"),IFERROR(IF(VLOOKUP(I184,'القوائم'!$A$2:$D$14,4,0)="زكاة وصدقة","زكاة وصدقة",IF(AND(VLOOKUP(I184,'القوائم'!$A$2:$D$14,3,0)&lt;&gt;"",H184&gt;=20),"أصل","مصروف")),"مصروف"))))))</f>
        <v/>
      </c>
      <c r="K184" s="21" t="n"/>
      <c r="L184" s="22" t="n"/>
      <c r="N184">
        <f>IF(B184="","",MONTH(B184))</f>
        <v/>
      </c>
      <c r="O184">
        <f>IF(B184="","",YEAR(B184))</f>
        <v/>
      </c>
      <c r="P184">
        <f>IF(AND(D184&lt;&gt;"",COUNTIF(D$7:D184,D184)=1),MAX(P$6:P183)+1,"")</f>
        <v/>
      </c>
      <c r="Q184">
        <f>IF(E184="","",IF(I184="أجور عمال","أجرة","مادة"))</f>
        <v/>
      </c>
    </row>
    <row r="185">
      <c r="A185" s="12">
        <f>IF(E185="","",ROW()-6)</f>
        <v/>
      </c>
      <c r="B185" s="13" t="n"/>
      <c r="C185" s="12">
        <f>IF(B185="","",CHOOSE(WEEKDAY(B185,1),"الأحد","الاثنين","الثلاثاء","الأربعاء","الخميس","الجمعة","السبت"))</f>
        <v/>
      </c>
      <c r="D185" s="14" t="n"/>
      <c r="E185" s="15" t="n"/>
      <c r="F185" s="16" t="n"/>
      <c r="G185" s="17" t="n"/>
      <c r="H185" s="18">
        <f>IF(OR(F185="",G185=""),"",ROUND(F185*G185,2))</f>
        <v/>
      </c>
      <c r="I185" s="19">
        <f>IF(ISNUMBER(SEARCH("ستاند",D185)),"أثاث وستاندات","")</f>
        <v/>
      </c>
      <c r="J185" s="20">
        <f>IF(E185="","",IF(I185="","⚠ عبّي الغرض",IF(AND(D185&lt;&gt;"",OR(ISNUMBER(SEARCH("صيانة",D185)),ISNUMBER(SEARCH("تعزيل",D185)),ISNUMBER(SEARCH("تنظيف",D185)),ISNUMBER(SEARCH("تصليح",D185)))),"⚠ الصيانة بلا ورشة",IF(H185="","⚠ ناقص",IF(D185&lt;&gt;"",IF(SUMIF($D$7:$D$806,D185,$H$7:$H$806)&gt;=20,"أصل","مصروف"),IFERROR(IF(VLOOKUP(I185,'القوائم'!$A$2:$D$14,4,0)="زكاة وصدقة","زكاة وصدقة",IF(AND(VLOOKUP(I185,'القوائم'!$A$2:$D$14,3,0)&lt;&gt;"",H185&gt;=20),"أصل","مصروف")),"مصروف"))))))</f>
        <v/>
      </c>
      <c r="K185" s="21" t="n"/>
      <c r="L185" s="22" t="n"/>
      <c r="N185">
        <f>IF(B185="","",MONTH(B185))</f>
        <v/>
      </c>
      <c r="O185">
        <f>IF(B185="","",YEAR(B185))</f>
        <v/>
      </c>
      <c r="P185">
        <f>IF(AND(D185&lt;&gt;"",COUNTIF(D$7:D185,D185)=1),MAX(P$6:P184)+1,"")</f>
        <v/>
      </c>
      <c r="Q185">
        <f>IF(E185="","",IF(I185="أجور عمال","أجرة","مادة"))</f>
        <v/>
      </c>
    </row>
    <row r="186">
      <c r="A186" s="12">
        <f>IF(E186="","",ROW()-6)</f>
        <v/>
      </c>
      <c r="B186" s="13" t="n"/>
      <c r="C186" s="12">
        <f>IF(B186="","",CHOOSE(WEEKDAY(B186,1),"الأحد","الاثنين","الثلاثاء","الأربعاء","الخميس","الجمعة","السبت"))</f>
        <v/>
      </c>
      <c r="D186" s="14" t="n"/>
      <c r="E186" s="15" t="n"/>
      <c r="F186" s="16" t="n"/>
      <c r="G186" s="17" t="n"/>
      <c r="H186" s="18">
        <f>IF(OR(F186="",G186=""),"",ROUND(F186*G186,2))</f>
        <v/>
      </c>
      <c r="I186" s="19">
        <f>IF(ISNUMBER(SEARCH("ستاند",D186)),"أثاث وستاندات","")</f>
        <v/>
      </c>
      <c r="J186" s="20">
        <f>IF(E186="","",IF(I186="","⚠ عبّي الغرض",IF(AND(D186&lt;&gt;"",OR(ISNUMBER(SEARCH("صيانة",D186)),ISNUMBER(SEARCH("تعزيل",D186)),ISNUMBER(SEARCH("تنظيف",D186)),ISNUMBER(SEARCH("تصليح",D186)))),"⚠ الصيانة بلا ورشة",IF(H186="","⚠ ناقص",IF(D186&lt;&gt;"",IF(SUMIF($D$7:$D$806,D186,$H$7:$H$806)&gt;=20,"أصل","مصروف"),IFERROR(IF(VLOOKUP(I186,'القوائم'!$A$2:$D$14,4,0)="زكاة وصدقة","زكاة وصدقة",IF(AND(VLOOKUP(I186,'القوائم'!$A$2:$D$14,3,0)&lt;&gt;"",H186&gt;=20),"أصل","مصروف")),"مصروف"))))))</f>
        <v/>
      </c>
      <c r="K186" s="21" t="n"/>
      <c r="L186" s="22" t="n"/>
      <c r="N186">
        <f>IF(B186="","",MONTH(B186))</f>
        <v/>
      </c>
      <c r="O186">
        <f>IF(B186="","",YEAR(B186))</f>
        <v/>
      </c>
      <c r="P186">
        <f>IF(AND(D186&lt;&gt;"",COUNTIF(D$7:D186,D186)=1),MAX(P$6:P185)+1,"")</f>
        <v/>
      </c>
      <c r="Q186">
        <f>IF(E186="","",IF(I186="أجور عمال","أجرة","مادة"))</f>
        <v/>
      </c>
    </row>
    <row r="187">
      <c r="A187" s="12">
        <f>IF(E187="","",ROW()-6)</f>
        <v/>
      </c>
      <c r="B187" s="13" t="n"/>
      <c r="C187" s="12">
        <f>IF(B187="","",CHOOSE(WEEKDAY(B187,1),"الأحد","الاثنين","الثلاثاء","الأربعاء","الخميس","الجمعة","السبت"))</f>
        <v/>
      </c>
      <c r="D187" s="14" t="n"/>
      <c r="E187" s="15" t="n"/>
      <c r="F187" s="16" t="n"/>
      <c r="G187" s="17" t="n"/>
      <c r="H187" s="18">
        <f>IF(OR(F187="",G187=""),"",ROUND(F187*G187,2))</f>
        <v/>
      </c>
      <c r="I187" s="19">
        <f>IF(ISNUMBER(SEARCH("ستاند",D187)),"أثاث وستاندات","")</f>
        <v/>
      </c>
      <c r="J187" s="20">
        <f>IF(E187="","",IF(I187="","⚠ عبّي الغرض",IF(AND(D187&lt;&gt;"",OR(ISNUMBER(SEARCH("صيانة",D187)),ISNUMBER(SEARCH("تعزيل",D187)),ISNUMBER(SEARCH("تنظيف",D187)),ISNUMBER(SEARCH("تصليح",D187)))),"⚠ الصيانة بلا ورشة",IF(H187="","⚠ ناقص",IF(D187&lt;&gt;"",IF(SUMIF($D$7:$D$806,D187,$H$7:$H$806)&gt;=20,"أصل","مصروف"),IFERROR(IF(VLOOKUP(I187,'القوائم'!$A$2:$D$14,4,0)="زكاة وصدقة","زكاة وصدقة",IF(AND(VLOOKUP(I187,'القوائم'!$A$2:$D$14,3,0)&lt;&gt;"",H187&gt;=20),"أصل","مصروف")),"مصروف"))))))</f>
        <v/>
      </c>
      <c r="K187" s="21" t="n"/>
      <c r="L187" s="22" t="n"/>
      <c r="N187">
        <f>IF(B187="","",MONTH(B187))</f>
        <v/>
      </c>
      <c r="O187">
        <f>IF(B187="","",YEAR(B187))</f>
        <v/>
      </c>
      <c r="P187">
        <f>IF(AND(D187&lt;&gt;"",COUNTIF(D$7:D187,D187)=1),MAX(P$6:P186)+1,"")</f>
        <v/>
      </c>
      <c r="Q187">
        <f>IF(E187="","",IF(I187="أجور عمال","أجرة","مادة"))</f>
        <v/>
      </c>
    </row>
    <row r="188">
      <c r="A188" s="12">
        <f>IF(E188="","",ROW()-6)</f>
        <v/>
      </c>
      <c r="B188" s="13" t="n"/>
      <c r="C188" s="12">
        <f>IF(B188="","",CHOOSE(WEEKDAY(B188,1),"الأحد","الاثنين","الثلاثاء","الأربعاء","الخميس","الجمعة","السبت"))</f>
        <v/>
      </c>
      <c r="D188" s="14" t="n"/>
      <c r="E188" s="15" t="n"/>
      <c r="F188" s="16" t="n"/>
      <c r="G188" s="17" t="n"/>
      <c r="H188" s="18">
        <f>IF(OR(F188="",G188=""),"",ROUND(F188*G188,2))</f>
        <v/>
      </c>
      <c r="I188" s="19">
        <f>IF(ISNUMBER(SEARCH("ستاند",D188)),"أثاث وستاندات","")</f>
        <v/>
      </c>
      <c r="J188" s="20">
        <f>IF(E188="","",IF(I188="","⚠ عبّي الغرض",IF(AND(D188&lt;&gt;"",OR(ISNUMBER(SEARCH("صيانة",D188)),ISNUMBER(SEARCH("تعزيل",D188)),ISNUMBER(SEARCH("تنظيف",D188)),ISNUMBER(SEARCH("تصليح",D188)))),"⚠ الصيانة بلا ورشة",IF(H188="","⚠ ناقص",IF(D188&lt;&gt;"",IF(SUMIF($D$7:$D$806,D188,$H$7:$H$806)&gt;=20,"أصل","مصروف"),IFERROR(IF(VLOOKUP(I188,'القوائم'!$A$2:$D$14,4,0)="زكاة وصدقة","زكاة وصدقة",IF(AND(VLOOKUP(I188,'القوائم'!$A$2:$D$14,3,0)&lt;&gt;"",H188&gt;=20),"أصل","مصروف")),"مصروف"))))))</f>
        <v/>
      </c>
      <c r="K188" s="21" t="n"/>
      <c r="L188" s="22" t="n"/>
      <c r="N188">
        <f>IF(B188="","",MONTH(B188))</f>
        <v/>
      </c>
      <c r="O188">
        <f>IF(B188="","",YEAR(B188))</f>
        <v/>
      </c>
      <c r="P188">
        <f>IF(AND(D188&lt;&gt;"",COUNTIF(D$7:D188,D188)=1),MAX(P$6:P187)+1,"")</f>
        <v/>
      </c>
      <c r="Q188">
        <f>IF(E188="","",IF(I188="أجور عمال","أجرة","مادة"))</f>
        <v/>
      </c>
    </row>
    <row r="189">
      <c r="A189" s="12">
        <f>IF(E189="","",ROW()-6)</f>
        <v/>
      </c>
      <c r="B189" s="13" t="n"/>
      <c r="C189" s="12">
        <f>IF(B189="","",CHOOSE(WEEKDAY(B189,1),"الأحد","الاثنين","الثلاثاء","الأربعاء","الخميس","الجمعة","السبت"))</f>
        <v/>
      </c>
      <c r="D189" s="14" t="n"/>
      <c r="E189" s="15" t="n"/>
      <c r="F189" s="16" t="n"/>
      <c r="G189" s="17" t="n"/>
      <c r="H189" s="18">
        <f>IF(OR(F189="",G189=""),"",ROUND(F189*G189,2))</f>
        <v/>
      </c>
      <c r="I189" s="19">
        <f>IF(ISNUMBER(SEARCH("ستاند",D189)),"أثاث وستاندات","")</f>
        <v/>
      </c>
      <c r="J189" s="20">
        <f>IF(E189="","",IF(I189="","⚠ عبّي الغرض",IF(AND(D189&lt;&gt;"",OR(ISNUMBER(SEARCH("صيانة",D189)),ISNUMBER(SEARCH("تعزيل",D189)),ISNUMBER(SEARCH("تنظيف",D189)),ISNUMBER(SEARCH("تصليح",D189)))),"⚠ الصيانة بلا ورشة",IF(H189="","⚠ ناقص",IF(D189&lt;&gt;"",IF(SUMIF($D$7:$D$806,D189,$H$7:$H$806)&gt;=20,"أصل","مصروف"),IFERROR(IF(VLOOKUP(I189,'القوائم'!$A$2:$D$14,4,0)="زكاة وصدقة","زكاة وصدقة",IF(AND(VLOOKUP(I189,'القوائم'!$A$2:$D$14,3,0)&lt;&gt;"",H189&gt;=20),"أصل","مصروف")),"مصروف"))))))</f>
        <v/>
      </c>
      <c r="K189" s="21" t="n"/>
      <c r="L189" s="22" t="n"/>
      <c r="N189">
        <f>IF(B189="","",MONTH(B189))</f>
        <v/>
      </c>
      <c r="O189">
        <f>IF(B189="","",YEAR(B189))</f>
        <v/>
      </c>
      <c r="P189">
        <f>IF(AND(D189&lt;&gt;"",COUNTIF(D$7:D189,D189)=1),MAX(P$6:P188)+1,"")</f>
        <v/>
      </c>
      <c r="Q189">
        <f>IF(E189="","",IF(I189="أجور عمال","أجرة","مادة"))</f>
        <v/>
      </c>
    </row>
    <row r="190">
      <c r="A190" s="12">
        <f>IF(E190="","",ROW()-6)</f>
        <v/>
      </c>
      <c r="B190" s="13" t="n"/>
      <c r="C190" s="12">
        <f>IF(B190="","",CHOOSE(WEEKDAY(B190,1),"الأحد","الاثنين","الثلاثاء","الأربعاء","الخميس","الجمعة","السبت"))</f>
        <v/>
      </c>
      <c r="D190" s="14" t="n"/>
      <c r="E190" s="15" t="n"/>
      <c r="F190" s="16" t="n"/>
      <c r="G190" s="17" t="n"/>
      <c r="H190" s="18">
        <f>IF(OR(F190="",G190=""),"",ROUND(F190*G190,2))</f>
        <v/>
      </c>
      <c r="I190" s="19">
        <f>IF(ISNUMBER(SEARCH("ستاند",D190)),"أثاث وستاندات","")</f>
        <v/>
      </c>
      <c r="J190" s="20">
        <f>IF(E190="","",IF(I190="","⚠ عبّي الغرض",IF(AND(D190&lt;&gt;"",OR(ISNUMBER(SEARCH("صيانة",D190)),ISNUMBER(SEARCH("تعزيل",D190)),ISNUMBER(SEARCH("تنظيف",D190)),ISNUMBER(SEARCH("تصليح",D190)))),"⚠ الصيانة بلا ورشة",IF(H190="","⚠ ناقص",IF(D190&lt;&gt;"",IF(SUMIF($D$7:$D$806,D190,$H$7:$H$806)&gt;=20,"أصل","مصروف"),IFERROR(IF(VLOOKUP(I190,'القوائم'!$A$2:$D$14,4,0)="زكاة وصدقة","زكاة وصدقة",IF(AND(VLOOKUP(I190,'القوائم'!$A$2:$D$14,3,0)&lt;&gt;"",H190&gt;=20),"أصل","مصروف")),"مصروف"))))))</f>
        <v/>
      </c>
      <c r="K190" s="21" t="n"/>
      <c r="L190" s="22" t="n"/>
      <c r="N190">
        <f>IF(B190="","",MONTH(B190))</f>
        <v/>
      </c>
      <c r="O190">
        <f>IF(B190="","",YEAR(B190))</f>
        <v/>
      </c>
      <c r="P190">
        <f>IF(AND(D190&lt;&gt;"",COUNTIF(D$7:D190,D190)=1),MAX(P$6:P189)+1,"")</f>
        <v/>
      </c>
      <c r="Q190">
        <f>IF(E190="","",IF(I190="أجور عمال","أجرة","مادة"))</f>
        <v/>
      </c>
    </row>
    <row r="191">
      <c r="A191" s="12">
        <f>IF(E191="","",ROW()-6)</f>
        <v/>
      </c>
      <c r="B191" s="13" t="n"/>
      <c r="C191" s="12">
        <f>IF(B191="","",CHOOSE(WEEKDAY(B191,1),"الأحد","الاثنين","الثلاثاء","الأربعاء","الخميس","الجمعة","السبت"))</f>
        <v/>
      </c>
      <c r="D191" s="14" t="n"/>
      <c r="E191" s="15" t="n"/>
      <c r="F191" s="16" t="n"/>
      <c r="G191" s="17" t="n"/>
      <c r="H191" s="18">
        <f>IF(OR(F191="",G191=""),"",ROUND(F191*G191,2))</f>
        <v/>
      </c>
      <c r="I191" s="19">
        <f>IF(ISNUMBER(SEARCH("ستاند",D191)),"أثاث وستاندات","")</f>
        <v/>
      </c>
      <c r="J191" s="20">
        <f>IF(E191="","",IF(I191="","⚠ عبّي الغرض",IF(AND(D191&lt;&gt;"",OR(ISNUMBER(SEARCH("صيانة",D191)),ISNUMBER(SEARCH("تعزيل",D191)),ISNUMBER(SEARCH("تنظيف",D191)),ISNUMBER(SEARCH("تصليح",D191)))),"⚠ الصيانة بلا ورشة",IF(H191="","⚠ ناقص",IF(D191&lt;&gt;"",IF(SUMIF($D$7:$D$806,D191,$H$7:$H$806)&gt;=20,"أصل","مصروف"),IFERROR(IF(VLOOKUP(I191,'القوائم'!$A$2:$D$14,4,0)="زكاة وصدقة","زكاة وصدقة",IF(AND(VLOOKUP(I191,'القوائم'!$A$2:$D$14,3,0)&lt;&gt;"",H191&gt;=20),"أصل","مصروف")),"مصروف"))))))</f>
        <v/>
      </c>
      <c r="K191" s="21" t="n"/>
      <c r="L191" s="22" t="n"/>
      <c r="N191">
        <f>IF(B191="","",MONTH(B191))</f>
        <v/>
      </c>
      <c r="O191">
        <f>IF(B191="","",YEAR(B191))</f>
        <v/>
      </c>
      <c r="P191">
        <f>IF(AND(D191&lt;&gt;"",COUNTIF(D$7:D191,D191)=1),MAX(P$6:P190)+1,"")</f>
        <v/>
      </c>
      <c r="Q191">
        <f>IF(E191="","",IF(I191="أجور عمال","أجرة","مادة"))</f>
        <v/>
      </c>
    </row>
    <row r="192">
      <c r="A192" s="12">
        <f>IF(E192="","",ROW()-6)</f>
        <v/>
      </c>
      <c r="B192" s="13" t="n"/>
      <c r="C192" s="12">
        <f>IF(B192="","",CHOOSE(WEEKDAY(B192,1),"الأحد","الاثنين","الثلاثاء","الأربعاء","الخميس","الجمعة","السبت"))</f>
        <v/>
      </c>
      <c r="D192" s="14" t="n"/>
      <c r="E192" s="15" t="n"/>
      <c r="F192" s="16" t="n"/>
      <c r="G192" s="17" t="n"/>
      <c r="H192" s="18">
        <f>IF(OR(F192="",G192=""),"",ROUND(F192*G192,2))</f>
        <v/>
      </c>
      <c r="I192" s="19">
        <f>IF(ISNUMBER(SEARCH("ستاند",D192)),"أثاث وستاندات","")</f>
        <v/>
      </c>
      <c r="J192" s="20">
        <f>IF(E192="","",IF(I192="","⚠ عبّي الغرض",IF(AND(D192&lt;&gt;"",OR(ISNUMBER(SEARCH("صيانة",D192)),ISNUMBER(SEARCH("تعزيل",D192)),ISNUMBER(SEARCH("تنظيف",D192)),ISNUMBER(SEARCH("تصليح",D192)))),"⚠ الصيانة بلا ورشة",IF(H192="","⚠ ناقص",IF(D192&lt;&gt;"",IF(SUMIF($D$7:$D$806,D192,$H$7:$H$806)&gt;=20,"أصل","مصروف"),IFERROR(IF(VLOOKUP(I192,'القوائم'!$A$2:$D$14,4,0)="زكاة وصدقة","زكاة وصدقة",IF(AND(VLOOKUP(I192,'القوائم'!$A$2:$D$14,3,0)&lt;&gt;"",H192&gt;=20),"أصل","مصروف")),"مصروف"))))))</f>
        <v/>
      </c>
      <c r="K192" s="21" t="n"/>
      <c r="L192" s="22" t="n"/>
      <c r="N192">
        <f>IF(B192="","",MONTH(B192))</f>
        <v/>
      </c>
      <c r="O192">
        <f>IF(B192="","",YEAR(B192))</f>
        <v/>
      </c>
      <c r="P192">
        <f>IF(AND(D192&lt;&gt;"",COUNTIF(D$7:D192,D192)=1),MAX(P$6:P191)+1,"")</f>
        <v/>
      </c>
      <c r="Q192">
        <f>IF(E192="","",IF(I192="أجور عمال","أجرة","مادة"))</f>
        <v/>
      </c>
    </row>
    <row r="193">
      <c r="A193" s="12">
        <f>IF(E193="","",ROW()-6)</f>
        <v/>
      </c>
      <c r="B193" s="13" t="n"/>
      <c r="C193" s="12">
        <f>IF(B193="","",CHOOSE(WEEKDAY(B193,1),"الأحد","الاثنين","الثلاثاء","الأربعاء","الخميس","الجمعة","السبت"))</f>
        <v/>
      </c>
      <c r="D193" s="14" t="n"/>
      <c r="E193" s="15" t="n"/>
      <c r="F193" s="16" t="n"/>
      <c r="G193" s="17" t="n"/>
      <c r="H193" s="18">
        <f>IF(OR(F193="",G193=""),"",ROUND(F193*G193,2))</f>
        <v/>
      </c>
      <c r="I193" s="19">
        <f>IF(ISNUMBER(SEARCH("ستاند",D193)),"أثاث وستاندات","")</f>
        <v/>
      </c>
      <c r="J193" s="20">
        <f>IF(E193="","",IF(I193="","⚠ عبّي الغرض",IF(AND(D193&lt;&gt;"",OR(ISNUMBER(SEARCH("صيانة",D193)),ISNUMBER(SEARCH("تعزيل",D193)),ISNUMBER(SEARCH("تنظيف",D193)),ISNUMBER(SEARCH("تصليح",D193)))),"⚠ الصيانة بلا ورشة",IF(H193="","⚠ ناقص",IF(D193&lt;&gt;"",IF(SUMIF($D$7:$D$806,D193,$H$7:$H$806)&gt;=20,"أصل","مصروف"),IFERROR(IF(VLOOKUP(I193,'القوائم'!$A$2:$D$14,4,0)="زكاة وصدقة","زكاة وصدقة",IF(AND(VLOOKUP(I193,'القوائم'!$A$2:$D$14,3,0)&lt;&gt;"",H193&gt;=20),"أصل","مصروف")),"مصروف"))))))</f>
        <v/>
      </c>
      <c r="K193" s="21" t="n"/>
      <c r="L193" s="22" t="n"/>
      <c r="N193">
        <f>IF(B193="","",MONTH(B193))</f>
        <v/>
      </c>
      <c r="O193">
        <f>IF(B193="","",YEAR(B193))</f>
        <v/>
      </c>
      <c r="P193">
        <f>IF(AND(D193&lt;&gt;"",COUNTIF(D$7:D193,D193)=1),MAX(P$6:P192)+1,"")</f>
        <v/>
      </c>
      <c r="Q193">
        <f>IF(E193="","",IF(I193="أجور عمال","أجرة","مادة"))</f>
        <v/>
      </c>
    </row>
    <row r="194">
      <c r="A194" s="12">
        <f>IF(E194="","",ROW()-6)</f>
        <v/>
      </c>
      <c r="B194" s="13" t="n"/>
      <c r="C194" s="12">
        <f>IF(B194="","",CHOOSE(WEEKDAY(B194,1),"الأحد","الاثنين","الثلاثاء","الأربعاء","الخميس","الجمعة","السبت"))</f>
        <v/>
      </c>
      <c r="D194" s="14" t="n"/>
      <c r="E194" s="15" t="n"/>
      <c r="F194" s="16" t="n"/>
      <c r="G194" s="17" t="n"/>
      <c r="H194" s="18">
        <f>IF(OR(F194="",G194=""),"",ROUND(F194*G194,2))</f>
        <v/>
      </c>
      <c r="I194" s="19">
        <f>IF(ISNUMBER(SEARCH("ستاند",D194)),"أثاث وستاندات","")</f>
        <v/>
      </c>
      <c r="J194" s="20">
        <f>IF(E194="","",IF(I194="","⚠ عبّي الغرض",IF(AND(D194&lt;&gt;"",OR(ISNUMBER(SEARCH("صيانة",D194)),ISNUMBER(SEARCH("تعزيل",D194)),ISNUMBER(SEARCH("تنظيف",D194)),ISNUMBER(SEARCH("تصليح",D194)))),"⚠ الصيانة بلا ورشة",IF(H194="","⚠ ناقص",IF(D194&lt;&gt;"",IF(SUMIF($D$7:$D$806,D194,$H$7:$H$806)&gt;=20,"أصل","مصروف"),IFERROR(IF(VLOOKUP(I194,'القوائم'!$A$2:$D$14,4,0)="زكاة وصدقة","زكاة وصدقة",IF(AND(VLOOKUP(I194,'القوائم'!$A$2:$D$14,3,0)&lt;&gt;"",H194&gt;=20),"أصل","مصروف")),"مصروف"))))))</f>
        <v/>
      </c>
      <c r="K194" s="21" t="n"/>
      <c r="L194" s="22" t="n"/>
      <c r="N194">
        <f>IF(B194="","",MONTH(B194))</f>
        <v/>
      </c>
      <c r="O194">
        <f>IF(B194="","",YEAR(B194))</f>
        <v/>
      </c>
      <c r="P194">
        <f>IF(AND(D194&lt;&gt;"",COUNTIF(D$7:D194,D194)=1),MAX(P$6:P193)+1,"")</f>
        <v/>
      </c>
      <c r="Q194">
        <f>IF(E194="","",IF(I194="أجور عمال","أجرة","مادة"))</f>
        <v/>
      </c>
    </row>
    <row r="195">
      <c r="A195" s="12">
        <f>IF(E195="","",ROW()-6)</f>
        <v/>
      </c>
      <c r="B195" s="13" t="n"/>
      <c r="C195" s="12">
        <f>IF(B195="","",CHOOSE(WEEKDAY(B195,1),"الأحد","الاثنين","الثلاثاء","الأربعاء","الخميس","الجمعة","السبت"))</f>
        <v/>
      </c>
      <c r="D195" s="14" t="n"/>
      <c r="E195" s="15" t="n"/>
      <c r="F195" s="16" t="n"/>
      <c r="G195" s="17" t="n"/>
      <c r="H195" s="18">
        <f>IF(OR(F195="",G195=""),"",ROUND(F195*G195,2))</f>
        <v/>
      </c>
      <c r="I195" s="19">
        <f>IF(ISNUMBER(SEARCH("ستاند",D195)),"أثاث وستاندات","")</f>
        <v/>
      </c>
      <c r="J195" s="20">
        <f>IF(E195="","",IF(I195="","⚠ عبّي الغرض",IF(AND(D195&lt;&gt;"",OR(ISNUMBER(SEARCH("صيانة",D195)),ISNUMBER(SEARCH("تعزيل",D195)),ISNUMBER(SEARCH("تنظيف",D195)),ISNUMBER(SEARCH("تصليح",D195)))),"⚠ الصيانة بلا ورشة",IF(H195="","⚠ ناقص",IF(D195&lt;&gt;"",IF(SUMIF($D$7:$D$806,D195,$H$7:$H$806)&gt;=20,"أصل","مصروف"),IFERROR(IF(VLOOKUP(I195,'القوائم'!$A$2:$D$14,4,0)="زكاة وصدقة","زكاة وصدقة",IF(AND(VLOOKUP(I195,'القوائم'!$A$2:$D$14,3,0)&lt;&gt;"",H195&gt;=20),"أصل","مصروف")),"مصروف"))))))</f>
        <v/>
      </c>
      <c r="K195" s="21" t="n"/>
      <c r="L195" s="22" t="n"/>
      <c r="N195">
        <f>IF(B195="","",MONTH(B195))</f>
        <v/>
      </c>
      <c r="O195">
        <f>IF(B195="","",YEAR(B195))</f>
        <v/>
      </c>
      <c r="P195">
        <f>IF(AND(D195&lt;&gt;"",COUNTIF(D$7:D195,D195)=1),MAX(P$6:P194)+1,"")</f>
        <v/>
      </c>
      <c r="Q195">
        <f>IF(E195="","",IF(I195="أجور عمال","أجرة","مادة"))</f>
        <v/>
      </c>
    </row>
    <row r="196">
      <c r="A196" s="12">
        <f>IF(E196="","",ROW()-6)</f>
        <v/>
      </c>
      <c r="B196" s="13" t="n"/>
      <c r="C196" s="12">
        <f>IF(B196="","",CHOOSE(WEEKDAY(B196,1),"الأحد","الاثنين","الثلاثاء","الأربعاء","الخميس","الجمعة","السبت"))</f>
        <v/>
      </c>
      <c r="D196" s="14" t="n"/>
      <c r="E196" s="15" t="n"/>
      <c r="F196" s="16" t="n"/>
      <c r="G196" s="17" t="n"/>
      <c r="H196" s="18">
        <f>IF(OR(F196="",G196=""),"",ROUND(F196*G196,2))</f>
        <v/>
      </c>
      <c r="I196" s="19">
        <f>IF(ISNUMBER(SEARCH("ستاند",D196)),"أثاث وستاندات","")</f>
        <v/>
      </c>
      <c r="J196" s="20">
        <f>IF(E196="","",IF(I196="","⚠ عبّي الغرض",IF(AND(D196&lt;&gt;"",OR(ISNUMBER(SEARCH("صيانة",D196)),ISNUMBER(SEARCH("تعزيل",D196)),ISNUMBER(SEARCH("تنظيف",D196)),ISNUMBER(SEARCH("تصليح",D196)))),"⚠ الصيانة بلا ورشة",IF(H196="","⚠ ناقص",IF(D196&lt;&gt;"",IF(SUMIF($D$7:$D$806,D196,$H$7:$H$806)&gt;=20,"أصل","مصروف"),IFERROR(IF(VLOOKUP(I196,'القوائم'!$A$2:$D$14,4,0)="زكاة وصدقة","زكاة وصدقة",IF(AND(VLOOKUP(I196,'القوائم'!$A$2:$D$14,3,0)&lt;&gt;"",H196&gt;=20),"أصل","مصروف")),"مصروف"))))))</f>
        <v/>
      </c>
      <c r="K196" s="21" t="n"/>
      <c r="L196" s="22" t="n"/>
      <c r="N196">
        <f>IF(B196="","",MONTH(B196))</f>
        <v/>
      </c>
      <c r="O196">
        <f>IF(B196="","",YEAR(B196))</f>
        <v/>
      </c>
      <c r="P196">
        <f>IF(AND(D196&lt;&gt;"",COUNTIF(D$7:D196,D196)=1),MAX(P$6:P195)+1,"")</f>
        <v/>
      </c>
      <c r="Q196">
        <f>IF(E196="","",IF(I196="أجور عمال","أجرة","مادة"))</f>
        <v/>
      </c>
    </row>
    <row r="197">
      <c r="A197" s="12">
        <f>IF(E197="","",ROW()-6)</f>
        <v/>
      </c>
      <c r="B197" s="13" t="n"/>
      <c r="C197" s="12">
        <f>IF(B197="","",CHOOSE(WEEKDAY(B197,1),"الأحد","الاثنين","الثلاثاء","الأربعاء","الخميس","الجمعة","السبت"))</f>
        <v/>
      </c>
      <c r="D197" s="14" t="n"/>
      <c r="E197" s="15" t="n"/>
      <c r="F197" s="16" t="n"/>
      <c r="G197" s="17" t="n"/>
      <c r="H197" s="18">
        <f>IF(OR(F197="",G197=""),"",ROUND(F197*G197,2))</f>
        <v/>
      </c>
      <c r="I197" s="19">
        <f>IF(ISNUMBER(SEARCH("ستاند",D197)),"أثاث وستاندات","")</f>
        <v/>
      </c>
      <c r="J197" s="20">
        <f>IF(E197="","",IF(I197="","⚠ عبّي الغرض",IF(AND(D197&lt;&gt;"",OR(ISNUMBER(SEARCH("صيانة",D197)),ISNUMBER(SEARCH("تعزيل",D197)),ISNUMBER(SEARCH("تنظيف",D197)),ISNUMBER(SEARCH("تصليح",D197)))),"⚠ الصيانة بلا ورشة",IF(H197="","⚠ ناقص",IF(D197&lt;&gt;"",IF(SUMIF($D$7:$D$806,D197,$H$7:$H$806)&gt;=20,"أصل","مصروف"),IFERROR(IF(VLOOKUP(I197,'القوائم'!$A$2:$D$14,4,0)="زكاة وصدقة","زكاة وصدقة",IF(AND(VLOOKUP(I197,'القوائم'!$A$2:$D$14,3,0)&lt;&gt;"",H197&gt;=20),"أصل","مصروف")),"مصروف"))))))</f>
        <v/>
      </c>
      <c r="K197" s="21" t="n"/>
      <c r="L197" s="22" t="n"/>
      <c r="N197">
        <f>IF(B197="","",MONTH(B197))</f>
        <v/>
      </c>
      <c r="O197">
        <f>IF(B197="","",YEAR(B197))</f>
        <v/>
      </c>
      <c r="P197">
        <f>IF(AND(D197&lt;&gt;"",COUNTIF(D$7:D197,D197)=1),MAX(P$6:P196)+1,"")</f>
        <v/>
      </c>
      <c r="Q197">
        <f>IF(E197="","",IF(I197="أجور عمال","أجرة","مادة"))</f>
        <v/>
      </c>
    </row>
    <row r="198">
      <c r="A198" s="12">
        <f>IF(E198="","",ROW()-6)</f>
        <v/>
      </c>
      <c r="B198" s="13" t="n"/>
      <c r="C198" s="12">
        <f>IF(B198="","",CHOOSE(WEEKDAY(B198,1),"الأحد","الاثنين","الثلاثاء","الأربعاء","الخميس","الجمعة","السبت"))</f>
        <v/>
      </c>
      <c r="D198" s="14" t="n"/>
      <c r="E198" s="15" t="n"/>
      <c r="F198" s="16" t="n"/>
      <c r="G198" s="17" t="n"/>
      <c r="H198" s="18">
        <f>IF(OR(F198="",G198=""),"",ROUND(F198*G198,2))</f>
        <v/>
      </c>
      <c r="I198" s="19">
        <f>IF(ISNUMBER(SEARCH("ستاند",D198)),"أثاث وستاندات","")</f>
        <v/>
      </c>
      <c r="J198" s="20">
        <f>IF(E198="","",IF(I198="","⚠ عبّي الغرض",IF(AND(D198&lt;&gt;"",OR(ISNUMBER(SEARCH("صيانة",D198)),ISNUMBER(SEARCH("تعزيل",D198)),ISNUMBER(SEARCH("تنظيف",D198)),ISNUMBER(SEARCH("تصليح",D198)))),"⚠ الصيانة بلا ورشة",IF(H198="","⚠ ناقص",IF(D198&lt;&gt;"",IF(SUMIF($D$7:$D$806,D198,$H$7:$H$806)&gt;=20,"أصل","مصروف"),IFERROR(IF(VLOOKUP(I198,'القوائم'!$A$2:$D$14,4,0)="زكاة وصدقة","زكاة وصدقة",IF(AND(VLOOKUP(I198,'القوائم'!$A$2:$D$14,3,0)&lt;&gt;"",H198&gt;=20),"أصل","مصروف")),"مصروف"))))))</f>
        <v/>
      </c>
      <c r="K198" s="21" t="n"/>
      <c r="L198" s="22" t="n"/>
      <c r="N198">
        <f>IF(B198="","",MONTH(B198))</f>
        <v/>
      </c>
      <c r="O198">
        <f>IF(B198="","",YEAR(B198))</f>
        <v/>
      </c>
      <c r="P198">
        <f>IF(AND(D198&lt;&gt;"",COUNTIF(D$7:D198,D198)=1),MAX(P$6:P197)+1,"")</f>
        <v/>
      </c>
      <c r="Q198">
        <f>IF(E198="","",IF(I198="أجور عمال","أجرة","مادة"))</f>
        <v/>
      </c>
    </row>
    <row r="199">
      <c r="A199" s="12">
        <f>IF(E199="","",ROW()-6)</f>
        <v/>
      </c>
      <c r="B199" s="13" t="n"/>
      <c r="C199" s="12">
        <f>IF(B199="","",CHOOSE(WEEKDAY(B199,1),"الأحد","الاثنين","الثلاثاء","الأربعاء","الخميس","الجمعة","السبت"))</f>
        <v/>
      </c>
      <c r="D199" s="14" t="n"/>
      <c r="E199" s="15" t="n"/>
      <c r="F199" s="16" t="n"/>
      <c r="G199" s="17" t="n"/>
      <c r="H199" s="18">
        <f>IF(OR(F199="",G199=""),"",ROUND(F199*G199,2))</f>
        <v/>
      </c>
      <c r="I199" s="19">
        <f>IF(ISNUMBER(SEARCH("ستاند",D199)),"أثاث وستاندات","")</f>
        <v/>
      </c>
      <c r="J199" s="20">
        <f>IF(E199="","",IF(I199="","⚠ عبّي الغرض",IF(AND(D199&lt;&gt;"",OR(ISNUMBER(SEARCH("صيانة",D199)),ISNUMBER(SEARCH("تعزيل",D199)),ISNUMBER(SEARCH("تنظيف",D199)),ISNUMBER(SEARCH("تصليح",D199)))),"⚠ الصيانة بلا ورشة",IF(H199="","⚠ ناقص",IF(D199&lt;&gt;"",IF(SUMIF($D$7:$D$806,D199,$H$7:$H$806)&gt;=20,"أصل","مصروف"),IFERROR(IF(VLOOKUP(I199,'القوائم'!$A$2:$D$14,4,0)="زكاة وصدقة","زكاة وصدقة",IF(AND(VLOOKUP(I199,'القوائم'!$A$2:$D$14,3,0)&lt;&gt;"",H199&gt;=20),"أصل","مصروف")),"مصروف"))))))</f>
        <v/>
      </c>
      <c r="K199" s="21" t="n"/>
      <c r="L199" s="22" t="n"/>
      <c r="N199">
        <f>IF(B199="","",MONTH(B199))</f>
        <v/>
      </c>
      <c r="O199">
        <f>IF(B199="","",YEAR(B199))</f>
        <v/>
      </c>
      <c r="P199">
        <f>IF(AND(D199&lt;&gt;"",COUNTIF(D$7:D199,D199)=1),MAX(P$6:P198)+1,"")</f>
        <v/>
      </c>
      <c r="Q199">
        <f>IF(E199="","",IF(I199="أجور عمال","أجرة","مادة"))</f>
        <v/>
      </c>
    </row>
    <row r="200">
      <c r="A200" s="12">
        <f>IF(E200="","",ROW()-6)</f>
        <v/>
      </c>
      <c r="B200" s="13" t="n"/>
      <c r="C200" s="12">
        <f>IF(B200="","",CHOOSE(WEEKDAY(B200,1),"الأحد","الاثنين","الثلاثاء","الأربعاء","الخميس","الجمعة","السبت"))</f>
        <v/>
      </c>
      <c r="D200" s="14" t="n"/>
      <c r="E200" s="15" t="n"/>
      <c r="F200" s="16" t="n"/>
      <c r="G200" s="17" t="n"/>
      <c r="H200" s="18">
        <f>IF(OR(F200="",G200=""),"",ROUND(F200*G200,2))</f>
        <v/>
      </c>
      <c r="I200" s="19">
        <f>IF(ISNUMBER(SEARCH("ستاند",D200)),"أثاث وستاندات","")</f>
        <v/>
      </c>
      <c r="J200" s="20">
        <f>IF(E200="","",IF(I200="","⚠ عبّي الغرض",IF(AND(D200&lt;&gt;"",OR(ISNUMBER(SEARCH("صيانة",D200)),ISNUMBER(SEARCH("تعزيل",D200)),ISNUMBER(SEARCH("تنظيف",D200)),ISNUMBER(SEARCH("تصليح",D200)))),"⚠ الصيانة بلا ورشة",IF(H200="","⚠ ناقص",IF(D200&lt;&gt;"",IF(SUMIF($D$7:$D$806,D200,$H$7:$H$806)&gt;=20,"أصل","مصروف"),IFERROR(IF(VLOOKUP(I200,'القوائم'!$A$2:$D$14,4,0)="زكاة وصدقة","زكاة وصدقة",IF(AND(VLOOKUP(I200,'القوائم'!$A$2:$D$14,3,0)&lt;&gt;"",H200&gt;=20),"أصل","مصروف")),"مصروف"))))))</f>
        <v/>
      </c>
      <c r="K200" s="21" t="n"/>
      <c r="L200" s="22" t="n"/>
      <c r="N200">
        <f>IF(B200="","",MONTH(B200))</f>
        <v/>
      </c>
      <c r="O200">
        <f>IF(B200="","",YEAR(B200))</f>
        <v/>
      </c>
      <c r="P200">
        <f>IF(AND(D200&lt;&gt;"",COUNTIF(D$7:D200,D200)=1),MAX(P$6:P199)+1,"")</f>
        <v/>
      </c>
      <c r="Q200">
        <f>IF(E200="","",IF(I200="أجور عمال","أجرة","مادة"))</f>
        <v/>
      </c>
    </row>
    <row r="201">
      <c r="A201" s="12">
        <f>IF(E201="","",ROW()-6)</f>
        <v/>
      </c>
      <c r="B201" s="13" t="n"/>
      <c r="C201" s="12">
        <f>IF(B201="","",CHOOSE(WEEKDAY(B201,1),"الأحد","الاثنين","الثلاثاء","الأربعاء","الخميس","الجمعة","السبت"))</f>
        <v/>
      </c>
      <c r="D201" s="14" t="n"/>
      <c r="E201" s="15" t="n"/>
      <c r="F201" s="16" t="n"/>
      <c r="G201" s="17" t="n"/>
      <c r="H201" s="18">
        <f>IF(OR(F201="",G201=""),"",ROUND(F201*G201,2))</f>
        <v/>
      </c>
      <c r="I201" s="19">
        <f>IF(ISNUMBER(SEARCH("ستاند",D201)),"أثاث وستاندات","")</f>
        <v/>
      </c>
      <c r="J201" s="20">
        <f>IF(E201="","",IF(I201="","⚠ عبّي الغرض",IF(AND(D201&lt;&gt;"",OR(ISNUMBER(SEARCH("صيانة",D201)),ISNUMBER(SEARCH("تعزيل",D201)),ISNUMBER(SEARCH("تنظيف",D201)),ISNUMBER(SEARCH("تصليح",D201)))),"⚠ الصيانة بلا ورشة",IF(H201="","⚠ ناقص",IF(D201&lt;&gt;"",IF(SUMIF($D$7:$D$806,D201,$H$7:$H$806)&gt;=20,"أصل","مصروف"),IFERROR(IF(VLOOKUP(I201,'القوائم'!$A$2:$D$14,4,0)="زكاة وصدقة","زكاة وصدقة",IF(AND(VLOOKUP(I201,'القوائم'!$A$2:$D$14,3,0)&lt;&gt;"",H201&gt;=20),"أصل","مصروف")),"مصروف"))))))</f>
        <v/>
      </c>
      <c r="K201" s="21" t="n"/>
      <c r="L201" s="22" t="n"/>
      <c r="N201">
        <f>IF(B201="","",MONTH(B201))</f>
        <v/>
      </c>
      <c r="O201">
        <f>IF(B201="","",YEAR(B201))</f>
        <v/>
      </c>
      <c r="P201">
        <f>IF(AND(D201&lt;&gt;"",COUNTIF(D$7:D201,D201)=1),MAX(P$6:P200)+1,"")</f>
        <v/>
      </c>
      <c r="Q201">
        <f>IF(E201="","",IF(I201="أجور عمال","أجرة","مادة"))</f>
        <v/>
      </c>
    </row>
    <row r="202">
      <c r="A202" s="12">
        <f>IF(E202="","",ROW()-6)</f>
        <v/>
      </c>
      <c r="B202" s="13" t="n"/>
      <c r="C202" s="12">
        <f>IF(B202="","",CHOOSE(WEEKDAY(B202,1),"الأحد","الاثنين","الثلاثاء","الأربعاء","الخميس","الجمعة","السبت"))</f>
        <v/>
      </c>
      <c r="D202" s="14" t="n"/>
      <c r="E202" s="15" t="n"/>
      <c r="F202" s="16" t="n"/>
      <c r="G202" s="17" t="n"/>
      <c r="H202" s="18">
        <f>IF(OR(F202="",G202=""),"",ROUND(F202*G202,2))</f>
        <v/>
      </c>
      <c r="I202" s="19">
        <f>IF(ISNUMBER(SEARCH("ستاند",D202)),"أثاث وستاندات","")</f>
        <v/>
      </c>
      <c r="J202" s="20">
        <f>IF(E202="","",IF(I202="","⚠ عبّي الغرض",IF(AND(D202&lt;&gt;"",OR(ISNUMBER(SEARCH("صيانة",D202)),ISNUMBER(SEARCH("تعزيل",D202)),ISNUMBER(SEARCH("تنظيف",D202)),ISNUMBER(SEARCH("تصليح",D202)))),"⚠ الصيانة بلا ورشة",IF(H202="","⚠ ناقص",IF(D202&lt;&gt;"",IF(SUMIF($D$7:$D$806,D202,$H$7:$H$806)&gt;=20,"أصل","مصروف"),IFERROR(IF(VLOOKUP(I202,'القوائم'!$A$2:$D$14,4,0)="زكاة وصدقة","زكاة وصدقة",IF(AND(VLOOKUP(I202,'القوائم'!$A$2:$D$14,3,0)&lt;&gt;"",H202&gt;=20),"أصل","مصروف")),"مصروف"))))))</f>
        <v/>
      </c>
      <c r="K202" s="21" t="n"/>
      <c r="L202" s="22" t="n"/>
      <c r="N202">
        <f>IF(B202="","",MONTH(B202))</f>
        <v/>
      </c>
      <c r="O202">
        <f>IF(B202="","",YEAR(B202))</f>
        <v/>
      </c>
      <c r="P202">
        <f>IF(AND(D202&lt;&gt;"",COUNTIF(D$7:D202,D202)=1),MAX(P$6:P201)+1,"")</f>
        <v/>
      </c>
      <c r="Q202">
        <f>IF(E202="","",IF(I202="أجور عمال","أجرة","مادة"))</f>
        <v/>
      </c>
    </row>
    <row r="203">
      <c r="A203" s="12">
        <f>IF(E203="","",ROW()-6)</f>
        <v/>
      </c>
      <c r="B203" s="13" t="n"/>
      <c r="C203" s="12">
        <f>IF(B203="","",CHOOSE(WEEKDAY(B203,1),"الأحد","الاثنين","الثلاثاء","الأربعاء","الخميس","الجمعة","السبت"))</f>
        <v/>
      </c>
      <c r="D203" s="14" t="n"/>
      <c r="E203" s="15" t="n"/>
      <c r="F203" s="16" t="n"/>
      <c r="G203" s="17" t="n"/>
      <c r="H203" s="18">
        <f>IF(OR(F203="",G203=""),"",ROUND(F203*G203,2))</f>
        <v/>
      </c>
      <c r="I203" s="19">
        <f>IF(ISNUMBER(SEARCH("ستاند",D203)),"أثاث وستاندات","")</f>
        <v/>
      </c>
      <c r="J203" s="20">
        <f>IF(E203="","",IF(I203="","⚠ عبّي الغرض",IF(AND(D203&lt;&gt;"",OR(ISNUMBER(SEARCH("صيانة",D203)),ISNUMBER(SEARCH("تعزيل",D203)),ISNUMBER(SEARCH("تنظيف",D203)),ISNUMBER(SEARCH("تصليح",D203)))),"⚠ الصيانة بلا ورشة",IF(H203="","⚠ ناقص",IF(D203&lt;&gt;"",IF(SUMIF($D$7:$D$806,D203,$H$7:$H$806)&gt;=20,"أصل","مصروف"),IFERROR(IF(VLOOKUP(I203,'القوائم'!$A$2:$D$14,4,0)="زكاة وصدقة","زكاة وصدقة",IF(AND(VLOOKUP(I203,'القوائم'!$A$2:$D$14,3,0)&lt;&gt;"",H203&gt;=20),"أصل","مصروف")),"مصروف"))))))</f>
        <v/>
      </c>
      <c r="K203" s="21" t="n"/>
      <c r="L203" s="22" t="n"/>
      <c r="N203">
        <f>IF(B203="","",MONTH(B203))</f>
        <v/>
      </c>
      <c r="O203">
        <f>IF(B203="","",YEAR(B203))</f>
        <v/>
      </c>
      <c r="P203">
        <f>IF(AND(D203&lt;&gt;"",COUNTIF(D$7:D203,D203)=1),MAX(P$6:P202)+1,"")</f>
        <v/>
      </c>
      <c r="Q203">
        <f>IF(E203="","",IF(I203="أجور عمال","أجرة","مادة"))</f>
        <v/>
      </c>
    </row>
    <row r="204">
      <c r="A204" s="12">
        <f>IF(E204="","",ROW()-6)</f>
        <v/>
      </c>
      <c r="B204" s="13" t="n"/>
      <c r="C204" s="12">
        <f>IF(B204="","",CHOOSE(WEEKDAY(B204,1),"الأحد","الاثنين","الثلاثاء","الأربعاء","الخميس","الجمعة","السبت"))</f>
        <v/>
      </c>
      <c r="D204" s="14" t="n"/>
      <c r="E204" s="15" t="n"/>
      <c r="F204" s="16" t="n"/>
      <c r="G204" s="17" t="n"/>
      <c r="H204" s="18">
        <f>IF(OR(F204="",G204=""),"",ROUND(F204*G204,2))</f>
        <v/>
      </c>
      <c r="I204" s="19">
        <f>IF(ISNUMBER(SEARCH("ستاند",D204)),"أثاث وستاندات","")</f>
        <v/>
      </c>
      <c r="J204" s="20">
        <f>IF(E204="","",IF(I204="","⚠ عبّي الغرض",IF(AND(D204&lt;&gt;"",OR(ISNUMBER(SEARCH("صيانة",D204)),ISNUMBER(SEARCH("تعزيل",D204)),ISNUMBER(SEARCH("تنظيف",D204)),ISNUMBER(SEARCH("تصليح",D204)))),"⚠ الصيانة بلا ورشة",IF(H204="","⚠ ناقص",IF(D204&lt;&gt;"",IF(SUMIF($D$7:$D$806,D204,$H$7:$H$806)&gt;=20,"أصل","مصروف"),IFERROR(IF(VLOOKUP(I204,'القوائم'!$A$2:$D$14,4,0)="زكاة وصدقة","زكاة وصدقة",IF(AND(VLOOKUP(I204,'القوائم'!$A$2:$D$14,3,0)&lt;&gt;"",H204&gt;=20),"أصل","مصروف")),"مصروف"))))))</f>
        <v/>
      </c>
      <c r="K204" s="21" t="n"/>
      <c r="L204" s="22" t="n"/>
      <c r="N204">
        <f>IF(B204="","",MONTH(B204))</f>
        <v/>
      </c>
      <c r="O204">
        <f>IF(B204="","",YEAR(B204))</f>
        <v/>
      </c>
      <c r="P204">
        <f>IF(AND(D204&lt;&gt;"",COUNTIF(D$7:D204,D204)=1),MAX(P$6:P203)+1,"")</f>
        <v/>
      </c>
      <c r="Q204">
        <f>IF(E204="","",IF(I204="أجور عمال","أجرة","مادة"))</f>
        <v/>
      </c>
    </row>
    <row r="205">
      <c r="A205" s="12">
        <f>IF(E205="","",ROW()-6)</f>
        <v/>
      </c>
      <c r="B205" s="13" t="n"/>
      <c r="C205" s="12">
        <f>IF(B205="","",CHOOSE(WEEKDAY(B205,1),"الأحد","الاثنين","الثلاثاء","الأربعاء","الخميس","الجمعة","السبت"))</f>
        <v/>
      </c>
      <c r="D205" s="14" t="n"/>
      <c r="E205" s="15" t="n"/>
      <c r="F205" s="16" t="n"/>
      <c r="G205" s="17" t="n"/>
      <c r="H205" s="18">
        <f>IF(OR(F205="",G205=""),"",ROUND(F205*G205,2))</f>
        <v/>
      </c>
      <c r="I205" s="19">
        <f>IF(ISNUMBER(SEARCH("ستاند",D205)),"أثاث وستاندات","")</f>
        <v/>
      </c>
      <c r="J205" s="20">
        <f>IF(E205="","",IF(I205="","⚠ عبّي الغرض",IF(AND(D205&lt;&gt;"",OR(ISNUMBER(SEARCH("صيانة",D205)),ISNUMBER(SEARCH("تعزيل",D205)),ISNUMBER(SEARCH("تنظيف",D205)),ISNUMBER(SEARCH("تصليح",D205)))),"⚠ الصيانة بلا ورشة",IF(H205="","⚠ ناقص",IF(D205&lt;&gt;"",IF(SUMIF($D$7:$D$806,D205,$H$7:$H$806)&gt;=20,"أصل","مصروف"),IFERROR(IF(VLOOKUP(I205,'القوائم'!$A$2:$D$14,4,0)="زكاة وصدقة","زكاة وصدقة",IF(AND(VLOOKUP(I205,'القوائم'!$A$2:$D$14,3,0)&lt;&gt;"",H205&gt;=20),"أصل","مصروف")),"مصروف"))))))</f>
        <v/>
      </c>
      <c r="K205" s="21" t="n"/>
      <c r="L205" s="22" t="n"/>
      <c r="N205">
        <f>IF(B205="","",MONTH(B205))</f>
        <v/>
      </c>
      <c r="O205">
        <f>IF(B205="","",YEAR(B205))</f>
        <v/>
      </c>
      <c r="P205">
        <f>IF(AND(D205&lt;&gt;"",COUNTIF(D$7:D205,D205)=1),MAX(P$6:P204)+1,"")</f>
        <v/>
      </c>
      <c r="Q205">
        <f>IF(E205="","",IF(I205="أجور عمال","أجرة","مادة"))</f>
        <v/>
      </c>
    </row>
    <row r="206">
      <c r="A206" s="12">
        <f>IF(E206="","",ROW()-6)</f>
        <v/>
      </c>
      <c r="B206" s="13" t="n"/>
      <c r="C206" s="12">
        <f>IF(B206="","",CHOOSE(WEEKDAY(B206,1),"الأحد","الاثنين","الثلاثاء","الأربعاء","الخميس","الجمعة","السبت"))</f>
        <v/>
      </c>
      <c r="D206" s="14" t="n"/>
      <c r="E206" s="15" t="n"/>
      <c r="F206" s="16" t="n"/>
      <c r="G206" s="17" t="n"/>
      <c r="H206" s="18">
        <f>IF(OR(F206="",G206=""),"",ROUND(F206*G206,2))</f>
        <v/>
      </c>
      <c r="I206" s="19">
        <f>IF(ISNUMBER(SEARCH("ستاند",D206)),"أثاث وستاندات","")</f>
        <v/>
      </c>
      <c r="J206" s="20">
        <f>IF(E206="","",IF(I206="","⚠ عبّي الغرض",IF(AND(D206&lt;&gt;"",OR(ISNUMBER(SEARCH("صيانة",D206)),ISNUMBER(SEARCH("تعزيل",D206)),ISNUMBER(SEARCH("تنظيف",D206)),ISNUMBER(SEARCH("تصليح",D206)))),"⚠ الصيانة بلا ورشة",IF(H206="","⚠ ناقص",IF(D206&lt;&gt;"",IF(SUMIF($D$7:$D$806,D206,$H$7:$H$806)&gt;=20,"أصل","مصروف"),IFERROR(IF(VLOOKUP(I206,'القوائم'!$A$2:$D$14,4,0)="زكاة وصدقة","زكاة وصدقة",IF(AND(VLOOKUP(I206,'القوائم'!$A$2:$D$14,3,0)&lt;&gt;"",H206&gt;=20),"أصل","مصروف")),"مصروف"))))))</f>
        <v/>
      </c>
      <c r="K206" s="21" t="n"/>
      <c r="L206" s="22" t="n"/>
      <c r="N206">
        <f>IF(B206="","",MONTH(B206))</f>
        <v/>
      </c>
      <c r="O206">
        <f>IF(B206="","",YEAR(B206))</f>
        <v/>
      </c>
      <c r="P206">
        <f>IF(AND(D206&lt;&gt;"",COUNTIF(D$7:D206,D206)=1),MAX(P$6:P205)+1,"")</f>
        <v/>
      </c>
      <c r="Q206">
        <f>IF(E206="","",IF(I206="أجور عمال","أجرة","مادة"))</f>
        <v/>
      </c>
    </row>
    <row r="207">
      <c r="A207" s="12">
        <f>IF(E207="","",ROW()-6)</f>
        <v/>
      </c>
      <c r="B207" s="13" t="n"/>
      <c r="C207" s="12">
        <f>IF(B207="","",CHOOSE(WEEKDAY(B207,1),"الأحد","الاثنين","الثلاثاء","الأربعاء","الخميس","الجمعة","السبت"))</f>
        <v/>
      </c>
      <c r="D207" s="14" t="n"/>
      <c r="E207" s="15" t="n"/>
      <c r="F207" s="16" t="n"/>
      <c r="G207" s="17" t="n"/>
      <c r="H207" s="18">
        <f>IF(OR(F207="",G207=""),"",ROUND(F207*G207,2))</f>
        <v/>
      </c>
      <c r="I207" s="19">
        <f>IF(ISNUMBER(SEARCH("ستاند",D207)),"أثاث وستاندات","")</f>
        <v/>
      </c>
      <c r="J207" s="20">
        <f>IF(E207="","",IF(I207="","⚠ عبّي الغرض",IF(AND(D207&lt;&gt;"",OR(ISNUMBER(SEARCH("صيانة",D207)),ISNUMBER(SEARCH("تعزيل",D207)),ISNUMBER(SEARCH("تنظيف",D207)),ISNUMBER(SEARCH("تصليح",D207)))),"⚠ الصيانة بلا ورشة",IF(H207="","⚠ ناقص",IF(D207&lt;&gt;"",IF(SUMIF($D$7:$D$806,D207,$H$7:$H$806)&gt;=20,"أصل","مصروف"),IFERROR(IF(VLOOKUP(I207,'القوائم'!$A$2:$D$14,4,0)="زكاة وصدقة","زكاة وصدقة",IF(AND(VLOOKUP(I207,'القوائم'!$A$2:$D$14,3,0)&lt;&gt;"",H207&gt;=20),"أصل","مصروف")),"مصروف"))))))</f>
        <v/>
      </c>
      <c r="K207" s="21" t="n"/>
      <c r="L207" s="22" t="n"/>
      <c r="N207">
        <f>IF(B207="","",MONTH(B207))</f>
        <v/>
      </c>
      <c r="O207">
        <f>IF(B207="","",YEAR(B207))</f>
        <v/>
      </c>
      <c r="P207">
        <f>IF(AND(D207&lt;&gt;"",COUNTIF(D$7:D207,D207)=1),MAX(P$6:P206)+1,"")</f>
        <v/>
      </c>
      <c r="Q207">
        <f>IF(E207="","",IF(I207="أجور عمال","أجرة","مادة"))</f>
        <v/>
      </c>
    </row>
    <row r="208">
      <c r="A208" s="12">
        <f>IF(E208="","",ROW()-6)</f>
        <v/>
      </c>
      <c r="B208" s="13" t="n"/>
      <c r="C208" s="12">
        <f>IF(B208="","",CHOOSE(WEEKDAY(B208,1),"الأحد","الاثنين","الثلاثاء","الأربعاء","الخميس","الجمعة","السبت"))</f>
        <v/>
      </c>
      <c r="D208" s="14" t="n"/>
      <c r="E208" s="15" t="n"/>
      <c r="F208" s="16" t="n"/>
      <c r="G208" s="17" t="n"/>
      <c r="H208" s="18">
        <f>IF(OR(F208="",G208=""),"",ROUND(F208*G208,2))</f>
        <v/>
      </c>
      <c r="I208" s="19">
        <f>IF(ISNUMBER(SEARCH("ستاند",D208)),"أثاث وستاندات","")</f>
        <v/>
      </c>
      <c r="J208" s="20">
        <f>IF(E208="","",IF(I208="","⚠ عبّي الغرض",IF(AND(D208&lt;&gt;"",OR(ISNUMBER(SEARCH("صيانة",D208)),ISNUMBER(SEARCH("تعزيل",D208)),ISNUMBER(SEARCH("تنظيف",D208)),ISNUMBER(SEARCH("تصليح",D208)))),"⚠ الصيانة بلا ورشة",IF(H208="","⚠ ناقص",IF(D208&lt;&gt;"",IF(SUMIF($D$7:$D$806,D208,$H$7:$H$806)&gt;=20,"أصل","مصروف"),IFERROR(IF(VLOOKUP(I208,'القوائم'!$A$2:$D$14,4,0)="زكاة وصدقة","زكاة وصدقة",IF(AND(VLOOKUP(I208,'القوائم'!$A$2:$D$14,3,0)&lt;&gt;"",H208&gt;=20),"أصل","مصروف")),"مصروف"))))))</f>
        <v/>
      </c>
      <c r="K208" s="21" t="n"/>
      <c r="L208" s="22" t="n"/>
      <c r="N208">
        <f>IF(B208="","",MONTH(B208))</f>
        <v/>
      </c>
      <c r="O208">
        <f>IF(B208="","",YEAR(B208))</f>
        <v/>
      </c>
      <c r="P208">
        <f>IF(AND(D208&lt;&gt;"",COUNTIF(D$7:D208,D208)=1),MAX(P$6:P207)+1,"")</f>
        <v/>
      </c>
      <c r="Q208">
        <f>IF(E208="","",IF(I208="أجور عمال","أجرة","مادة"))</f>
        <v/>
      </c>
    </row>
    <row r="209">
      <c r="A209" s="12">
        <f>IF(E209="","",ROW()-6)</f>
        <v/>
      </c>
      <c r="B209" s="13" t="n"/>
      <c r="C209" s="12">
        <f>IF(B209="","",CHOOSE(WEEKDAY(B209,1),"الأحد","الاثنين","الثلاثاء","الأربعاء","الخميس","الجمعة","السبت"))</f>
        <v/>
      </c>
      <c r="D209" s="14" t="n"/>
      <c r="E209" s="15" t="n"/>
      <c r="F209" s="16" t="n"/>
      <c r="G209" s="17" t="n"/>
      <c r="H209" s="18">
        <f>IF(OR(F209="",G209=""),"",ROUND(F209*G209,2))</f>
        <v/>
      </c>
      <c r="I209" s="19">
        <f>IF(ISNUMBER(SEARCH("ستاند",D209)),"أثاث وستاندات","")</f>
        <v/>
      </c>
      <c r="J209" s="20">
        <f>IF(E209="","",IF(I209="","⚠ عبّي الغرض",IF(AND(D209&lt;&gt;"",OR(ISNUMBER(SEARCH("صيانة",D209)),ISNUMBER(SEARCH("تعزيل",D209)),ISNUMBER(SEARCH("تنظيف",D209)),ISNUMBER(SEARCH("تصليح",D209)))),"⚠ الصيانة بلا ورشة",IF(H209="","⚠ ناقص",IF(D209&lt;&gt;"",IF(SUMIF($D$7:$D$806,D209,$H$7:$H$806)&gt;=20,"أصل","مصروف"),IFERROR(IF(VLOOKUP(I209,'القوائم'!$A$2:$D$14,4,0)="زكاة وصدقة","زكاة وصدقة",IF(AND(VLOOKUP(I209,'القوائم'!$A$2:$D$14,3,0)&lt;&gt;"",H209&gt;=20),"أصل","مصروف")),"مصروف"))))))</f>
        <v/>
      </c>
      <c r="K209" s="21" t="n"/>
      <c r="L209" s="22" t="n"/>
      <c r="N209">
        <f>IF(B209="","",MONTH(B209))</f>
        <v/>
      </c>
      <c r="O209">
        <f>IF(B209="","",YEAR(B209))</f>
        <v/>
      </c>
      <c r="P209">
        <f>IF(AND(D209&lt;&gt;"",COUNTIF(D$7:D209,D209)=1),MAX(P$6:P208)+1,"")</f>
        <v/>
      </c>
      <c r="Q209">
        <f>IF(E209="","",IF(I209="أجور عمال","أجرة","مادة"))</f>
        <v/>
      </c>
    </row>
    <row r="210">
      <c r="A210" s="12">
        <f>IF(E210="","",ROW()-6)</f>
        <v/>
      </c>
      <c r="B210" s="13" t="n"/>
      <c r="C210" s="12">
        <f>IF(B210="","",CHOOSE(WEEKDAY(B210,1),"الأحد","الاثنين","الثلاثاء","الأربعاء","الخميس","الجمعة","السبت"))</f>
        <v/>
      </c>
      <c r="D210" s="14" t="n"/>
      <c r="E210" s="15" t="n"/>
      <c r="F210" s="16" t="n"/>
      <c r="G210" s="17" t="n"/>
      <c r="H210" s="18">
        <f>IF(OR(F210="",G210=""),"",ROUND(F210*G210,2))</f>
        <v/>
      </c>
      <c r="I210" s="19">
        <f>IF(ISNUMBER(SEARCH("ستاند",D210)),"أثاث وستاندات","")</f>
        <v/>
      </c>
      <c r="J210" s="20">
        <f>IF(E210="","",IF(I210="","⚠ عبّي الغرض",IF(AND(D210&lt;&gt;"",OR(ISNUMBER(SEARCH("صيانة",D210)),ISNUMBER(SEARCH("تعزيل",D210)),ISNUMBER(SEARCH("تنظيف",D210)),ISNUMBER(SEARCH("تصليح",D210)))),"⚠ الصيانة بلا ورشة",IF(H210="","⚠ ناقص",IF(D210&lt;&gt;"",IF(SUMIF($D$7:$D$806,D210,$H$7:$H$806)&gt;=20,"أصل","مصروف"),IFERROR(IF(VLOOKUP(I210,'القوائم'!$A$2:$D$14,4,0)="زكاة وصدقة","زكاة وصدقة",IF(AND(VLOOKUP(I210,'القوائم'!$A$2:$D$14,3,0)&lt;&gt;"",H210&gt;=20),"أصل","مصروف")),"مصروف"))))))</f>
        <v/>
      </c>
      <c r="K210" s="21" t="n"/>
      <c r="L210" s="22" t="n"/>
      <c r="N210">
        <f>IF(B210="","",MONTH(B210))</f>
        <v/>
      </c>
      <c r="O210">
        <f>IF(B210="","",YEAR(B210))</f>
        <v/>
      </c>
      <c r="P210">
        <f>IF(AND(D210&lt;&gt;"",COUNTIF(D$7:D210,D210)=1),MAX(P$6:P209)+1,"")</f>
        <v/>
      </c>
      <c r="Q210">
        <f>IF(E210="","",IF(I210="أجور عمال","أجرة","مادة"))</f>
        <v/>
      </c>
    </row>
    <row r="211">
      <c r="A211" s="12">
        <f>IF(E211="","",ROW()-6)</f>
        <v/>
      </c>
      <c r="B211" s="13" t="n"/>
      <c r="C211" s="12">
        <f>IF(B211="","",CHOOSE(WEEKDAY(B211,1),"الأحد","الاثنين","الثلاثاء","الأربعاء","الخميس","الجمعة","السبت"))</f>
        <v/>
      </c>
      <c r="D211" s="14" t="n"/>
      <c r="E211" s="15" t="n"/>
      <c r="F211" s="16" t="n"/>
      <c r="G211" s="17" t="n"/>
      <c r="H211" s="18">
        <f>IF(OR(F211="",G211=""),"",ROUND(F211*G211,2))</f>
        <v/>
      </c>
      <c r="I211" s="19">
        <f>IF(ISNUMBER(SEARCH("ستاند",D211)),"أثاث وستاندات","")</f>
        <v/>
      </c>
      <c r="J211" s="20">
        <f>IF(E211="","",IF(I211="","⚠ عبّي الغرض",IF(AND(D211&lt;&gt;"",OR(ISNUMBER(SEARCH("صيانة",D211)),ISNUMBER(SEARCH("تعزيل",D211)),ISNUMBER(SEARCH("تنظيف",D211)),ISNUMBER(SEARCH("تصليح",D211)))),"⚠ الصيانة بلا ورشة",IF(H211="","⚠ ناقص",IF(D211&lt;&gt;"",IF(SUMIF($D$7:$D$806,D211,$H$7:$H$806)&gt;=20,"أصل","مصروف"),IFERROR(IF(VLOOKUP(I211,'القوائم'!$A$2:$D$14,4,0)="زكاة وصدقة","زكاة وصدقة",IF(AND(VLOOKUP(I211,'القوائم'!$A$2:$D$14,3,0)&lt;&gt;"",H211&gt;=20),"أصل","مصروف")),"مصروف"))))))</f>
        <v/>
      </c>
      <c r="K211" s="21" t="n"/>
      <c r="L211" s="22" t="n"/>
      <c r="N211">
        <f>IF(B211="","",MONTH(B211))</f>
        <v/>
      </c>
      <c r="O211">
        <f>IF(B211="","",YEAR(B211))</f>
        <v/>
      </c>
      <c r="P211">
        <f>IF(AND(D211&lt;&gt;"",COUNTIF(D$7:D211,D211)=1),MAX(P$6:P210)+1,"")</f>
        <v/>
      </c>
      <c r="Q211">
        <f>IF(E211="","",IF(I211="أجور عمال","أجرة","مادة"))</f>
        <v/>
      </c>
    </row>
    <row r="212">
      <c r="A212" s="12">
        <f>IF(E212="","",ROW()-6)</f>
        <v/>
      </c>
      <c r="B212" s="13" t="n"/>
      <c r="C212" s="12">
        <f>IF(B212="","",CHOOSE(WEEKDAY(B212,1),"الأحد","الاثنين","الثلاثاء","الأربعاء","الخميس","الجمعة","السبت"))</f>
        <v/>
      </c>
      <c r="D212" s="14" t="n"/>
      <c r="E212" s="15" t="n"/>
      <c r="F212" s="16" t="n"/>
      <c r="G212" s="17" t="n"/>
      <c r="H212" s="18">
        <f>IF(OR(F212="",G212=""),"",ROUND(F212*G212,2))</f>
        <v/>
      </c>
      <c r="I212" s="19">
        <f>IF(ISNUMBER(SEARCH("ستاند",D212)),"أثاث وستاندات","")</f>
        <v/>
      </c>
      <c r="J212" s="20">
        <f>IF(E212="","",IF(I212="","⚠ عبّي الغرض",IF(AND(D212&lt;&gt;"",OR(ISNUMBER(SEARCH("صيانة",D212)),ISNUMBER(SEARCH("تعزيل",D212)),ISNUMBER(SEARCH("تنظيف",D212)),ISNUMBER(SEARCH("تصليح",D212)))),"⚠ الصيانة بلا ورشة",IF(H212="","⚠ ناقص",IF(D212&lt;&gt;"",IF(SUMIF($D$7:$D$806,D212,$H$7:$H$806)&gt;=20,"أصل","مصروف"),IFERROR(IF(VLOOKUP(I212,'القوائم'!$A$2:$D$14,4,0)="زكاة وصدقة","زكاة وصدقة",IF(AND(VLOOKUP(I212,'القوائم'!$A$2:$D$14,3,0)&lt;&gt;"",H212&gt;=20),"أصل","مصروف")),"مصروف"))))))</f>
        <v/>
      </c>
      <c r="K212" s="21" t="n"/>
      <c r="L212" s="22" t="n"/>
      <c r="N212">
        <f>IF(B212="","",MONTH(B212))</f>
        <v/>
      </c>
      <c r="O212">
        <f>IF(B212="","",YEAR(B212))</f>
        <v/>
      </c>
      <c r="P212">
        <f>IF(AND(D212&lt;&gt;"",COUNTIF(D$7:D212,D212)=1),MAX(P$6:P211)+1,"")</f>
        <v/>
      </c>
      <c r="Q212">
        <f>IF(E212="","",IF(I212="أجور عمال","أجرة","مادة"))</f>
        <v/>
      </c>
    </row>
    <row r="213">
      <c r="A213" s="12">
        <f>IF(E213="","",ROW()-6)</f>
        <v/>
      </c>
      <c r="B213" s="13" t="n"/>
      <c r="C213" s="12">
        <f>IF(B213="","",CHOOSE(WEEKDAY(B213,1),"الأحد","الاثنين","الثلاثاء","الأربعاء","الخميس","الجمعة","السبت"))</f>
        <v/>
      </c>
      <c r="D213" s="14" t="n"/>
      <c r="E213" s="15" t="n"/>
      <c r="F213" s="16" t="n"/>
      <c r="G213" s="17" t="n"/>
      <c r="H213" s="18">
        <f>IF(OR(F213="",G213=""),"",ROUND(F213*G213,2))</f>
        <v/>
      </c>
      <c r="I213" s="19">
        <f>IF(ISNUMBER(SEARCH("ستاند",D213)),"أثاث وستاندات","")</f>
        <v/>
      </c>
      <c r="J213" s="20">
        <f>IF(E213="","",IF(I213="","⚠ عبّي الغرض",IF(AND(D213&lt;&gt;"",OR(ISNUMBER(SEARCH("صيانة",D213)),ISNUMBER(SEARCH("تعزيل",D213)),ISNUMBER(SEARCH("تنظيف",D213)),ISNUMBER(SEARCH("تصليح",D213)))),"⚠ الصيانة بلا ورشة",IF(H213="","⚠ ناقص",IF(D213&lt;&gt;"",IF(SUMIF($D$7:$D$806,D213,$H$7:$H$806)&gt;=20,"أصل","مصروف"),IFERROR(IF(VLOOKUP(I213,'القوائم'!$A$2:$D$14,4,0)="زكاة وصدقة","زكاة وصدقة",IF(AND(VLOOKUP(I213,'القوائم'!$A$2:$D$14,3,0)&lt;&gt;"",H213&gt;=20),"أصل","مصروف")),"مصروف"))))))</f>
        <v/>
      </c>
      <c r="K213" s="21" t="n"/>
      <c r="L213" s="22" t="n"/>
      <c r="N213">
        <f>IF(B213="","",MONTH(B213))</f>
        <v/>
      </c>
      <c r="O213">
        <f>IF(B213="","",YEAR(B213))</f>
        <v/>
      </c>
      <c r="P213">
        <f>IF(AND(D213&lt;&gt;"",COUNTIF(D$7:D213,D213)=1),MAX(P$6:P212)+1,"")</f>
        <v/>
      </c>
      <c r="Q213">
        <f>IF(E213="","",IF(I213="أجور عمال","أجرة","مادة"))</f>
        <v/>
      </c>
    </row>
    <row r="214">
      <c r="A214" s="12">
        <f>IF(E214="","",ROW()-6)</f>
        <v/>
      </c>
      <c r="B214" s="13" t="n"/>
      <c r="C214" s="12">
        <f>IF(B214="","",CHOOSE(WEEKDAY(B214,1),"الأحد","الاثنين","الثلاثاء","الأربعاء","الخميس","الجمعة","السبت"))</f>
        <v/>
      </c>
      <c r="D214" s="14" t="n"/>
      <c r="E214" s="15" t="n"/>
      <c r="F214" s="16" t="n"/>
      <c r="G214" s="17" t="n"/>
      <c r="H214" s="18">
        <f>IF(OR(F214="",G214=""),"",ROUND(F214*G214,2))</f>
        <v/>
      </c>
      <c r="I214" s="19">
        <f>IF(ISNUMBER(SEARCH("ستاند",D214)),"أثاث وستاندات","")</f>
        <v/>
      </c>
      <c r="J214" s="20">
        <f>IF(E214="","",IF(I214="","⚠ عبّي الغرض",IF(AND(D214&lt;&gt;"",OR(ISNUMBER(SEARCH("صيانة",D214)),ISNUMBER(SEARCH("تعزيل",D214)),ISNUMBER(SEARCH("تنظيف",D214)),ISNUMBER(SEARCH("تصليح",D214)))),"⚠ الصيانة بلا ورشة",IF(H214="","⚠ ناقص",IF(D214&lt;&gt;"",IF(SUMIF($D$7:$D$806,D214,$H$7:$H$806)&gt;=20,"أصل","مصروف"),IFERROR(IF(VLOOKUP(I214,'القوائم'!$A$2:$D$14,4,0)="زكاة وصدقة","زكاة وصدقة",IF(AND(VLOOKUP(I214,'القوائم'!$A$2:$D$14,3,0)&lt;&gt;"",H214&gt;=20),"أصل","مصروف")),"مصروف"))))))</f>
        <v/>
      </c>
      <c r="K214" s="21" t="n"/>
      <c r="L214" s="22" t="n"/>
      <c r="N214">
        <f>IF(B214="","",MONTH(B214))</f>
        <v/>
      </c>
      <c r="O214">
        <f>IF(B214="","",YEAR(B214))</f>
        <v/>
      </c>
      <c r="P214">
        <f>IF(AND(D214&lt;&gt;"",COUNTIF(D$7:D214,D214)=1),MAX(P$6:P213)+1,"")</f>
        <v/>
      </c>
      <c r="Q214">
        <f>IF(E214="","",IF(I214="أجور عمال","أجرة","مادة"))</f>
        <v/>
      </c>
    </row>
    <row r="215">
      <c r="A215" s="12">
        <f>IF(E215="","",ROW()-6)</f>
        <v/>
      </c>
      <c r="B215" s="13" t="n"/>
      <c r="C215" s="12">
        <f>IF(B215="","",CHOOSE(WEEKDAY(B215,1),"الأحد","الاثنين","الثلاثاء","الأربعاء","الخميس","الجمعة","السبت"))</f>
        <v/>
      </c>
      <c r="D215" s="14" t="n"/>
      <c r="E215" s="15" t="n"/>
      <c r="F215" s="16" t="n"/>
      <c r="G215" s="17" t="n"/>
      <c r="H215" s="18">
        <f>IF(OR(F215="",G215=""),"",ROUND(F215*G215,2))</f>
        <v/>
      </c>
      <c r="I215" s="19">
        <f>IF(ISNUMBER(SEARCH("ستاند",D215)),"أثاث وستاندات","")</f>
        <v/>
      </c>
      <c r="J215" s="20">
        <f>IF(E215="","",IF(I215="","⚠ عبّي الغرض",IF(AND(D215&lt;&gt;"",OR(ISNUMBER(SEARCH("صيانة",D215)),ISNUMBER(SEARCH("تعزيل",D215)),ISNUMBER(SEARCH("تنظيف",D215)),ISNUMBER(SEARCH("تصليح",D215)))),"⚠ الصيانة بلا ورشة",IF(H215="","⚠ ناقص",IF(D215&lt;&gt;"",IF(SUMIF($D$7:$D$806,D215,$H$7:$H$806)&gt;=20,"أصل","مصروف"),IFERROR(IF(VLOOKUP(I215,'القوائم'!$A$2:$D$14,4,0)="زكاة وصدقة","زكاة وصدقة",IF(AND(VLOOKUP(I215,'القوائم'!$A$2:$D$14,3,0)&lt;&gt;"",H215&gt;=20),"أصل","مصروف")),"مصروف"))))))</f>
        <v/>
      </c>
      <c r="K215" s="21" t="n"/>
      <c r="L215" s="22" t="n"/>
      <c r="N215">
        <f>IF(B215="","",MONTH(B215))</f>
        <v/>
      </c>
      <c r="O215">
        <f>IF(B215="","",YEAR(B215))</f>
        <v/>
      </c>
      <c r="P215">
        <f>IF(AND(D215&lt;&gt;"",COUNTIF(D$7:D215,D215)=1),MAX(P$6:P214)+1,"")</f>
        <v/>
      </c>
      <c r="Q215">
        <f>IF(E215="","",IF(I215="أجور عمال","أجرة","مادة"))</f>
        <v/>
      </c>
    </row>
    <row r="216">
      <c r="A216" s="12">
        <f>IF(E216="","",ROW()-6)</f>
        <v/>
      </c>
      <c r="B216" s="13" t="n"/>
      <c r="C216" s="12">
        <f>IF(B216="","",CHOOSE(WEEKDAY(B216,1),"الأحد","الاثنين","الثلاثاء","الأربعاء","الخميس","الجمعة","السبت"))</f>
        <v/>
      </c>
      <c r="D216" s="14" t="n"/>
      <c r="E216" s="15" t="n"/>
      <c r="F216" s="16" t="n"/>
      <c r="G216" s="17" t="n"/>
      <c r="H216" s="18">
        <f>IF(OR(F216="",G216=""),"",ROUND(F216*G216,2))</f>
        <v/>
      </c>
      <c r="I216" s="19">
        <f>IF(ISNUMBER(SEARCH("ستاند",D216)),"أثاث وستاندات","")</f>
        <v/>
      </c>
      <c r="J216" s="20">
        <f>IF(E216="","",IF(I216="","⚠ عبّي الغرض",IF(AND(D216&lt;&gt;"",OR(ISNUMBER(SEARCH("صيانة",D216)),ISNUMBER(SEARCH("تعزيل",D216)),ISNUMBER(SEARCH("تنظيف",D216)),ISNUMBER(SEARCH("تصليح",D216)))),"⚠ الصيانة بلا ورشة",IF(H216="","⚠ ناقص",IF(D216&lt;&gt;"",IF(SUMIF($D$7:$D$806,D216,$H$7:$H$806)&gt;=20,"أصل","مصروف"),IFERROR(IF(VLOOKUP(I216,'القوائم'!$A$2:$D$14,4,0)="زكاة وصدقة","زكاة وصدقة",IF(AND(VLOOKUP(I216,'القوائم'!$A$2:$D$14,3,0)&lt;&gt;"",H216&gt;=20),"أصل","مصروف")),"مصروف"))))))</f>
        <v/>
      </c>
      <c r="K216" s="21" t="n"/>
      <c r="L216" s="22" t="n"/>
      <c r="N216">
        <f>IF(B216="","",MONTH(B216))</f>
        <v/>
      </c>
      <c r="O216">
        <f>IF(B216="","",YEAR(B216))</f>
        <v/>
      </c>
      <c r="P216">
        <f>IF(AND(D216&lt;&gt;"",COUNTIF(D$7:D216,D216)=1),MAX(P$6:P215)+1,"")</f>
        <v/>
      </c>
      <c r="Q216">
        <f>IF(E216="","",IF(I216="أجور عمال","أجرة","مادة"))</f>
        <v/>
      </c>
    </row>
    <row r="217">
      <c r="A217" s="12">
        <f>IF(E217="","",ROW()-6)</f>
        <v/>
      </c>
      <c r="B217" s="13" t="n"/>
      <c r="C217" s="12">
        <f>IF(B217="","",CHOOSE(WEEKDAY(B217,1),"الأحد","الاثنين","الثلاثاء","الأربعاء","الخميس","الجمعة","السبت"))</f>
        <v/>
      </c>
      <c r="D217" s="14" t="n"/>
      <c r="E217" s="15" t="n"/>
      <c r="F217" s="16" t="n"/>
      <c r="G217" s="17" t="n"/>
      <c r="H217" s="18">
        <f>IF(OR(F217="",G217=""),"",ROUND(F217*G217,2))</f>
        <v/>
      </c>
      <c r="I217" s="19">
        <f>IF(ISNUMBER(SEARCH("ستاند",D217)),"أثاث وستاندات","")</f>
        <v/>
      </c>
      <c r="J217" s="20">
        <f>IF(E217="","",IF(I217="","⚠ عبّي الغرض",IF(AND(D217&lt;&gt;"",OR(ISNUMBER(SEARCH("صيانة",D217)),ISNUMBER(SEARCH("تعزيل",D217)),ISNUMBER(SEARCH("تنظيف",D217)),ISNUMBER(SEARCH("تصليح",D217)))),"⚠ الصيانة بلا ورشة",IF(H217="","⚠ ناقص",IF(D217&lt;&gt;"",IF(SUMIF($D$7:$D$806,D217,$H$7:$H$806)&gt;=20,"أصل","مصروف"),IFERROR(IF(VLOOKUP(I217,'القوائم'!$A$2:$D$14,4,0)="زكاة وصدقة","زكاة وصدقة",IF(AND(VLOOKUP(I217,'القوائم'!$A$2:$D$14,3,0)&lt;&gt;"",H217&gt;=20),"أصل","مصروف")),"مصروف"))))))</f>
        <v/>
      </c>
      <c r="K217" s="21" t="n"/>
      <c r="L217" s="22" t="n"/>
      <c r="N217">
        <f>IF(B217="","",MONTH(B217))</f>
        <v/>
      </c>
      <c r="O217">
        <f>IF(B217="","",YEAR(B217))</f>
        <v/>
      </c>
      <c r="P217">
        <f>IF(AND(D217&lt;&gt;"",COUNTIF(D$7:D217,D217)=1),MAX(P$6:P216)+1,"")</f>
        <v/>
      </c>
      <c r="Q217">
        <f>IF(E217="","",IF(I217="أجور عمال","أجرة","مادة"))</f>
        <v/>
      </c>
    </row>
    <row r="218">
      <c r="A218" s="12">
        <f>IF(E218="","",ROW()-6)</f>
        <v/>
      </c>
      <c r="B218" s="13" t="n"/>
      <c r="C218" s="12">
        <f>IF(B218="","",CHOOSE(WEEKDAY(B218,1),"الأحد","الاثنين","الثلاثاء","الأربعاء","الخميس","الجمعة","السبت"))</f>
        <v/>
      </c>
      <c r="D218" s="14" t="n"/>
      <c r="E218" s="15" t="n"/>
      <c r="F218" s="16" t="n"/>
      <c r="G218" s="17" t="n"/>
      <c r="H218" s="18">
        <f>IF(OR(F218="",G218=""),"",ROUND(F218*G218,2))</f>
        <v/>
      </c>
      <c r="I218" s="19">
        <f>IF(ISNUMBER(SEARCH("ستاند",D218)),"أثاث وستاندات","")</f>
        <v/>
      </c>
      <c r="J218" s="20">
        <f>IF(E218="","",IF(I218="","⚠ عبّي الغرض",IF(AND(D218&lt;&gt;"",OR(ISNUMBER(SEARCH("صيانة",D218)),ISNUMBER(SEARCH("تعزيل",D218)),ISNUMBER(SEARCH("تنظيف",D218)),ISNUMBER(SEARCH("تصليح",D218)))),"⚠ الصيانة بلا ورشة",IF(H218="","⚠ ناقص",IF(D218&lt;&gt;"",IF(SUMIF($D$7:$D$806,D218,$H$7:$H$806)&gt;=20,"أصل","مصروف"),IFERROR(IF(VLOOKUP(I218,'القوائم'!$A$2:$D$14,4,0)="زكاة وصدقة","زكاة وصدقة",IF(AND(VLOOKUP(I218,'القوائم'!$A$2:$D$14,3,0)&lt;&gt;"",H218&gt;=20),"أصل","مصروف")),"مصروف"))))))</f>
        <v/>
      </c>
      <c r="K218" s="21" t="n"/>
      <c r="L218" s="22" t="n"/>
      <c r="N218">
        <f>IF(B218="","",MONTH(B218))</f>
        <v/>
      </c>
      <c r="O218">
        <f>IF(B218="","",YEAR(B218))</f>
        <v/>
      </c>
      <c r="P218">
        <f>IF(AND(D218&lt;&gt;"",COUNTIF(D$7:D218,D218)=1),MAX(P$6:P217)+1,"")</f>
        <v/>
      </c>
      <c r="Q218">
        <f>IF(E218="","",IF(I218="أجور عمال","أجرة","مادة"))</f>
        <v/>
      </c>
    </row>
    <row r="219">
      <c r="A219" s="12">
        <f>IF(E219="","",ROW()-6)</f>
        <v/>
      </c>
      <c r="B219" s="13" t="n"/>
      <c r="C219" s="12">
        <f>IF(B219="","",CHOOSE(WEEKDAY(B219,1),"الأحد","الاثنين","الثلاثاء","الأربعاء","الخميس","الجمعة","السبت"))</f>
        <v/>
      </c>
      <c r="D219" s="14" t="n"/>
      <c r="E219" s="15" t="n"/>
      <c r="F219" s="16" t="n"/>
      <c r="G219" s="17" t="n"/>
      <c r="H219" s="18">
        <f>IF(OR(F219="",G219=""),"",ROUND(F219*G219,2))</f>
        <v/>
      </c>
      <c r="I219" s="19">
        <f>IF(ISNUMBER(SEARCH("ستاند",D219)),"أثاث وستاندات","")</f>
        <v/>
      </c>
      <c r="J219" s="20">
        <f>IF(E219="","",IF(I219="","⚠ عبّي الغرض",IF(AND(D219&lt;&gt;"",OR(ISNUMBER(SEARCH("صيانة",D219)),ISNUMBER(SEARCH("تعزيل",D219)),ISNUMBER(SEARCH("تنظيف",D219)),ISNUMBER(SEARCH("تصليح",D219)))),"⚠ الصيانة بلا ورشة",IF(H219="","⚠ ناقص",IF(D219&lt;&gt;"",IF(SUMIF($D$7:$D$806,D219,$H$7:$H$806)&gt;=20,"أصل","مصروف"),IFERROR(IF(VLOOKUP(I219,'القوائم'!$A$2:$D$14,4,0)="زكاة وصدقة","زكاة وصدقة",IF(AND(VLOOKUP(I219,'القوائم'!$A$2:$D$14,3,0)&lt;&gt;"",H219&gt;=20),"أصل","مصروف")),"مصروف"))))))</f>
        <v/>
      </c>
      <c r="K219" s="21" t="n"/>
      <c r="L219" s="22" t="n"/>
      <c r="N219">
        <f>IF(B219="","",MONTH(B219))</f>
        <v/>
      </c>
      <c r="O219">
        <f>IF(B219="","",YEAR(B219))</f>
        <v/>
      </c>
      <c r="P219">
        <f>IF(AND(D219&lt;&gt;"",COUNTIF(D$7:D219,D219)=1),MAX(P$6:P218)+1,"")</f>
        <v/>
      </c>
      <c r="Q219">
        <f>IF(E219="","",IF(I219="أجور عمال","أجرة","مادة"))</f>
        <v/>
      </c>
    </row>
    <row r="220">
      <c r="A220" s="12">
        <f>IF(E220="","",ROW()-6)</f>
        <v/>
      </c>
      <c r="B220" s="13" t="n"/>
      <c r="C220" s="12">
        <f>IF(B220="","",CHOOSE(WEEKDAY(B220,1),"الأحد","الاثنين","الثلاثاء","الأربعاء","الخميس","الجمعة","السبت"))</f>
        <v/>
      </c>
      <c r="D220" s="14" t="n"/>
      <c r="E220" s="15" t="n"/>
      <c r="F220" s="16" t="n"/>
      <c r="G220" s="17" t="n"/>
      <c r="H220" s="18">
        <f>IF(OR(F220="",G220=""),"",ROUND(F220*G220,2))</f>
        <v/>
      </c>
      <c r="I220" s="19">
        <f>IF(ISNUMBER(SEARCH("ستاند",D220)),"أثاث وستاندات","")</f>
        <v/>
      </c>
      <c r="J220" s="20">
        <f>IF(E220="","",IF(I220="","⚠ عبّي الغرض",IF(AND(D220&lt;&gt;"",OR(ISNUMBER(SEARCH("صيانة",D220)),ISNUMBER(SEARCH("تعزيل",D220)),ISNUMBER(SEARCH("تنظيف",D220)),ISNUMBER(SEARCH("تصليح",D220)))),"⚠ الصيانة بلا ورشة",IF(H220="","⚠ ناقص",IF(D220&lt;&gt;"",IF(SUMIF($D$7:$D$806,D220,$H$7:$H$806)&gt;=20,"أصل","مصروف"),IFERROR(IF(VLOOKUP(I220,'القوائم'!$A$2:$D$14,4,0)="زكاة وصدقة","زكاة وصدقة",IF(AND(VLOOKUP(I220,'القوائم'!$A$2:$D$14,3,0)&lt;&gt;"",H220&gt;=20),"أصل","مصروف")),"مصروف"))))))</f>
        <v/>
      </c>
      <c r="K220" s="21" t="n"/>
      <c r="L220" s="22" t="n"/>
      <c r="N220">
        <f>IF(B220="","",MONTH(B220))</f>
        <v/>
      </c>
      <c r="O220">
        <f>IF(B220="","",YEAR(B220))</f>
        <v/>
      </c>
      <c r="P220">
        <f>IF(AND(D220&lt;&gt;"",COUNTIF(D$7:D220,D220)=1),MAX(P$6:P219)+1,"")</f>
        <v/>
      </c>
      <c r="Q220">
        <f>IF(E220="","",IF(I220="أجور عمال","أجرة","مادة"))</f>
        <v/>
      </c>
    </row>
    <row r="221">
      <c r="A221" s="12">
        <f>IF(E221="","",ROW()-6)</f>
        <v/>
      </c>
      <c r="B221" s="13" t="n"/>
      <c r="C221" s="12">
        <f>IF(B221="","",CHOOSE(WEEKDAY(B221,1),"الأحد","الاثنين","الثلاثاء","الأربعاء","الخميس","الجمعة","السبت"))</f>
        <v/>
      </c>
      <c r="D221" s="14" t="n"/>
      <c r="E221" s="15" t="n"/>
      <c r="F221" s="16" t="n"/>
      <c r="G221" s="17" t="n"/>
      <c r="H221" s="18">
        <f>IF(OR(F221="",G221=""),"",ROUND(F221*G221,2))</f>
        <v/>
      </c>
      <c r="I221" s="19">
        <f>IF(ISNUMBER(SEARCH("ستاند",D221)),"أثاث وستاندات","")</f>
        <v/>
      </c>
      <c r="J221" s="20">
        <f>IF(E221="","",IF(I221="","⚠ عبّي الغرض",IF(AND(D221&lt;&gt;"",OR(ISNUMBER(SEARCH("صيانة",D221)),ISNUMBER(SEARCH("تعزيل",D221)),ISNUMBER(SEARCH("تنظيف",D221)),ISNUMBER(SEARCH("تصليح",D221)))),"⚠ الصيانة بلا ورشة",IF(H221="","⚠ ناقص",IF(D221&lt;&gt;"",IF(SUMIF($D$7:$D$806,D221,$H$7:$H$806)&gt;=20,"أصل","مصروف"),IFERROR(IF(VLOOKUP(I221,'القوائم'!$A$2:$D$14,4,0)="زكاة وصدقة","زكاة وصدقة",IF(AND(VLOOKUP(I221,'القوائم'!$A$2:$D$14,3,0)&lt;&gt;"",H221&gt;=20),"أصل","مصروف")),"مصروف"))))))</f>
        <v/>
      </c>
      <c r="K221" s="21" t="n"/>
      <c r="L221" s="22" t="n"/>
      <c r="N221">
        <f>IF(B221="","",MONTH(B221))</f>
        <v/>
      </c>
      <c r="O221">
        <f>IF(B221="","",YEAR(B221))</f>
        <v/>
      </c>
      <c r="P221">
        <f>IF(AND(D221&lt;&gt;"",COUNTIF(D$7:D221,D221)=1),MAX(P$6:P220)+1,"")</f>
        <v/>
      </c>
      <c r="Q221">
        <f>IF(E221="","",IF(I221="أجور عمال","أجرة","مادة"))</f>
        <v/>
      </c>
    </row>
    <row r="222">
      <c r="A222" s="12">
        <f>IF(E222="","",ROW()-6)</f>
        <v/>
      </c>
      <c r="B222" s="13" t="n"/>
      <c r="C222" s="12">
        <f>IF(B222="","",CHOOSE(WEEKDAY(B222,1),"الأحد","الاثنين","الثلاثاء","الأربعاء","الخميس","الجمعة","السبت"))</f>
        <v/>
      </c>
      <c r="D222" s="14" t="n"/>
      <c r="E222" s="15" t="n"/>
      <c r="F222" s="16" t="n"/>
      <c r="G222" s="17" t="n"/>
      <c r="H222" s="18">
        <f>IF(OR(F222="",G222=""),"",ROUND(F222*G222,2))</f>
        <v/>
      </c>
      <c r="I222" s="19">
        <f>IF(ISNUMBER(SEARCH("ستاند",D222)),"أثاث وستاندات","")</f>
        <v/>
      </c>
      <c r="J222" s="20">
        <f>IF(E222="","",IF(I222="","⚠ عبّي الغرض",IF(AND(D222&lt;&gt;"",OR(ISNUMBER(SEARCH("صيانة",D222)),ISNUMBER(SEARCH("تعزيل",D222)),ISNUMBER(SEARCH("تنظيف",D222)),ISNUMBER(SEARCH("تصليح",D222)))),"⚠ الصيانة بلا ورشة",IF(H222="","⚠ ناقص",IF(D222&lt;&gt;"",IF(SUMIF($D$7:$D$806,D222,$H$7:$H$806)&gt;=20,"أصل","مصروف"),IFERROR(IF(VLOOKUP(I222,'القوائم'!$A$2:$D$14,4,0)="زكاة وصدقة","زكاة وصدقة",IF(AND(VLOOKUP(I222,'القوائم'!$A$2:$D$14,3,0)&lt;&gt;"",H222&gt;=20),"أصل","مصروف")),"مصروف"))))))</f>
        <v/>
      </c>
      <c r="K222" s="21" t="n"/>
      <c r="L222" s="22" t="n"/>
      <c r="N222">
        <f>IF(B222="","",MONTH(B222))</f>
        <v/>
      </c>
      <c r="O222">
        <f>IF(B222="","",YEAR(B222))</f>
        <v/>
      </c>
      <c r="P222">
        <f>IF(AND(D222&lt;&gt;"",COUNTIF(D$7:D222,D222)=1),MAX(P$6:P221)+1,"")</f>
        <v/>
      </c>
      <c r="Q222">
        <f>IF(E222="","",IF(I222="أجور عمال","أجرة","مادة"))</f>
        <v/>
      </c>
    </row>
    <row r="223">
      <c r="A223" s="12">
        <f>IF(E223="","",ROW()-6)</f>
        <v/>
      </c>
      <c r="B223" s="13" t="n"/>
      <c r="C223" s="12">
        <f>IF(B223="","",CHOOSE(WEEKDAY(B223,1),"الأحد","الاثنين","الثلاثاء","الأربعاء","الخميس","الجمعة","السبت"))</f>
        <v/>
      </c>
      <c r="D223" s="14" t="n"/>
      <c r="E223" s="15" t="n"/>
      <c r="F223" s="16" t="n"/>
      <c r="G223" s="17" t="n"/>
      <c r="H223" s="18">
        <f>IF(OR(F223="",G223=""),"",ROUND(F223*G223,2))</f>
        <v/>
      </c>
      <c r="I223" s="19">
        <f>IF(ISNUMBER(SEARCH("ستاند",D223)),"أثاث وستاندات","")</f>
        <v/>
      </c>
      <c r="J223" s="20">
        <f>IF(E223="","",IF(I223="","⚠ عبّي الغرض",IF(AND(D223&lt;&gt;"",OR(ISNUMBER(SEARCH("صيانة",D223)),ISNUMBER(SEARCH("تعزيل",D223)),ISNUMBER(SEARCH("تنظيف",D223)),ISNUMBER(SEARCH("تصليح",D223)))),"⚠ الصيانة بلا ورشة",IF(H223="","⚠ ناقص",IF(D223&lt;&gt;"",IF(SUMIF($D$7:$D$806,D223,$H$7:$H$806)&gt;=20,"أصل","مصروف"),IFERROR(IF(VLOOKUP(I223,'القوائم'!$A$2:$D$14,4,0)="زكاة وصدقة","زكاة وصدقة",IF(AND(VLOOKUP(I223,'القوائم'!$A$2:$D$14,3,0)&lt;&gt;"",H223&gt;=20),"أصل","مصروف")),"مصروف"))))))</f>
        <v/>
      </c>
      <c r="K223" s="21" t="n"/>
      <c r="L223" s="22" t="n"/>
      <c r="N223">
        <f>IF(B223="","",MONTH(B223))</f>
        <v/>
      </c>
      <c r="O223">
        <f>IF(B223="","",YEAR(B223))</f>
        <v/>
      </c>
      <c r="P223">
        <f>IF(AND(D223&lt;&gt;"",COUNTIF(D$7:D223,D223)=1),MAX(P$6:P222)+1,"")</f>
        <v/>
      </c>
      <c r="Q223">
        <f>IF(E223="","",IF(I223="أجور عمال","أجرة","مادة"))</f>
        <v/>
      </c>
    </row>
    <row r="224">
      <c r="A224" s="12">
        <f>IF(E224="","",ROW()-6)</f>
        <v/>
      </c>
      <c r="B224" s="13" t="n"/>
      <c r="C224" s="12">
        <f>IF(B224="","",CHOOSE(WEEKDAY(B224,1),"الأحد","الاثنين","الثلاثاء","الأربعاء","الخميس","الجمعة","السبت"))</f>
        <v/>
      </c>
      <c r="D224" s="14" t="n"/>
      <c r="E224" s="15" t="n"/>
      <c r="F224" s="16" t="n"/>
      <c r="G224" s="17" t="n"/>
      <c r="H224" s="18">
        <f>IF(OR(F224="",G224=""),"",ROUND(F224*G224,2))</f>
        <v/>
      </c>
      <c r="I224" s="19">
        <f>IF(ISNUMBER(SEARCH("ستاند",D224)),"أثاث وستاندات","")</f>
        <v/>
      </c>
      <c r="J224" s="20">
        <f>IF(E224="","",IF(I224="","⚠ عبّي الغرض",IF(AND(D224&lt;&gt;"",OR(ISNUMBER(SEARCH("صيانة",D224)),ISNUMBER(SEARCH("تعزيل",D224)),ISNUMBER(SEARCH("تنظيف",D224)),ISNUMBER(SEARCH("تصليح",D224)))),"⚠ الصيانة بلا ورشة",IF(H224="","⚠ ناقص",IF(D224&lt;&gt;"",IF(SUMIF($D$7:$D$806,D224,$H$7:$H$806)&gt;=20,"أصل","مصروف"),IFERROR(IF(VLOOKUP(I224,'القوائم'!$A$2:$D$14,4,0)="زكاة وصدقة","زكاة وصدقة",IF(AND(VLOOKUP(I224,'القوائم'!$A$2:$D$14,3,0)&lt;&gt;"",H224&gt;=20),"أصل","مصروف")),"مصروف"))))))</f>
        <v/>
      </c>
      <c r="K224" s="21" t="n"/>
      <c r="L224" s="22" t="n"/>
      <c r="N224">
        <f>IF(B224="","",MONTH(B224))</f>
        <v/>
      </c>
      <c r="O224">
        <f>IF(B224="","",YEAR(B224))</f>
        <v/>
      </c>
      <c r="P224">
        <f>IF(AND(D224&lt;&gt;"",COUNTIF(D$7:D224,D224)=1),MAX(P$6:P223)+1,"")</f>
        <v/>
      </c>
      <c r="Q224">
        <f>IF(E224="","",IF(I224="أجور عمال","أجرة","مادة"))</f>
        <v/>
      </c>
    </row>
    <row r="225">
      <c r="A225" s="12">
        <f>IF(E225="","",ROW()-6)</f>
        <v/>
      </c>
      <c r="B225" s="13" t="n"/>
      <c r="C225" s="12">
        <f>IF(B225="","",CHOOSE(WEEKDAY(B225,1),"الأحد","الاثنين","الثلاثاء","الأربعاء","الخميس","الجمعة","السبت"))</f>
        <v/>
      </c>
      <c r="D225" s="14" t="n"/>
      <c r="E225" s="15" t="n"/>
      <c r="F225" s="16" t="n"/>
      <c r="G225" s="17" t="n"/>
      <c r="H225" s="18">
        <f>IF(OR(F225="",G225=""),"",ROUND(F225*G225,2))</f>
        <v/>
      </c>
      <c r="I225" s="19">
        <f>IF(ISNUMBER(SEARCH("ستاند",D225)),"أثاث وستاندات","")</f>
        <v/>
      </c>
      <c r="J225" s="20">
        <f>IF(E225="","",IF(I225="","⚠ عبّي الغرض",IF(AND(D225&lt;&gt;"",OR(ISNUMBER(SEARCH("صيانة",D225)),ISNUMBER(SEARCH("تعزيل",D225)),ISNUMBER(SEARCH("تنظيف",D225)),ISNUMBER(SEARCH("تصليح",D225)))),"⚠ الصيانة بلا ورشة",IF(H225="","⚠ ناقص",IF(D225&lt;&gt;"",IF(SUMIF($D$7:$D$806,D225,$H$7:$H$806)&gt;=20,"أصل","مصروف"),IFERROR(IF(VLOOKUP(I225,'القوائم'!$A$2:$D$14,4,0)="زكاة وصدقة","زكاة وصدقة",IF(AND(VLOOKUP(I225,'القوائم'!$A$2:$D$14,3,0)&lt;&gt;"",H225&gt;=20),"أصل","مصروف")),"مصروف"))))))</f>
        <v/>
      </c>
      <c r="K225" s="21" t="n"/>
      <c r="L225" s="22" t="n"/>
      <c r="N225">
        <f>IF(B225="","",MONTH(B225))</f>
        <v/>
      </c>
      <c r="O225">
        <f>IF(B225="","",YEAR(B225))</f>
        <v/>
      </c>
      <c r="P225">
        <f>IF(AND(D225&lt;&gt;"",COUNTIF(D$7:D225,D225)=1),MAX(P$6:P224)+1,"")</f>
        <v/>
      </c>
      <c r="Q225">
        <f>IF(E225="","",IF(I225="أجور عمال","أجرة","مادة"))</f>
        <v/>
      </c>
    </row>
    <row r="226">
      <c r="A226" s="12">
        <f>IF(E226="","",ROW()-6)</f>
        <v/>
      </c>
      <c r="B226" s="13" t="n"/>
      <c r="C226" s="12">
        <f>IF(B226="","",CHOOSE(WEEKDAY(B226,1),"الأحد","الاثنين","الثلاثاء","الأربعاء","الخميس","الجمعة","السبت"))</f>
        <v/>
      </c>
      <c r="D226" s="14" t="n"/>
      <c r="E226" s="15" t="n"/>
      <c r="F226" s="16" t="n"/>
      <c r="G226" s="17" t="n"/>
      <c r="H226" s="18">
        <f>IF(OR(F226="",G226=""),"",ROUND(F226*G226,2))</f>
        <v/>
      </c>
      <c r="I226" s="19">
        <f>IF(ISNUMBER(SEARCH("ستاند",D226)),"أثاث وستاندات","")</f>
        <v/>
      </c>
      <c r="J226" s="20">
        <f>IF(E226="","",IF(I226="","⚠ عبّي الغرض",IF(AND(D226&lt;&gt;"",OR(ISNUMBER(SEARCH("صيانة",D226)),ISNUMBER(SEARCH("تعزيل",D226)),ISNUMBER(SEARCH("تنظيف",D226)),ISNUMBER(SEARCH("تصليح",D226)))),"⚠ الصيانة بلا ورشة",IF(H226="","⚠ ناقص",IF(D226&lt;&gt;"",IF(SUMIF($D$7:$D$806,D226,$H$7:$H$806)&gt;=20,"أصل","مصروف"),IFERROR(IF(VLOOKUP(I226,'القوائم'!$A$2:$D$14,4,0)="زكاة وصدقة","زكاة وصدقة",IF(AND(VLOOKUP(I226,'القوائم'!$A$2:$D$14,3,0)&lt;&gt;"",H226&gt;=20),"أصل","مصروف")),"مصروف"))))))</f>
        <v/>
      </c>
      <c r="K226" s="21" t="n"/>
      <c r="L226" s="22" t="n"/>
      <c r="N226">
        <f>IF(B226="","",MONTH(B226))</f>
        <v/>
      </c>
      <c r="O226">
        <f>IF(B226="","",YEAR(B226))</f>
        <v/>
      </c>
      <c r="P226">
        <f>IF(AND(D226&lt;&gt;"",COUNTIF(D$7:D226,D226)=1),MAX(P$6:P225)+1,"")</f>
        <v/>
      </c>
      <c r="Q226">
        <f>IF(E226="","",IF(I226="أجور عمال","أجرة","مادة"))</f>
        <v/>
      </c>
    </row>
    <row r="227">
      <c r="A227" s="12">
        <f>IF(E227="","",ROW()-6)</f>
        <v/>
      </c>
      <c r="B227" s="13" t="n"/>
      <c r="C227" s="12">
        <f>IF(B227="","",CHOOSE(WEEKDAY(B227,1),"الأحد","الاثنين","الثلاثاء","الأربعاء","الخميس","الجمعة","السبت"))</f>
        <v/>
      </c>
      <c r="D227" s="14" t="n"/>
      <c r="E227" s="15" t="n"/>
      <c r="F227" s="16" t="n"/>
      <c r="G227" s="17" t="n"/>
      <c r="H227" s="18">
        <f>IF(OR(F227="",G227=""),"",ROUND(F227*G227,2))</f>
        <v/>
      </c>
      <c r="I227" s="19">
        <f>IF(ISNUMBER(SEARCH("ستاند",D227)),"أثاث وستاندات","")</f>
        <v/>
      </c>
      <c r="J227" s="20">
        <f>IF(E227="","",IF(I227="","⚠ عبّي الغرض",IF(AND(D227&lt;&gt;"",OR(ISNUMBER(SEARCH("صيانة",D227)),ISNUMBER(SEARCH("تعزيل",D227)),ISNUMBER(SEARCH("تنظيف",D227)),ISNUMBER(SEARCH("تصليح",D227)))),"⚠ الصيانة بلا ورشة",IF(H227="","⚠ ناقص",IF(D227&lt;&gt;"",IF(SUMIF($D$7:$D$806,D227,$H$7:$H$806)&gt;=20,"أصل","مصروف"),IFERROR(IF(VLOOKUP(I227,'القوائم'!$A$2:$D$14,4,0)="زكاة وصدقة","زكاة وصدقة",IF(AND(VLOOKUP(I227,'القوائم'!$A$2:$D$14,3,0)&lt;&gt;"",H227&gt;=20),"أصل","مصروف")),"مصروف"))))))</f>
        <v/>
      </c>
      <c r="K227" s="21" t="n"/>
      <c r="L227" s="22" t="n"/>
      <c r="N227">
        <f>IF(B227="","",MONTH(B227))</f>
        <v/>
      </c>
      <c r="O227">
        <f>IF(B227="","",YEAR(B227))</f>
        <v/>
      </c>
      <c r="P227">
        <f>IF(AND(D227&lt;&gt;"",COUNTIF(D$7:D227,D227)=1),MAX(P$6:P226)+1,"")</f>
        <v/>
      </c>
      <c r="Q227">
        <f>IF(E227="","",IF(I227="أجور عمال","أجرة","مادة"))</f>
        <v/>
      </c>
    </row>
    <row r="228">
      <c r="A228" s="12">
        <f>IF(E228="","",ROW()-6)</f>
        <v/>
      </c>
      <c r="B228" s="13" t="n"/>
      <c r="C228" s="12">
        <f>IF(B228="","",CHOOSE(WEEKDAY(B228,1),"الأحد","الاثنين","الثلاثاء","الأربعاء","الخميس","الجمعة","السبت"))</f>
        <v/>
      </c>
      <c r="D228" s="14" t="n"/>
      <c r="E228" s="15" t="n"/>
      <c r="F228" s="16" t="n"/>
      <c r="G228" s="17" t="n"/>
      <c r="H228" s="18">
        <f>IF(OR(F228="",G228=""),"",ROUND(F228*G228,2))</f>
        <v/>
      </c>
      <c r="I228" s="19">
        <f>IF(ISNUMBER(SEARCH("ستاند",D228)),"أثاث وستاندات","")</f>
        <v/>
      </c>
      <c r="J228" s="20">
        <f>IF(E228="","",IF(I228="","⚠ عبّي الغرض",IF(AND(D228&lt;&gt;"",OR(ISNUMBER(SEARCH("صيانة",D228)),ISNUMBER(SEARCH("تعزيل",D228)),ISNUMBER(SEARCH("تنظيف",D228)),ISNUMBER(SEARCH("تصليح",D228)))),"⚠ الصيانة بلا ورشة",IF(H228="","⚠ ناقص",IF(D228&lt;&gt;"",IF(SUMIF($D$7:$D$806,D228,$H$7:$H$806)&gt;=20,"أصل","مصروف"),IFERROR(IF(VLOOKUP(I228,'القوائم'!$A$2:$D$14,4,0)="زكاة وصدقة","زكاة وصدقة",IF(AND(VLOOKUP(I228,'القوائم'!$A$2:$D$14,3,0)&lt;&gt;"",H228&gt;=20),"أصل","مصروف")),"مصروف"))))))</f>
        <v/>
      </c>
      <c r="K228" s="21" t="n"/>
      <c r="L228" s="22" t="n"/>
      <c r="N228">
        <f>IF(B228="","",MONTH(B228))</f>
        <v/>
      </c>
      <c r="O228">
        <f>IF(B228="","",YEAR(B228))</f>
        <v/>
      </c>
      <c r="P228">
        <f>IF(AND(D228&lt;&gt;"",COUNTIF(D$7:D228,D228)=1),MAX(P$6:P227)+1,"")</f>
        <v/>
      </c>
      <c r="Q228">
        <f>IF(E228="","",IF(I228="أجور عمال","أجرة","مادة"))</f>
        <v/>
      </c>
    </row>
    <row r="229">
      <c r="A229" s="12">
        <f>IF(E229="","",ROW()-6)</f>
        <v/>
      </c>
      <c r="B229" s="13" t="n"/>
      <c r="C229" s="12">
        <f>IF(B229="","",CHOOSE(WEEKDAY(B229,1),"الأحد","الاثنين","الثلاثاء","الأربعاء","الخميس","الجمعة","السبت"))</f>
        <v/>
      </c>
      <c r="D229" s="14" t="n"/>
      <c r="E229" s="15" t="n"/>
      <c r="F229" s="16" t="n"/>
      <c r="G229" s="17" t="n"/>
      <c r="H229" s="18">
        <f>IF(OR(F229="",G229=""),"",ROUND(F229*G229,2))</f>
        <v/>
      </c>
      <c r="I229" s="19">
        <f>IF(ISNUMBER(SEARCH("ستاند",D229)),"أثاث وستاندات","")</f>
        <v/>
      </c>
      <c r="J229" s="20">
        <f>IF(E229="","",IF(I229="","⚠ عبّي الغرض",IF(AND(D229&lt;&gt;"",OR(ISNUMBER(SEARCH("صيانة",D229)),ISNUMBER(SEARCH("تعزيل",D229)),ISNUMBER(SEARCH("تنظيف",D229)),ISNUMBER(SEARCH("تصليح",D229)))),"⚠ الصيانة بلا ورشة",IF(H229="","⚠ ناقص",IF(D229&lt;&gt;"",IF(SUMIF($D$7:$D$806,D229,$H$7:$H$806)&gt;=20,"أصل","مصروف"),IFERROR(IF(VLOOKUP(I229,'القوائم'!$A$2:$D$14,4,0)="زكاة وصدقة","زكاة وصدقة",IF(AND(VLOOKUP(I229,'القوائم'!$A$2:$D$14,3,0)&lt;&gt;"",H229&gt;=20),"أصل","مصروف")),"مصروف"))))))</f>
        <v/>
      </c>
      <c r="K229" s="21" t="n"/>
      <c r="L229" s="22" t="n"/>
      <c r="N229">
        <f>IF(B229="","",MONTH(B229))</f>
        <v/>
      </c>
      <c r="O229">
        <f>IF(B229="","",YEAR(B229))</f>
        <v/>
      </c>
      <c r="P229">
        <f>IF(AND(D229&lt;&gt;"",COUNTIF(D$7:D229,D229)=1),MAX(P$6:P228)+1,"")</f>
        <v/>
      </c>
      <c r="Q229">
        <f>IF(E229="","",IF(I229="أجور عمال","أجرة","مادة"))</f>
        <v/>
      </c>
    </row>
    <row r="230">
      <c r="A230" s="12">
        <f>IF(E230="","",ROW()-6)</f>
        <v/>
      </c>
      <c r="B230" s="13" t="n"/>
      <c r="C230" s="12">
        <f>IF(B230="","",CHOOSE(WEEKDAY(B230,1),"الأحد","الاثنين","الثلاثاء","الأربعاء","الخميس","الجمعة","السبت"))</f>
        <v/>
      </c>
      <c r="D230" s="14" t="n"/>
      <c r="E230" s="15" t="n"/>
      <c r="F230" s="16" t="n"/>
      <c r="G230" s="17" t="n"/>
      <c r="H230" s="18">
        <f>IF(OR(F230="",G230=""),"",ROUND(F230*G230,2))</f>
        <v/>
      </c>
      <c r="I230" s="19">
        <f>IF(ISNUMBER(SEARCH("ستاند",D230)),"أثاث وستاندات","")</f>
        <v/>
      </c>
      <c r="J230" s="20">
        <f>IF(E230="","",IF(I230="","⚠ عبّي الغرض",IF(AND(D230&lt;&gt;"",OR(ISNUMBER(SEARCH("صيانة",D230)),ISNUMBER(SEARCH("تعزيل",D230)),ISNUMBER(SEARCH("تنظيف",D230)),ISNUMBER(SEARCH("تصليح",D230)))),"⚠ الصيانة بلا ورشة",IF(H230="","⚠ ناقص",IF(D230&lt;&gt;"",IF(SUMIF($D$7:$D$806,D230,$H$7:$H$806)&gt;=20,"أصل","مصروف"),IFERROR(IF(VLOOKUP(I230,'القوائم'!$A$2:$D$14,4,0)="زكاة وصدقة","زكاة وصدقة",IF(AND(VLOOKUP(I230,'القوائم'!$A$2:$D$14,3,0)&lt;&gt;"",H230&gt;=20),"أصل","مصروف")),"مصروف"))))))</f>
        <v/>
      </c>
      <c r="K230" s="21" t="n"/>
      <c r="L230" s="22" t="n"/>
      <c r="N230">
        <f>IF(B230="","",MONTH(B230))</f>
        <v/>
      </c>
      <c r="O230">
        <f>IF(B230="","",YEAR(B230))</f>
        <v/>
      </c>
      <c r="P230">
        <f>IF(AND(D230&lt;&gt;"",COUNTIF(D$7:D230,D230)=1),MAX(P$6:P229)+1,"")</f>
        <v/>
      </c>
      <c r="Q230">
        <f>IF(E230="","",IF(I230="أجور عمال","أجرة","مادة"))</f>
        <v/>
      </c>
    </row>
    <row r="231">
      <c r="A231" s="12">
        <f>IF(E231="","",ROW()-6)</f>
        <v/>
      </c>
      <c r="B231" s="13" t="n"/>
      <c r="C231" s="12">
        <f>IF(B231="","",CHOOSE(WEEKDAY(B231,1),"الأحد","الاثنين","الثلاثاء","الأربعاء","الخميس","الجمعة","السبت"))</f>
        <v/>
      </c>
      <c r="D231" s="14" t="n"/>
      <c r="E231" s="15" t="n"/>
      <c r="F231" s="16" t="n"/>
      <c r="G231" s="17" t="n"/>
      <c r="H231" s="18">
        <f>IF(OR(F231="",G231=""),"",ROUND(F231*G231,2))</f>
        <v/>
      </c>
      <c r="I231" s="19">
        <f>IF(ISNUMBER(SEARCH("ستاند",D231)),"أثاث وستاندات","")</f>
        <v/>
      </c>
      <c r="J231" s="20">
        <f>IF(E231="","",IF(I231="","⚠ عبّي الغرض",IF(AND(D231&lt;&gt;"",OR(ISNUMBER(SEARCH("صيانة",D231)),ISNUMBER(SEARCH("تعزيل",D231)),ISNUMBER(SEARCH("تنظيف",D231)),ISNUMBER(SEARCH("تصليح",D231)))),"⚠ الصيانة بلا ورشة",IF(H231="","⚠ ناقص",IF(D231&lt;&gt;"",IF(SUMIF($D$7:$D$806,D231,$H$7:$H$806)&gt;=20,"أصل","مصروف"),IFERROR(IF(VLOOKUP(I231,'القوائم'!$A$2:$D$14,4,0)="زكاة وصدقة","زكاة وصدقة",IF(AND(VLOOKUP(I231,'القوائم'!$A$2:$D$14,3,0)&lt;&gt;"",H231&gt;=20),"أصل","مصروف")),"مصروف"))))))</f>
        <v/>
      </c>
      <c r="K231" s="21" t="n"/>
      <c r="L231" s="22" t="n"/>
      <c r="N231">
        <f>IF(B231="","",MONTH(B231))</f>
        <v/>
      </c>
      <c r="O231">
        <f>IF(B231="","",YEAR(B231))</f>
        <v/>
      </c>
      <c r="P231">
        <f>IF(AND(D231&lt;&gt;"",COUNTIF(D$7:D231,D231)=1),MAX(P$6:P230)+1,"")</f>
        <v/>
      </c>
      <c r="Q231">
        <f>IF(E231="","",IF(I231="أجور عمال","أجرة","مادة"))</f>
        <v/>
      </c>
    </row>
    <row r="232">
      <c r="A232" s="12">
        <f>IF(E232="","",ROW()-6)</f>
        <v/>
      </c>
      <c r="B232" s="13" t="n"/>
      <c r="C232" s="12">
        <f>IF(B232="","",CHOOSE(WEEKDAY(B232,1),"الأحد","الاثنين","الثلاثاء","الأربعاء","الخميس","الجمعة","السبت"))</f>
        <v/>
      </c>
      <c r="D232" s="14" t="n"/>
      <c r="E232" s="15" t="n"/>
      <c r="F232" s="16" t="n"/>
      <c r="G232" s="17" t="n"/>
      <c r="H232" s="18">
        <f>IF(OR(F232="",G232=""),"",ROUND(F232*G232,2))</f>
        <v/>
      </c>
      <c r="I232" s="19">
        <f>IF(ISNUMBER(SEARCH("ستاند",D232)),"أثاث وستاندات","")</f>
        <v/>
      </c>
      <c r="J232" s="20">
        <f>IF(E232="","",IF(I232="","⚠ عبّي الغرض",IF(AND(D232&lt;&gt;"",OR(ISNUMBER(SEARCH("صيانة",D232)),ISNUMBER(SEARCH("تعزيل",D232)),ISNUMBER(SEARCH("تنظيف",D232)),ISNUMBER(SEARCH("تصليح",D232)))),"⚠ الصيانة بلا ورشة",IF(H232="","⚠ ناقص",IF(D232&lt;&gt;"",IF(SUMIF($D$7:$D$806,D232,$H$7:$H$806)&gt;=20,"أصل","مصروف"),IFERROR(IF(VLOOKUP(I232,'القوائم'!$A$2:$D$14,4,0)="زكاة وصدقة","زكاة وصدقة",IF(AND(VLOOKUP(I232,'القوائم'!$A$2:$D$14,3,0)&lt;&gt;"",H232&gt;=20),"أصل","مصروف")),"مصروف"))))))</f>
        <v/>
      </c>
      <c r="K232" s="21" t="n"/>
      <c r="L232" s="22" t="n"/>
      <c r="N232">
        <f>IF(B232="","",MONTH(B232))</f>
        <v/>
      </c>
      <c r="O232">
        <f>IF(B232="","",YEAR(B232))</f>
        <v/>
      </c>
      <c r="P232">
        <f>IF(AND(D232&lt;&gt;"",COUNTIF(D$7:D232,D232)=1),MAX(P$6:P231)+1,"")</f>
        <v/>
      </c>
      <c r="Q232">
        <f>IF(E232="","",IF(I232="أجور عمال","أجرة","مادة"))</f>
        <v/>
      </c>
    </row>
    <row r="233">
      <c r="A233" s="12">
        <f>IF(E233="","",ROW()-6)</f>
        <v/>
      </c>
      <c r="B233" s="13" t="n"/>
      <c r="C233" s="12">
        <f>IF(B233="","",CHOOSE(WEEKDAY(B233,1),"الأحد","الاثنين","الثلاثاء","الأربعاء","الخميس","الجمعة","السبت"))</f>
        <v/>
      </c>
      <c r="D233" s="14" t="n"/>
      <c r="E233" s="15" t="n"/>
      <c r="F233" s="16" t="n"/>
      <c r="G233" s="17" t="n"/>
      <c r="H233" s="18">
        <f>IF(OR(F233="",G233=""),"",ROUND(F233*G233,2))</f>
        <v/>
      </c>
      <c r="I233" s="19">
        <f>IF(ISNUMBER(SEARCH("ستاند",D233)),"أثاث وستاندات","")</f>
        <v/>
      </c>
      <c r="J233" s="20">
        <f>IF(E233="","",IF(I233="","⚠ عبّي الغرض",IF(AND(D233&lt;&gt;"",OR(ISNUMBER(SEARCH("صيانة",D233)),ISNUMBER(SEARCH("تعزيل",D233)),ISNUMBER(SEARCH("تنظيف",D233)),ISNUMBER(SEARCH("تصليح",D233)))),"⚠ الصيانة بلا ورشة",IF(H233="","⚠ ناقص",IF(D233&lt;&gt;"",IF(SUMIF($D$7:$D$806,D233,$H$7:$H$806)&gt;=20,"أصل","مصروف"),IFERROR(IF(VLOOKUP(I233,'القوائم'!$A$2:$D$14,4,0)="زكاة وصدقة","زكاة وصدقة",IF(AND(VLOOKUP(I233,'القوائم'!$A$2:$D$14,3,0)&lt;&gt;"",H233&gt;=20),"أصل","مصروف")),"مصروف"))))))</f>
        <v/>
      </c>
      <c r="K233" s="21" t="n"/>
      <c r="L233" s="22" t="n"/>
      <c r="N233">
        <f>IF(B233="","",MONTH(B233))</f>
        <v/>
      </c>
      <c r="O233">
        <f>IF(B233="","",YEAR(B233))</f>
        <v/>
      </c>
      <c r="P233">
        <f>IF(AND(D233&lt;&gt;"",COUNTIF(D$7:D233,D233)=1),MAX(P$6:P232)+1,"")</f>
        <v/>
      </c>
      <c r="Q233">
        <f>IF(E233="","",IF(I233="أجور عمال","أجرة","مادة"))</f>
        <v/>
      </c>
    </row>
    <row r="234">
      <c r="A234" s="12">
        <f>IF(E234="","",ROW()-6)</f>
        <v/>
      </c>
      <c r="B234" s="13" t="n"/>
      <c r="C234" s="12">
        <f>IF(B234="","",CHOOSE(WEEKDAY(B234,1),"الأحد","الاثنين","الثلاثاء","الأربعاء","الخميس","الجمعة","السبت"))</f>
        <v/>
      </c>
      <c r="D234" s="14" t="n"/>
      <c r="E234" s="15" t="n"/>
      <c r="F234" s="16" t="n"/>
      <c r="G234" s="17" t="n"/>
      <c r="H234" s="18">
        <f>IF(OR(F234="",G234=""),"",ROUND(F234*G234,2))</f>
        <v/>
      </c>
      <c r="I234" s="19">
        <f>IF(ISNUMBER(SEARCH("ستاند",D234)),"أثاث وستاندات","")</f>
        <v/>
      </c>
      <c r="J234" s="20">
        <f>IF(E234="","",IF(I234="","⚠ عبّي الغرض",IF(AND(D234&lt;&gt;"",OR(ISNUMBER(SEARCH("صيانة",D234)),ISNUMBER(SEARCH("تعزيل",D234)),ISNUMBER(SEARCH("تنظيف",D234)),ISNUMBER(SEARCH("تصليح",D234)))),"⚠ الصيانة بلا ورشة",IF(H234="","⚠ ناقص",IF(D234&lt;&gt;"",IF(SUMIF($D$7:$D$806,D234,$H$7:$H$806)&gt;=20,"أصل","مصروف"),IFERROR(IF(VLOOKUP(I234,'القوائم'!$A$2:$D$14,4,0)="زكاة وصدقة","زكاة وصدقة",IF(AND(VLOOKUP(I234,'القوائم'!$A$2:$D$14,3,0)&lt;&gt;"",H234&gt;=20),"أصل","مصروف")),"مصروف"))))))</f>
        <v/>
      </c>
      <c r="K234" s="21" t="n"/>
      <c r="L234" s="22" t="n"/>
      <c r="N234">
        <f>IF(B234="","",MONTH(B234))</f>
        <v/>
      </c>
      <c r="O234">
        <f>IF(B234="","",YEAR(B234))</f>
        <v/>
      </c>
      <c r="P234">
        <f>IF(AND(D234&lt;&gt;"",COUNTIF(D$7:D234,D234)=1),MAX(P$6:P233)+1,"")</f>
        <v/>
      </c>
      <c r="Q234">
        <f>IF(E234="","",IF(I234="أجور عمال","أجرة","مادة"))</f>
        <v/>
      </c>
    </row>
    <row r="235">
      <c r="A235" s="12">
        <f>IF(E235="","",ROW()-6)</f>
        <v/>
      </c>
      <c r="B235" s="13" t="n"/>
      <c r="C235" s="12">
        <f>IF(B235="","",CHOOSE(WEEKDAY(B235,1),"الأحد","الاثنين","الثلاثاء","الأربعاء","الخميس","الجمعة","السبت"))</f>
        <v/>
      </c>
      <c r="D235" s="14" t="n"/>
      <c r="E235" s="15" t="n"/>
      <c r="F235" s="16" t="n"/>
      <c r="G235" s="17" t="n"/>
      <c r="H235" s="18">
        <f>IF(OR(F235="",G235=""),"",ROUND(F235*G235,2))</f>
        <v/>
      </c>
      <c r="I235" s="19">
        <f>IF(ISNUMBER(SEARCH("ستاند",D235)),"أثاث وستاندات","")</f>
        <v/>
      </c>
      <c r="J235" s="20">
        <f>IF(E235="","",IF(I235="","⚠ عبّي الغرض",IF(AND(D235&lt;&gt;"",OR(ISNUMBER(SEARCH("صيانة",D235)),ISNUMBER(SEARCH("تعزيل",D235)),ISNUMBER(SEARCH("تنظيف",D235)),ISNUMBER(SEARCH("تصليح",D235)))),"⚠ الصيانة بلا ورشة",IF(H235="","⚠ ناقص",IF(D235&lt;&gt;"",IF(SUMIF($D$7:$D$806,D235,$H$7:$H$806)&gt;=20,"أصل","مصروف"),IFERROR(IF(VLOOKUP(I235,'القوائم'!$A$2:$D$14,4,0)="زكاة وصدقة","زكاة وصدقة",IF(AND(VLOOKUP(I235,'القوائم'!$A$2:$D$14,3,0)&lt;&gt;"",H235&gt;=20),"أصل","مصروف")),"مصروف"))))))</f>
        <v/>
      </c>
      <c r="K235" s="21" t="n"/>
      <c r="L235" s="22" t="n"/>
      <c r="N235">
        <f>IF(B235="","",MONTH(B235))</f>
        <v/>
      </c>
      <c r="O235">
        <f>IF(B235="","",YEAR(B235))</f>
        <v/>
      </c>
      <c r="P235">
        <f>IF(AND(D235&lt;&gt;"",COUNTIF(D$7:D235,D235)=1),MAX(P$6:P234)+1,"")</f>
        <v/>
      </c>
      <c r="Q235">
        <f>IF(E235="","",IF(I235="أجور عمال","أجرة","مادة"))</f>
        <v/>
      </c>
    </row>
    <row r="236">
      <c r="A236" s="12">
        <f>IF(E236="","",ROW()-6)</f>
        <v/>
      </c>
      <c r="B236" s="13" t="n"/>
      <c r="C236" s="12">
        <f>IF(B236="","",CHOOSE(WEEKDAY(B236,1),"الأحد","الاثنين","الثلاثاء","الأربعاء","الخميس","الجمعة","السبت"))</f>
        <v/>
      </c>
      <c r="D236" s="14" t="n"/>
      <c r="E236" s="15" t="n"/>
      <c r="F236" s="16" t="n"/>
      <c r="G236" s="17" t="n"/>
      <c r="H236" s="18">
        <f>IF(OR(F236="",G236=""),"",ROUND(F236*G236,2))</f>
        <v/>
      </c>
      <c r="I236" s="19">
        <f>IF(ISNUMBER(SEARCH("ستاند",D236)),"أثاث وستاندات","")</f>
        <v/>
      </c>
      <c r="J236" s="20">
        <f>IF(E236="","",IF(I236="","⚠ عبّي الغرض",IF(AND(D236&lt;&gt;"",OR(ISNUMBER(SEARCH("صيانة",D236)),ISNUMBER(SEARCH("تعزيل",D236)),ISNUMBER(SEARCH("تنظيف",D236)),ISNUMBER(SEARCH("تصليح",D236)))),"⚠ الصيانة بلا ورشة",IF(H236="","⚠ ناقص",IF(D236&lt;&gt;"",IF(SUMIF($D$7:$D$806,D236,$H$7:$H$806)&gt;=20,"أصل","مصروف"),IFERROR(IF(VLOOKUP(I236,'القوائم'!$A$2:$D$14,4,0)="زكاة وصدقة","زكاة وصدقة",IF(AND(VLOOKUP(I236,'القوائم'!$A$2:$D$14,3,0)&lt;&gt;"",H236&gt;=20),"أصل","مصروف")),"مصروف"))))))</f>
        <v/>
      </c>
      <c r="K236" s="21" t="n"/>
      <c r="L236" s="22" t="n"/>
      <c r="N236">
        <f>IF(B236="","",MONTH(B236))</f>
        <v/>
      </c>
      <c r="O236">
        <f>IF(B236="","",YEAR(B236))</f>
        <v/>
      </c>
      <c r="P236">
        <f>IF(AND(D236&lt;&gt;"",COUNTIF(D$7:D236,D236)=1),MAX(P$6:P235)+1,"")</f>
        <v/>
      </c>
      <c r="Q236">
        <f>IF(E236="","",IF(I236="أجور عمال","أجرة","مادة"))</f>
        <v/>
      </c>
    </row>
    <row r="237">
      <c r="A237" s="12">
        <f>IF(E237="","",ROW()-6)</f>
        <v/>
      </c>
      <c r="B237" s="13" t="n"/>
      <c r="C237" s="12">
        <f>IF(B237="","",CHOOSE(WEEKDAY(B237,1),"الأحد","الاثنين","الثلاثاء","الأربعاء","الخميس","الجمعة","السبت"))</f>
        <v/>
      </c>
      <c r="D237" s="14" t="n"/>
      <c r="E237" s="15" t="n"/>
      <c r="F237" s="16" t="n"/>
      <c r="G237" s="17" t="n"/>
      <c r="H237" s="18">
        <f>IF(OR(F237="",G237=""),"",ROUND(F237*G237,2))</f>
        <v/>
      </c>
      <c r="I237" s="19">
        <f>IF(ISNUMBER(SEARCH("ستاند",D237)),"أثاث وستاندات","")</f>
        <v/>
      </c>
      <c r="J237" s="20">
        <f>IF(E237="","",IF(I237="","⚠ عبّي الغرض",IF(AND(D237&lt;&gt;"",OR(ISNUMBER(SEARCH("صيانة",D237)),ISNUMBER(SEARCH("تعزيل",D237)),ISNUMBER(SEARCH("تنظيف",D237)),ISNUMBER(SEARCH("تصليح",D237)))),"⚠ الصيانة بلا ورشة",IF(H237="","⚠ ناقص",IF(D237&lt;&gt;"",IF(SUMIF($D$7:$D$806,D237,$H$7:$H$806)&gt;=20,"أصل","مصروف"),IFERROR(IF(VLOOKUP(I237,'القوائم'!$A$2:$D$14,4,0)="زكاة وصدقة","زكاة وصدقة",IF(AND(VLOOKUP(I237,'القوائم'!$A$2:$D$14,3,0)&lt;&gt;"",H237&gt;=20),"أصل","مصروف")),"مصروف"))))))</f>
        <v/>
      </c>
      <c r="K237" s="21" t="n"/>
      <c r="L237" s="22" t="n"/>
      <c r="N237">
        <f>IF(B237="","",MONTH(B237))</f>
        <v/>
      </c>
      <c r="O237">
        <f>IF(B237="","",YEAR(B237))</f>
        <v/>
      </c>
      <c r="P237">
        <f>IF(AND(D237&lt;&gt;"",COUNTIF(D$7:D237,D237)=1),MAX(P$6:P236)+1,"")</f>
        <v/>
      </c>
      <c r="Q237">
        <f>IF(E237="","",IF(I237="أجور عمال","أجرة","مادة"))</f>
        <v/>
      </c>
    </row>
    <row r="238">
      <c r="A238" s="12">
        <f>IF(E238="","",ROW()-6)</f>
        <v/>
      </c>
      <c r="B238" s="13" t="n"/>
      <c r="C238" s="12">
        <f>IF(B238="","",CHOOSE(WEEKDAY(B238,1),"الأحد","الاثنين","الثلاثاء","الأربعاء","الخميس","الجمعة","السبت"))</f>
        <v/>
      </c>
      <c r="D238" s="14" t="n"/>
      <c r="E238" s="15" t="n"/>
      <c r="F238" s="16" t="n"/>
      <c r="G238" s="17" t="n"/>
      <c r="H238" s="18">
        <f>IF(OR(F238="",G238=""),"",ROUND(F238*G238,2))</f>
        <v/>
      </c>
      <c r="I238" s="19">
        <f>IF(ISNUMBER(SEARCH("ستاند",D238)),"أثاث وستاندات","")</f>
        <v/>
      </c>
      <c r="J238" s="20">
        <f>IF(E238="","",IF(I238="","⚠ عبّي الغرض",IF(AND(D238&lt;&gt;"",OR(ISNUMBER(SEARCH("صيانة",D238)),ISNUMBER(SEARCH("تعزيل",D238)),ISNUMBER(SEARCH("تنظيف",D238)),ISNUMBER(SEARCH("تصليح",D238)))),"⚠ الصيانة بلا ورشة",IF(H238="","⚠ ناقص",IF(D238&lt;&gt;"",IF(SUMIF($D$7:$D$806,D238,$H$7:$H$806)&gt;=20,"أصل","مصروف"),IFERROR(IF(VLOOKUP(I238,'القوائم'!$A$2:$D$14,4,0)="زكاة وصدقة","زكاة وصدقة",IF(AND(VLOOKUP(I238,'القوائم'!$A$2:$D$14,3,0)&lt;&gt;"",H238&gt;=20),"أصل","مصروف")),"مصروف"))))))</f>
        <v/>
      </c>
      <c r="K238" s="21" t="n"/>
      <c r="L238" s="22" t="n"/>
      <c r="N238">
        <f>IF(B238="","",MONTH(B238))</f>
        <v/>
      </c>
      <c r="O238">
        <f>IF(B238="","",YEAR(B238))</f>
        <v/>
      </c>
      <c r="P238">
        <f>IF(AND(D238&lt;&gt;"",COUNTIF(D$7:D238,D238)=1),MAX(P$6:P237)+1,"")</f>
        <v/>
      </c>
      <c r="Q238">
        <f>IF(E238="","",IF(I238="أجور عمال","أجرة","مادة"))</f>
        <v/>
      </c>
    </row>
    <row r="239">
      <c r="A239" s="12">
        <f>IF(E239="","",ROW()-6)</f>
        <v/>
      </c>
      <c r="B239" s="13" t="n"/>
      <c r="C239" s="12">
        <f>IF(B239="","",CHOOSE(WEEKDAY(B239,1),"الأحد","الاثنين","الثلاثاء","الأربعاء","الخميس","الجمعة","السبت"))</f>
        <v/>
      </c>
      <c r="D239" s="14" t="n"/>
      <c r="E239" s="15" t="n"/>
      <c r="F239" s="16" t="n"/>
      <c r="G239" s="17" t="n"/>
      <c r="H239" s="18">
        <f>IF(OR(F239="",G239=""),"",ROUND(F239*G239,2))</f>
        <v/>
      </c>
      <c r="I239" s="19">
        <f>IF(ISNUMBER(SEARCH("ستاند",D239)),"أثاث وستاندات","")</f>
        <v/>
      </c>
      <c r="J239" s="20">
        <f>IF(E239="","",IF(I239="","⚠ عبّي الغرض",IF(AND(D239&lt;&gt;"",OR(ISNUMBER(SEARCH("صيانة",D239)),ISNUMBER(SEARCH("تعزيل",D239)),ISNUMBER(SEARCH("تنظيف",D239)),ISNUMBER(SEARCH("تصليح",D239)))),"⚠ الصيانة بلا ورشة",IF(H239="","⚠ ناقص",IF(D239&lt;&gt;"",IF(SUMIF($D$7:$D$806,D239,$H$7:$H$806)&gt;=20,"أصل","مصروف"),IFERROR(IF(VLOOKUP(I239,'القوائم'!$A$2:$D$14,4,0)="زكاة وصدقة","زكاة وصدقة",IF(AND(VLOOKUP(I239,'القوائم'!$A$2:$D$14,3,0)&lt;&gt;"",H239&gt;=20),"أصل","مصروف")),"مصروف"))))))</f>
        <v/>
      </c>
      <c r="K239" s="21" t="n"/>
      <c r="L239" s="22" t="n"/>
      <c r="N239">
        <f>IF(B239="","",MONTH(B239))</f>
        <v/>
      </c>
      <c r="O239">
        <f>IF(B239="","",YEAR(B239))</f>
        <v/>
      </c>
      <c r="P239">
        <f>IF(AND(D239&lt;&gt;"",COUNTIF(D$7:D239,D239)=1),MAX(P$6:P238)+1,"")</f>
        <v/>
      </c>
      <c r="Q239">
        <f>IF(E239="","",IF(I239="أجور عمال","أجرة","مادة"))</f>
        <v/>
      </c>
    </row>
    <row r="240">
      <c r="A240" s="12">
        <f>IF(E240="","",ROW()-6)</f>
        <v/>
      </c>
      <c r="B240" s="13" t="n"/>
      <c r="C240" s="12">
        <f>IF(B240="","",CHOOSE(WEEKDAY(B240,1),"الأحد","الاثنين","الثلاثاء","الأربعاء","الخميس","الجمعة","السبت"))</f>
        <v/>
      </c>
      <c r="D240" s="14" t="n"/>
      <c r="E240" s="15" t="n"/>
      <c r="F240" s="16" t="n"/>
      <c r="G240" s="17" t="n"/>
      <c r="H240" s="18">
        <f>IF(OR(F240="",G240=""),"",ROUND(F240*G240,2))</f>
        <v/>
      </c>
      <c r="I240" s="19">
        <f>IF(ISNUMBER(SEARCH("ستاند",D240)),"أثاث وستاندات","")</f>
        <v/>
      </c>
      <c r="J240" s="20">
        <f>IF(E240="","",IF(I240="","⚠ عبّي الغرض",IF(AND(D240&lt;&gt;"",OR(ISNUMBER(SEARCH("صيانة",D240)),ISNUMBER(SEARCH("تعزيل",D240)),ISNUMBER(SEARCH("تنظيف",D240)),ISNUMBER(SEARCH("تصليح",D240)))),"⚠ الصيانة بلا ورشة",IF(H240="","⚠ ناقص",IF(D240&lt;&gt;"",IF(SUMIF($D$7:$D$806,D240,$H$7:$H$806)&gt;=20,"أصل","مصروف"),IFERROR(IF(VLOOKUP(I240,'القوائم'!$A$2:$D$14,4,0)="زكاة وصدقة","زكاة وصدقة",IF(AND(VLOOKUP(I240,'القوائم'!$A$2:$D$14,3,0)&lt;&gt;"",H240&gt;=20),"أصل","مصروف")),"مصروف"))))))</f>
        <v/>
      </c>
      <c r="K240" s="21" t="n"/>
      <c r="L240" s="22" t="n"/>
      <c r="N240">
        <f>IF(B240="","",MONTH(B240))</f>
        <v/>
      </c>
      <c r="O240">
        <f>IF(B240="","",YEAR(B240))</f>
        <v/>
      </c>
      <c r="P240">
        <f>IF(AND(D240&lt;&gt;"",COUNTIF(D$7:D240,D240)=1),MAX(P$6:P239)+1,"")</f>
        <v/>
      </c>
      <c r="Q240">
        <f>IF(E240="","",IF(I240="أجور عمال","أجرة","مادة"))</f>
        <v/>
      </c>
    </row>
    <row r="241">
      <c r="A241" s="12">
        <f>IF(E241="","",ROW()-6)</f>
        <v/>
      </c>
      <c r="B241" s="13" t="n"/>
      <c r="C241" s="12">
        <f>IF(B241="","",CHOOSE(WEEKDAY(B241,1),"الأحد","الاثنين","الثلاثاء","الأربعاء","الخميس","الجمعة","السبت"))</f>
        <v/>
      </c>
      <c r="D241" s="14" t="n"/>
      <c r="E241" s="15" t="n"/>
      <c r="F241" s="16" t="n"/>
      <c r="G241" s="17" t="n"/>
      <c r="H241" s="18">
        <f>IF(OR(F241="",G241=""),"",ROUND(F241*G241,2))</f>
        <v/>
      </c>
      <c r="I241" s="19">
        <f>IF(ISNUMBER(SEARCH("ستاند",D241)),"أثاث وستاندات","")</f>
        <v/>
      </c>
      <c r="J241" s="20">
        <f>IF(E241="","",IF(I241="","⚠ عبّي الغرض",IF(AND(D241&lt;&gt;"",OR(ISNUMBER(SEARCH("صيانة",D241)),ISNUMBER(SEARCH("تعزيل",D241)),ISNUMBER(SEARCH("تنظيف",D241)),ISNUMBER(SEARCH("تصليح",D241)))),"⚠ الصيانة بلا ورشة",IF(H241="","⚠ ناقص",IF(D241&lt;&gt;"",IF(SUMIF($D$7:$D$806,D241,$H$7:$H$806)&gt;=20,"أصل","مصروف"),IFERROR(IF(VLOOKUP(I241,'القوائم'!$A$2:$D$14,4,0)="زكاة وصدقة","زكاة وصدقة",IF(AND(VLOOKUP(I241,'القوائم'!$A$2:$D$14,3,0)&lt;&gt;"",H241&gt;=20),"أصل","مصروف")),"مصروف"))))))</f>
        <v/>
      </c>
      <c r="K241" s="21" t="n"/>
      <c r="L241" s="22" t="n"/>
      <c r="N241">
        <f>IF(B241="","",MONTH(B241))</f>
        <v/>
      </c>
      <c r="O241">
        <f>IF(B241="","",YEAR(B241))</f>
        <v/>
      </c>
      <c r="P241">
        <f>IF(AND(D241&lt;&gt;"",COUNTIF(D$7:D241,D241)=1),MAX(P$6:P240)+1,"")</f>
        <v/>
      </c>
      <c r="Q241">
        <f>IF(E241="","",IF(I241="أجور عمال","أجرة","مادة"))</f>
        <v/>
      </c>
    </row>
    <row r="242">
      <c r="A242" s="12">
        <f>IF(E242="","",ROW()-6)</f>
        <v/>
      </c>
      <c r="B242" s="13" t="n"/>
      <c r="C242" s="12">
        <f>IF(B242="","",CHOOSE(WEEKDAY(B242,1),"الأحد","الاثنين","الثلاثاء","الأربعاء","الخميس","الجمعة","السبت"))</f>
        <v/>
      </c>
      <c r="D242" s="14" t="n"/>
      <c r="E242" s="15" t="n"/>
      <c r="F242" s="16" t="n"/>
      <c r="G242" s="17" t="n"/>
      <c r="H242" s="18">
        <f>IF(OR(F242="",G242=""),"",ROUND(F242*G242,2))</f>
        <v/>
      </c>
      <c r="I242" s="19">
        <f>IF(ISNUMBER(SEARCH("ستاند",D242)),"أثاث وستاندات","")</f>
        <v/>
      </c>
      <c r="J242" s="20">
        <f>IF(E242="","",IF(I242="","⚠ عبّي الغرض",IF(AND(D242&lt;&gt;"",OR(ISNUMBER(SEARCH("صيانة",D242)),ISNUMBER(SEARCH("تعزيل",D242)),ISNUMBER(SEARCH("تنظيف",D242)),ISNUMBER(SEARCH("تصليح",D242)))),"⚠ الصيانة بلا ورشة",IF(H242="","⚠ ناقص",IF(D242&lt;&gt;"",IF(SUMIF($D$7:$D$806,D242,$H$7:$H$806)&gt;=20,"أصل","مصروف"),IFERROR(IF(VLOOKUP(I242,'القوائم'!$A$2:$D$14,4,0)="زكاة وصدقة","زكاة وصدقة",IF(AND(VLOOKUP(I242,'القوائم'!$A$2:$D$14,3,0)&lt;&gt;"",H242&gt;=20),"أصل","مصروف")),"مصروف"))))))</f>
        <v/>
      </c>
      <c r="K242" s="21" t="n"/>
      <c r="L242" s="22" t="n"/>
      <c r="N242">
        <f>IF(B242="","",MONTH(B242))</f>
        <v/>
      </c>
      <c r="O242">
        <f>IF(B242="","",YEAR(B242))</f>
        <v/>
      </c>
      <c r="P242">
        <f>IF(AND(D242&lt;&gt;"",COUNTIF(D$7:D242,D242)=1),MAX(P$6:P241)+1,"")</f>
        <v/>
      </c>
      <c r="Q242">
        <f>IF(E242="","",IF(I242="أجور عمال","أجرة","مادة"))</f>
        <v/>
      </c>
    </row>
    <row r="243">
      <c r="A243" s="12">
        <f>IF(E243="","",ROW()-6)</f>
        <v/>
      </c>
      <c r="B243" s="13" t="n"/>
      <c r="C243" s="12">
        <f>IF(B243="","",CHOOSE(WEEKDAY(B243,1),"الأحد","الاثنين","الثلاثاء","الأربعاء","الخميس","الجمعة","السبت"))</f>
        <v/>
      </c>
      <c r="D243" s="14" t="n"/>
      <c r="E243" s="15" t="n"/>
      <c r="F243" s="16" t="n"/>
      <c r="G243" s="17" t="n"/>
      <c r="H243" s="18">
        <f>IF(OR(F243="",G243=""),"",ROUND(F243*G243,2))</f>
        <v/>
      </c>
      <c r="I243" s="19">
        <f>IF(ISNUMBER(SEARCH("ستاند",D243)),"أثاث وستاندات","")</f>
        <v/>
      </c>
      <c r="J243" s="20">
        <f>IF(E243="","",IF(I243="","⚠ عبّي الغرض",IF(AND(D243&lt;&gt;"",OR(ISNUMBER(SEARCH("صيانة",D243)),ISNUMBER(SEARCH("تعزيل",D243)),ISNUMBER(SEARCH("تنظيف",D243)),ISNUMBER(SEARCH("تصليح",D243)))),"⚠ الصيانة بلا ورشة",IF(H243="","⚠ ناقص",IF(D243&lt;&gt;"",IF(SUMIF($D$7:$D$806,D243,$H$7:$H$806)&gt;=20,"أصل","مصروف"),IFERROR(IF(VLOOKUP(I243,'القوائم'!$A$2:$D$14,4,0)="زكاة وصدقة","زكاة وصدقة",IF(AND(VLOOKUP(I243,'القوائم'!$A$2:$D$14,3,0)&lt;&gt;"",H243&gt;=20),"أصل","مصروف")),"مصروف"))))))</f>
        <v/>
      </c>
      <c r="K243" s="21" t="n"/>
      <c r="L243" s="22" t="n"/>
      <c r="N243">
        <f>IF(B243="","",MONTH(B243))</f>
        <v/>
      </c>
      <c r="O243">
        <f>IF(B243="","",YEAR(B243))</f>
        <v/>
      </c>
      <c r="P243">
        <f>IF(AND(D243&lt;&gt;"",COUNTIF(D$7:D243,D243)=1),MAX(P$6:P242)+1,"")</f>
        <v/>
      </c>
      <c r="Q243">
        <f>IF(E243="","",IF(I243="أجور عمال","أجرة","مادة"))</f>
        <v/>
      </c>
    </row>
    <row r="244">
      <c r="A244" s="12">
        <f>IF(E244="","",ROW()-6)</f>
        <v/>
      </c>
      <c r="B244" s="13" t="n"/>
      <c r="C244" s="12">
        <f>IF(B244="","",CHOOSE(WEEKDAY(B244,1),"الأحد","الاثنين","الثلاثاء","الأربعاء","الخميس","الجمعة","السبت"))</f>
        <v/>
      </c>
      <c r="D244" s="14" t="n"/>
      <c r="E244" s="15" t="n"/>
      <c r="F244" s="16" t="n"/>
      <c r="G244" s="17" t="n"/>
      <c r="H244" s="18">
        <f>IF(OR(F244="",G244=""),"",ROUND(F244*G244,2))</f>
        <v/>
      </c>
      <c r="I244" s="19">
        <f>IF(ISNUMBER(SEARCH("ستاند",D244)),"أثاث وستاندات","")</f>
        <v/>
      </c>
      <c r="J244" s="20">
        <f>IF(E244="","",IF(I244="","⚠ عبّي الغرض",IF(AND(D244&lt;&gt;"",OR(ISNUMBER(SEARCH("صيانة",D244)),ISNUMBER(SEARCH("تعزيل",D244)),ISNUMBER(SEARCH("تنظيف",D244)),ISNUMBER(SEARCH("تصليح",D244)))),"⚠ الصيانة بلا ورشة",IF(H244="","⚠ ناقص",IF(D244&lt;&gt;"",IF(SUMIF($D$7:$D$806,D244,$H$7:$H$806)&gt;=20,"أصل","مصروف"),IFERROR(IF(VLOOKUP(I244,'القوائم'!$A$2:$D$14,4,0)="زكاة وصدقة","زكاة وصدقة",IF(AND(VLOOKUP(I244,'القوائم'!$A$2:$D$14,3,0)&lt;&gt;"",H244&gt;=20),"أصل","مصروف")),"مصروف"))))))</f>
        <v/>
      </c>
      <c r="K244" s="21" t="n"/>
      <c r="L244" s="22" t="n"/>
      <c r="N244">
        <f>IF(B244="","",MONTH(B244))</f>
        <v/>
      </c>
      <c r="O244">
        <f>IF(B244="","",YEAR(B244))</f>
        <v/>
      </c>
      <c r="P244">
        <f>IF(AND(D244&lt;&gt;"",COUNTIF(D$7:D244,D244)=1),MAX(P$6:P243)+1,"")</f>
        <v/>
      </c>
      <c r="Q244">
        <f>IF(E244="","",IF(I244="أجور عمال","أجرة","مادة"))</f>
        <v/>
      </c>
    </row>
    <row r="245">
      <c r="A245" s="12">
        <f>IF(E245="","",ROW()-6)</f>
        <v/>
      </c>
      <c r="B245" s="13" t="n"/>
      <c r="C245" s="12">
        <f>IF(B245="","",CHOOSE(WEEKDAY(B245,1),"الأحد","الاثنين","الثلاثاء","الأربعاء","الخميس","الجمعة","السبت"))</f>
        <v/>
      </c>
      <c r="D245" s="14" t="n"/>
      <c r="E245" s="15" t="n"/>
      <c r="F245" s="16" t="n"/>
      <c r="G245" s="17" t="n"/>
      <c r="H245" s="18">
        <f>IF(OR(F245="",G245=""),"",ROUND(F245*G245,2))</f>
        <v/>
      </c>
      <c r="I245" s="19">
        <f>IF(ISNUMBER(SEARCH("ستاند",D245)),"أثاث وستاندات","")</f>
        <v/>
      </c>
      <c r="J245" s="20">
        <f>IF(E245="","",IF(I245="","⚠ عبّي الغرض",IF(AND(D245&lt;&gt;"",OR(ISNUMBER(SEARCH("صيانة",D245)),ISNUMBER(SEARCH("تعزيل",D245)),ISNUMBER(SEARCH("تنظيف",D245)),ISNUMBER(SEARCH("تصليح",D245)))),"⚠ الصيانة بلا ورشة",IF(H245="","⚠ ناقص",IF(D245&lt;&gt;"",IF(SUMIF($D$7:$D$806,D245,$H$7:$H$806)&gt;=20,"أصل","مصروف"),IFERROR(IF(VLOOKUP(I245,'القوائم'!$A$2:$D$14,4,0)="زكاة وصدقة","زكاة وصدقة",IF(AND(VLOOKUP(I245,'القوائم'!$A$2:$D$14,3,0)&lt;&gt;"",H245&gt;=20),"أصل","مصروف")),"مصروف"))))))</f>
        <v/>
      </c>
      <c r="K245" s="21" t="n"/>
      <c r="L245" s="22" t="n"/>
      <c r="N245">
        <f>IF(B245="","",MONTH(B245))</f>
        <v/>
      </c>
      <c r="O245">
        <f>IF(B245="","",YEAR(B245))</f>
        <v/>
      </c>
      <c r="P245">
        <f>IF(AND(D245&lt;&gt;"",COUNTIF(D$7:D245,D245)=1),MAX(P$6:P244)+1,"")</f>
        <v/>
      </c>
      <c r="Q245">
        <f>IF(E245="","",IF(I245="أجور عمال","أجرة","مادة"))</f>
        <v/>
      </c>
    </row>
    <row r="246">
      <c r="A246" s="12">
        <f>IF(E246="","",ROW()-6)</f>
        <v/>
      </c>
      <c r="B246" s="13" t="n"/>
      <c r="C246" s="12">
        <f>IF(B246="","",CHOOSE(WEEKDAY(B246,1),"الأحد","الاثنين","الثلاثاء","الأربعاء","الخميس","الجمعة","السبت"))</f>
        <v/>
      </c>
      <c r="D246" s="14" t="n"/>
      <c r="E246" s="15" t="n"/>
      <c r="F246" s="16" t="n"/>
      <c r="G246" s="17" t="n"/>
      <c r="H246" s="18">
        <f>IF(OR(F246="",G246=""),"",ROUND(F246*G246,2))</f>
        <v/>
      </c>
      <c r="I246" s="19">
        <f>IF(ISNUMBER(SEARCH("ستاند",D246)),"أثاث وستاندات","")</f>
        <v/>
      </c>
      <c r="J246" s="20">
        <f>IF(E246="","",IF(I246="","⚠ عبّي الغرض",IF(AND(D246&lt;&gt;"",OR(ISNUMBER(SEARCH("صيانة",D246)),ISNUMBER(SEARCH("تعزيل",D246)),ISNUMBER(SEARCH("تنظيف",D246)),ISNUMBER(SEARCH("تصليح",D246)))),"⚠ الصيانة بلا ورشة",IF(H246="","⚠ ناقص",IF(D246&lt;&gt;"",IF(SUMIF($D$7:$D$806,D246,$H$7:$H$806)&gt;=20,"أصل","مصروف"),IFERROR(IF(VLOOKUP(I246,'القوائم'!$A$2:$D$14,4,0)="زكاة وصدقة","زكاة وصدقة",IF(AND(VLOOKUP(I246,'القوائم'!$A$2:$D$14,3,0)&lt;&gt;"",H246&gt;=20),"أصل","مصروف")),"مصروف"))))))</f>
        <v/>
      </c>
      <c r="K246" s="21" t="n"/>
      <c r="L246" s="22" t="n"/>
      <c r="N246">
        <f>IF(B246="","",MONTH(B246))</f>
        <v/>
      </c>
      <c r="O246">
        <f>IF(B246="","",YEAR(B246))</f>
        <v/>
      </c>
      <c r="P246">
        <f>IF(AND(D246&lt;&gt;"",COUNTIF(D$7:D246,D246)=1),MAX(P$6:P245)+1,"")</f>
        <v/>
      </c>
      <c r="Q246">
        <f>IF(E246="","",IF(I246="أجور عمال","أجرة","مادة"))</f>
        <v/>
      </c>
    </row>
    <row r="247">
      <c r="A247" s="12">
        <f>IF(E247="","",ROW()-6)</f>
        <v/>
      </c>
      <c r="B247" s="13" t="n"/>
      <c r="C247" s="12">
        <f>IF(B247="","",CHOOSE(WEEKDAY(B247,1),"الأحد","الاثنين","الثلاثاء","الأربعاء","الخميس","الجمعة","السبت"))</f>
        <v/>
      </c>
      <c r="D247" s="14" t="n"/>
      <c r="E247" s="15" t="n"/>
      <c r="F247" s="16" t="n"/>
      <c r="G247" s="17" t="n"/>
      <c r="H247" s="18">
        <f>IF(OR(F247="",G247=""),"",ROUND(F247*G247,2))</f>
        <v/>
      </c>
      <c r="I247" s="19">
        <f>IF(ISNUMBER(SEARCH("ستاند",D247)),"أثاث وستاندات","")</f>
        <v/>
      </c>
      <c r="J247" s="20">
        <f>IF(E247="","",IF(I247="","⚠ عبّي الغرض",IF(AND(D247&lt;&gt;"",OR(ISNUMBER(SEARCH("صيانة",D247)),ISNUMBER(SEARCH("تعزيل",D247)),ISNUMBER(SEARCH("تنظيف",D247)),ISNUMBER(SEARCH("تصليح",D247)))),"⚠ الصيانة بلا ورشة",IF(H247="","⚠ ناقص",IF(D247&lt;&gt;"",IF(SUMIF($D$7:$D$806,D247,$H$7:$H$806)&gt;=20,"أصل","مصروف"),IFERROR(IF(VLOOKUP(I247,'القوائم'!$A$2:$D$14,4,0)="زكاة وصدقة","زكاة وصدقة",IF(AND(VLOOKUP(I247,'القوائم'!$A$2:$D$14,3,0)&lt;&gt;"",H247&gt;=20),"أصل","مصروف")),"مصروف"))))))</f>
        <v/>
      </c>
      <c r="K247" s="21" t="n"/>
      <c r="L247" s="22" t="n"/>
      <c r="N247">
        <f>IF(B247="","",MONTH(B247))</f>
        <v/>
      </c>
      <c r="O247">
        <f>IF(B247="","",YEAR(B247))</f>
        <v/>
      </c>
      <c r="P247">
        <f>IF(AND(D247&lt;&gt;"",COUNTIF(D$7:D247,D247)=1),MAX(P$6:P246)+1,"")</f>
        <v/>
      </c>
      <c r="Q247">
        <f>IF(E247="","",IF(I247="أجور عمال","أجرة","مادة"))</f>
        <v/>
      </c>
    </row>
    <row r="248">
      <c r="A248" s="12">
        <f>IF(E248="","",ROW()-6)</f>
        <v/>
      </c>
      <c r="B248" s="13" t="n"/>
      <c r="C248" s="12">
        <f>IF(B248="","",CHOOSE(WEEKDAY(B248,1),"الأحد","الاثنين","الثلاثاء","الأربعاء","الخميس","الجمعة","السبت"))</f>
        <v/>
      </c>
      <c r="D248" s="14" t="n"/>
      <c r="E248" s="15" t="n"/>
      <c r="F248" s="16" t="n"/>
      <c r="G248" s="17" t="n"/>
      <c r="H248" s="18">
        <f>IF(OR(F248="",G248=""),"",ROUND(F248*G248,2))</f>
        <v/>
      </c>
      <c r="I248" s="19">
        <f>IF(ISNUMBER(SEARCH("ستاند",D248)),"أثاث وستاندات","")</f>
        <v/>
      </c>
      <c r="J248" s="20">
        <f>IF(E248="","",IF(I248="","⚠ عبّي الغرض",IF(AND(D248&lt;&gt;"",OR(ISNUMBER(SEARCH("صيانة",D248)),ISNUMBER(SEARCH("تعزيل",D248)),ISNUMBER(SEARCH("تنظيف",D248)),ISNUMBER(SEARCH("تصليح",D248)))),"⚠ الصيانة بلا ورشة",IF(H248="","⚠ ناقص",IF(D248&lt;&gt;"",IF(SUMIF($D$7:$D$806,D248,$H$7:$H$806)&gt;=20,"أصل","مصروف"),IFERROR(IF(VLOOKUP(I248,'القوائم'!$A$2:$D$14,4,0)="زكاة وصدقة","زكاة وصدقة",IF(AND(VLOOKUP(I248,'القوائم'!$A$2:$D$14,3,0)&lt;&gt;"",H248&gt;=20),"أصل","مصروف")),"مصروف"))))))</f>
        <v/>
      </c>
      <c r="K248" s="21" t="n"/>
      <c r="L248" s="22" t="n"/>
      <c r="N248">
        <f>IF(B248="","",MONTH(B248))</f>
        <v/>
      </c>
      <c r="O248">
        <f>IF(B248="","",YEAR(B248))</f>
        <v/>
      </c>
      <c r="P248">
        <f>IF(AND(D248&lt;&gt;"",COUNTIF(D$7:D248,D248)=1),MAX(P$6:P247)+1,"")</f>
        <v/>
      </c>
      <c r="Q248">
        <f>IF(E248="","",IF(I248="أجور عمال","أجرة","مادة"))</f>
        <v/>
      </c>
    </row>
    <row r="249">
      <c r="A249" s="12">
        <f>IF(E249="","",ROW()-6)</f>
        <v/>
      </c>
      <c r="B249" s="13" t="n"/>
      <c r="C249" s="12">
        <f>IF(B249="","",CHOOSE(WEEKDAY(B249,1),"الأحد","الاثنين","الثلاثاء","الأربعاء","الخميس","الجمعة","السبت"))</f>
        <v/>
      </c>
      <c r="D249" s="14" t="n"/>
      <c r="E249" s="15" t="n"/>
      <c r="F249" s="16" t="n"/>
      <c r="G249" s="17" t="n"/>
      <c r="H249" s="18">
        <f>IF(OR(F249="",G249=""),"",ROUND(F249*G249,2))</f>
        <v/>
      </c>
      <c r="I249" s="19">
        <f>IF(ISNUMBER(SEARCH("ستاند",D249)),"أثاث وستاندات","")</f>
        <v/>
      </c>
      <c r="J249" s="20">
        <f>IF(E249="","",IF(I249="","⚠ عبّي الغرض",IF(AND(D249&lt;&gt;"",OR(ISNUMBER(SEARCH("صيانة",D249)),ISNUMBER(SEARCH("تعزيل",D249)),ISNUMBER(SEARCH("تنظيف",D249)),ISNUMBER(SEARCH("تصليح",D249)))),"⚠ الصيانة بلا ورشة",IF(H249="","⚠ ناقص",IF(D249&lt;&gt;"",IF(SUMIF($D$7:$D$806,D249,$H$7:$H$806)&gt;=20,"أصل","مصروف"),IFERROR(IF(VLOOKUP(I249,'القوائم'!$A$2:$D$14,4,0)="زكاة وصدقة","زكاة وصدقة",IF(AND(VLOOKUP(I249,'القوائم'!$A$2:$D$14,3,0)&lt;&gt;"",H249&gt;=20),"أصل","مصروف")),"مصروف"))))))</f>
        <v/>
      </c>
      <c r="K249" s="21" t="n"/>
      <c r="L249" s="22" t="n"/>
      <c r="N249">
        <f>IF(B249="","",MONTH(B249))</f>
        <v/>
      </c>
      <c r="O249">
        <f>IF(B249="","",YEAR(B249))</f>
        <v/>
      </c>
      <c r="P249">
        <f>IF(AND(D249&lt;&gt;"",COUNTIF(D$7:D249,D249)=1),MAX(P$6:P248)+1,"")</f>
        <v/>
      </c>
      <c r="Q249">
        <f>IF(E249="","",IF(I249="أجور عمال","أجرة","مادة"))</f>
        <v/>
      </c>
    </row>
    <row r="250">
      <c r="A250" s="12">
        <f>IF(E250="","",ROW()-6)</f>
        <v/>
      </c>
      <c r="B250" s="13" t="n"/>
      <c r="C250" s="12">
        <f>IF(B250="","",CHOOSE(WEEKDAY(B250,1),"الأحد","الاثنين","الثلاثاء","الأربعاء","الخميس","الجمعة","السبت"))</f>
        <v/>
      </c>
      <c r="D250" s="14" t="n"/>
      <c r="E250" s="15" t="n"/>
      <c r="F250" s="16" t="n"/>
      <c r="G250" s="17" t="n"/>
      <c r="H250" s="18">
        <f>IF(OR(F250="",G250=""),"",ROUND(F250*G250,2))</f>
        <v/>
      </c>
      <c r="I250" s="19">
        <f>IF(ISNUMBER(SEARCH("ستاند",D250)),"أثاث وستاندات","")</f>
        <v/>
      </c>
      <c r="J250" s="20">
        <f>IF(E250="","",IF(I250="","⚠ عبّي الغرض",IF(AND(D250&lt;&gt;"",OR(ISNUMBER(SEARCH("صيانة",D250)),ISNUMBER(SEARCH("تعزيل",D250)),ISNUMBER(SEARCH("تنظيف",D250)),ISNUMBER(SEARCH("تصليح",D250)))),"⚠ الصيانة بلا ورشة",IF(H250="","⚠ ناقص",IF(D250&lt;&gt;"",IF(SUMIF($D$7:$D$806,D250,$H$7:$H$806)&gt;=20,"أصل","مصروف"),IFERROR(IF(VLOOKUP(I250,'القوائم'!$A$2:$D$14,4,0)="زكاة وصدقة","زكاة وصدقة",IF(AND(VLOOKUP(I250,'القوائم'!$A$2:$D$14,3,0)&lt;&gt;"",H250&gt;=20),"أصل","مصروف")),"مصروف"))))))</f>
        <v/>
      </c>
      <c r="K250" s="21" t="n"/>
      <c r="L250" s="22" t="n"/>
      <c r="N250">
        <f>IF(B250="","",MONTH(B250))</f>
        <v/>
      </c>
      <c r="O250">
        <f>IF(B250="","",YEAR(B250))</f>
        <v/>
      </c>
      <c r="P250">
        <f>IF(AND(D250&lt;&gt;"",COUNTIF(D$7:D250,D250)=1),MAX(P$6:P249)+1,"")</f>
        <v/>
      </c>
      <c r="Q250">
        <f>IF(E250="","",IF(I250="أجور عمال","أجرة","مادة"))</f>
        <v/>
      </c>
    </row>
    <row r="251">
      <c r="A251" s="12">
        <f>IF(E251="","",ROW()-6)</f>
        <v/>
      </c>
      <c r="B251" s="13" t="n"/>
      <c r="C251" s="12">
        <f>IF(B251="","",CHOOSE(WEEKDAY(B251,1),"الأحد","الاثنين","الثلاثاء","الأربعاء","الخميس","الجمعة","السبت"))</f>
        <v/>
      </c>
      <c r="D251" s="14" t="n"/>
      <c r="E251" s="15" t="n"/>
      <c r="F251" s="16" t="n"/>
      <c r="G251" s="17" t="n"/>
      <c r="H251" s="18">
        <f>IF(OR(F251="",G251=""),"",ROUND(F251*G251,2))</f>
        <v/>
      </c>
      <c r="I251" s="19">
        <f>IF(ISNUMBER(SEARCH("ستاند",D251)),"أثاث وستاندات","")</f>
        <v/>
      </c>
      <c r="J251" s="20">
        <f>IF(E251="","",IF(I251="","⚠ عبّي الغرض",IF(AND(D251&lt;&gt;"",OR(ISNUMBER(SEARCH("صيانة",D251)),ISNUMBER(SEARCH("تعزيل",D251)),ISNUMBER(SEARCH("تنظيف",D251)),ISNUMBER(SEARCH("تصليح",D251)))),"⚠ الصيانة بلا ورشة",IF(H251="","⚠ ناقص",IF(D251&lt;&gt;"",IF(SUMIF($D$7:$D$806,D251,$H$7:$H$806)&gt;=20,"أصل","مصروف"),IFERROR(IF(VLOOKUP(I251,'القوائم'!$A$2:$D$14,4,0)="زكاة وصدقة","زكاة وصدقة",IF(AND(VLOOKUP(I251,'القوائم'!$A$2:$D$14,3,0)&lt;&gt;"",H251&gt;=20),"أصل","مصروف")),"مصروف"))))))</f>
        <v/>
      </c>
      <c r="K251" s="21" t="n"/>
      <c r="L251" s="22" t="n"/>
      <c r="N251">
        <f>IF(B251="","",MONTH(B251))</f>
        <v/>
      </c>
      <c r="O251">
        <f>IF(B251="","",YEAR(B251))</f>
        <v/>
      </c>
      <c r="P251">
        <f>IF(AND(D251&lt;&gt;"",COUNTIF(D$7:D251,D251)=1),MAX(P$6:P250)+1,"")</f>
        <v/>
      </c>
      <c r="Q251">
        <f>IF(E251="","",IF(I251="أجور عمال","أجرة","مادة"))</f>
        <v/>
      </c>
    </row>
    <row r="252">
      <c r="A252" s="12">
        <f>IF(E252="","",ROW()-6)</f>
        <v/>
      </c>
      <c r="B252" s="13" t="n"/>
      <c r="C252" s="12">
        <f>IF(B252="","",CHOOSE(WEEKDAY(B252,1),"الأحد","الاثنين","الثلاثاء","الأربعاء","الخميس","الجمعة","السبت"))</f>
        <v/>
      </c>
      <c r="D252" s="14" t="n"/>
      <c r="E252" s="15" t="n"/>
      <c r="F252" s="16" t="n"/>
      <c r="G252" s="17" t="n"/>
      <c r="H252" s="18">
        <f>IF(OR(F252="",G252=""),"",ROUND(F252*G252,2))</f>
        <v/>
      </c>
      <c r="I252" s="19">
        <f>IF(ISNUMBER(SEARCH("ستاند",D252)),"أثاث وستاندات","")</f>
        <v/>
      </c>
      <c r="J252" s="20">
        <f>IF(E252="","",IF(I252="","⚠ عبّي الغرض",IF(AND(D252&lt;&gt;"",OR(ISNUMBER(SEARCH("صيانة",D252)),ISNUMBER(SEARCH("تعزيل",D252)),ISNUMBER(SEARCH("تنظيف",D252)),ISNUMBER(SEARCH("تصليح",D252)))),"⚠ الصيانة بلا ورشة",IF(H252="","⚠ ناقص",IF(D252&lt;&gt;"",IF(SUMIF($D$7:$D$806,D252,$H$7:$H$806)&gt;=20,"أصل","مصروف"),IFERROR(IF(VLOOKUP(I252,'القوائم'!$A$2:$D$14,4,0)="زكاة وصدقة","زكاة وصدقة",IF(AND(VLOOKUP(I252,'القوائم'!$A$2:$D$14,3,0)&lt;&gt;"",H252&gt;=20),"أصل","مصروف")),"مصروف"))))))</f>
        <v/>
      </c>
      <c r="K252" s="21" t="n"/>
      <c r="L252" s="22" t="n"/>
      <c r="N252">
        <f>IF(B252="","",MONTH(B252))</f>
        <v/>
      </c>
      <c r="O252">
        <f>IF(B252="","",YEAR(B252))</f>
        <v/>
      </c>
      <c r="P252">
        <f>IF(AND(D252&lt;&gt;"",COUNTIF(D$7:D252,D252)=1),MAX(P$6:P251)+1,"")</f>
        <v/>
      </c>
      <c r="Q252">
        <f>IF(E252="","",IF(I252="أجور عمال","أجرة","مادة"))</f>
        <v/>
      </c>
    </row>
    <row r="253">
      <c r="A253" s="12">
        <f>IF(E253="","",ROW()-6)</f>
        <v/>
      </c>
      <c r="B253" s="13" t="n"/>
      <c r="C253" s="12">
        <f>IF(B253="","",CHOOSE(WEEKDAY(B253,1),"الأحد","الاثنين","الثلاثاء","الأربعاء","الخميس","الجمعة","السبت"))</f>
        <v/>
      </c>
      <c r="D253" s="14" t="n"/>
      <c r="E253" s="15" t="n"/>
      <c r="F253" s="16" t="n"/>
      <c r="G253" s="17" t="n"/>
      <c r="H253" s="18">
        <f>IF(OR(F253="",G253=""),"",ROUND(F253*G253,2))</f>
        <v/>
      </c>
      <c r="I253" s="19">
        <f>IF(ISNUMBER(SEARCH("ستاند",D253)),"أثاث وستاندات","")</f>
        <v/>
      </c>
      <c r="J253" s="20">
        <f>IF(E253="","",IF(I253="","⚠ عبّي الغرض",IF(AND(D253&lt;&gt;"",OR(ISNUMBER(SEARCH("صيانة",D253)),ISNUMBER(SEARCH("تعزيل",D253)),ISNUMBER(SEARCH("تنظيف",D253)),ISNUMBER(SEARCH("تصليح",D253)))),"⚠ الصيانة بلا ورشة",IF(H253="","⚠ ناقص",IF(D253&lt;&gt;"",IF(SUMIF($D$7:$D$806,D253,$H$7:$H$806)&gt;=20,"أصل","مصروف"),IFERROR(IF(VLOOKUP(I253,'القوائم'!$A$2:$D$14,4,0)="زكاة وصدقة","زكاة وصدقة",IF(AND(VLOOKUP(I253,'القوائم'!$A$2:$D$14,3,0)&lt;&gt;"",H253&gt;=20),"أصل","مصروف")),"مصروف"))))))</f>
        <v/>
      </c>
      <c r="K253" s="21" t="n"/>
      <c r="L253" s="22" t="n"/>
      <c r="N253">
        <f>IF(B253="","",MONTH(B253))</f>
        <v/>
      </c>
      <c r="O253">
        <f>IF(B253="","",YEAR(B253))</f>
        <v/>
      </c>
      <c r="P253">
        <f>IF(AND(D253&lt;&gt;"",COUNTIF(D$7:D253,D253)=1),MAX(P$6:P252)+1,"")</f>
        <v/>
      </c>
      <c r="Q253">
        <f>IF(E253="","",IF(I253="أجور عمال","أجرة","مادة"))</f>
        <v/>
      </c>
    </row>
    <row r="254">
      <c r="A254" s="12">
        <f>IF(E254="","",ROW()-6)</f>
        <v/>
      </c>
      <c r="B254" s="13" t="n"/>
      <c r="C254" s="12">
        <f>IF(B254="","",CHOOSE(WEEKDAY(B254,1),"الأحد","الاثنين","الثلاثاء","الأربعاء","الخميس","الجمعة","السبت"))</f>
        <v/>
      </c>
      <c r="D254" s="14" t="n"/>
      <c r="E254" s="15" t="n"/>
      <c r="F254" s="16" t="n"/>
      <c r="G254" s="17" t="n"/>
      <c r="H254" s="18">
        <f>IF(OR(F254="",G254=""),"",ROUND(F254*G254,2))</f>
        <v/>
      </c>
      <c r="I254" s="19">
        <f>IF(ISNUMBER(SEARCH("ستاند",D254)),"أثاث وستاندات","")</f>
        <v/>
      </c>
      <c r="J254" s="20">
        <f>IF(E254="","",IF(I254="","⚠ عبّي الغرض",IF(AND(D254&lt;&gt;"",OR(ISNUMBER(SEARCH("صيانة",D254)),ISNUMBER(SEARCH("تعزيل",D254)),ISNUMBER(SEARCH("تنظيف",D254)),ISNUMBER(SEARCH("تصليح",D254)))),"⚠ الصيانة بلا ورشة",IF(H254="","⚠ ناقص",IF(D254&lt;&gt;"",IF(SUMIF($D$7:$D$806,D254,$H$7:$H$806)&gt;=20,"أصل","مصروف"),IFERROR(IF(VLOOKUP(I254,'القوائم'!$A$2:$D$14,4,0)="زكاة وصدقة","زكاة وصدقة",IF(AND(VLOOKUP(I254,'القوائم'!$A$2:$D$14,3,0)&lt;&gt;"",H254&gt;=20),"أصل","مصروف")),"مصروف"))))))</f>
        <v/>
      </c>
      <c r="K254" s="21" t="n"/>
      <c r="L254" s="22" t="n"/>
      <c r="N254">
        <f>IF(B254="","",MONTH(B254))</f>
        <v/>
      </c>
      <c r="O254">
        <f>IF(B254="","",YEAR(B254))</f>
        <v/>
      </c>
      <c r="P254">
        <f>IF(AND(D254&lt;&gt;"",COUNTIF(D$7:D254,D254)=1),MAX(P$6:P253)+1,"")</f>
        <v/>
      </c>
      <c r="Q254">
        <f>IF(E254="","",IF(I254="أجور عمال","أجرة","مادة"))</f>
        <v/>
      </c>
    </row>
    <row r="255">
      <c r="A255" s="12">
        <f>IF(E255="","",ROW()-6)</f>
        <v/>
      </c>
      <c r="B255" s="13" t="n"/>
      <c r="C255" s="12">
        <f>IF(B255="","",CHOOSE(WEEKDAY(B255,1),"الأحد","الاثنين","الثلاثاء","الأربعاء","الخميس","الجمعة","السبت"))</f>
        <v/>
      </c>
      <c r="D255" s="14" t="n"/>
      <c r="E255" s="15" t="n"/>
      <c r="F255" s="16" t="n"/>
      <c r="G255" s="17" t="n"/>
      <c r="H255" s="18">
        <f>IF(OR(F255="",G255=""),"",ROUND(F255*G255,2))</f>
        <v/>
      </c>
      <c r="I255" s="19">
        <f>IF(ISNUMBER(SEARCH("ستاند",D255)),"أثاث وستاندات","")</f>
        <v/>
      </c>
      <c r="J255" s="20">
        <f>IF(E255="","",IF(I255="","⚠ عبّي الغرض",IF(AND(D255&lt;&gt;"",OR(ISNUMBER(SEARCH("صيانة",D255)),ISNUMBER(SEARCH("تعزيل",D255)),ISNUMBER(SEARCH("تنظيف",D255)),ISNUMBER(SEARCH("تصليح",D255)))),"⚠ الصيانة بلا ورشة",IF(H255="","⚠ ناقص",IF(D255&lt;&gt;"",IF(SUMIF($D$7:$D$806,D255,$H$7:$H$806)&gt;=20,"أصل","مصروف"),IFERROR(IF(VLOOKUP(I255,'القوائم'!$A$2:$D$14,4,0)="زكاة وصدقة","زكاة وصدقة",IF(AND(VLOOKUP(I255,'القوائم'!$A$2:$D$14,3,0)&lt;&gt;"",H255&gt;=20),"أصل","مصروف")),"مصروف"))))))</f>
        <v/>
      </c>
      <c r="K255" s="21" t="n"/>
      <c r="L255" s="22" t="n"/>
      <c r="N255">
        <f>IF(B255="","",MONTH(B255))</f>
        <v/>
      </c>
      <c r="O255">
        <f>IF(B255="","",YEAR(B255))</f>
        <v/>
      </c>
      <c r="P255">
        <f>IF(AND(D255&lt;&gt;"",COUNTIF(D$7:D255,D255)=1),MAX(P$6:P254)+1,"")</f>
        <v/>
      </c>
      <c r="Q255">
        <f>IF(E255="","",IF(I255="أجور عمال","أجرة","مادة"))</f>
        <v/>
      </c>
    </row>
    <row r="256">
      <c r="A256" s="12">
        <f>IF(E256="","",ROW()-6)</f>
        <v/>
      </c>
      <c r="B256" s="13" t="n"/>
      <c r="C256" s="12">
        <f>IF(B256="","",CHOOSE(WEEKDAY(B256,1),"الأحد","الاثنين","الثلاثاء","الأربعاء","الخميس","الجمعة","السبت"))</f>
        <v/>
      </c>
      <c r="D256" s="14" t="n"/>
      <c r="E256" s="15" t="n"/>
      <c r="F256" s="16" t="n"/>
      <c r="G256" s="17" t="n"/>
      <c r="H256" s="18">
        <f>IF(OR(F256="",G256=""),"",ROUND(F256*G256,2))</f>
        <v/>
      </c>
      <c r="I256" s="19">
        <f>IF(ISNUMBER(SEARCH("ستاند",D256)),"أثاث وستاندات","")</f>
        <v/>
      </c>
      <c r="J256" s="20">
        <f>IF(E256="","",IF(I256="","⚠ عبّي الغرض",IF(AND(D256&lt;&gt;"",OR(ISNUMBER(SEARCH("صيانة",D256)),ISNUMBER(SEARCH("تعزيل",D256)),ISNUMBER(SEARCH("تنظيف",D256)),ISNUMBER(SEARCH("تصليح",D256)))),"⚠ الصيانة بلا ورشة",IF(H256="","⚠ ناقص",IF(D256&lt;&gt;"",IF(SUMIF($D$7:$D$806,D256,$H$7:$H$806)&gt;=20,"أصل","مصروف"),IFERROR(IF(VLOOKUP(I256,'القوائم'!$A$2:$D$14,4,0)="زكاة وصدقة","زكاة وصدقة",IF(AND(VLOOKUP(I256,'القوائم'!$A$2:$D$14,3,0)&lt;&gt;"",H256&gt;=20),"أصل","مصروف")),"مصروف"))))))</f>
        <v/>
      </c>
      <c r="K256" s="21" t="n"/>
      <c r="L256" s="22" t="n"/>
      <c r="N256">
        <f>IF(B256="","",MONTH(B256))</f>
        <v/>
      </c>
      <c r="O256">
        <f>IF(B256="","",YEAR(B256))</f>
        <v/>
      </c>
      <c r="P256">
        <f>IF(AND(D256&lt;&gt;"",COUNTIF(D$7:D256,D256)=1),MAX(P$6:P255)+1,"")</f>
        <v/>
      </c>
      <c r="Q256">
        <f>IF(E256="","",IF(I256="أجور عمال","أجرة","مادة"))</f>
        <v/>
      </c>
    </row>
    <row r="257">
      <c r="A257" s="12">
        <f>IF(E257="","",ROW()-6)</f>
        <v/>
      </c>
      <c r="B257" s="13" t="n"/>
      <c r="C257" s="12">
        <f>IF(B257="","",CHOOSE(WEEKDAY(B257,1),"الأحد","الاثنين","الثلاثاء","الأربعاء","الخميس","الجمعة","السبت"))</f>
        <v/>
      </c>
      <c r="D257" s="14" t="n"/>
      <c r="E257" s="15" t="n"/>
      <c r="F257" s="16" t="n"/>
      <c r="G257" s="17" t="n"/>
      <c r="H257" s="18">
        <f>IF(OR(F257="",G257=""),"",ROUND(F257*G257,2))</f>
        <v/>
      </c>
      <c r="I257" s="19">
        <f>IF(ISNUMBER(SEARCH("ستاند",D257)),"أثاث وستاندات","")</f>
        <v/>
      </c>
      <c r="J257" s="20">
        <f>IF(E257="","",IF(I257="","⚠ عبّي الغرض",IF(AND(D257&lt;&gt;"",OR(ISNUMBER(SEARCH("صيانة",D257)),ISNUMBER(SEARCH("تعزيل",D257)),ISNUMBER(SEARCH("تنظيف",D257)),ISNUMBER(SEARCH("تصليح",D257)))),"⚠ الصيانة بلا ورشة",IF(H257="","⚠ ناقص",IF(D257&lt;&gt;"",IF(SUMIF($D$7:$D$806,D257,$H$7:$H$806)&gt;=20,"أصل","مصروف"),IFERROR(IF(VLOOKUP(I257,'القوائم'!$A$2:$D$14,4,0)="زكاة وصدقة","زكاة وصدقة",IF(AND(VLOOKUP(I257,'القوائم'!$A$2:$D$14,3,0)&lt;&gt;"",H257&gt;=20),"أصل","مصروف")),"مصروف"))))))</f>
        <v/>
      </c>
      <c r="K257" s="21" t="n"/>
      <c r="L257" s="22" t="n"/>
      <c r="N257">
        <f>IF(B257="","",MONTH(B257))</f>
        <v/>
      </c>
      <c r="O257">
        <f>IF(B257="","",YEAR(B257))</f>
        <v/>
      </c>
      <c r="P257">
        <f>IF(AND(D257&lt;&gt;"",COUNTIF(D$7:D257,D257)=1),MAX(P$6:P256)+1,"")</f>
        <v/>
      </c>
      <c r="Q257">
        <f>IF(E257="","",IF(I257="أجور عمال","أجرة","مادة"))</f>
        <v/>
      </c>
    </row>
    <row r="258">
      <c r="A258" s="12">
        <f>IF(E258="","",ROW()-6)</f>
        <v/>
      </c>
      <c r="B258" s="13" t="n"/>
      <c r="C258" s="12">
        <f>IF(B258="","",CHOOSE(WEEKDAY(B258,1),"الأحد","الاثنين","الثلاثاء","الأربعاء","الخميس","الجمعة","السبت"))</f>
        <v/>
      </c>
      <c r="D258" s="14" t="n"/>
      <c r="E258" s="15" t="n"/>
      <c r="F258" s="16" t="n"/>
      <c r="G258" s="17" t="n"/>
      <c r="H258" s="18">
        <f>IF(OR(F258="",G258=""),"",ROUND(F258*G258,2))</f>
        <v/>
      </c>
      <c r="I258" s="19">
        <f>IF(ISNUMBER(SEARCH("ستاند",D258)),"أثاث وستاندات","")</f>
        <v/>
      </c>
      <c r="J258" s="20">
        <f>IF(E258="","",IF(I258="","⚠ عبّي الغرض",IF(AND(D258&lt;&gt;"",OR(ISNUMBER(SEARCH("صيانة",D258)),ISNUMBER(SEARCH("تعزيل",D258)),ISNUMBER(SEARCH("تنظيف",D258)),ISNUMBER(SEARCH("تصليح",D258)))),"⚠ الصيانة بلا ورشة",IF(H258="","⚠ ناقص",IF(D258&lt;&gt;"",IF(SUMIF($D$7:$D$806,D258,$H$7:$H$806)&gt;=20,"أصل","مصروف"),IFERROR(IF(VLOOKUP(I258,'القوائم'!$A$2:$D$14,4,0)="زكاة وصدقة","زكاة وصدقة",IF(AND(VLOOKUP(I258,'القوائم'!$A$2:$D$14,3,0)&lt;&gt;"",H258&gt;=20),"أصل","مصروف")),"مصروف"))))))</f>
        <v/>
      </c>
      <c r="K258" s="21" t="n"/>
      <c r="L258" s="22" t="n"/>
      <c r="N258">
        <f>IF(B258="","",MONTH(B258))</f>
        <v/>
      </c>
      <c r="O258">
        <f>IF(B258="","",YEAR(B258))</f>
        <v/>
      </c>
      <c r="P258">
        <f>IF(AND(D258&lt;&gt;"",COUNTIF(D$7:D258,D258)=1),MAX(P$6:P257)+1,"")</f>
        <v/>
      </c>
      <c r="Q258">
        <f>IF(E258="","",IF(I258="أجور عمال","أجرة","مادة"))</f>
        <v/>
      </c>
    </row>
    <row r="259">
      <c r="A259" s="12">
        <f>IF(E259="","",ROW()-6)</f>
        <v/>
      </c>
      <c r="B259" s="13" t="n"/>
      <c r="C259" s="12">
        <f>IF(B259="","",CHOOSE(WEEKDAY(B259,1),"الأحد","الاثنين","الثلاثاء","الأربعاء","الخميس","الجمعة","السبت"))</f>
        <v/>
      </c>
      <c r="D259" s="14" t="n"/>
      <c r="E259" s="15" t="n"/>
      <c r="F259" s="16" t="n"/>
      <c r="G259" s="17" t="n"/>
      <c r="H259" s="18">
        <f>IF(OR(F259="",G259=""),"",ROUND(F259*G259,2))</f>
        <v/>
      </c>
      <c r="I259" s="19">
        <f>IF(ISNUMBER(SEARCH("ستاند",D259)),"أثاث وستاندات","")</f>
        <v/>
      </c>
      <c r="J259" s="20">
        <f>IF(E259="","",IF(I259="","⚠ عبّي الغرض",IF(AND(D259&lt;&gt;"",OR(ISNUMBER(SEARCH("صيانة",D259)),ISNUMBER(SEARCH("تعزيل",D259)),ISNUMBER(SEARCH("تنظيف",D259)),ISNUMBER(SEARCH("تصليح",D259)))),"⚠ الصيانة بلا ورشة",IF(H259="","⚠ ناقص",IF(D259&lt;&gt;"",IF(SUMIF($D$7:$D$806,D259,$H$7:$H$806)&gt;=20,"أصل","مصروف"),IFERROR(IF(VLOOKUP(I259,'القوائم'!$A$2:$D$14,4,0)="زكاة وصدقة","زكاة وصدقة",IF(AND(VLOOKUP(I259,'القوائم'!$A$2:$D$14,3,0)&lt;&gt;"",H259&gt;=20),"أصل","مصروف")),"مصروف"))))))</f>
        <v/>
      </c>
      <c r="K259" s="21" t="n"/>
      <c r="L259" s="22" t="n"/>
      <c r="N259">
        <f>IF(B259="","",MONTH(B259))</f>
        <v/>
      </c>
      <c r="O259">
        <f>IF(B259="","",YEAR(B259))</f>
        <v/>
      </c>
      <c r="P259">
        <f>IF(AND(D259&lt;&gt;"",COUNTIF(D$7:D259,D259)=1),MAX(P$6:P258)+1,"")</f>
        <v/>
      </c>
      <c r="Q259">
        <f>IF(E259="","",IF(I259="أجور عمال","أجرة","مادة"))</f>
        <v/>
      </c>
    </row>
    <row r="260">
      <c r="A260" s="12">
        <f>IF(E260="","",ROW()-6)</f>
        <v/>
      </c>
      <c r="B260" s="13" t="n"/>
      <c r="C260" s="12">
        <f>IF(B260="","",CHOOSE(WEEKDAY(B260,1),"الأحد","الاثنين","الثلاثاء","الأربعاء","الخميس","الجمعة","السبت"))</f>
        <v/>
      </c>
      <c r="D260" s="14" t="n"/>
      <c r="E260" s="15" t="n"/>
      <c r="F260" s="16" t="n"/>
      <c r="G260" s="17" t="n"/>
      <c r="H260" s="18">
        <f>IF(OR(F260="",G260=""),"",ROUND(F260*G260,2))</f>
        <v/>
      </c>
      <c r="I260" s="19">
        <f>IF(ISNUMBER(SEARCH("ستاند",D260)),"أثاث وستاندات","")</f>
        <v/>
      </c>
      <c r="J260" s="20">
        <f>IF(E260="","",IF(I260="","⚠ عبّي الغرض",IF(AND(D260&lt;&gt;"",OR(ISNUMBER(SEARCH("صيانة",D260)),ISNUMBER(SEARCH("تعزيل",D260)),ISNUMBER(SEARCH("تنظيف",D260)),ISNUMBER(SEARCH("تصليح",D260)))),"⚠ الصيانة بلا ورشة",IF(H260="","⚠ ناقص",IF(D260&lt;&gt;"",IF(SUMIF($D$7:$D$806,D260,$H$7:$H$806)&gt;=20,"أصل","مصروف"),IFERROR(IF(VLOOKUP(I260,'القوائم'!$A$2:$D$14,4,0)="زكاة وصدقة","زكاة وصدقة",IF(AND(VLOOKUP(I260,'القوائم'!$A$2:$D$14,3,0)&lt;&gt;"",H260&gt;=20),"أصل","مصروف")),"مصروف"))))))</f>
        <v/>
      </c>
      <c r="K260" s="21" t="n"/>
      <c r="L260" s="22" t="n"/>
      <c r="N260">
        <f>IF(B260="","",MONTH(B260))</f>
        <v/>
      </c>
      <c r="O260">
        <f>IF(B260="","",YEAR(B260))</f>
        <v/>
      </c>
      <c r="P260">
        <f>IF(AND(D260&lt;&gt;"",COUNTIF(D$7:D260,D260)=1),MAX(P$6:P259)+1,"")</f>
        <v/>
      </c>
      <c r="Q260">
        <f>IF(E260="","",IF(I260="أجور عمال","أجرة","مادة"))</f>
        <v/>
      </c>
    </row>
    <row r="261">
      <c r="A261" s="12">
        <f>IF(E261="","",ROW()-6)</f>
        <v/>
      </c>
      <c r="B261" s="13" t="n"/>
      <c r="C261" s="12">
        <f>IF(B261="","",CHOOSE(WEEKDAY(B261,1),"الأحد","الاثنين","الثلاثاء","الأربعاء","الخميس","الجمعة","السبت"))</f>
        <v/>
      </c>
      <c r="D261" s="14" t="n"/>
      <c r="E261" s="15" t="n"/>
      <c r="F261" s="16" t="n"/>
      <c r="G261" s="17" t="n"/>
      <c r="H261" s="18">
        <f>IF(OR(F261="",G261=""),"",ROUND(F261*G261,2))</f>
        <v/>
      </c>
      <c r="I261" s="19">
        <f>IF(ISNUMBER(SEARCH("ستاند",D261)),"أثاث وستاندات","")</f>
        <v/>
      </c>
      <c r="J261" s="20">
        <f>IF(E261="","",IF(I261="","⚠ عبّي الغرض",IF(AND(D261&lt;&gt;"",OR(ISNUMBER(SEARCH("صيانة",D261)),ISNUMBER(SEARCH("تعزيل",D261)),ISNUMBER(SEARCH("تنظيف",D261)),ISNUMBER(SEARCH("تصليح",D261)))),"⚠ الصيانة بلا ورشة",IF(H261="","⚠ ناقص",IF(D261&lt;&gt;"",IF(SUMIF($D$7:$D$806,D261,$H$7:$H$806)&gt;=20,"أصل","مصروف"),IFERROR(IF(VLOOKUP(I261,'القوائم'!$A$2:$D$14,4,0)="زكاة وصدقة","زكاة وصدقة",IF(AND(VLOOKUP(I261,'القوائم'!$A$2:$D$14,3,0)&lt;&gt;"",H261&gt;=20),"أصل","مصروف")),"مصروف"))))))</f>
        <v/>
      </c>
      <c r="K261" s="21" t="n"/>
      <c r="L261" s="22" t="n"/>
      <c r="N261">
        <f>IF(B261="","",MONTH(B261))</f>
        <v/>
      </c>
      <c r="O261">
        <f>IF(B261="","",YEAR(B261))</f>
        <v/>
      </c>
      <c r="P261">
        <f>IF(AND(D261&lt;&gt;"",COUNTIF(D$7:D261,D261)=1),MAX(P$6:P260)+1,"")</f>
        <v/>
      </c>
      <c r="Q261">
        <f>IF(E261="","",IF(I261="أجور عمال","أجرة","مادة"))</f>
        <v/>
      </c>
    </row>
    <row r="262">
      <c r="A262" s="12">
        <f>IF(E262="","",ROW()-6)</f>
        <v/>
      </c>
      <c r="B262" s="13" t="n"/>
      <c r="C262" s="12">
        <f>IF(B262="","",CHOOSE(WEEKDAY(B262,1),"الأحد","الاثنين","الثلاثاء","الأربعاء","الخميس","الجمعة","السبت"))</f>
        <v/>
      </c>
      <c r="D262" s="14" t="n"/>
      <c r="E262" s="15" t="n"/>
      <c r="F262" s="16" t="n"/>
      <c r="G262" s="17" t="n"/>
      <c r="H262" s="18">
        <f>IF(OR(F262="",G262=""),"",ROUND(F262*G262,2))</f>
        <v/>
      </c>
      <c r="I262" s="19">
        <f>IF(ISNUMBER(SEARCH("ستاند",D262)),"أثاث وستاندات","")</f>
        <v/>
      </c>
      <c r="J262" s="20">
        <f>IF(E262="","",IF(I262="","⚠ عبّي الغرض",IF(AND(D262&lt;&gt;"",OR(ISNUMBER(SEARCH("صيانة",D262)),ISNUMBER(SEARCH("تعزيل",D262)),ISNUMBER(SEARCH("تنظيف",D262)),ISNUMBER(SEARCH("تصليح",D262)))),"⚠ الصيانة بلا ورشة",IF(H262="","⚠ ناقص",IF(D262&lt;&gt;"",IF(SUMIF($D$7:$D$806,D262,$H$7:$H$806)&gt;=20,"أصل","مصروف"),IFERROR(IF(VLOOKUP(I262,'القوائم'!$A$2:$D$14,4,0)="زكاة وصدقة","زكاة وصدقة",IF(AND(VLOOKUP(I262,'القوائم'!$A$2:$D$14,3,0)&lt;&gt;"",H262&gt;=20),"أصل","مصروف")),"مصروف"))))))</f>
        <v/>
      </c>
      <c r="K262" s="21" t="n"/>
      <c r="L262" s="22" t="n"/>
      <c r="N262">
        <f>IF(B262="","",MONTH(B262))</f>
        <v/>
      </c>
      <c r="O262">
        <f>IF(B262="","",YEAR(B262))</f>
        <v/>
      </c>
      <c r="P262">
        <f>IF(AND(D262&lt;&gt;"",COUNTIF(D$7:D262,D262)=1),MAX(P$6:P261)+1,"")</f>
        <v/>
      </c>
      <c r="Q262">
        <f>IF(E262="","",IF(I262="أجور عمال","أجرة","مادة"))</f>
        <v/>
      </c>
    </row>
    <row r="263">
      <c r="A263" s="12">
        <f>IF(E263="","",ROW()-6)</f>
        <v/>
      </c>
      <c r="B263" s="13" t="n"/>
      <c r="C263" s="12">
        <f>IF(B263="","",CHOOSE(WEEKDAY(B263,1),"الأحد","الاثنين","الثلاثاء","الأربعاء","الخميس","الجمعة","السبت"))</f>
        <v/>
      </c>
      <c r="D263" s="14" t="n"/>
      <c r="E263" s="15" t="n"/>
      <c r="F263" s="16" t="n"/>
      <c r="G263" s="17" t="n"/>
      <c r="H263" s="18">
        <f>IF(OR(F263="",G263=""),"",ROUND(F263*G263,2))</f>
        <v/>
      </c>
      <c r="I263" s="19">
        <f>IF(ISNUMBER(SEARCH("ستاند",D263)),"أثاث وستاندات","")</f>
        <v/>
      </c>
      <c r="J263" s="20">
        <f>IF(E263="","",IF(I263="","⚠ عبّي الغرض",IF(AND(D263&lt;&gt;"",OR(ISNUMBER(SEARCH("صيانة",D263)),ISNUMBER(SEARCH("تعزيل",D263)),ISNUMBER(SEARCH("تنظيف",D263)),ISNUMBER(SEARCH("تصليح",D263)))),"⚠ الصيانة بلا ورشة",IF(H263="","⚠ ناقص",IF(D263&lt;&gt;"",IF(SUMIF($D$7:$D$806,D263,$H$7:$H$806)&gt;=20,"أصل","مصروف"),IFERROR(IF(VLOOKUP(I263,'القوائم'!$A$2:$D$14,4,0)="زكاة وصدقة","زكاة وصدقة",IF(AND(VLOOKUP(I263,'القوائم'!$A$2:$D$14,3,0)&lt;&gt;"",H263&gt;=20),"أصل","مصروف")),"مصروف"))))))</f>
        <v/>
      </c>
      <c r="K263" s="21" t="n"/>
      <c r="L263" s="22" t="n"/>
      <c r="N263">
        <f>IF(B263="","",MONTH(B263))</f>
        <v/>
      </c>
      <c r="O263">
        <f>IF(B263="","",YEAR(B263))</f>
        <v/>
      </c>
      <c r="P263">
        <f>IF(AND(D263&lt;&gt;"",COUNTIF(D$7:D263,D263)=1),MAX(P$6:P262)+1,"")</f>
        <v/>
      </c>
      <c r="Q263">
        <f>IF(E263="","",IF(I263="أجور عمال","أجرة","مادة"))</f>
        <v/>
      </c>
    </row>
    <row r="264">
      <c r="A264" s="12">
        <f>IF(E264="","",ROW()-6)</f>
        <v/>
      </c>
      <c r="B264" s="13" t="n"/>
      <c r="C264" s="12">
        <f>IF(B264="","",CHOOSE(WEEKDAY(B264,1),"الأحد","الاثنين","الثلاثاء","الأربعاء","الخميس","الجمعة","السبت"))</f>
        <v/>
      </c>
      <c r="D264" s="14" t="n"/>
      <c r="E264" s="15" t="n"/>
      <c r="F264" s="16" t="n"/>
      <c r="G264" s="17" t="n"/>
      <c r="H264" s="18">
        <f>IF(OR(F264="",G264=""),"",ROUND(F264*G264,2))</f>
        <v/>
      </c>
      <c r="I264" s="19">
        <f>IF(ISNUMBER(SEARCH("ستاند",D264)),"أثاث وستاندات","")</f>
        <v/>
      </c>
      <c r="J264" s="20">
        <f>IF(E264="","",IF(I264="","⚠ عبّي الغرض",IF(AND(D264&lt;&gt;"",OR(ISNUMBER(SEARCH("صيانة",D264)),ISNUMBER(SEARCH("تعزيل",D264)),ISNUMBER(SEARCH("تنظيف",D264)),ISNUMBER(SEARCH("تصليح",D264)))),"⚠ الصيانة بلا ورشة",IF(H264="","⚠ ناقص",IF(D264&lt;&gt;"",IF(SUMIF($D$7:$D$806,D264,$H$7:$H$806)&gt;=20,"أصل","مصروف"),IFERROR(IF(VLOOKUP(I264,'القوائم'!$A$2:$D$14,4,0)="زكاة وصدقة","زكاة وصدقة",IF(AND(VLOOKUP(I264,'القوائم'!$A$2:$D$14,3,0)&lt;&gt;"",H264&gt;=20),"أصل","مصروف")),"مصروف"))))))</f>
        <v/>
      </c>
      <c r="K264" s="21" t="n"/>
      <c r="L264" s="22" t="n"/>
      <c r="N264">
        <f>IF(B264="","",MONTH(B264))</f>
        <v/>
      </c>
      <c r="O264">
        <f>IF(B264="","",YEAR(B264))</f>
        <v/>
      </c>
      <c r="P264">
        <f>IF(AND(D264&lt;&gt;"",COUNTIF(D$7:D264,D264)=1),MAX(P$6:P263)+1,"")</f>
        <v/>
      </c>
      <c r="Q264">
        <f>IF(E264="","",IF(I264="أجور عمال","أجرة","مادة"))</f>
        <v/>
      </c>
    </row>
    <row r="265">
      <c r="A265" s="12">
        <f>IF(E265="","",ROW()-6)</f>
        <v/>
      </c>
      <c r="B265" s="13" t="n"/>
      <c r="C265" s="12">
        <f>IF(B265="","",CHOOSE(WEEKDAY(B265,1),"الأحد","الاثنين","الثلاثاء","الأربعاء","الخميس","الجمعة","السبت"))</f>
        <v/>
      </c>
      <c r="D265" s="14" t="n"/>
      <c r="E265" s="15" t="n"/>
      <c r="F265" s="16" t="n"/>
      <c r="G265" s="17" t="n"/>
      <c r="H265" s="18">
        <f>IF(OR(F265="",G265=""),"",ROUND(F265*G265,2))</f>
        <v/>
      </c>
      <c r="I265" s="19">
        <f>IF(ISNUMBER(SEARCH("ستاند",D265)),"أثاث وستاندات","")</f>
        <v/>
      </c>
      <c r="J265" s="20">
        <f>IF(E265="","",IF(I265="","⚠ عبّي الغرض",IF(AND(D265&lt;&gt;"",OR(ISNUMBER(SEARCH("صيانة",D265)),ISNUMBER(SEARCH("تعزيل",D265)),ISNUMBER(SEARCH("تنظيف",D265)),ISNUMBER(SEARCH("تصليح",D265)))),"⚠ الصيانة بلا ورشة",IF(H265="","⚠ ناقص",IF(D265&lt;&gt;"",IF(SUMIF($D$7:$D$806,D265,$H$7:$H$806)&gt;=20,"أصل","مصروف"),IFERROR(IF(VLOOKUP(I265,'القوائم'!$A$2:$D$14,4,0)="زكاة وصدقة","زكاة وصدقة",IF(AND(VLOOKUP(I265,'القوائم'!$A$2:$D$14,3,0)&lt;&gt;"",H265&gt;=20),"أصل","مصروف")),"مصروف"))))))</f>
        <v/>
      </c>
      <c r="K265" s="21" t="n"/>
      <c r="L265" s="22" t="n"/>
      <c r="N265">
        <f>IF(B265="","",MONTH(B265))</f>
        <v/>
      </c>
      <c r="O265">
        <f>IF(B265="","",YEAR(B265))</f>
        <v/>
      </c>
      <c r="P265">
        <f>IF(AND(D265&lt;&gt;"",COUNTIF(D$7:D265,D265)=1),MAX(P$6:P264)+1,"")</f>
        <v/>
      </c>
      <c r="Q265">
        <f>IF(E265="","",IF(I265="أجور عمال","أجرة","مادة"))</f>
        <v/>
      </c>
    </row>
    <row r="266">
      <c r="A266" s="12">
        <f>IF(E266="","",ROW()-6)</f>
        <v/>
      </c>
      <c r="B266" s="13" t="n"/>
      <c r="C266" s="12">
        <f>IF(B266="","",CHOOSE(WEEKDAY(B266,1),"الأحد","الاثنين","الثلاثاء","الأربعاء","الخميس","الجمعة","السبت"))</f>
        <v/>
      </c>
      <c r="D266" s="14" t="n"/>
      <c r="E266" s="15" t="n"/>
      <c r="F266" s="16" t="n"/>
      <c r="G266" s="17" t="n"/>
      <c r="H266" s="18">
        <f>IF(OR(F266="",G266=""),"",ROUND(F266*G266,2))</f>
        <v/>
      </c>
      <c r="I266" s="19">
        <f>IF(ISNUMBER(SEARCH("ستاند",D266)),"أثاث وستاندات","")</f>
        <v/>
      </c>
      <c r="J266" s="20">
        <f>IF(E266="","",IF(I266="","⚠ عبّي الغرض",IF(AND(D266&lt;&gt;"",OR(ISNUMBER(SEARCH("صيانة",D266)),ISNUMBER(SEARCH("تعزيل",D266)),ISNUMBER(SEARCH("تنظيف",D266)),ISNUMBER(SEARCH("تصليح",D266)))),"⚠ الصيانة بلا ورشة",IF(H266="","⚠ ناقص",IF(D266&lt;&gt;"",IF(SUMIF($D$7:$D$806,D266,$H$7:$H$806)&gt;=20,"أصل","مصروف"),IFERROR(IF(VLOOKUP(I266,'القوائم'!$A$2:$D$14,4,0)="زكاة وصدقة","زكاة وصدقة",IF(AND(VLOOKUP(I266,'القوائم'!$A$2:$D$14,3,0)&lt;&gt;"",H266&gt;=20),"أصل","مصروف")),"مصروف"))))))</f>
        <v/>
      </c>
      <c r="K266" s="21" t="n"/>
      <c r="L266" s="22" t="n"/>
      <c r="N266">
        <f>IF(B266="","",MONTH(B266))</f>
        <v/>
      </c>
      <c r="O266">
        <f>IF(B266="","",YEAR(B266))</f>
        <v/>
      </c>
      <c r="P266">
        <f>IF(AND(D266&lt;&gt;"",COUNTIF(D$7:D266,D266)=1),MAX(P$6:P265)+1,"")</f>
        <v/>
      </c>
      <c r="Q266">
        <f>IF(E266="","",IF(I266="أجور عمال","أجرة","مادة"))</f>
        <v/>
      </c>
    </row>
    <row r="267">
      <c r="A267" s="12">
        <f>IF(E267="","",ROW()-6)</f>
        <v/>
      </c>
      <c r="B267" s="13" t="n"/>
      <c r="C267" s="12">
        <f>IF(B267="","",CHOOSE(WEEKDAY(B267,1),"الأحد","الاثنين","الثلاثاء","الأربعاء","الخميس","الجمعة","السبت"))</f>
        <v/>
      </c>
      <c r="D267" s="14" t="n"/>
      <c r="E267" s="15" t="n"/>
      <c r="F267" s="16" t="n"/>
      <c r="G267" s="17" t="n"/>
      <c r="H267" s="18">
        <f>IF(OR(F267="",G267=""),"",ROUND(F267*G267,2))</f>
        <v/>
      </c>
      <c r="I267" s="19">
        <f>IF(ISNUMBER(SEARCH("ستاند",D267)),"أثاث وستاندات","")</f>
        <v/>
      </c>
      <c r="J267" s="20">
        <f>IF(E267="","",IF(I267="","⚠ عبّي الغرض",IF(AND(D267&lt;&gt;"",OR(ISNUMBER(SEARCH("صيانة",D267)),ISNUMBER(SEARCH("تعزيل",D267)),ISNUMBER(SEARCH("تنظيف",D267)),ISNUMBER(SEARCH("تصليح",D267)))),"⚠ الصيانة بلا ورشة",IF(H267="","⚠ ناقص",IF(D267&lt;&gt;"",IF(SUMIF($D$7:$D$806,D267,$H$7:$H$806)&gt;=20,"أصل","مصروف"),IFERROR(IF(VLOOKUP(I267,'القوائم'!$A$2:$D$14,4,0)="زكاة وصدقة","زكاة وصدقة",IF(AND(VLOOKUP(I267,'القوائم'!$A$2:$D$14,3,0)&lt;&gt;"",H267&gt;=20),"أصل","مصروف")),"مصروف"))))))</f>
        <v/>
      </c>
      <c r="K267" s="21" t="n"/>
      <c r="L267" s="22" t="n"/>
      <c r="N267">
        <f>IF(B267="","",MONTH(B267))</f>
        <v/>
      </c>
      <c r="O267">
        <f>IF(B267="","",YEAR(B267))</f>
        <v/>
      </c>
      <c r="P267">
        <f>IF(AND(D267&lt;&gt;"",COUNTIF(D$7:D267,D267)=1),MAX(P$6:P266)+1,"")</f>
        <v/>
      </c>
      <c r="Q267">
        <f>IF(E267="","",IF(I267="أجور عمال","أجرة","مادة"))</f>
        <v/>
      </c>
    </row>
    <row r="268">
      <c r="A268" s="12">
        <f>IF(E268="","",ROW()-6)</f>
        <v/>
      </c>
      <c r="B268" s="13" t="n"/>
      <c r="C268" s="12">
        <f>IF(B268="","",CHOOSE(WEEKDAY(B268,1),"الأحد","الاثنين","الثلاثاء","الأربعاء","الخميس","الجمعة","السبت"))</f>
        <v/>
      </c>
      <c r="D268" s="14" t="n"/>
      <c r="E268" s="15" t="n"/>
      <c r="F268" s="16" t="n"/>
      <c r="G268" s="17" t="n"/>
      <c r="H268" s="18">
        <f>IF(OR(F268="",G268=""),"",ROUND(F268*G268,2))</f>
        <v/>
      </c>
      <c r="I268" s="19">
        <f>IF(ISNUMBER(SEARCH("ستاند",D268)),"أثاث وستاندات","")</f>
        <v/>
      </c>
      <c r="J268" s="20">
        <f>IF(E268="","",IF(I268="","⚠ عبّي الغرض",IF(AND(D268&lt;&gt;"",OR(ISNUMBER(SEARCH("صيانة",D268)),ISNUMBER(SEARCH("تعزيل",D268)),ISNUMBER(SEARCH("تنظيف",D268)),ISNUMBER(SEARCH("تصليح",D268)))),"⚠ الصيانة بلا ورشة",IF(H268="","⚠ ناقص",IF(D268&lt;&gt;"",IF(SUMIF($D$7:$D$806,D268,$H$7:$H$806)&gt;=20,"أصل","مصروف"),IFERROR(IF(VLOOKUP(I268,'القوائم'!$A$2:$D$14,4,0)="زكاة وصدقة","زكاة وصدقة",IF(AND(VLOOKUP(I268,'القوائم'!$A$2:$D$14,3,0)&lt;&gt;"",H268&gt;=20),"أصل","مصروف")),"مصروف"))))))</f>
        <v/>
      </c>
      <c r="K268" s="21" t="n"/>
      <c r="L268" s="22" t="n"/>
      <c r="N268">
        <f>IF(B268="","",MONTH(B268))</f>
        <v/>
      </c>
      <c r="O268">
        <f>IF(B268="","",YEAR(B268))</f>
        <v/>
      </c>
      <c r="P268">
        <f>IF(AND(D268&lt;&gt;"",COUNTIF(D$7:D268,D268)=1),MAX(P$6:P267)+1,"")</f>
        <v/>
      </c>
      <c r="Q268">
        <f>IF(E268="","",IF(I268="أجور عمال","أجرة","مادة"))</f>
        <v/>
      </c>
    </row>
    <row r="269">
      <c r="A269" s="12">
        <f>IF(E269="","",ROW()-6)</f>
        <v/>
      </c>
      <c r="B269" s="13" t="n"/>
      <c r="C269" s="12">
        <f>IF(B269="","",CHOOSE(WEEKDAY(B269,1),"الأحد","الاثنين","الثلاثاء","الأربعاء","الخميس","الجمعة","السبت"))</f>
        <v/>
      </c>
      <c r="D269" s="14" t="n"/>
      <c r="E269" s="15" t="n"/>
      <c r="F269" s="16" t="n"/>
      <c r="G269" s="17" t="n"/>
      <c r="H269" s="18">
        <f>IF(OR(F269="",G269=""),"",ROUND(F269*G269,2))</f>
        <v/>
      </c>
      <c r="I269" s="19">
        <f>IF(ISNUMBER(SEARCH("ستاند",D269)),"أثاث وستاندات","")</f>
        <v/>
      </c>
      <c r="J269" s="20">
        <f>IF(E269="","",IF(I269="","⚠ عبّي الغرض",IF(AND(D269&lt;&gt;"",OR(ISNUMBER(SEARCH("صيانة",D269)),ISNUMBER(SEARCH("تعزيل",D269)),ISNUMBER(SEARCH("تنظيف",D269)),ISNUMBER(SEARCH("تصليح",D269)))),"⚠ الصيانة بلا ورشة",IF(H269="","⚠ ناقص",IF(D269&lt;&gt;"",IF(SUMIF($D$7:$D$806,D269,$H$7:$H$806)&gt;=20,"أصل","مصروف"),IFERROR(IF(VLOOKUP(I269,'القوائم'!$A$2:$D$14,4,0)="زكاة وصدقة","زكاة وصدقة",IF(AND(VLOOKUP(I269,'القوائم'!$A$2:$D$14,3,0)&lt;&gt;"",H269&gt;=20),"أصل","مصروف")),"مصروف"))))))</f>
        <v/>
      </c>
      <c r="K269" s="21" t="n"/>
      <c r="L269" s="22" t="n"/>
      <c r="N269">
        <f>IF(B269="","",MONTH(B269))</f>
        <v/>
      </c>
      <c r="O269">
        <f>IF(B269="","",YEAR(B269))</f>
        <v/>
      </c>
      <c r="P269">
        <f>IF(AND(D269&lt;&gt;"",COUNTIF(D$7:D269,D269)=1),MAX(P$6:P268)+1,"")</f>
        <v/>
      </c>
      <c r="Q269">
        <f>IF(E269="","",IF(I269="أجور عمال","أجرة","مادة"))</f>
        <v/>
      </c>
    </row>
    <row r="270">
      <c r="A270" s="12">
        <f>IF(E270="","",ROW()-6)</f>
        <v/>
      </c>
      <c r="B270" s="13" t="n"/>
      <c r="C270" s="12">
        <f>IF(B270="","",CHOOSE(WEEKDAY(B270,1),"الأحد","الاثنين","الثلاثاء","الأربعاء","الخميس","الجمعة","السبت"))</f>
        <v/>
      </c>
      <c r="D270" s="14" t="n"/>
      <c r="E270" s="15" t="n"/>
      <c r="F270" s="16" t="n"/>
      <c r="G270" s="17" t="n"/>
      <c r="H270" s="18">
        <f>IF(OR(F270="",G270=""),"",ROUND(F270*G270,2))</f>
        <v/>
      </c>
      <c r="I270" s="19">
        <f>IF(ISNUMBER(SEARCH("ستاند",D270)),"أثاث وستاندات","")</f>
        <v/>
      </c>
      <c r="J270" s="20">
        <f>IF(E270="","",IF(I270="","⚠ عبّي الغرض",IF(AND(D270&lt;&gt;"",OR(ISNUMBER(SEARCH("صيانة",D270)),ISNUMBER(SEARCH("تعزيل",D270)),ISNUMBER(SEARCH("تنظيف",D270)),ISNUMBER(SEARCH("تصليح",D270)))),"⚠ الصيانة بلا ورشة",IF(H270="","⚠ ناقص",IF(D270&lt;&gt;"",IF(SUMIF($D$7:$D$806,D270,$H$7:$H$806)&gt;=20,"أصل","مصروف"),IFERROR(IF(VLOOKUP(I270,'القوائم'!$A$2:$D$14,4,0)="زكاة وصدقة","زكاة وصدقة",IF(AND(VLOOKUP(I270,'القوائم'!$A$2:$D$14,3,0)&lt;&gt;"",H270&gt;=20),"أصل","مصروف")),"مصروف"))))))</f>
        <v/>
      </c>
      <c r="K270" s="21" t="n"/>
      <c r="L270" s="22" t="n"/>
      <c r="N270">
        <f>IF(B270="","",MONTH(B270))</f>
        <v/>
      </c>
      <c r="O270">
        <f>IF(B270="","",YEAR(B270))</f>
        <v/>
      </c>
      <c r="P270">
        <f>IF(AND(D270&lt;&gt;"",COUNTIF(D$7:D270,D270)=1),MAX(P$6:P269)+1,"")</f>
        <v/>
      </c>
      <c r="Q270">
        <f>IF(E270="","",IF(I270="أجور عمال","أجرة","مادة"))</f>
        <v/>
      </c>
    </row>
    <row r="271">
      <c r="A271" s="12">
        <f>IF(E271="","",ROW()-6)</f>
        <v/>
      </c>
      <c r="B271" s="13" t="n"/>
      <c r="C271" s="12">
        <f>IF(B271="","",CHOOSE(WEEKDAY(B271,1),"الأحد","الاثنين","الثلاثاء","الأربعاء","الخميس","الجمعة","السبت"))</f>
        <v/>
      </c>
      <c r="D271" s="14" t="n"/>
      <c r="E271" s="15" t="n"/>
      <c r="F271" s="16" t="n"/>
      <c r="G271" s="17" t="n"/>
      <c r="H271" s="18">
        <f>IF(OR(F271="",G271=""),"",ROUND(F271*G271,2))</f>
        <v/>
      </c>
      <c r="I271" s="19">
        <f>IF(ISNUMBER(SEARCH("ستاند",D271)),"أثاث وستاندات","")</f>
        <v/>
      </c>
      <c r="J271" s="20">
        <f>IF(E271="","",IF(I271="","⚠ عبّي الغرض",IF(AND(D271&lt;&gt;"",OR(ISNUMBER(SEARCH("صيانة",D271)),ISNUMBER(SEARCH("تعزيل",D271)),ISNUMBER(SEARCH("تنظيف",D271)),ISNUMBER(SEARCH("تصليح",D271)))),"⚠ الصيانة بلا ورشة",IF(H271="","⚠ ناقص",IF(D271&lt;&gt;"",IF(SUMIF($D$7:$D$806,D271,$H$7:$H$806)&gt;=20,"أصل","مصروف"),IFERROR(IF(VLOOKUP(I271,'القوائم'!$A$2:$D$14,4,0)="زكاة وصدقة","زكاة وصدقة",IF(AND(VLOOKUP(I271,'القوائم'!$A$2:$D$14,3,0)&lt;&gt;"",H271&gt;=20),"أصل","مصروف")),"مصروف"))))))</f>
        <v/>
      </c>
      <c r="K271" s="21" t="n"/>
      <c r="L271" s="22" t="n"/>
      <c r="N271">
        <f>IF(B271="","",MONTH(B271))</f>
        <v/>
      </c>
      <c r="O271">
        <f>IF(B271="","",YEAR(B271))</f>
        <v/>
      </c>
      <c r="P271">
        <f>IF(AND(D271&lt;&gt;"",COUNTIF(D$7:D271,D271)=1),MAX(P$6:P270)+1,"")</f>
        <v/>
      </c>
      <c r="Q271">
        <f>IF(E271="","",IF(I271="أجور عمال","أجرة","مادة"))</f>
        <v/>
      </c>
    </row>
    <row r="272">
      <c r="A272" s="12">
        <f>IF(E272="","",ROW()-6)</f>
        <v/>
      </c>
      <c r="B272" s="13" t="n"/>
      <c r="C272" s="12">
        <f>IF(B272="","",CHOOSE(WEEKDAY(B272,1),"الأحد","الاثنين","الثلاثاء","الأربعاء","الخميس","الجمعة","السبت"))</f>
        <v/>
      </c>
      <c r="D272" s="14" t="n"/>
      <c r="E272" s="15" t="n"/>
      <c r="F272" s="16" t="n"/>
      <c r="G272" s="17" t="n"/>
      <c r="H272" s="18">
        <f>IF(OR(F272="",G272=""),"",ROUND(F272*G272,2))</f>
        <v/>
      </c>
      <c r="I272" s="19">
        <f>IF(ISNUMBER(SEARCH("ستاند",D272)),"أثاث وستاندات","")</f>
        <v/>
      </c>
      <c r="J272" s="20">
        <f>IF(E272="","",IF(I272="","⚠ عبّي الغرض",IF(AND(D272&lt;&gt;"",OR(ISNUMBER(SEARCH("صيانة",D272)),ISNUMBER(SEARCH("تعزيل",D272)),ISNUMBER(SEARCH("تنظيف",D272)),ISNUMBER(SEARCH("تصليح",D272)))),"⚠ الصيانة بلا ورشة",IF(H272="","⚠ ناقص",IF(D272&lt;&gt;"",IF(SUMIF($D$7:$D$806,D272,$H$7:$H$806)&gt;=20,"أصل","مصروف"),IFERROR(IF(VLOOKUP(I272,'القوائم'!$A$2:$D$14,4,0)="زكاة وصدقة","زكاة وصدقة",IF(AND(VLOOKUP(I272,'القوائم'!$A$2:$D$14,3,0)&lt;&gt;"",H272&gt;=20),"أصل","مصروف")),"مصروف"))))))</f>
        <v/>
      </c>
      <c r="K272" s="21" t="n"/>
      <c r="L272" s="22" t="n"/>
      <c r="N272">
        <f>IF(B272="","",MONTH(B272))</f>
        <v/>
      </c>
      <c r="O272">
        <f>IF(B272="","",YEAR(B272))</f>
        <v/>
      </c>
      <c r="P272">
        <f>IF(AND(D272&lt;&gt;"",COUNTIF(D$7:D272,D272)=1),MAX(P$6:P271)+1,"")</f>
        <v/>
      </c>
      <c r="Q272">
        <f>IF(E272="","",IF(I272="أجور عمال","أجرة","مادة"))</f>
        <v/>
      </c>
    </row>
    <row r="273">
      <c r="A273" s="12">
        <f>IF(E273="","",ROW()-6)</f>
        <v/>
      </c>
      <c r="B273" s="13" t="n"/>
      <c r="C273" s="12">
        <f>IF(B273="","",CHOOSE(WEEKDAY(B273,1),"الأحد","الاثنين","الثلاثاء","الأربعاء","الخميس","الجمعة","السبت"))</f>
        <v/>
      </c>
      <c r="D273" s="14" t="n"/>
      <c r="E273" s="15" t="n"/>
      <c r="F273" s="16" t="n"/>
      <c r="G273" s="17" t="n"/>
      <c r="H273" s="18">
        <f>IF(OR(F273="",G273=""),"",ROUND(F273*G273,2))</f>
        <v/>
      </c>
      <c r="I273" s="19">
        <f>IF(ISNUMBER(SEARCH("ستاند",D273)),"أثاث وستاندات","")</f>
        <v/>
      </c>
      <c r="J273" s="20">
        <f>IF(E273="","",IF(I273="","⚠ عبّي الغرض",IF(AND(D273&lt;&gt;"",OR(ISNUMBER(SEARCH("صيانة",D273)),ISNUMBER(SEARCH("تعزيل",D273)),ISNUMBER(SEARCH("تنظيف",D273)),ISNUMBER(SEARCH("تصليح",D273)))),"⚠ الصيانة بلا ورشة",IF(H273="","⚠ ناقص",IF(D273&lt;&gt;"",IF(SUMIF($D$7:$D$806,D273,$H$7:$H$806)&gt;=20,"أصل","مصروف"),IFERROR(IF(VLOOKUP(I273,'القوائم'!$A$2:$D$14,4,0)="زكاة وصدقة","زكاة وصدقة",IF(AND(VLOOKUP(I273,'القوائم'!$A$2:$D$14,3,0)&lt;&gt;"",H273&gt;=20),"أصل","مصروف")),"مصروف"))))))</f>
        <v/>
      </c>
      <c r="K273" s="21" t="n"/>
      <c r="L273" s="22" t="n"/>
      <c r="N273">
        <f>IF(B273="","",MONTH(B273))</f>
        <v/>
      </c>
      <c r="O273">
        <f>IF(B273="","",YEAR(B273))</f>
        <v/>
      </c>
      <c r="P273">
        <f>IF(AND(D273&lt;&gt;"",COUNTIF(D$7:D273,D273)=1),MAX(P$6:P272)+1,"")</f>
        <v/>
      </c>
      <c r="Q273">
        <f>IF(E273="","",IF(I273="أجور عمال","أجرة","مادة"))</f>
        <v/>
      </c>
    </row>
    <row r="274">
      <c r="A274" s="12">
        <f>IF(E274="","",ROW()-6)</f>
        <v/>
      </c>
      <c r="B274" s="13" t="n"/>
      <c r="C274" s="12">
        <f>IF(B274="","",CHOOSE(WEEKDAY(B274,1),"الأحد","الاثنين","الثلاثاء","الأربعاء","الخميس","الجمعة","السبت"))</f>
        <v/>
      </c>
      <c r="D274" s="14" t="n"/>
      <c r="E274" s="15" t="n"/>
      <c r="F274" s="16" t="n"/>
      <c r="G274" s="17" t="n"/>
      <c r="H274" s="18">
        <f>IF(OR(F274="",G274=""),"",ROUND(F274*G274,2))</f>
        <v/>
      </c>
      <c r="I274" s="19">
        <f>IF(ISNUMBER(SEARCH("ستاند",D274)),"أثاث وستاندات","")</f>
        <v/>
      </c>
      <c r="J274" s="20">
        <f>IF(E274="","",IF(I274="","⚠ عبّي الغرض",IF(AND(D274&lt;&gt;"",OR(ISNUMBER(SEARCH("صيانة",D274)),ISNUMBER(SEARCH("تعزيل",D274)),ISNUMBER(SEARCH("تنظيف",D274)),ISNUMBER(SEARCH("تصليح",D274)))),"⚠ الصيانة بلا ورشة",IF(H274="","⚠ ناقص",IF(D274&lt;&gt;"",IF(SUMIF($D$7:$D$806,D274,$H$7:$H$806)&gt;=20,"أصل","مصروف"),IFERROR(IF(VLOOKUP(I274,'القوائم'!$A$2:$D$14,4,0)="زكاة وصدقة","زكاة وصدقة",IF(AND(VLOOKUP(I274,'القوائم'!$A$2:$D$14,3,0)&lt;&gt;"",H274&gt;=20),"أصل","مصروف")),"مصروف"))))))</f>
        <v/>
      </c>
      <c r="K274" s="21" t="n"/>
      <c r="L274" s="22" t="n"/>
      <c r="N274">
        <f>IF(B274="","",MONTH(B274))</f>
        <v/>
      </c>
      <c r="O274">
        <f>IF(B274="","",YEAR(B274))</f>
        <v/>
      </c>
      <c r="P274">
        <f>IF(AND(D274&lt;&gt;"",COUNTIF(D$7:D274,D274)=1),MAX(P$6:P273)+1,"")</f>
        <v/>
      </c>
      <c r="Q274">
        <f>IF(E274="","",IF(I274="أجور عمال","أجرة","مادة"))</f>
        <v/>
      </c>
    </row>
    <row r="275">
      <c r="A275" s="12">
        <f>IF(E275="","",ROW()-6)</f>
        <v/>
      </c>
      <c r="B275" s="13" t="n"/>
      <c r="C275" s="12">
        <f>IF(B275="","",CHOOSE(WEEKDAY(B275,1),"الأحد","الاثنين","الثلاثاء","الأربعاء","الخميس","الجمعة","السبت"))</f>
        <v/>
      </c>
      <c r="D275" s="14" t="n"/>
      <c r="E275" s="15" t="n"/>
      <c r="F275" s="16" t="n"/>
      <c r="G275" s="17" t="n"/>
      <c r="H275" s="18">
        <f>IF(OR(F275="",G275=""),"",ROUND(F275*G275,2))</f>
        <v/>
      </c>
      <c r="I275" s="19">
        <f>IF(ISNUMBER(SEARCH("ستاند",D275)),"أثاث وستاندات","")</f>
        <v/>
      </c>
      <c r="J275" s="20">
        <f>IF(E275="","",IF(I275="","⚠ عبّي الغرض",IF(AND(D275&lt;&gt;"",OR(ISNUMBER(SEARCH("صيانة",D275)),ISNUMBER(SEARCH("تعزيل",D275)),ISNUMBER(SEARCH("تنظيف",D275)),ISNUMBER(SEARCH("تصليح",D275)))),"⚠ الصيانة بلا ورشة",IF(H275="","⚠ ناقص",IF(D275&lt;&gt;"",IF(SUMIF($D$7:$D$806,D275,$H$7:$H$806)&gt;=20,"أصل","مصروف"),IFERROR(IF(VLOOKUP(I275,'القوائم'!$A$2:$D$14,4,0)="زكاة وصدقة","زكاة وصدقة",IF(AND(VLOOKUP(I275,'القوائم'!$A$2:$D$14,3,0)&lt;&gt;"",H275&gt;=20),"أصل","مصروف")),"مصروف"))))))</f>
        <v/>
      </c>
      <c r="K275" s="21" t="n"/>
      <c r="L275" s="22" t="n"/>
      <c r="N275">
        <f>IF(B275="","",MONTH(B275))</f>
        <v/>
      </c>
      <c r="O275">
        <f>IF(B275="","",YEAR(B275))</f>
        <v/>
      </c>
      <c r="P275">
        <f>IF(AND(D275&lt;&gt;"",COUNTIF(D$7:D275,D275)=1),MAX(P$6:P274)+1,"")</f>
        <v/>
      </c>
      <c r="Q275">
        <f>IF(E275="","",IF(I275="أجور عمال","أجرة","مادة"))</f>
        <v/>
      </c>
    </row>
    <row r="276">
      <c r="A276" s="12">
        <f>IF(E276="","",ROW()-6)</f>
        <v/>
      </c>
      <c r="B276" s="13" t="n"/>
      <c r="C276" s="12">
        <f>IF(B276="","",CHOOSE(WEEKDAY(B276,1),"الأحد","الاثنين","الثلاثاء","الأربعاء","الخميس","الجمعة","السبت"))</f>
        <v/>
      </c>
      <c r="D276" s="14" t="n"/>
      <c r="E276" s="15" t="n"/>
      <c r="F276" s="16" t="n"/>
      <c r="G276" s="17" t="n"/>
      <c r="H276" s="18">
        <f>IF(OR(F276="",G276=""),"",ROUND(F276*G276,2))</f>
        <v/>
      </c>
      <c r="I276" s="19">
        <f>IF(ISNUMBER(SEARCH("ستاند",D276)),"أثاث وستاندات","")</f>
        <v/>
      </c>
      <c r="J276" s="20">
        <f>IF(E276="","",IF(I276="","⚠ عبّي الغرض",IF(AND(D276&lt;&gt;"",OR(ISNUMBER(SEARCH("صيانة",D276)),ISNUMBER(SEARCH("تعزيل",D276)),ISNUMBER(SEARCH("تنظيف",D276)),ISNUMBER(SEARCH("تصليح",D276)))),"⚠ الصيانة بلا ورشة",IF(H276="","⚠ ناقص",IF(D276&lt;&gt;"",IF(SUMIF($D$7:$D$806,D276,$H$7:$H$806)&gt;=20,"أصل","مصروف"),IFERROR(IF(VLOOKUP(I276,'القوائم'!$A$2:$D$14,4,0)="زكاة وصدقة","زكاة وصدقة",IF(AND(VLOOKUP(I276,'القوائم'!$A$2:$D$14,3,0)&lt;&gt;"",H276&gt;=20),"أصل","مصروف")),"مصروف"))))))</f>
        <v/>
      </c>
      <c r="K276" s="21" t="n"/>
      <c r="L276" s="22" t="n"/>
      <c r="N276">
        <f>IF(B276="","",MONTH(B276))</f>
        <v/>
      </c>
      <c r="O276">
        <f>IF(B276="","",YEAR(B276))</f>
        <v/>
      </c>
      <c r="P276">
        <f>IF(AND(D276&lt;&gt;"",COUNTIF(D$7:D276,D276)=1),MAX(P$6:P275)+1,"")</f>
        <v/>
      </c>
      <c r="Q276">
        <f>IF(E276="","",IF(I276="أجور عمال","أجرة","مادة"))</f>
        <v/>
      </c>
    </row>
    <row r="277">
      <c r="A277" s="12">
        <f>IF(E277="","",ROW()-6)</f>
        <v/>
      </c>
      <c r="B277" s="13" t="n"/>
      <c r="C277" s="12">
        <f>IF(B277="","",CHOOSE(WEEKDAY(B277,1),"الأحد","الاثنين","الثلاثاء","الأربعاء","الخميس","الجمعة","السبت"))</f>
        <v/>
      </c>
      <c r="D277" s="14" t="n"/>
      <c r="E277" s="15" t="n"/>
      <c r="F277" s="16" t="n"/>
      <c r="G277" s="17" t="n"/>
      <c r="H277" s="18">
        <f>IF(OR(F277="",G277=""),"",ROUND(F277*G277,2))</f>
        <v/>
      </c>
      <c r="I277" s="19">
        <f>IF(ISNUMBER(SEARCH("ستاند",D277)),"أثاث وستاندات","")</f>
        <v/>
      </c>
      <c r="J277" s="20">
        <f>IF(E277="","",IF(I277="","⚠ عبّي الغرض",IF(AND(D277&lt;&gt;"",OR(ISNUMBER(SEARCH("صيانة",D277)),ISNUMBER(SEARCH("تعزيل",D277)),ISNUMBER(SEARCH("تنظيف",D277)),ISNUMBER(SEARCH("تصليح",D277)))),"⚠ الصيانة بلا ورشة",IF(H277="","⚠ ناقص",IF(D277&lt;&gt;"",IF(SUMIF($D$7:$D$806,D277,$H$7:$H$806)&gt;=20,"أصل","مصروف"),IFERROR(IF(VLOOKUP(I277,'القوائم'!$A$2:$D$14,4,0)="زكاة وصدقة","زكاة وصدقة",IF(AND(VLOOKUP(I277,'القوائم'!$A$2:$D$14,3,0)&lt;&gt;"",H277&gt;=20),"أصل","مصروف")),"مصروف"))))))</f>
        <v/>
      </c>
      <c r="K277" s="21" t="n"/>
      <c r="L277" s="22" t="n"/>
      <c r="N277">
        <f>IF(B277="","",MONTH(B277))</f>
        <v/>
      </c>
      <c r="O277">
        <f>IF(B277="","",YEAR(B277))</f>
        <v/>
      </c>
      <c r="P277">
        <f>IF(AND(D277&lt;&gt;"",COUNTIF(D$7:D277,D277)=1),MAX(P$6:P276)+1,"")</f>
        <v/>
      </c>
      <c r="Q277">
        <f>IF(E277="","",IF(I277="أجور عمال","أجرة","مادة"))</f>
        <v/>
      </c>
    </row>
    <row r="278">
      <c r="A278" s="12">
        <f>IF(E278="","",ROW()-6)</f>
        <v/>
      </c>
      <c r="B278" s="13" t="n"/>
      <c r="C278" s="12">
        <f>IF(B278="","",CHOOSE(WEEKDAY(B278,1),"الأحد","الاثنين","الثلاثاء","الأربعاء","الخميس","الجمعة","السبت"))</f>
        <v/>
      </c>
      <c r="D278" s="14" t="n"/>
      <c r="E278" s="15" t="n"/>
      <c r="F278" s="16" t="n"/>
      <c r="G278" s="17" t="n"/>
      <c r="H278" s="18">
        <f>IF(OR(F278="",G278=""),"",ROUND(F278*G278,2))</f>
        <v/>
      </c>
      <c r="I278" s="19">
        <f>IF(ISNUMBER(SEARCH("ستاند",D278)),"أثاث وستاندات","")</f>
        <v/>
      </c>
      <c r="J278" s="20">
        <f>IF(E278="","",IF(I278="","⚠ عبّي الغرض",IF(AND(D278&lt;&gt;"",OR(ISNUMBER(SEARCH("صيانة",D278)),ISNUMBER(SEARCH("تعزيل",D278)),ISNUMBER(SEARCH("تنظيف",D278)),ISNUMBER(SEARCH("تصليح",D278)))),"⚠ الصيانة بلا ورشة",IF(H278="","⚠ ناقص",IF(D278&lt;&gt;"",IF(SUMIF($D$7:$D$806,D278,$H$7:$H$806)&gt;=20,"أصل","مصروف"),IFERROR(IF(VLOOKUP(I278,'القوائم'!$A$2:$D$14,4,0)="زكاة وصدقة","زكاة وصدقة",IF(AND(VLOOKUP(I278,'القوائم'!$A$2:$D$14,3,0)&lt;&gt;"",H278&gt;=20),"أصل","مصروف")),"مصروف"))))))</f>
        <v/>
      </c>
      <c r="K278" s="21" t="n"/>
      <c r="L278" s="22" t="n"/>
      <c r="N278">
        <f>IF(B278="","",MONTH(B278))</f>
        <v/>
      </c>
      <c r="O278">
        <f>IF(B278="","",YEAR(B278))</f>
        <v/>
      </c>
      <c r="P278">
        <f>IF(AND(D278&lt;&gt;"",COUNTIF(D$7:D278,D278)=1),MAX(P$6:P277)+1,"")</f>
        <v/>
      </c>
      <c r="Q278">
        <f>IF(E278="","",IF(I278="أجور عمال","أجرة","مادة"))</f>
        <v/>
      </c>
    </row>
    <row r="279">
      <c r="A279" s="12">
        <f>IF(E279="","",ROW()-6)</f>
        <v/>
      </c>
      <c r="B279" s="13" t="n"/>
      <c r="C279" s="12">
        <f>IF(B279="","",CHOOSE(WEEKDAY(B279,1),"الأحد","الاثنين","الثلاثاء","الأربعاء","الخميس","الجمعة","السبت"))</f>
        <v/>
      </c>
      <c r="D279" s="14" t="n"/>
      <c r="E279" s="15" t="n"/>
      <c r="F279" s="16" t="n"/>
      <c r="G279" s="17" t="n"/>
      <c r="H279" s="18">
        <f>IF(OR(F279="",G279=""),"",ROUND(F279*G279,2))</f>
        <v/>
      </c>
      <c r="I279" s="19">
        <f>IF(ISNUMBER(SEARCH("ستاند",D279)),"أثاث وستاندات","")</f>
        <v/>
      </c>
      <c r="J279" s="20">
        <f>IF(E279="","",IF(I279="","⚠ عبّي الغرض",IF(AND(D279&lt;&gt;"",OR(ISNUMBER(SEARCH("صيانة",D279)),ISNUMBER(SEARCH("تعزيل",D279)),ISNUMBER(SEARCH("تنظيف",D279)),ISNUMBER(SEARCH("تصليح",D279)))),"⚠ الصيانة بلا ورشة",IF(H279="","⚠ ناقص",IF(D279&lt;&gt;"",IF(SUMIF($D$7:$D$806,D279,$H$7:$H$806)&gt;=20,"أصل","مصروف"),IFERROR(IF(VLOOKUP(I279,'القوائم'!$A$2:$D$14,4,0)="زكاة وصدقة","زكاة وصدقة",IF(AND(VLOOKUP(I279,'القوائم'!$A$2:$D$14,3,0)&lt;&gt;"",H279&gt;=20),"أصل","مصروف")),"مصروف"))))))</f>
        <v/>
      </c>
      <c r="K279" s="21" t="n"/>
      <c r="L279" s="22" t="n"/>
      <c r="N279">
        <f>IF(B279="","",MONTH(B279))</f>
        <v/>
      </c>
      <c r="O279">
        <f>IF(B279="","",YEAR(B279))</f>
        <v/>
      </c>
      <c r="P279">
        <f>IF(AND(D279&lt;&gt;"",COUNTIF(D$7:D279,D279)=1),MAX(P$6:P278)+1,"")</f>
        <v/>
      </c>
      <c r="Q279">
        <f>IF(E279="","",IF(I279="أجور عمال","أجرة","مادة"))</f>
        <v/>
      </c>
    </row>
    <row r="280">
      <c r="A280" s="12">
        <f>IF(E280="","",ROW()-6)</f>
        <v/>
      </c>
      <c r="B280" s="13" t="n"/>
      <c r="C280" s="12">
        <f>IF(B280="","",CHOOSE(WEEKDAY(B280,1),"الأحد","الاثنين","الثلاثاء","الأربعاء","الخميس","الجمعة","السبت"))</f>
        <v/>
      </c>
      <c r="D280" s="14" t="n"/>
      <c r="E280" s="15" t="n"/>
      <c r="F280" s="16" t="n"/>
      <c r="G280" s="17" t="n"/>
      <c r="H280" s="18">
        <f>IF(OR(F280="",G280=""),"",ROUND(F280*G280,2))</f>
        <v/>
      </c>
      <c r="I280" s="19">
        <f>IF(ISNUMBER(SEARCH("ستاند",D280)),"أثاث وستاندات","")</f>
        <v/>
      </c>
      <c r="J280" s="20">
        <f>IF(E280="","",IF(I280="","⚠ عبّي الغرض",IF(AND(D280&lt;&gt;"",OR(ISNUMBER(SEARCH("صيانة",D280)),ISNUMBER(SEARCH("تعزيل",D280)),ISNUMBER(SEARCH("تنظيف",D280)),ISNUMBER(SEARCH("تصليح",D280)))),"⚠ الصيانة بلا ورشة",IF(H280="","⚠ ناقص",IF(D280&lt;&gt;"",IF(SUMIF($D$7:$D$806,D280,$H$7:$H$806)&gt;=20,"أصل","مصروف"),IFERROR(IF(VLOOKUP(I280,'القوائم'!$A$2:$D$14,4,0)="زكاة وصدقة","زكاة وصدقة",IF(AND(VLOOKUP(I280,'القوائم'!$A$2:$D$14,3,0)&lt;&gt;"",H280&gt;=20),"أصل","مصروف")),"مصروف"))))))</f>
        <v/>
      </c>
      <c r="K280" s="21" t="n"/>
      <c r="L280" s="22" t="n"/>
      <c r="N280">
        <f>IF(B280="","",MONTH(B280))</f>
        <v/>
      </c>
      <c r="O280">
        <f>IF(B280="","",YEAR(B280))</f>
        <v/>
      </c>
      <c r="P280">
        <f>IF(AND(D280&lt;&gt;"",COUNTIF(D$7:D280,D280)=1),MAX(P$6:P279)+1,"")</f>
        <v/>
      </c>
      <c r="Q280">
        <f>IF(E280="","",IF(I280="أجور عمال","أجرة","مادة"))</f>
        <v/>
      </c>
    </row>
    <row r="281">
      <c r="A281" s="12">
        <f>IF(E281="","",ROW()-6)</f>
        <v/>
      </c>
      <c r="B281" s="13" t="n"/>
      <c r="C281" s="12">
        <f>IF(B281="","",CHOOSE(WEEKDAY(B281,1),"الأحد","الاثنين","الثلاثاء","الأربعاء","الخميس","الجمعة","السبت"))</f>
        <v/>
      </c>
      <c r="D281" s="14" t="n"/>
      <c r="E281" s="15" t="n"/>
      <c r="F281" s="16" t="n"/>
      <c r="G281" s="17" t="n"/>
      <c r="H281" s="18">
        <f>IF(OR(F281="",G281=""),"",ROUND(F281*G281,2))</f>
        <v/>
      </c>
      <c r="I281" s="19">
        <f>IF(ISNUMBER(SEARCH("ستاند",D281)),"أثاث وستاندات","")</f>
        <v/>
      </c>
      <c r="J281" s="20">
        <f>IF(E281="","",IF(I281="","⚠ عبّي الغرض",IF(AND(D281&lt;&gt;"",OR(ISNUMBER(SEARCH("صيانة",D281)),ISNUMBER(SEARCH("تعزيل",D281)),ISNUMBER(SEARCH("تنظيف",D281)),ISNUMBER(SEARCH("تصليح",D281)))),"⚠ الصيانة بلا ورشة",IF(H281="","⚠ ناقص",IF(D281&lt;&gt;"",IF(SUMIF($D$7:$D$806,D281,$H$7:$H$806)&gt;=20,"أصل","مصروف"),IFERROR(IF(VLOOKUP(I281,'القوائم'!$A$2:$D$14,4,0)="زكاة وصدقة","زكاة وصدقة",IF(AND(VLOOKUP(I281,'القوائم'!$A$2:$D$14,3,0)&lt;&gt;"",H281&gt;=20),"أصل","مصروف")),"مصروف"))))))</f>
        <v/>
      </c>
      <c r="K281" s="21" t="n"/>
      <c r="L281" s="22" t="n"/>
      <c r="N281">
        <f>IF(B281="","",MONTH(B281))</f>
        <v/>
      </c>
      <c r="O281">
        <f>IF(B281="","",YEAR(B281))</f>
        <v/>
      </c>
      <c r="P281">
        <f>IF(AND(D281&lt;&gt;"",COUNTIF(D$7:D281,D281)=1),MAX(P$6:P280)+1,"")</f>
        <v/>
      </c>
      <c r="Q281">
        <f>IF(E281="","",IF(I281="أجور عمال","أجرة","مادة"))</f>
        <v/>
      </c>
    </row>
    <row r="282">
      <c r="A282" s="12">
        <f>IF(E282="","",ROW()-6)</f>
        <v/>
      </c>
      <c r="B282" s="13" t="n"/>
      <c r="C282" s="12">
        <f>IF(B282="","",CHOOSE(WEEKDAY(B282,1),"الأحد","الاثنين","الثلاثاء","الأربعاء","الخميس","الجمعة","السبت"))</f>
        <v/>
      </c>
      <c r="D282" s="14" t="n"/>
      <c r="E282" s="15" t="n"/>
      <c r="F282" s="16" t="n"/>
      <c r="G282" s="17" t="n"/>
      <c r="H282" s="18">
        <f>IF(OR(F282="",G282=""),"",ROUND(F282*G282,2))</f>
        <v/>
      </c>
      <c r="I282" s="19">
        <f>IF(ISNUMBER(SEARCH("ستاند",D282)),"أثاث وستاندات","")</f>
        <v/>
      </c>
      <c r="J282" s="20">
        <f>IF(E282="","",IF(I282="","⚠ عبّي الغرض",IF(AND(D282&lt;&gt;"",OR(ISNUMBER(SEARCH("صيانة",D282)),ISNUMBER(SEARCH("تعزيل",D282)),ISNUMBER(SEARCH("تنظيف",D282)),ISNUMBER(SEARCH("تصليح",D282)))),"⚠ الصيانة بلا ورشة",IF(H282="","⚠ ناقص",IF(D282&lt;&gt;"",IF(SUMIF($D$7:$D$806,D282,$H$7:$H$806)&gt;=20,"أصل","مصروف"),IFERROR(IF(VLOOKUP(I282,'القوائم'!$A$2:$D$14,4,0)="زكاة وصدقة","زكاة وصدقة",IF(AND(VLOOKUP(I282,'القوائم'!$A$2:$D$14,3,0)&lt;&gt;"",H282&gt;=20),"أصل","مصروف")),"مصروف"))))))</f>
        <v/>
      </c>
      <c r="K282" s="21" t="n"/>
      <c r="L282" s="22" t="n"/>
      <c r="N282">
        <f>IF(B282="","",MONTH(B282))</f>
        <v/>
      </c>
      <c r="O282">
        <f>IF(B282="","",YEAR(B282))</f>
        <v/>
      </c>
      <c r="P282">
        <f>IF(AND(D282&lt;&gt;"",COUNTIF(D$7:D282,D282)=1),MAX(P$6:P281)+1,"")</f>
        <v/>
      </c>
      <c r="Q282">
        <f>IF(E282="","",IF(I282="أجور عمال","أجرة","مادة"))</f>
        <v/>
      </c>
    </row>
    <row r="283">
      <c r="A283" s="12">
        <f>IF(E283="","",ROW()-6)</f>
        <v/>
      </c>
      <c r="B283" s="13" t="n"/>
      <c r="C283" s="12">
        <f>IF(B283="","",CHOOSE(WEEKDAY(B283,1),"الأحد","الاثنين","الثلاثاء","الأربعاء","الخميس","الجمعة","السبت"))</f>
        <v/>
      </c>
      <c r="D283" s="14" t="n"/>
      <c r="E283" s="15" t="n"/>
      <c r="F283" s="16" t="n"/>
      <c r="G283" s="17" t="n"/>
      <c r="H283" s="18">
        <f>IF(OR(F283="",G283=""),"",ROUND(F283*G283,2))</f>
        <v/>
      </c>
      <c r="I283" s="19">
        <f>IF(ISNUMBER(SEARCH("ستاند",D283)),"أثاث وستاندات","")</f>
        <v/>
      </c>
      <c r="J283" s="20">
        <f>IF(E283="","",IF(I283="","⚠ عبّي الغرض",IF(AND(D283&lt;&gt;"",OR(ISNUMBER(SEARCH("صيانة",D283)),ISNUMBER(SEARCH("تعزيل",D283)),ISNUMBER(SEARCH("تنظيف",D283)),ISNUMBER(SEARCH("تصليح",D283)))),"⚠ الصيانة بلا ورشة",IF(H283="","⚠ ناقص",IF(D283&lt;&gt;"",IF(SUMIF($D$7:$D$806,D283,$H$7:$H$806)&gt;=20,"أصل","مصروف"),IFERROR(IF(VLOOKUP(I283,'القوائم'!$A$2:$D$14,4,0)="زكاة وصدقة","زكاة وصدقة",IF(AND(VLOOKUP(I283,'القوائم'!$A$2:$D$14,3,0)&lt;&gt;"",H283&gt;=20),"أصل","مصروف")),"مصروف"))))))</f>
        <v/>
      </c>
      <c r="K283" s="21" t="n"/>
      <c r="L283" s="22" t="n"/>
      <c r="N283">
        <f>IF(B283="","",MONTH(B283))</f>
        <v/>
      </c>
      <c r="O283">
        <f>IF(B283="","",YEAR(B283))</f>
        <v/>
      </c>
      <c r="P283">
        <f>IF(AND(D283&lt;&gt;"",COUNTIF(D$7:D283,D283)=1),MAX(P$6:P282)+1,"")</f>
        <v/>
      </c>
      <c r="Q283">
        <f>IF(E283="","",IF(I283="أجور عمال","أجرة","مادة"))</f>
        <v/>
      </c>
    </row>
    <row r="284">
      <c r="A284" s="12">
        <f>IF(E284="","",ROW()-6)</f>
        <v/>
      </c>
      <c r="B284" s="13" t="n"/>
      <c r="C284" s="12">
        <f>IF(B284="","",CHOOSE(WEEKDAY(B284,1),"الأحد","الاثنين","الثلاثاء","الأربعاء","الخميس","الجمعة","السبت"))</f>
        <v/>
      </c>
      <c r="D284" s="14" t="n"/>
      <c r="E284" s="15" t="n"/>
      <c r="F284" s="16" t="n"/>
      <c r="G284" s="17" t="n"/>
      <c r="H284" s="18">
        <f>IF(OR(F284="",G284=""),"",ROUND(F284*G284,2))</f>
        <v/>
      </c>
      <c r="I284" s="19">
        <f>IF(ISNUMBER(SEARCH("ستاند",D284)),"أثاث وستاندات","")</f>
        <v/>
      </c>
      <c r="J284" s="20">
        <f>IF(E284="","",IF(I284="","⚠ عبّي الغرض",IF(AND(D284&lt;&gt;"",OR(ISNUMBER(SEARCH("صيانة",D284)),ISNUMBER(SEARCH("تعزيل",D284)),ISNUMBER(SEARCH("تنظيف",D284)),ISNUMBER(SEARCH("تصليح",D284)))),"⚠ الصيانة بلا ورشة",IF(H284="","⚠ ناقص",IF(D284&lt;&gt;"",IF(SUMIF($D$7:$D$806,D284,$H$7:$H$806)&gt;=20,"أصل","مصروف"),IFERROR(IF(VLOOKUP(I284,'القوائم'!$A$2:$D$14,4,0)="زكاة وصدقة","زكاة وصدقة",IF(AND(VLOOKUP(I284,'القوائم'!$A$2:$D$14,3,0)&lt;&gt;"",H284&gt;=20),"أصل","مصروف")),"مصروف"))))))</f>
        <v/>
      </c>
      <c r="K284" s="21" t="n"/>
      <c r="L284" s="22" t="n"/>
      <c r="N284">
        <f>IF(B284="","",MONTH(B284))</f>
        <v/>
      </c>
      <c r="O284">
        <f>IF(B284="","",YEAR(B284))</f>
        <v/>
      </c>
      <c r="P284">
        <f>IF(AND(D284&lt;&gt;"",COUNTIF(D$7:D284,D284)=1),MAX(P$6:P283)+1,"")</f>
        <v/>
      </c>
      <c r="Q284">
        <f>IF(E284="","",IF(I284="أجور عمال","أجرة","مادة"))</f>
        <v/>
      </c>
    </row>
    <row r="285">
      <c r="A285" s="12">
        <f>IF(E285="","",ROW()-6)</f>
        <v/>
      </c>
      <c r="B285" s="13" t="n"/>
      <c r="C285" s="12">
        <f>IF(B285="","",CHOOSE(WEEKDAY(B285,1),"الأحد","الاثنين","الثلاثاء","الأربعاء","الخميس","الجمعة","السبت"))</f>
        <v/>
      </c>
      <c r="D285" s="14" t="n"/>
      <c r="E285" s="15" t="n"/>
      <c r="F285" s="16" t="n"/>
      <c r="G285" s="17" t="n"/>
      <c r="H285" s="18">
        <f>IF(OR(F285="",G285=""),"",ROUND(F285*G285,2))</f>
        <v/>
      </c>
      <c r="I285" s="19">
        <f>IF(ISNUMBER(SEARCH("ستاند",D285)),"أثاث وستاندات","")</f>
        <v/>
      </c>
      <c r="J285" s="20">
        <f>IF(E285="","",IF(I285="","⚠ عبّي الغرض",IF(AND(D285&lt;&gt;"",OR(ISNUMBER(SEARCH("صيانة",D285)),ISNUMBER(SEARCH("تعزيل",D285)),ISNUMBER(SEARCH("تنظيف",D285)),ISNUMBER(SEARCH("تصليح",D285)))),"⚠ الصيانة بلا ورشة",IF(H285="","⚠ ناقص",IF(D285&lt;&gt;"",IF(SUMIF($D$7:$D$806,D285,$H$7:$H$806)&gt;=20,"أصل","مصروف"),IFERROR(IF(VLOOKUP(I285,'القوائم'!$A$2:$D$14,4,0)="زكاة وصدقة","زكاة وصدقة",IF(AND(VLOOKUP(I285,'القوائم'!$A$2:$D$14,3,0)&lt;&gt;"",H285&gt;=20),"أصل","مصروف")),"مصروف"))))))</f>
        <v/>
      </c>
      <c r="K285" s="21" t="n"/>
      <c r="L285" s="22" t="n"/>
      <c r="N285">
        <f>IF(B285="","",MONTH(B285))</f>
        <v/>
      </c>
      <c r="O285">
        <f>IF(B285="","",YEAR(B285))</f>
        <v/>
      </c>
      <c r="P285">
        <f>IF(AND(D285&lt;&gt;"",COUNTIF(D$7:D285,D285)=1),MAX(P$6:P284)+1,"")</f>
        <v/>
      </c>
      <c r="Q285">
        <f>IF(E285="","",IF(I285="أجور عمال","أجرة","مادة"))</f>
        <v/>
      </c>
    </row>
    <row r="286">
      <c r="A286" s="12">
        <f>IF(E286="","",ROW()-6)</f>
        <v/>
      </c>
      <c r="B286" s="13" t="n"/>
      <c r="C286" s="12">
        <f>IF(B286="","",CHOOSE(WEEKDAY(B286,1),"الأحد","الاثنين","الثلاثاء","الأربعاء","الخميس","الجمعة","السبت"))</f>
        <v/>
      </c>
      <c r="D286" s="14" t="n"/>
      <c r="E286" s="15" t="n"/>
      <c r="F286" s="16" t="n"/>
      <c r="G286" s="17" t="n"/>
      <c r="H286" s="18">
        <f>IF(OR(F286="",G286=""),"",ROUND(F286*G286,2))</f>
        <v/>
      </c>
      <c r="I286" s="19">
        <f>IF(ISNUMBER(SEARCH("ستاند",D286)),"أثاث وستاندات","")</f>
        <v/>
      </c>
      <c r="J286" s="20">
        <f>IF(E286="","",IF(I286="","⚠ عبّي الغرض",IF(AND(D286&lt;&gt;"",OR(ISNUMBER(SEARCH("صيانة",D286)),ISNUMBER(SEARCH("تعزيل",D286)),ISNUMBER(SEARCH("تنظيف",D286)),ISNUMBER(SEARCH("تصليح",D286)))),"⚠ الصيانة بلا ورشة",IF(H286="","⚠ ناقص",IF(D286&lt;&gt;"",IF(SUMIF($D$7:$D$806,D286,$H$7:$H$806)&gt;=20,"أصل","مصروف"),IFERROR(IF(VLOOKUP(I286,'القوائم'!$A$2:$D$14,4,0)="زكاة وصدقة","زكاة وصدقة",IF(AND(VLOOKUP(I286,'القوائم'!$A$2:$D$14,3,0)&lt;&gt;"",H286&gt;=20),"أصل","مصروف")),"مصروف"))))))</f>
        <v/>
      </c>
      <c r="K286" s="21" t="n"/>
      <c r="L286" s="22" t="n"/>
      <c r="N286">
        <f>IF(B286="","",MONTH(B286))</f>
        <v/>
      </c>
      <c r="O286">
        <f>IF(B286="","",YEAR(B286))</f>
        <v/>
      </c>
      <c r="P286">
        <f>IF(AND(D286&lt;&gt;"",COUNTIF(D$7:D286,D286)=1),MAX(P$6:P285)+1,"")</f>
        <v/>
      </c>
      <c r="Q286">
        <f>IF(E286="","",IF(I286="أجور عمال","أجرة","مادة"))</f>
        <v/>
      </c>
    </row>
    <row r="287">
      <c r="A287" s="12">
        <f>IF(E287="","",ROW()-6)</f>
        <v/>
      </c>
      <c r="B287" s="13" t="n"/>
      <c r="C287" s="12">
        <f>IF(B287="","",CHOOSE(WEEKDAY(B287,1),"الأحد","الاثنين","الثلاثاء","الأربعاء","الخميس","الجمعة","السبت"))</f>
        <v/>
      </c>
      <c r="D287" s="14" t="n"/>
      <c r="E287" s="15" t="n"/>
      <c r="F287" s="16" t="n"/>
      <c r="G287" s="17" t="n"/>
      <c r="H287" s="18">
        <f>IF(OR(F287="",G287=""),"",ROUND(F287*G287,2))</f>
        <v/>
      </c>
      <c r="I287" s="19">
        <f>IF(ISNUMBER(SEARCH("ستاند",D287)),"أثاث وستاندات","")</f>
        <v/>
      </c>
      <c r="J287" s="20">
        <f>IF(E287="","",IF(I287="","⚠ عبّي الغرض",IF(AND(D287&lt;&gt;"",OR(ISNUMBER(SEARCH("صيانة",D287)),ISNUMBER(SEARCH("تعزيل",D287)),ISNUMBER(SEARCH("تنظيف",D287)),ISNUMBER(SEARCH("تصليح",D287)))),"⚠ الصيانة بلا ورشة",IF(H287="","⚠ ناقص",IF(D287&lt;&gt;"",IF(SUMIF($D$7:$D$806,D287,$H$7:$H$806)&gt;=20,"أصل","مصروف"),IFERROR(IF(VLOOKUP(I287,'القوائم'!$A$2:$D$14,4,0)="زكاة وصدقة","زكاة وصدقة",IF(AND(VLOOKUP(I287,'القوائم'!$A$2:$D$14,3,0)&lt;&gt;"",H287&gt;=20),"أصل","مصروف")),"مصروف"))))))</f>
        <v/>
      </c>
      <c r="K287" s="21" t="n"/>
      <c r="L287" s="22" t="n"/>
      <c r="N287">
        <f>IF(B287="","",MONTH(B287))</f>
        <v/>
      </c>
      <c r="O287">
        <f>IF(B287="","",YEAR(B287))</f>
        <v/>
      </c>
      <c r="P287">
        <f>IF(AND(D287&lt;&gt;"",COUNTIF(D$7:D287,D287)=1),MAX(P$6:P286)+1,"")</f>
        <v/>
      </c>
      <c r="Q287">
        <f>IF(E287="","",IF(I287="أجور عمال","أجرة","مادة"))</f>
        <v/>
      </c>
    </row>
    <row r="288">
      <c r="A288" s="12">
        <f>IF(E288="","",ROW()-6)</f>
        <v/>
      </c>
      <c r="B288" s="13" t="n"/>
      <c r="C288" s="12">
        <f>IF(B288="","",CHOOSE(WEEKDAY(B288,1),"الأحد","الاثنين","الثلاثاء","الأربعاء","الخميس","الجمعة","السبت"))</f>
        <v/>
      </c>
      <c r="D288" s="14" t="n"/>
      <c r="E288" s="15" t="n"/>
      <c r="F288" s="16" t="n"/>
      <c r="G288" s="17" t="n"/>
      <c r="H288" s="18">
        <f>IF(OR(F288="",G288=""),"",ROUND(F288*G288,2))</f>
        <v/>
      </c>
      <c r="I288" s="19">
        <f>IF(ISNUMBER(SEARCH("ستاند",D288)),"أثاث وستاندات","")</f>
        <v/>
      </c>
      <c r="J288" s="20">
        <f>IF(E288="","",IF(I288="","⚠ عبّي الغرض",IF(AND(D288&lt;&gt;"",OR(ISNUMBER(SEARCH("صيانة",D288)),ISNUMBER(SEARCH("تعزيل",D288)),ISNUMBER(SEARCH("تنظيف",D288)),ISNUMBER(SEARCH("تصليح",D288)))),"⚠ الصيانة بلا ورشة",IF(H288="","⚠ ناقص",IF(D288&lt;&gt;"",IF(SUMIF($D$7:$D$806,D288,$H$7:$H$806)&gt;=20,"أصل","مصروف"),IFERROR(IF(VLOOKUP(I288,'القوائم'!$A$2:$D$14,4,0)="زكاة وصدقة","زكاة وصدقة",IF(AND(VLOOKUP(I288,'القوائم'!$A$2:$D$14,3,0)&lt;&gt;"",H288&gt;=20),"أصل","مصروف")),"مصروف"))))))</f>
        <v/>
      </c>
      <c r="K288" s="21" t="n"/>
      <c r="L288" s="22" t="n"/>
      <c r="N288">
        <f>IF(B288="","",MONTH(B288))</f>
        <v/>
      </c>
      <c r="O288">
        <f>IF(B288="","",YEAR(B288))</f>
        <v/>
      </c>
      <c r="P288">
        <f>IF(AND(D288&lt;&gt;"",COUNTIF(D$7:D288,D288)=1),MAX(P$6:P287)+1,"")</f>
        <v/>
      </c>
      <c r="Q288">
        <f>IF(E288="","",IF(I288="أجور عمال","أجرة","مادة"))</f>
        <v/>
      </c>
    </row>
    <row r="289">
      <c r="A289" s="12">
        <f>IF(E289="","",ROW()-6)</f>
        <v/>
      </c>
      <c r="B289" s="13" t="n"/>
      <c r="C289" s="12">
        <f>IF(B289="","",CHOOSE(WEEKDAY(B289,1),"الأحد","الاثنين","الثلاثاء","الأربعاء","الخميس","الجمعة","السبت"))</f>
        <v/>
      </c>
      <c r="D289" s="14" t="n"/>
      <c r="E289" s="15" t="n"/>
      <c r="F289" s="16" t="n"/>
      <c r="G289" s="17" t="n"/>
      <c r="H289" s="18">
        <f>IF(OR(F289="",G289=""),"",ROUND(F289*G289,2))</f>
        <v/>
      </c>
      <c r="I289" s="19">
        <f>IF(ISNUMBER(SEARCH("ستاند",D289)),"أثاث وستاندات","")</f>
        <v/>
      </c>
      <c r="J289" s="20">
        <f>IF(E289="","",IF(I289="","⚠ عبّي الغرض",IF(AND(D289&lt;&gt;"",OR(ISNUMBER(SEARCH("صيانة",D289)),ISNUMBER(SEARCH("تعزيل",D289)),ISNUMBER(SEARCH("تنظيف",D289)),ISNUMBER(SEARCH("تصليح",D289)))),"⚠ الصيانة بلا ورشة",IF(H289="","⚠ ناقص",IF(D289&lt;&gt;"",IF(SUMIF($D$7:$D$806,D289,$H$7:$H$806)&gt;=20,"أصل","مصروف"),IFERROR(IF(VLOOKUP(I289,'القوائم'!$A$2:$D$14,4,0)="زكاة وصدقة","زكاة وصدقة",IF(AND(VLOOKUP(I289,'القوائم'!$A$2:$D$14,3,0)&lt;&gt;"",H289&gt;=20),"أصل","مصروف")),"مصروف"))))))</f>
        <v/>
      </c>
      <c r="K289" s="21" t="n"/>
      <c r="L289" s="22" t="n"/>
      <c r="N289">
        <f>IF(B289="","",MONTH(B289))</f>
        <v/>
      </c>
      <c r="O289">
        <f>IF(B289="","",YEAR(B289))</f>
        <v/>
      </c>
      <c r="P289">
        <f>IF(AND(D289&lt;&gt;"",COUNTIF(D$7:D289,D289)=1),MAX(P$6:P288)+1,"")</f>
        <v/>
      </c>
      <c r="Q289">
        <f>IF(E289="","",IF(I289="أجور عمال","أجرة","مادة"))</f>
        <v/>
      </c>
    </row>
    <row r="290">
      <c r="A290" s="12">
        <f>IF(E290="","",ROW()-6)</f>
        <v/>
      </c>
      <c r="B290" s="13" t="n"/>
      <c r="C290" s="12">
        <f>IF(B290="","",CHOOSE(WEEKDAY(B290,1),"الأحد","الاثنين","الثلاثاء","الأربعاء","الخميس","الجمعة","السبت"))</f>
        <v/>
      </c>
      <c r="D290" s="14" t="n"/>
      <c r="E290" s="15" t="n"/>
      <c r="F290" s="16" t="n"/>
      <c r="G290" s="17" t="n"/>
      <c r="H290" s="18">
        <f>IF(OR(F290="",G290=""),"",ROUND(F290*G290,2))</f>
        <v/>
      </c>
      <c r="I290" s="19">
        <f>IF(ISNUMBER(SEARCH("ستاند",D290)),"أثاث وستاندات","")</f>
        <v/>
      </c>
      <c r="J290" s="20">
        <f>IF(E290="","",IF(I290="","⚠ عبّي الغرض",IF(AND(D290&lt;&gt;"",OR(ISNUMBER(SEARCH("صيانة",D290)),ISNUMBER(SEARCH("تعزيل",D290)),ISNUMBER(SEARCH("تنظيف",D290)),ISNUMBER(SEARCH("تصليح",D290)))),"⚠ الصيانة بلا ورشة",IF(H290="","⚠ ناقص",IF(D290&lt;&gt;"",IF(SUMIF($D$7:$D$806,D290,$H$7:$H$806)&gt;=20,"أصل","مصروف"),IFERROR(IF(VLOOKUP(I290,'القوائم'!$A$2:$D$14,4,0)="زكاة وصدقة","زكاة وصدقة",IF(AND(VLOOKUP(I290,'القوائم'!$A$2:$D$14,3,0)&lt;&gt;"",H290&gt;=20),"أصل","مصروف")),"مصروف"))))))</f>
        <v/>
      </c>
      <c r="K290" s="21" t="n"/>
      <c r="L290" s="22" t="n"/>
      <c r="N290">
        <f>IF(B290="","",MONTH(B290))</f>
        <v/>
      </c>
      <c r="O290">
        <f>IF(B290="","",YEAR(B290))</f>
        <v/>
      </c>
      <c r="P290">
        <f>IF(AND(D290&lt;&gt;"",COUNTIF(D$7:D290,D290)=1),MAX(P$6:P289)+1,"")</f>
        <v/>
      </c>
      <c r="Q290">
        <f>IF(E290="","",IF(I290="أجور عمال","أجرة","مادة"))</f>
        <v/>
      </c>
    </row>
    <row r="291">
      <c r="A291" s="12">
        <f>IF(E291="","",ROW()-6)</f>
        <v/>
      </c>
      <c r="B291" s="13" t="n"/>
      <c r="C291" s="12">
        <f>IF(B291="","",CHOOSE(WEEKDAY(B291,1),"الأحد","الاثنين","الثلاثاء","الأربعاء","الخميس","الجمعة","السبت"))</f>
        <v/>
      </c>
      <c r="D291" s="14" t="n"/>
      <c r="E291" s="15" t="n"/>
      <c r="F291" s="16" t="n"/>
      <c r="G291" s="17" t="n"/>
      <c r="H291" s="18">
        <f>IF(OR(F291="",G291=""),"",ROUND(F291*G291,2))</f>
        <v/>
      </c>
      <c r="I291" s="19">
        <f>IF(ISNUMBER(SEARCH("ستاند",D291)),"أثاث وستاندات","")</f>
        <v/>
      </c>
      <c r="J291" s="20">
        <f>IF(E291="","",IF(I291="","⚠ عبّي الغرض",IF(AND(D291&lt;&gt;"",OR(ISNUMBER(SEARCH("صيانة",D291)),ISNUMBER(SEARCH("تعزيل",D291)),ISNUMBER(SEARCH("تنظيف",D291)),ISNUMBER(SEARCH("تصليح",D291)))),"⚠ الصيانة بلا ورشة",IF(H291="","⚠ ناقص",IF(D291&lt;&gt;"",IF(SUMIF($D$7:$D$806,D291,$H$7:$H$806)&gt;=20,"أصل","مصروف"),IFERROR(IF(VLOOKUP(I291,'القوائم'!$A$2:$D$14,4,0)="زكاة وصدقة","زكاة وصدقة",IF(AND(VLOOKUP(I291,'القوائم'!$A$2:$D$14,3,0)&lt;&gt;"",H291&gt;=20),"أصل","مصروف")),"مصروف"))))))</f>
        <v/>
      </c>
      <c r="K291" s="21" t="n"/>
      <c r="L291" s="22" t="n"/>
      <c r="N291">
        <f>IF(B291="","",MONTH(B291))</f>
        <v/>
      </c>
      <c r="O291">
        <f>IF(B291="","",YEAR(B291))</f>
        <v/>
      </c>
      <c r="P291">
        <f>IF(AND(D291&lt;&gt;"",COUNTIF(D$7:D291,D291)=1),MAX(P$6:P290)+1,"")</f>
        <v/>
      </c>
      <c r="Q291">
        <f>IF(E291="","",IF(I291="أجور عمال","أجرة","مادة"))</f>
        <v/>
      </c>
    </row>
    <row r="292">
      <c r="A292" s="12">
        <f>IF(E292="","",ROW()-6)</f>
        <v/>
      </c>
      <c r="B292" s="13" t="n"/>
      <c r="C292" s="12">
        <f>IF(B292="","",CHOOSE(WEEKDAY(B292,1),"الأحد","الاثنين","الثلاثاء","الأربعاء","الخميس","الجمعة","السبت"))</f>
        <v/>
      </c>
      <c r="D292" s="14" t="n"/>
      <c r="E292" s="15" t="n"/>
      <c r="F292" s="16" t="n"/>
      <c r="G292" s="17" t="n"/>
      <c r="H292" s="18">
        <f>IF(OR(F292="",G292=""),"",ROUND(F292*G292,2))</f>
        <v/>
      </c>
      <c r="I292" s="19">
        <f>IF(ISNUMBER(SEARCH("ستاند",D292)),"أثاث وستاندات","")</f>
        <v/>
      </c>
      <c r="J292" s="20">
        <f>IF(E292="","",IF(I292="","⚠ عبّي الغرض",IF(AND(D292&lt;&gt;"",OR(ISNUMBER(SEARCH("صيانة",D292)),ISNUMBER(SEARCH("تعزيل",D292)),ISNUMBER(SEARCH("تنظيف",D292)),ISNUMBER(SEARCH("تصليح",D292)))),"⚠ الصيانة بلا ورشة",IF(H292="","⚠ ناقص",IF(D292&lt;&gt;"",IF(SUMIF($D$7:$D$806,D292,$H$7:$H$806)&gt;=20,"أصل","مصروف"),IFERROR(IF(VLOOKUP(I292,'القوائم'!$A$2:$D$14,4,0)="زكاة وصدقة","زكاة وصدقة",IF(AND(VLOOKUP(I292,'القوائم'!$A$2:$D$14,3,0)&lt;&gt;"",H292&gt;=20),"أصل","مصروف")),"مصروف"))))))</f>
        <v/>
      </c>
      <c r="K292" s="21" t="n"/>
      <c r="L292" s="22" t="n"/>
      <c r="N292">
        <f>IF(B292="","",MONTH(B292))</f>
        <v/>
      </c>
      <c r="O292">
        <f>IF(B292="","",YEAR(B292))</f>
        <v/>
      </c>
      <c r="P292">
        <f>IF(AND(D292&lt;&gt;"",COUNTIF(D$7:D292,D292)=1),MAX(P$6:P291)+1,"")</f>
        <v/>
      </c>
      <c r="Q292">
        <f>IF(E292="","",IF(I292="أجور عمال","أجرة","مادة"))</f>
        <v/>
      </c>
    </row>
    <row r="293">
      <c r="A293" s="12">
        <f>IF(E293="","",ROW()-6)</f>
        <v/>
      </c>
      <c r="B293" s="13" t="n"/>
      <c r="C293" s="12">
        <f>IF(B293="","",CHOOSE(WEEKDAY(B293,1),"الأحد","الاثنين","الثلاثاء","الأربعاء","الخميس","الجمعة","السبت"))</f>
        <v/>
      </c>
      <c r="D293" s="14" t="n"/>
      <c r="E293" s="15" t="n"/>
      <c r="F293" s="16" t="n"/>
      <c r="G293" s="17" t="n"/>
      <c r="H293" s="18">
        <f>IF(OR(F293="",G293=""),"",ROUND(F293*G293,2))</f>
        <v/>
      </c>
      <c r="I293" s="19">
        <f>IF(ISNUMBER(SEARCH("ستاند",D293)),"أثاث وستاندات","")</f>
        <v/>
      </c>
      <c r="J293" s="20">
        <f>IF(E293="","",IF(I293="","⚠ عبّي الغرض",IF(AND(D293&lt;&gt;"",OR(ISNUMBER(SEARCH("صيانة",D293)),ISNUMBER(SEARCH("تعزيل",D293)),ISNUMBER(SEARCH("تنظيف",D293)),ISNUMBER(SEARCH("تصليح",D293)))),"⚠ الصيانة بلا ورشة",IF(H293="","⚠ ناقص",IF(D293&lt;&gt;"",IF(SUMIF($D$7:$D$806,D293,$H$7:$H$806)&gt;=20,"أصل","مصروف"),IFERROR(IF(VLOOKUP(I293,'القوائم'!$A$2:$D$14,4,0)="زكاة وصدقة","زكاة وصدقة",IF(AND(VLOOKUP(I293,'القوائم'!$A$2:$D$14,3,0)&lt;&gt;"",H293&gt;=20),"أصل","مصروف")),"مصروف"))))))</f>
        <v/>
      </c>
      <c r="K293" s="21" t="n"/>
      <c r="L293" s="22" t="n"/>
      <c r="N293">
        <f>IF(B293="","",MONTH(B293))</f>
        <v/>
      </c>
      <c r="O293">
        <f>IF(B293="","",YEAR(B293))</f>
        <v/>
      </c>
      <c r="P293">
        <f>IF(AND(D293&lt;&gt;"",COUNTIF(D$7:D293,D293)=1),MAX(P$6:P292)+1,"")</f>
        <v/>
      </c>
      <c r="Q293">
        <f>IF(E293="","",IF(I293="أجور عمال","أجرة","مادة"))</f>
        <v/>
      </c>
    </row>
    <row r="294">
      <c r="A294" s="12">
        <f>IF(E294="","",ROW()-6)</f>
        <v/>
      </c>
      <c r="B294" s="13" t="n"/>
      <c r="C294" s="12">
        <f>IF(B294="","",CHOOSE(WEEKDAY(B294,1),"الأحد","الاثنين","الثلاثاء","الأربعاء","الخميس","الجمعة","السبت"))</f>
        <v/>
      </c>
      <c r="D294" s="14" t="n"/>
      <c r="E294" s="15" t="n"/>
      <c r="F294" s="16" t="n"/>
      <c r="G294" s="17" t="n"/>
      <c r="H294" s="18">
        <f>IF(OR(F294="",G294=""),"",ROUND(F294*G294,2))</f>
        <v/>
      </c>
      <c r="I294" s="19">
        <f>IF(ISNUMBER(SEARCH("ستاند",D294)),"أثاث وستاندات","")</f>
        <v/>
      </c>
      <c r="J294" s="20">
        <f>IF(E294="","",IF(I294="","⚠ عبّي الغرض",IF(AND(D294&lt;&gt;"",OR(ISNUMBER(SEARCH("صيانة",D294)),ISNUMBER(SEARCH("تعزيل",D294)),ISNUMBER(SEARCH("تنظيف",D294)),ISNUMBER(SEARCH("تصليح",D294)))),"⚠ الصيانة بلا ورشة",IF(H294="","⚠ ناقص",IF(D294&lt;&gt;"",IF(SUMIF($D$7:$D$806,D294,$H$7:$H$806)&gt;=20,"أصل","مصروف"),IFERROR(IF(VLOOKUP(I294,'القوائم'!$A$2:$D$14,4,0)="زكاة وصدقة","زكاة وصدقة",IF(AND(VLOOKUP(I294,'القوائم'!$A$2:$D$14,3,0)&lt;&gt;"",H294&gt;=20),"أصل","مصروف")),"مصروف"))))))</f>
        <v/>
      </c>
      <c r="K294" s="21" t="n"/>
      <c r="L294" s="22" t="n"/>
      <c r="N294">
        <f>IF(B294="","",MONTH(B294))</f>
        <v/>
      </c>
      <c r="O294">
        <f>IF(B294="","",YEAR(B294))</f>
        <v/>
      </c>
      <c r="P294">
        <f>IF(AND(D294&lt;&gt;"",COUNTIF(D$7:D294,D294)=1),MAX(P$6:P293)+1,"")</f>
        <v/>
      </c>
      <c r="Q294">
        <f>IF(E294="","",IF(I294="أجور عمال","أجرة","مادة"))</f>
        <v/>
      </c>
    </row>
    <row r="295">
      <c r="A295" s="12">
        <f>IF(E295="","",ROW()-6)</f>
        <v/>
      </c>
      <c r="B295" s="13" t="n"/>
      <c r="C295" s="12">
        <f>IF(B295="","",CHOOSE(WEEKDAY(B295,1),"الأحد","الاثنين","الثلاثاء","الأربعاء","الخميس","الجمعة","السبت"))</f>
        <v/>
      </c>
      <c r="D295" s="14" t="n"/>
      <c r="E295" s="15" t="n"/>
      <c r="F295" s="16" t="n"/>
      <c r="G295" s="17" t="n"/>
      <c r="H295" s="18">
        <f>IF(OR(F295="",G295=""),"",ROUND(F295*G295,2))</f>
        <v/>
      </c>
      <c r="I295" s="19">
        <f>IF(ISNUMBER(SEARCH("ستاند",D295)),"أثاث وستاندات","")</f>
        <v/>
      </c>
      <c r="J295" s="20">
        <f>IF(E295="","",IF(I295="","⚠ عبّي الغرض",IF(AND(D295&lt;&gt;"",OR(ISNUMBER(SEARCH("صيانة",D295)),ISNUMBER(SEARCH("تعزيل",D295)),ISNUMBER(SEARCH("تنظيف",D295)),ISNUMBER(SEARCH("تصليح",D295)))),"⚠ الصيانة بلا ورشة",IF(H295="","⚠ ناقص",IF(D295&lt;&gt;"",IF(SUMIF($D$7:$D$806,D295,$H$7:$H$806)&gt;=20,"أصل","مصروف"),IFERROR(IF(VLOOKUP(I295,'القوائم'!$A$2:$D$14,4,0)="زكاة وصدقة","زكاة وصدقة",IF(AND(VLOOKUP(I295,'القوائم'!$A$2:$D$14,3,0)&lt;&gt;"",H295&gt;=20),"أصل","مصروف")),"مصروف"))))))</f>
        <v/>
      </c>
      <c r="K295" s="21" t="n"/>
      <c r="L295" s="22" t="n"/>
      <c r="N295">
        <f>IF(B295="","",MONTH(B295))</f>
        <v/>
      </c>
      <c r="O295">
        <f>IF(B295="","",YEAR(B295))</f>
        <v/>
      </c>
      <c r="P295">
        <f>IF(AND(D295&lt;&gt;"",COUNTIF(D$7:D295,D295)=1),MAX(P$6:P294)+1,"")</f>
        <v/>
      </c>
      <c r="Q295">
        <f>IF(E295="","",IF(I295="أجور عمال","أجرة","مادة"))</f>
        <v/>
      </c>
    </row>
    <row r="296">
      <c r="A296" s="12">
        <f>IF(E296="","",ROW()-6)</f>
        <v/>
      </c>
      <c r="B296" s="13" t="n"/>
      <c r="C296" s="12">
        <f>IF(B296="","",CHOOSE(WEEKDAY(B296,1),"الأحد","الاثنين","الثلاثاء","الأربعاء","الخميس","الجمعة","السبت"))</f>
        <v/>
      </c>
      <c r="D296" s="14" t="n"/>
      <c r="E296" s="15" t="n"/>
      <c r="F296" s="16" t="n"/>
      <c r="G296" s="17" t="n"/>
      <c r="H296" s="18">
        <f>IF(OR(F296="",G296=""),"",ROUND(F296*G296,2))</f>
        <v/>
      </c>
      <c r="I296" s="19">
        <f>IF(ISNUMBER(SEARCH("ستاند",D296)),"أثاث وستاندات","")</f>
        <v/>
      </c>
      <c r="J296" s="20">
        <f>IF(E296="","",IF(I296="","⚠ عبّي الغرض",IF(AND(D296&lt;&gt;"",OR(ISNUMBER(SEARCH("صيانة",D296)),ISNUMBER(SEARCH("تعزيل",D296)),ISNUMBER(SEARCH("تنظيف",D296)),ISNUMBER(SEARCH("تصليح",D296)))),"⚠ الصيانة بلا ورشة",IF(H296="","⚠ ناقص",IF(D296&lt;&gt;"",IF(SUMIF($D$7:$D$806,D296,$H$7:$H$806)&gt;=20,"أصل","مصروف"),IFERROR(IF(VLOOKUP(I296,'القوائم'!$A$2:$D$14,4,0)="زكاة وصدقة","زكاة وصدقة",IF(AND(VLOOKUP(I296,'القوائم'!$A$2:$D$14,3,0)&lt;&gt;"",H296&gt;=20),"أصل","مصروف")),"مصروف"))))))</f>
        <v/>
      </c>
      <c r="K296" s="21" t="n"/>
      <c r="L296" s="22" t="n"/>
      <c r="N296">
        <f>IF(B296="","",MONTH(B296))</f>
        <v/>
      </c>
      <c r="O296">
        <f>IF(B296="","",YEAR(B296))</f>
        <v/>
      </c>
      <c r="P296">
        <f>IF(AND(D296&lt;&gt;"",COUNTIF(D$7:D296,D296)=1),MAX(P$6:P295)+1,"")</f>
        <v/>
      </c>
      <c r="Q296">
        <f>IF(E296="","",IF(I296="أجور عمال","أجرة","مادة"))</f>
        <v/>
      </c>
    </row>
    <row r="297">
      <c r="A297" s="12">
        <f>IF(E297="","",ROW()-6)</f>
        <v/>
      </c>
      <c r="B297" s="13" t="n"/>
      <c r="C297" s="12">
        <f>IF(B297="","",CHOOSE(WEEKDAY(B297,1),"الأحد","الاثنين","الثلاثاء","الأربعاء","الخميس","الجمعة","السبت"))</f>
        <v/>
      </c>
      <c r="D297" s="14" t="n"/>
      <c r="E297" s="15" t="n"/>
      <c r="F297" s="16" t="n"/>
      <c r="G297" s="17" t="n"/>
      <c r="H297" s="18">
        <f>IF(OR(F297="",G297=""),"",ROUND(F297*G297,2))</f>
        <v/>
      </c>
      <c r="I297" s="19">
        <f>IF(ISNUMBER(SEARCH("ستاند",D297)),"أثاث وستاندات","")</f>
        <v/>
      </c>
      <c r="J297" s="20">
        <f>IF(E297="","",IF(I297="","⚠ عبّي الغرض",IF(AND(D297&lt;&gt;"",OR(ISNUMBER(SEARCH("صيانة",D297)),ISNUMBER(SEARCH("تعزيل",D297)),ISNUMBER(SEARCH("تنظيف",D297)),ISNUMBER(SEARCH("تصليح",D297)))),"⚠ الصيانة بلا ورشة",IF(H297="","⚠ ناقص",IF(D297&lt;&gt;"",IF(SUMIF($D$7:$D$806,D297,$H$7:$H$806)&gt;=20,"أصل","مصروف"),IFERROR(IF(VLOOKUP(I297,'القوائم'!$A$2:$D$14,4,0)="زكاة وصدقة","زكاة وصدقة",IF(AND(VLOOKUP(I297,'القوائم'!$A$2:$D$14,3,0)&lt;&gt;"",H297&gt;=20),"أصل","مصروف")),"مصروف"))))))</f>
        <v/>
      </c>
      <c r="K297" s="21" t="n"/>
      <c r="L297" s="22" t="n"/>
      <c r="N297">
        <f>IF(B297="","",MONTH(B297))</f>
        <v/>
      </c>
      <c r="O297">
        <f>IF(B297="","",YEAR(B297))</f>
        <v/>
      </c>
      <c r="P297">
        <f>IF(AND(D297&lt;&gt;"",COUNTIF(D$7:D297,D297)=1),MAX(P$6:P296)+1,"")</f>
        <v/>
      </c>
      <c r="Q297">
        <f>IF(E297="","",IF(I297="أجور عمال","أجرة","مادة"))</f>
        <v/>
      </c>
    </row>
    <row r="298">
      <c r="A298" s="12">
        <f>IF(E298="","",ROW()-6)</f>
        <v/>
      </c>
      <c r="B298" s="13" t="n"/>
      <c r="C298" s="12">
        <f>IF(B298="","",CHOOSE(WEEKDAY(B298,1),"الأحد","الاثنين","الثلاثاء","الأربعاء","الخميس","الجمعة","السبت"))</f>
        <v/>
      </c>
      <c r="D298" s="14" t="n"/>
      <c r="E298" s="15" t="n"/>
      <c r="F298" s="16" t="n"/>
      <c r="G298" s="17" t="n"/>
      <c r="H298" s="18">
        <f>IF(OR(F298="",G298=""),"",ROUND(F298*G298,2))</f>
        <v/>
      </c>
      <c r="I298" s="19">
        <f>IF(ISNUMBER(SEARCH("ستاند",D298)),"أثاث وستاندات","")</f>
        <v/>
      </c>
      <c r="J298" s="20">
        <f>IF(E298="","",IF(I298="","⚠ عبّي الغرض",IF(AND(D298&lt;&gt;"",OR(ISNUMBER(SEARCH("صيانة",D298)),ISNUMBER(SEARCH("تعزيل",D298)),ISNUMBER(SEARCH("تنظيف",D298)),ISNUMBER(SEARCH("تصليح",D298)))),"⚠ الصيانة بلا ورشة",IF(H298="","⚠ ناقص",IF(D298&lt;&gt;"",IF(SUMIF($D$7:$D$806,D298,$H$7:$H$806)&gt;=20,"أصل","مصروف"),IFERROR(IF(VLOOKUP(I298,'القوائم'!$A$2:$D$14,4,0)="زكاة وصدقة","زكاة وصدقة",IF(AND(VLOOKUP(I298,'القوائم'!$A$2:$D$14,3,0)&lt;&gt;"",H298&gt;=20),"أصل","مصروف")),"مصروف"))))))</f>
        <v/>
      </c>
      <c r="K298" s="21" t="n"/>
      <c r="L298" s="22" t="n"/>
      <c r="N298">
        <f>IF(B298="","",MONTH(B298))</f>
        <v/>
      </c>
      <c r="O298">
        <f>IF(B298="","",YEAR(B298))</f>
        <v/>
      </c>
      <c r="P298">
        <f>IF(AND(D298&lt;&gt;"",COUNTIF(D$7:D298,D298)=1),MAX(P$6:P297)+1,"")</f>
        <v/>
      </c>
      <c r="Q298">
        <f>IF(E298="","",IF(I298="أجور عمال","أجرة","مادة"))</f>
        <v/>
      </c>
    </row>
    <row r="299">
      <c r="A299" s="12">
        <f>IF(E299="","",ROW()-6)</f>
        <v/>
      </c>
      <c r="B299" s="13" t="n"/>
      <c r="C299" s="12">
        <f>IF(B299="","",CHOOSE(WEEKDAY(B299,1),"الأحد","الاثنين","الثلاثاء","الأربعاء","الخميس","الجمعة","السبت"))</f>
        <v/>
      </c>
      <c r="D299" s="14" t="n"/>
      <c r="E299" s="15" t="n"/>
      <c r="F299" s="16" t="n"/>
      <c r="G299" s="17" t="n"/>
      <c r="H299" s="18">
        <f>IF(OR(F299="",G299=""),"",ROUND(F299*G299,2))</f>
        <v/>
      </c>
      <c r="I299" s="19">
        <f>IF(ISNUMBER(SEARCH("ستاند",D299)),"أثاث وستاندات","")</f>
        <v/>
      </c>
      <c r="J299" s="20">
        <f>IF(E299="","",IF(I299="","⚠ عبّي الغرض",IF(AND(D299&lt;&gt;"",OR(ISNUMBER(SEARCH("صيانة",D299)),ISNUMBER(SEARCH("تعزيل",D299)),ISNUMBER(SEARCH("تنظيف",D299)),ISNUMBER(SEARCH("تصليح",D299)))),"⚠ الصيانة بلا ورشة",IF(H299="","⚠ ناقص",IF(D299&lt;&gt;"",IF(SUMIF($D$7:$D$806,D299,$H$7:$H$806)&gt;=20,"أصل","مصروف"),IFERROR(IF(VLOOKUP(I299,'القوائم'!$A$2:$D$14,4,0)="زكاة وصدقة","زكاة وصدقة",IF(AND(VLOOKUP(I299,'القوائم'!$A$2:$D$14,3,0)&lt;&gt;"",H299&gt;=20),"أصل","مصروف")),"مصروف"))))))</f>
        <v/>
      </c>
      <c r="K299" s="21" t="n"/>
      <c r="L299" s="22" t="n"/>
      <c r="N299">
        <f>IF(B299="","",MONTH(B299))</f>
        <v/>
      </c>
      <c r="O299">
        <f>IF(B299="","",YEAR(B299))</f>
        <v/>
      </c>
      <c r="P299">
        <f>IF(AND(D299&lt;&gt;"",COUNTIF(D$7:D299,D299)=1),MAX(P$6:P298)+1,"")</f>
        <v/>
      </c>
      <c r="Q299">
        <f>IF(E299="","",IF(I299="أجور عمال","أجرة","مادة"))</f>
        <v/>
      </c>
    </row>
    <row r="300">
      <c r="A300" s="12">
        <f>IF(E300="","",ROW()-6)</f>
        <v/>
      </c>
      <c r="B300" s="13" t="n"/>
      <c r="C300" s="12">
        <f>IF(B300="","",CHOOSE(WEEKDAY(B300,1),"الأحد","الاثنين","الثلاثاء","الأربعاء","الخميس","الجمعة","السبت"))</f>
        <v/>
      </c>
      <c r="D300" s="14" t="n"/>
      <c r="E300" s="15" t="n"/>
      <c r="F300" s="16" t="n"/>
      <c r="G300" s="17" t="n"/>
      <c r="H300" s="18">
        <f>IF(OR(F300="",G300=""),"",ROUND(F300*G300,2))</f>
        <v/>
      </c>
      <c r="I300" s="19">
        <f>IF(ISNUMBER(SEARCH("ستاند",D300)),"أثاث وستاندات","")</f>
        <v/>
      </c>
      <c r="J300" s="20">
        <f>IF(E300="","",IF(I300="","⚠ عبّي الغرض",IF(AND(D300&lt;&gt;"",OR(ISNUMBER(SEARCH("صيانة",D300)),ISNUMBER(SEARCH("تعزيل",D300)),ISNUMBER(SEARCH("تنظيف",D300)),ISNUMBER(SEARCH("تصليح",D300)))),"⚠ الصيانة بلا ورشة",IF(H300="","⚠ ناقص",IF(D300&lt;&gt;"",IF(SUMIF($D$7:$D$806,D300,$H$7:$H$806)&gt;=20,"أصل","مصروف"),IFERROR(IF(VLOOKUP(I300,'القوائم'!$A$2:$D$14,4,0)="زكاة وصدقة","زكاة وصدقة",IF(AND(VLOOKUP(I300,'القوائم'!$A$2:$D$14,3,0)&lt;&gt;"",H300&gt;=20),"أصل","مصروف")),"مصروف"))))))</f>
        <v/>
      </c>
      <c r="K300" s="21" t="n"/>
      <c r="L300" s="22" t="n"/>
      <c r="N300">
        <f>IF(B300="","",MONTH(B300))</f>
        <v/>
      </c>
      <c r="O300">
        <f>IF(B300="","",YEAR(B300))</f>
        <v/>
      </c>
      <c r="P300">
        <f>IF(AND(D300&lt;&gt;"",COUNTIF(D$7:D300,D300)=1),MAX(P$6:P299)+1,"")</f>
        <v/>
      </c>
      <c r="Q300">
        <f>IF(E300="","",IF(I300="أجور عمال","أجرة","مادة"))</f>
        <v/>
      </c>
    </row>
    <row r="301">
      <c r="A301" s="12">
        <f>IF(E301="","",ROW()-6)</f>
        <v/>
      </c>
      <c r="B301" s="13" t="n"/>
      <c r="C301" s="12">
        <f>IF(B301="","",CHOOSE(WEEKDAY(B301,1),"الأحد","الاثنين","الثلاثاء","الأربعاء","الخميس","الجمعة","السبت"))</f>
        <v/>
      </c>
      <c r="D301" s="14" t="n"/>
      <c r="E301" s="15" t="n"/>
      <c r="F301" s="16" t="n"/>
      <c r="G301" s="17" t="n"/>
      <c r="H301" s="18">
        <f>IF(OR(F301="",G301=""),"",ROUND(F301*G301,2))</f>
        <v/>
      </c>
      <c r="I301" s="19">
        <f>IF(ISNUMBER(SEARCH("ستاند",D301)),"أثاث وستاندات","")</f>
        <v/>
      </c>
      <c r="J301" s="20">
        <f>IF(E301="","",IF(I301="","⚠ عبّي الغرض",IF(AND(D301&lt;&gt;"",OR(ISNUMBER(SEARCH("صيانة",D301)),ISNUMBER(SEARCH("تعزيل",D301)),ISNUMBER(SEARCH("تنظيف",D301)),ISNUMBER(SEARCH("تصليح",D301)))),"⚠ الصيانة بلا ورشة",IF(H301="","⚠ ناقص",IF(D301&lt;&gt;"",IF(SUMIF($D$7:$D$806,D301,$H$7:$H$806)&gt;=20,"أصل","مصروف"),IFERROR(IF(VLOOKUP(I301,'القوائم'!$A$2:$D$14,4,0)="زكاة وصدقة","زكاة وصدقة",IF(AND(VLOOKUP(I301,'القوائم'!$A$2:$D$14,3,0)&lt;&gt;"",H301&gt;=20),"أصل","مصروف")),"مصروف"))))))</f>
        <v/>
      </c>
      <c r="K301" s="21" t="n"/>
      <c r="L301" s="22" t="n"/>
      <c r="N301">
        <f>IF(B301="","",MONTH(B301))</f>
        <v/>
      </c>
      <c r="O301">
        <f>IF(B301="","",YEAR(B301))</f>
        <v/>
      </c>
      <c r="P301">
        <f>IF(AND(D301&lt;&gt;"",COUNTIF(D$7:D301,D301)=1),MAX(P$6:P300)+1,"")</f>
        <v/>
      </c>
      <c r="Q301">
        <f>IF(E301="","",IF(I301="أجور عمال","أجرة","مادة"))</f>
        <v/>
      </c>
    </row>
    <row r="302">
      <c r="A302" s="12">
        <f>IF(E302="","",ROW()-6)</f>
        <v/>
      </c>
      <c r="B302" s="13" t="n"/>
      <c r="C302" s="12">
        <f>IF(B302="","",CHOOSE(WEEKDAY(B302,1),"الأحد","الاثنين","الثلاثاء","الأربعاء","الخميس","الجمعة","السبت"))</f>
        <v/>
      </c>
      <c r="D302" s="14" t="n"/>
      <c r="E302" s="15" t="n"/>
      <c r="F302" s="16" t="n"/>
      <c r="G302" s="17" t="n"/>
      <c r="H302" s="18">
        <f>IF(OR(F302="",G302=""),"",ROUND(F302*G302,2))</f>
        <v/>
      </c>
      <c r="I302" s="19">
        <f>IF(ISNUMBER(SEARCH("ستاند",D302)),"أثاث وستاندات","")</f>
        <v/>
      </c>
      <c r="J302" s="20">
        <f>IF(E302="","",IF(I302="","⚠ عبّي الغرض",IF(AND(D302&lt;&gt;"",OR(ISNUMBER(SEARCH("صيانة",D302)),ISNUMBER(SEARCH("تعزيل",D302)),ISNUMBER(SEARCH("تنظيف",D302)),ISNUMBER(SEARCH("تصليح",D302)))),"⚠ الصيانة بلا ورشة",IF(H302="","⚠ ناقص",IF(D302&lt;&gt;"",IF(SUMIF($D$7:$D$806,D302,$H$7:$H$806)&gt;=20,"أصل","مصروف"),IFERROR(IF(VLOOKUP(I302,'القوائم'!$A$2:$D$14,4,0)="زكاة وصدقة","زكاة وصدقة",IF(AND(VLOOKUP(I302,'القوائم'!$A$2:$D$14,3,0)&lt;&gt;"",H302&gt;=20),"أصل","مصروف")),"مصروف"))))))</f>
        <v/>
      </c>
      <c r="K302" s="21" t="n"/>
      <c r="L302" s="22" t="n"/>
      <c r="N302">
        <f>IF(B302="","",MONTH(B302))</f>
        <v/>
      </c>
      <c r="O302">
        <f>IF(B302="","",YEAR(B302))</f>
        <v/>
      </c>
      <c r="P302">
        <f>IF(AND(D302&lt;&gt;"",COUNTIF(D$7:D302,D302)=1),MAX(P$6:P301)+1,"")</f>
        <v/>
      </c>
      <c r="Q302">
        <f>IF(E302="","",IF(I302="أجور عمال","أجرة","مادة"))</f>
        <v/>
      </c>
    </row>
    <row r="303">
      <c r="A303" s="12">
        <f>IF(E303="","",ROW()-6)</f>
        <v/>
      </c>
      <c r="B303" s="13" t="n"/>
      <c r="C303" s="12">
        <f>IF(B303="","",CHOOSE(WEEKDAY(B303,1),"الأحد","الاثنين","الثلاثاء","الأربعاء","الخميس","الجمعة","السبت"))</f>
        <v/>
      </c>
      <c r="D303" s="14" t="n"/>
      <c r="E303" s="15" t="n"/>
      <c r="F303" s="16" t="n"/>
      <c r="G303" s="17" t="n"/>
      <c r="H303" s="18">
        <f>IF(OR(F303="",G303=""),"",ROUND(F303*G303,2))</f>
        <v/>
      </c>
      <c r="I303" s="19">
        <f>IF(ISNUMBER(SEARCH("ستاند",D303)),"أثاث وستاندات","")</f>
        <v/>
      </c>
      <c r="J303" s="20">
        <f>IF(E303="","",IF(I303="","⚠ عبّي الغرض",IF(AND(D303&lt;&gt;"",OR(ISNUMBER(SEARCH("صيانة",D303)),ISNUMBER(SEARCH("تعزيل",D303)),ISNUMBER(SEARCH("تنظيف",D303)),ISNUMBER(SEARCH("تصليح",D303)))),"⚠ الصيانة بلا ورشة",IF(H303="","⚠ ناقص",IF(D303&lt;&gt;"",IF(SUMIF($D$7:$D$806,D303,$H$7:$H$806)&gt;=20,"أصل","مصروف"),IFERROR(IF(VLOOKUP(I303,'القوائم'!$A$2:$D$14,4,0)="زكاة وصدقة","زكاة وصدقة",IF(AND(VLOOKUP(I303,'القوائم'!$A$2:$D$14,3,0)&lt;&gt;"",H303&gt;=20),"أصل","مصروف")),"مصروف"))))))</f>
        <v/>
      </c>
      <c r="K303" s="21" t="n"/>
      <c r="L303" s="22" t="n"/>
      <c r="N303">
        <f>IF(B303="","",MONTH(B303))</f>
        <v/>
      </c>
      <c r="O303">
        <f>IF(B303="","",YEAR(B303))</f>
        <v/>
      </c>
      <c r="P303">
        <f>IF(AND(D303&lt;&gt;"",COUNTIF(D$7:D303,D303)=1),MAX(P$6:P302)+1,"")</f>
        <v/>
      </c>
      <c r="Q303">
        <f>IF(E303="","",IF(I303="أجور عمال","أجرة","مادة"))</f>
        <v/>
      </c>
    </row>
    <row r="304">
      <c r="A304" s="12">
        <f>IF(E304="","",ROW()-6)</f>
        <v/>
      </c>
      <c r="B304" s="13" t="n"/>
      <c r="C304" s="12">
        <f>IF(B304="","",CHOOSE(WEEKDAY(B304,1),"الأحد","الاثنين","الثلاثاء","الأربعاء","الخميس","الجمعة","السبت"))</f>
        <v/>
      </c>
      <c r="D304" s="14" t="n"/>
      <c r="E304" s="15" t="n"/>
      <c r="F304" s="16" t="n"/>
      <c r="G304" s="17" t="n"/>
      <c r="H304" s="18">
        <f>IF(OR(F304="",G304=""),"",ROUND(F304*G304,2))</f>
        <v/>
      </c>
      <c r="I304" s="19">
        <f>IF(ISNUMBER(SEARCH("ستاند",D304)),"أثاث وستاندات","")</f>
        <v/>
      </c>
      <c r="J304" s="20">
        <f>IF(E304="","",IF(I304="","⚠ عبّي الغرض",IF(AND(D304&lt;&gt;"",OR(ISNUMBER(SEARCH("صيانة",D304)),ISNUMBER(SEARCH("تعزيل",D304)),ISNUMBER(SEARCH("تنظيف",D304)),ISNUMBER(SEARCH("تصليح",D304)))),"⚠ الصيانة بلا ورشة",IF(H304="","⚠ ناقص",IF(D304&lt;&gt;"",IF(SUMIF($D$7:$D$806,D304,$H$7:$H$806)&gt;=20,"أصل","مصروف"),IFERROR(IF(VLOOKUP(I304,'القوائم'!$A$2:$D$14,4,0)="زكاة وصدقة","زكاة وصدقة",IF(AND(VLOOKUP(I304,'القوائم'!$A$2:$D$14,3,0)&lt;&gt;"",H304&gt;=20),"أصل","مصروف")),"مصروف"))))))</f>
        <v/>
      </c>
      <c r="K304" s="21" t="n"/>
      <c r="L304" s="22" t="n"/>
      <c r="N304">
        <f>IF(B304="","",MONTH(B304))</f>
        <v/>
      </c>
      <c r="O304">
        <f>IF(B304="","",YEAR(B304))</f>
        <v/>
      </c>
      <c r="P304">
        <f>IF(AND(D304&lt;&gt;"",COUNTIF(D$7:D304,D304)=1),MAX(P$6:P303)+1,"")</f>
        <v/>
      </c>
      <c r="Q304">
        <f>IF(E304="","",IF(I304="أجور عمال","أجرة","مادة"))</f>
        <v/>
      </c>
    </row>
    <row r="305">
      <c r="A305" s="12">
        <f>IF(E305="","",ROW()-6)</f>
        <v/>
      </c>
      <c r="B305" s="13" t="n"/>
      <c r="C305" s="12">
        <f>IF(B305="","",CHOOSE(WEEKDAY(B305,1),"الأحد","الاثنين","الثلاثاء","الأربعاء","الخميس","الجمعة","السبت"))</f>
        <v/>
      </c>
      <c r="D305" s="14" t="n"/>
      <c r="E305" s="15" t="n"/>
      <c r="F305" s="16" t="n"/>
      <c r="G305" s="17" t="n"/>
      <c r="H305" s="18">
        <f>IF(OR(F305="",G305=""),"",ROUND(F305*G305,2))</f>
        <v/>
      </c>
      <c r="I305" s="19">
        <f>IF(ISNUMBER(SEARCH("ستاند",D305)),"أثاث وستاندات","")</f>
        <v/>
      </c>
      <c r="J305" s="20">
        <f>IF(E305="","",IF(I305="","⚠ عبّي الغرض",IF(AND(D305&lt;&gt;"",OR(ISNUMBER(SEARCH("صيانة",D305)),ISNUMBER(SEARCH("تعزيل",D305)),ISNUMBER(SEARCH("تنظيف",D305)),ISNUMBER(SEARCH("تصليح",D305)))),"⚠ الصيانة بلا ورشة",IF(H305="","⚠ ناقص",IF(D305&lt;&gt;"",IF(SUMIF($D$7:$D$806,D305,$H$7:$H$806)&gt;=20,"أصل","مصروف"),IFERROR(IF(VLOOKUP(I305,'القوائم'!$A$2:$D$14,4,0)="زكاة وصدقة","زكاة وصدقة",IF(AND(VLOOKUP(I305,'القوائم'!$A$2:$D$14,3,0)&lt;&gt;"",H305&gt;=20),"أصل","مصروف")),"مصروف"))))))</f>
        <v/>
      </c>
      <c r="K305" s="21" t="n"/>
      <c r="L305" s="22" t="n"/>
      <c r="N305">
        <f>IF(B305="","",MONTH(B305))</f>
        <v/>
      </c>
      <c r="O305">
        <f>IF(B305="","",YEAR(B305))</f>
        <v/>
      </c>
      <c r="P305">
        <f>IF(AND(D305&lt;&gt;"",COUNTIF(D$7:D305,D305)=1),MAX(P$6:P304)+1,"")</f>
        <v/>
      </c>
      <c r="Q305">
        <f>IF(E305="","",IF(I305="أجور عمال","أجرة","مادة"))</f>
        <v/>
      </c>
    </row>
    <row r="306">
      <c r="A306" s="12">
        <f>IF(E306="","",ROW()-6)</f>
        <v/>
      </c>
      <c r="B306" s="13" t="n"/>
      <c r="C306" s="12">
        <f>IF(B306="","",CHOOSE(WEEKDAY(B306,1),"الأحد","الاثنين","الثلاثاء","الأربعاء","الخميس","الجمعة","السبت"))</f>
        <v/>
      </c>
      <c r="D306" s="14" t="n"/>
      <c r="E306" s="15" t="n"/>
      <c r="F306" s="16" t="n"/>
      <c r="G306" s="17" t="n"/>
      <c r="H306" s="18">
        <f>IF(OR(F306="",G306=""),"",ROUND(F306*G306,2))</f>
        <v/>
      </c>
      <c r="I306" s="19">
        <f>IF(ISNUMBER(SEARCH("ستاند",D306)),"أثاث وستاندات","")</f>
        <v/>
      </c>
      <c r="J306" s="20">
        <f>IF(E306="","",IF(I306="","⚠ عبّي الغرض",IF(AND(D306&lt;&gt;"",OR(ISNUMBER(SEARCH("صيانة",D306)),ISNUMBER(SEARCH("تعزيل",D306)),ISNUMBER(SEARCH("تنظيف",D306)),ISNUMBER(SEARCH("تصليح",D306)))),"⚠ الصيانة بلا ورشة",IF(H306="","⚠ ناقص",IF(D306&lt;&gt;"",IF(SUMIF($D$7:$D$806,D306,$H$7:$H$806)&gt;=20,"أصل","مصروف"),IFERROR(IF(VLOOKUP(I306,'القوائم'!$A$2:$D$14,4,0)="زكاة وصدقة","زكاة وصدقة",IF(AND(VLOOKUP(I306,'القوائم'!$A$2:$D$14,3,0)&lt;&gt;"",H306&gt;=20),"أصل","مصروف")),"مصروف"))))))</f>
        <v/>
      </c>
      <c r="K306" s="21" t="n"/>
      <c r="L306" s="22" t="n"/>
      <c r="N306">
        <f>IF(B306="","",MONTH(B306))</f>
        <v/>
      </c>
      <c r="O306">
        <f>IF(B306="","",YEAR(B306))</f>
        <v/>
      </c>
      <c r="P306">
        <f>IF(AND(D306&lt;&gt;"",COUNTIF(D$7:D306,D306)=1),MAX(P$6:P305)+1,"")</f>
        <v/>
      </c>
      <c r="Q306">
        <f>IF(E306="","",IF(I306="أجور عمال","أجرة","مادة"))</f>
        <v/>
      </c>
    </row>
    <row r="307">
      <c r="A307" s="12">
        <f>IF(E307="","",ROW()-6)</f>
        <v/>
      </c>
      <c r="B307" s="13" t="n"/>
      <c r="C307" s="12">
        <f>IF(B307="","",CHOOSE(WEEKDAY(B307,1),"الأحد","الاثنين","الثلاثاء","الأربعاء","الخميس","الجمعة","السبت"))</f>
        <v/>
      </c>
      <c r="D307" s="14" t="n"/>
      <c r="E307" s="15" t="n"/>
      <c r="F307" s="16" t="n"/>
      <c r="G307" s="17" t="n"/>
      <c r="H307" s="18">
        <f>IF(OR(F307="",G307=""),"",ROUND(F307*G307,2))</f>
        <v/>
      </c>
      <c r="I307" s="19">
        <f>IF(ISNUMBER(SEARCH("ستاند",D307)),"أثاث وستاندات","")</f>
        <v/>
      </c>
      <c r="J307" s="20">
        <f>IF(E307="","",IF(I307="","⚠ عبّي الغرض",IF(AND(D307&lt;&gt;"",OR(ISNUMBER(SEARCH("صيانة",D307)),ISNUMBER(SEARCH("تعزيل",D307)),ISNUMBER(SEARCH("تنظيف",D307)),ISNUMBER(SEARCH("تصليح",D307)))),"⚠ الصيانة بلا ورشة",IF(H307="","⚠ ناقص",IF(D307&lt;&gt;"",IF(SUMIF($D$7:$D$806,D307,$H$7:$H$806)&gt;=20,"أصل","مصروف"),IFERROR(IF(VLOOKUP(I307,'القوائم'!$A$2:$D$14,4,0)="زكاة وصدقة","زكاة وصدقة",IF(AND(VLOOKUP(I307,'القوائم'!$A$2:$D$14,3,0)&lt;&gt;"",H307&gt;=20),"أصل","مصروف")),"مصروف"))))))</f>
        <v/>
      </c>
      <c r="K307" s="21" t="n"/>
      <c r="L307" s="22" t="n"/>
      <c r="N307">
        <f>IF(B307="","",MONTH(B307))</f>
        <v/>
      </c>
      <c r="O307">
        <f>IF(B307="","",YEAR(B307))</f>
        <v/>
      </c>
      <c r="P307">
        <f>IF(AND(D307&lt;&gt;"",COUNTIF(D$7:D307,D307)=1),MAX(P$6:P306)+1,"")</f>
        <v/>
      </c>
      <c r="Q307">
        <f>IF(E307="","",IF(I307="أجور عمال","أجرة","مادة"))</f>
        <v/>
      </c>
    </row>
    <row r="308">
      <c r="A308" s="12">
        <f>IF(E308="","",ROW()-6)</f>
        <v/>
      </c>
      <c r="B308" s="13" t="n"/>
      <c r="C308" s="12">
        <f>IF(B308="","",CHOOSE(WEEKDAY(B308,1),"الأحد","الاثنين","الثلاثاء","الأربعاء","الخميس","الجمعة","السبت"))</f>
        <v/>
      </c>
      <c r="D308" s="14" t="n"/>
      <c r="E308" s="15" t="n"/>
      <c r="F308" s="16" t="n"/>
      <c r="G308" s="17" t="n"/>
      <c r="H308" s="18">
        <f>IF(OR(F308="",G308=""),"",ROUND(F308*G308,2))</f>
        <v/>
      </c>
      <c r="I308" s="19">
        <f>IF(ISNUMBER(SEARCH("ستاند",D308)),"أثاث وستاندات","")</f>
        <v/>
      </c>
      <c r="J308" s="20">
        <f>IF(E308="","",IF(I308="","⚠ عبّي الغرض",IF(AND(D308&lt;&gt;"",OR(ISNUMBER(SEARCH("صيانة",D308)),ISNUMBER(SEARCH("تعزيل",D308)),ISNUMBER(SEARCH("تنظيف",D308)),ISNUMBER(SEARCH("تصليح",D308)))),"⚠ الصيانة بلا ورشة",IF(H308="","⚠ ناقص",IF(D308&lt;&gt;"",IF(SUMIF($D$7:$D$806,D308,$H$7:$H$806)&gt;=20,"أصل","مصروف"),IFERROR(IF(VLOOKUP(I308,'القوائم'!$A$2:$D$14,4,0)="زكاة وصدقة","زكاة وصدقة",IF(AND(VLOOKUP(I308,'القوائم'!$A$2:$D$14,3,0)&lt;&gt;"",H308&gt;=20),"أصل","مصروف")),"مصروف"))))))</f>
        <v/>
      </c>
      <c r="K308" s="21" t="n"/>
      <c r="L308" s="22" t="n"/>
      <c r="N308">
        <f>IF(B308="","",MONTH(B308))</f>
        <v/>
      </c>
      <c r="O308">
        <f>IF(B308="","",YEAR(B308))</f>
        <v/>
      </c>
      <c r="P308">
        <f>IF(AND(D308&lt;&gt;"",COUNTIF(D$7:D308,D308)=1),MAX(P$6:P307)+1,"")</f>
        <v/>
      </c>
      <c r="Q308">
        <f>IF(E308="","",IF(I308="أجور عمال","أجرة","مادة"))</f>
        <v/>
      </c>
    </row>
    <row r="309">
      <c r="A309" s="12">
        <f>IF(E309="","",ROW()-6)</f>
        <v/>
      </c>
      <c r="B309" s="13" t="n"/>
      <c r="C309" s="12">
        <f>IF(B309="","",CHOOSE(WEEKDAY(B309,1),"الأحد","الاثنين","الثلاثاء","الأربعاء","الخميس","الجمعة","السبت"))</f>
        <v/>
      </c>
      <c r="D309" s="14" t="n"/>
      <c r="E309" s="15" t="n"/>
      <c r="F309" s="16" t="n"/>
      <c r="G309" s="17" t="n"/>
      <c r="H309" s="18">
        <f>IF(OR(F309="",G309=""),"",ROUND(F309*G309,2))</f>
        <v/>
      </c>
      <c r="I309" s="19">
        <f>IF(ISNUMBER(SEARCH("ستاند",D309)),"أثاث وستاندات","")</f>
        <v/>
      </c>
      <c r="J309" s="20">
        <f>IF(E309="","",IF(I309="","⚠ عبّي الغرض",IF(AND(D309&lt;&gt;"",OR(ISNUMBER(SEARCH("صيانة",D309)),ISNUMBER(SEARCH("تعزيل",D309)),ISNUMBER(SEARCH("تنظيف",D309)),ISNUMBER(SEARCH("تصليح",D309)))),"⚠ الصيانة بلا ورشة",IF(H309="","⚠ ناقص",IF(D309&lt;&gt;"",IF(SUMIF($D$7:$D$806,D309,$H$7:$H$806)&gt;=20,"أصل","مصروف"),IFERROR(IF(VLOOKUP(I309,'القوائم'!$A$2:$D$14,4,0)="زكاة وصدقة","زكاة وصدقة",IF(AND(VLOOKUP(I309,'القوائم'!$A$2:$D$14,3,0)&lt;&gt;"",H309&gt;=20),"أصل","مصروف")),"مصروف"))))))</f>
        <v/>
      </c>
      <c r="K309" s="21" t="n"/>
      <c r="L309" s="22" t="n"/>
      <c r="N309">
        <f>IF(B309="","",MONTH(B309))</f>
        <v/>
      </c>
      <c r="O309">
        <f>IF(B309="","",YEAR(B309))</f>
        <v/>
      </c>
      <c r="P309">
        <f>IF(AND(D309&lt;&gt;"",COUNTIF(D$7:D309,D309)=1),MAX(P$6:P308)+1,"")</f>
        <v/>
      </c>
      <c r="Q309">
        <f>IF(E309="","",IF(I309="أجور عمال","أجرة","مادة"))</f>
        <v/>
      </c>
    </row>
    <row r="310">
      <c r="A310" s="12">
        <f>IF(E310="","",ROW()-6)</f>
        <v/>
      </c>
      <c r="B310" s="13" t="n"/>
      <c r="C310" s="12">
        <f>IF(B310="","",CHOOSE(WEEKDAY(B310,1),"الأحد","الاثنين","الثلاثاء","الأربعاء","الخميس","الجمعة","السبت"))</f>
        <v/>
      </c>
      <c r="D310" s="14" t="n"/>
      <c r="E310" s="15" t="n"/>
      <c r="F310" s="16" t="n"/>
      <c r="G310" s="17" t="n"/>
      <c r="H310" s="18">
        <f>IF(OR(F310="",G310=""),"",ROUND(F310*G310,2))</f>
        <v/>
      </c>
      <c r="I310" s="19">
        <f>IF(ISNUMBER(SEARCH("ستاند",D310)),"أثاث وستاندات","")</f>
        <v/>
      </c>
      <c r="J310" s="20">
        <f>IF(E310="","",IF(I310="","⚠ عبّي الغرض",IF(AND(D310&lt;&gt;"",OR(ISNUMBER(SEARCH("صيانة",D310)),ISNUMBER(SEARCH("تعزيل",D310)),ISNUMBER(SEARCH("تنظيف",D310)),ISNUMBER(SEARCH("تصليح",D310)))),"⚠ الصيانة بلا ورشة",IF(H310="","⚠ ناقص",IF(D310&lt;&gt;"",IF(SUMIF($D$7:$D$806,D310,$H$7:$H$806)&gt;=20,"أصل","مصروف"),IFERROR(IF(VLOOKUP(I310,'القوائم'!$A$2:$D$14,4,0)="زكاة وصدقة","زكاة وصدقة",IF(AND(VLOOKUP(I310,'القوائم'!$A$2:$D$14,3,0)&lt;&gt;"",H310&gt;=20),"أصل","مصروف")),"مصروف"))))))</f>
        <v/>
      </c>
      <c r="K310" s="21" t="n"/>
      <c r="L310" s="22" t="n"/>
      <c r="N310">
        <f>IF(B310="","",MONTH(B310))</f>
        <v/>
      </c>
      <c r="O310">
        <f>IF(B310="","",YEAR(B310))</f>
        <v/>
      </c>
      <c r="P310">
        <f>IF(AND(D310&lt;&gt;"",COUNTIF(D$7:D310,D310)=1),MAX(P$6:P309)+1,"")</f>
        <v/>
      </c>
      <c r="Q310">
        <f>IF(E310="","",IF(I310="أجور عمال","أجرة","مادة"))</f>
        <v/>
      </c>
    </row>
    <row r="311">
      <c r="A311" s="12">
        <f>IF(E311="","",ROW()-6)</f>
        <v/>
      </c>
      <c r="B311" s="13" t="n"/>
      <c r="C311" s="12">
        <f>IF(B311="","",CHOOSE(WEEKDAY(B311,1),"الأحد","الاثنين","الثلاثاء","الأربعاء","الخميس","الجمعة","السبت"))</f>
        <v/>
      </c>
      <c r="D311" s="14" t="n"/>
      <c r="E311" s="15" t="n"/>
      <c r="F311" s="16" t="n"/>
      <c r="G311" s="17" t="n"/>
      <c r="H311" s="18">
        <f>IF(OR(F311="",G311=""),"",ROUND(F311*G311,2))</f>
        <v/>
      </c>
      <c r="I311" s="19">
        <f>IF(ISNUMBER(SEARCH("ستاند",D311)),"أثاث وستاندات","")</f>
        <v/>
      </c>
      <c r="J311" s="20">
        <f>IF(E311="","",IF(I311="","⚠ عبّي الغرض",IF(AND(D311&lt;&gt;"",OR(ISNUMBER(SEARCH("صيانة",D311)),ISNUMBER(SEARCH("تعزيل",D311)),ISNUMBER(SEARCH("تنظيف",D311)),ISNUMBER(SEARCH("تصليح",D311)))),"⚠ الصيانة بلا ورشة",IF(H311="","⚠ ناقص",IF(D311&lt;&gt;"",IF(SUMIF($D$7:$D$806,D311,$H$7:$H$806)&gt;=20,"أصل","مصروف"),IFERROR(IF(VLOOKUP(I311,'القوائم'!$A$2:$D$14,4,0)="زكاة وصدقة","زكاة وصدقة",IF(AND(VLOOKUP(I311,'القوائم'!$A$2:$D$14,3,0)&lt;&gt;"",H311&gt;=20),"أصل","مصروف")),"مصروف"))))))</f>
        <v/>
      </c>
      <c r="K311" s="21" t="n"/>
      <c r="L311" s="22" t="n"/>
      <c r="N311">
        <f>IF(B311="","",MONTH(B311))</f>
        <v/>
      </c>
      <c r="O311">
        <f>IF(B311="","",YEAR(B311))</f>
        <v/>
      </c>
      <c r="P311">
        <f>IF(AND(D311&lt;&gt;"",COUNTIF(D$7:D311,D311)=1),MAX(P$6:P310)+1,"")</f>
        <v/>
      </c>
      <c r="Q311">
        <f>IF(E311="","",IF(I311="أجور عمال","أجرة","مادة"))</f>
        <v/>
      </c>
    </row>
    <row r="312">
      <c r="A312" s="12">
        <f>IF(E312="","",ROW()-6)</f>
        <v/>
      </c>
      <c r="B312" s="13" t="n"/>
      <c r="C312" s="12">
        <f>IF(B312="","",CHOOSE(WEEKDAY(B312,1),"الأحد","الاثنين","الثلاثاء","الأربعاء","الخميس","الجمعة","السبت"))</f>
        <v/>
      </c>
      <c r="D312" s="14" t="n"/>
      <c r="E312" s="15" t="n"/>
      <c r="F312" s="16" t="n"/>
      <c r="G312" s="17" t="n"/>
      <c r="H312" s="18">
        <f>IF(OR(F312="",G312=""),"",ROUND(F312*G312,2))</f>
        <v/>
      </c>
      <c r="I312" s="19">
        <f>IF(ISNUMBER(SEARCH("ستاند",D312)),"أثاث وستاندات","")</f>
        <v/>
      </c>
      <c r="J312" s="20">
        <f>IF(E312="","",IF(I312="","⚠ عبّي الغرض",IF(AND(D312&lt;&gt;"",OR(ISNUMBER(SEARCH("صيانة",D312)),ISNUMBER(SEARCH("تعزيل",D312)),ISNUMBER(SEARCH("تنظيف",D312)),ISNUMBER(SEARCH("تصليح",D312)))),"⚠ الصيانة بلا ورشة",IF(H312="","⚠ ناقص",IF(D312&lt;&gt;"",IF(SUMIF($D$7:$D$806,D312,$H$7:$H$806)&gt;=20,"أصل","مصروف"),IFERROR(IF(VLOOKUP(I312,'القوائم'!$A$2:$D$14,4,0)="زكاة وصدقة","زكاة وصدقة",IF(AND(VLOOKUP(I312,'القوائم'!$A$2:$D$14,3,0)&lt;&gt;"",H312&gt;=20),"أصل","مصروف")),"مصروف"))))))</f>
        <v/>
      </c>
      <c r="K312" s="21" t="n"/>
      <c r="L312" s="22" t="n"/>
      <c r="N312">
        <f>IF(B312="","",MONTH(B312))</f>
        <v/>
      </c>
      <c r="O312">
        <f>IF(B312="","",YEAR(B312))</f>
        <v/>
      </c>
      <c r="P312">
        <f>IF(AND(D312&lt;&gt;"",COUNTIF(D$7:D312,D312)=1),MAX(P$6:P311)+1,"")</f>
        <v/>
      </c>
      <c r="Q312">
        <f>IF(E312="","",IF(I312="أجور عمال","أجرة","مادة"))</f>
        <v/>
      </c>
    </row>
    <row r="313">
      <c r="A313" s="12">
        <f>IF(E313="","",ROW()-6)</f>
        <v/>
      </c>
      <c r="B313" s="13" t="n"/>
      <c r="C313" s="12">
        <f>IF(B313="","",CHOOSE(WEEKDAY(B313,1),"الأحد","الاثنين","الثلاثاء","الأربعاء","الخميس","الجمعة","السبت"))</f>
        <v/>
      </c>
      <c r="D313" s="14" t="n"/>
      <c r="E313" s="15" t="n"/>
      <c r="F313" s="16" t="n"/>
      <c r="G313" s="17" t="n"/>
      <c r="H313" s="18">
        <f>IF(OR(F313="",G313=""),"",ROUND(F313*G313,2))</f>
        <v/>
      </c>
      <c r="I313" s="19">
        <f>IF(ISNUMBER(SEARCH("ستاند",D313)),"أثاث وستاندات","")</f>
        <v/>
      </c>
      <c r="J313" s="20">
        <f>IF(E313="","",IF(I313="","⚠ عبّي الغرض",IF(AND(D313&lt;&gt;"",OR(ISNUMBER(SEARCH("صيانة",D313)),ISNUMBER(SEARCH("تعزيل",D313)),ISNUMBER(SEARCH("تنظيف",D313)),ISNUMBER(SEARCH("تصليح",D313)))),"⚠ الصيانة بلا ورشة",IF(H313="","⚠ ناقص",IF(D313&lt;&gt;"",IF(SUMIF($D$7:$D$806,D313,$H$7:$H$806)&gt;=20,"أصل","مصروف"),IFERROR(IF(VLOOKUP(I313,'القوائم'!$A$2:$D$14,4,0)="زكاة وصدقة","زكاة وصدقة",IF(AND(VLOOKUP(I313,'القوائم'!$A$2:$D$14,3,0)&lt;&gt;"",H313&gt;=20),"أصل","مصروف")),"مصروف"))))))</f>
        <v/>
      </c>
      <c r="K313" s="21" t="n"/>
      <c r="L313" s="22" t="n"/>
      <c r="N313">
        <f>IF(B313="","",MONTH(B313))</f>
        <v/>
      </c>
      <c r="O313">
        <f>IF(B313="","",YEAR(B313))</f>
        <v/>
      </c>
      <c r="P313">
        <f>IF(AND(D313&lt;&gt;"",COUNTIF(D$7:D313,D313)=1),MAX(P$6:P312)+1,"")</f>
        <v/>
      </c>
      <c r="Q313">
        <f>IF(E313="","",IF(I313="أجور عمال","أجرة","مادة"))</f>
        <v/>
      </c>
    </row>
    <row r="314">
      <c r="A314" s="12">
        <f>IF(E314="","",ROW()-6)</f>
        <v/>
      </c>
      <c r="B314" s="13" t="n"/>
      <c r="C314" s="12">
        <f>IF(B314="","",CHOOSE(WEEKDAY(B314,1),"الأحد","الاثنين","الثلاثاء","الأربعاء","الخميس","الجمعة","السبت"))</f>
        <v/>
      </c>
      <c r="D314" s="14" t="n"/>
      <c r="E314" s="15" t="n"/>
      <c r="F314" s="16" t="n"/>
      <c r="G314" s="17" t="n"/>
      <c r="H314" s="18">
        <f>IF(OR(F314="",G314=""),"",ROUND(F314*G314,2))</f>
        <v/>
      </c>
      <c r="I314" s="19">
        <f>IF(ISNUMBER(SEARCH("ستاند",D314)),"أثاث وستاندات","")</f>
        <v/>
      </c>
      <c r="J314" s="20">
        <f>IF(E314="","",IF(I314="","⚠ عبّي الغرض",IF(AND(D314&lt;&gt;"",OR(ISNUMBER(SEARCH("صيانة",D314)),ISNUMBER(SEARCH("تعزيل",D314)),ISNUMBER(SEARCH("تنظيف",D314)),ISNUMBER(SEARCH("تصليح",D314)))),"⚠ الصيانة بلا ورشة",IF(H314="","⚠ ناقص",IF(D314&lt;&gt;"",IF(SUMIF($D$7:$D$806,D314,$H$7:$H$806)&gt;=20,"أصل","مصروف"),IFERROR(IF(VLOOKUP(I314,'القوائم'!$A$2:$D$14,4,0)="زكاة وصدقة","زكاة وصدقة",IF(AND(VLOOKUP(I314,'القوائم'!$A$2:$D$14,3,0)&lt;&gt;"",H314&gt;=20),"أصل","مصروف")),"مصروف"))))))</f>
        <v/>
      </c>
      <c r="K314" s="21" t="n"/>
      <c r="L314" s="22" t="n"/>
      <c r="N314">
        <f>IF(B314="","",MONTH(B314))</f>
        <v/>
      </c>
      <c r="O314">
        <f>IF(B314="","",YEAR(B314))</f>
        <v/>
      </c>
      <c r="P314">
        <f>IF(AND(D314&lt;&gt;"",COUNTIF(D$7:D314,D314)=1),MAX(P$6:P313)+1,"")</f>
        <v/>
      </c>
      <c r="Q314">
        <f>IF(E314="","",IF(I314="أجور عمال","أجرة","مادة"))</f>
        <v/>
      </c>
    </row>
    <row r="315">
      <c r="A315" s="12">
        <f>IF(E315="","",ROW()-6)</f>
        <v/>
      </c>
      <c r="B315" s="13" t="n"/>
      <c r="C315" s="12">
        <f>IF(B315="","",CHOOSE(WEEKDAY(B315,1),"الأحد","الاثنين","الثلاثاء","الأربعاء","الخميس","الجمعة","السبت"))</f>
        <v/>
      </c>
      <c r="D315" s="14" t="n"/>
      <c r="E315" s="15" t="n"/>
      <c r="F315" s="16" t="n"/>
      <c r="G315" s="17" t="n"/>
      <c r="H315" s="18">
        <f>IF(OR(F315="",G315=""),"",ROUND(F315*G315,2))</f>
        <v/>
      </c>
      <c r="I315" s="19">
        <f>IF(ISNUMBER(SEARCH("ستاند",D315)),"أثاث وستاندات","")</f>
        <v/>
      </c>
      <c r="J315" s="20">
        <f>IF(E315="","",IF(I315="","⚠ عبّي الغرض",IF(AND(D315&lt;&gt;"",OR(ISNUMBER(SEARCH("صيانة",D315)),ISNUMBER(SEARCH("تعزيل",D315)),ISNUMBER(SEARCH("تنظيف",D315)),ISNUMBER(SEARCH("تصليح",D315)))),"⚠ الصيانة بلا ورشة",IF(H315="","⚠ ناقص",IF(D315&lt;&gt;"",IF(SUMIF($D$7:$D$806,D315,$H$7:$H$806)&gt;=20,"أصل","مصروف"),IFERROR(IF(VLOOKUP(I315,'القوائم'!$A$2:$D$14,4,0)="زكاة وصدقة","زكاة وصدقة",IF(AND(VLOOKUP(I315,'القوائم'!$A$2:$D$14,3,0)&lt;&gt;"",H315&gt;=20),"أصل","مصروف")),"مصروف"))))))</f>
        <v/>
      </c>
      <c r="K315" s="21" t="n"/>
      <c r="L315" s="22" t="n"/>
      <c r="N315">
        <f>IF(B315="","",MONTH(B315))</f>
        <v/>
      </c>
      <c r="O315">
        <f>IF(B315="","",YEAR(B315))</f>
        <v/>
      </c>
      <c r="P315">
        <f>IF(AND(D315&lt;&gt;"",COUNTIF(D$7:D315,D315)=1),MAX(P$6:P314)+1,"")</f>
        <v/>
      </c>
      <c r="Q315">
        <f>IF(E315="","",IF(I315="أجور عمال","أجرة","مادة"))</f>
        <v/>
      </c>
    </row>
    <row r="316">
      <c r="A316" s="12">
        <f>IF(E316="","",ROW()-6)</f>
        <v/>
      </c>
      <c r="B316" s="13" t="n"/>
      <c r="C316" s="12">
        <f>IF(B316="","",CHOOSE(WEEKDAY(B316,1),"الأحد","الاثنين","الثلاثاء","الأربعاء","الخميس","الجمعة","السبت"))</f>
        <v/>
      </c>
      <c r="D316" s="14" t="n"/>
      <c r="E316" s="15" t="n"/>
      <c r="F316" s="16" t="n"/>
      <c r="G316" s="17" t="n"/>
      <c r="H316" s="18">
        <f>IF(OR(F316="",G316=""),"",ROUND(F316*G316,2))</f>
        <v/>
      </c>
      <c r="I316" s="19">
        <f>IF(ISNUMBER(SEARCH("ستاند",D316)),"أثاث وستاندات","")</f>
        <v/>
      </c>
      <c r="J316" s="20">
        <f>IF(E316="","",IF(I316="","⚠ عبّي الغرض",IF(AND(D316&lt;&gt;"",OR(ISNUMBER(SEARCH("صيانة",D316)),ISNUMBER(SEARCH("تعزيل",D316)),ISNUMBER(SEARCH("تنظيف",D316)),ISNUMBER(SEARCH("تصليح",D316)))),"⚠ الصيانة بلا ورشة",IF(H316="","⚠ ناقص",IF(D316&lt;&gt;"",IF(SUMIF($D$7:$D$806,D316,$H$7:$H$806)&gt;=20,"أصل","مصروف"),IFERROR(IF(VLOOKUP(I316,'القوائم'!$A$2:$D$14,4,0)="زكاة وصدقة","زكاة وصدقة",IF(AND(VLOOKUP(I316,'القوائم'!$A$2:$D$14,3,0)&lt;&gt;"",H316&gt;=20),"أصل","مصروف")),"مصروف"))))))</f>
        <v/>
      </c>
      <c r="K316" s="21" t="n"/>
      <c r="L316" s="22" t="n"/>
      <c r="N316">
        <f>IF(B316="","",MONTH(B316))</f>
        <v/>
      </c>
      <c r="O316">
        <f>IF(B316="","",YEAR(B316))</f>
        <v/>
      </c>
      <c r="P316">
        <f>IF(AND(D316&lt;&gt;"",COUNTIF(D$7:D316,D316)=1),MAX(P$6:P315)+1,"")</f>
        <v/>
      </c>
      <c r="Q316">
        <f>IF(E316="","",IF(I316="أجور عمال","أجرة","مادة"))</f>
        <v/>
      </c>
    </row>
    <row r="317">
      <c r="A317" s="12">
        <f>IF(E317="","",ROW()-6)</f>
        <v/>
      </c>
      <c r="B317" s="13" t="n"/>
      <c r="C317" s="12">
        <f>IF(B317="","",CHOOSE(WEEKDAY(B317,1),"الأحد","الاثنين","الثلاثاء","الأربعاء","الخميس","الجمعة","السبت"))</f>
        <v/>
      </c>
      <c r="D317" s="14" t="n"/>
      <c r="E317" s="15" t="n"/>
      <c r="F317" s="16" t="n"/>
      <c r="G317" s="17" t="n"/>
      <c r="H317" s="18">
        <f>IF(OR(F317="",G317=""),"",ROUND(F317*G317,2))</f>
        <v/>
      </c>
      <c r="I317" s="19">
        <f>IF(ISNUMBER(SEARCH("ستاند",D317)),"أثاث وستاندات","")</f>
        <v/>
      </c>
      <c r="J317" s="20">
        <f>IF(E317="","",IF(I317="","⚠ عبّي الغرض",IF(AND(D317&lt;&gt;"",OR(ISNUMBER(SEARCH("صيانة",D317)),ISNUMBER(SEARCH("تعزيل",D317)),ISNUMBER(SEARCH("تنظيف",D317)),ISNUMBER(SEARCH("تصليح",D317)))),"⚠ الصيانة بلا ورشة",IF(H317="","⚠ ناقص",IF(D317&lt;&gt;"",IF(SUMIF($D$7:$D$806,D317,$H$7:$H$806)&gt;=20,"أصل","مصروف"),IFERROR(IF(VLOOKUP(I317,'القوائم'!$A$2:$D$14,4,0)="زكاة وصدقة","زكاة وصدقة",IF(AND(VLOOKUP(I317,'القوائم'!$A$2:$D$14,3,0)&lt;&gt;"",H317&gt;=20),"أصل","مصروف")),"مصروف"))))))</f>
        <v/>
      </c>
      <c r="K317" s="21" t="n"/>
      <c r="L317" s="22" t="n"/>
      <c r="N317">
        <f>IF(B317="","",MONTH(B317))</f>
        <v/>
      </c>
      <c r="O317">
        <f>IF(B317="","",YEAR(B317))</f>
        <v/>
      </c>
      <c r="P317">
        <f>IF(AND(D317&lt;&gt;"",COUNTIF(D$7:D317,D317)=1),MAX(P$6:P316)+1,"")</f>
        <v/>
      </c>
      <c r="Q317">
        <f>IF(E317="","",IF(I317="أجور عمال","أجرة","مادة"))</f>
        <v/>
      </c>
    </row>
    <row r="318">
      <c r="A318" s="12">
        <f>IF(E318="","",ROW()-6)</f>
        <v/>
      </c>
      <c r="B318" s="13" t="n"/>
      <c r="C318" s="12">
        <f>IF(B318="","",CHOOSE(WEEKDAY(B318,1),"الأحد","الاثنين","الثلاثاء","الأربعاء","الخميس","الجمعة","السبت"))</f>
        <v/>
      </c>
      <c r="D318" s="14" t="n"/>
      <c r="E318" s="15" t="n"/>
      <c r="F318" s="16" t="n"/>
      <c r="G318" s="17" t="n"/>
      <c r="H318" s="18">
        <f>IF(OR(F318="",G318=""),"",ROUND(F318*G318,2))</f>
        <v/>
      </c>
      <c r="I318" s="19">
        <f>IF(ISNUMBER(SEARCH("ستاند",D318)),"أثاث وستاندات","")</f>
        <v/>
      </c>
      <c r="J318" s="20">
        <f>IF(E318="","",IF(I318="","⚠ عبّي الغرض",IF(AND(D318&lt;&gt;"",OR(ISNUMBER(SEARCH("صيانة",D318)),ISNUMBER(SEARCH("تعزيل",D318)),ISNUMBER(SEARCH("تنظيف",D318)),ISNUMBER(SEARCH("تصليح",D318)))),"⚠ الصيانة بلا ورشة",IF(H318="","⚠ ناقص",IF(D318&lt;&gt;"",IF(SUMIF($D$7:$D$806,D318,$H$7:$H$806)&gt;=20,"أصل","مصروف"),IFERROR(IF(VLOOKUP(I318,'القوائم'!$A$2:$D$14,4,0)="زكاة وصدقة","زكاة وصدقة",IF(AND(VLOOKUP(I318,'القوائم'!$A$2:$D$14,3,0)&lt;&gt;"",H318&gt;=20),"أصل","مصروف")),"مصروف"))))))</f>
        <v/>
      </c>
      <c r="K318" s="21" t="n"/>
      <c r="L318" s="22" t="n"/>
      <c r="N318">
        <f>IF(B318="","",MONTH(B318))</f>
        <v/>
      </c>
      <c r="O318">
        <f>IF(B318="","",YEAR(B318))</f>
        <v/>
      </c>
      <c r="P318">
        <f>IF(AND(D318&lt;&gt;"",COUNTIF(D$7:D318,D318)=1),MAX(P$6:P317)+1,"")</f>
        <v/>
      </c>
      <c r="Q318">
        <f>IF(E318="","",IF(I318="أجور عمال","أجرة","مادة"))</f>
        <v/>
      </c>
    </row>
    <row r="319">
      <c r="A319" s="12">
        <f>IF(E319="","",ROW()-6)</f>
        <v/>
      </c>
      <c r="B319" s="13" t="n"/>
      <c r="C319" s="12">
        <f>IF(B319="","",CHOOSE(WEEKDAY(B319,1),"الأحد","الاثنين","الثلاثاء","الأربعاء","الخميس","الجمعة","السبت"))</f>
        <v/>
      </c>
      <c r="D319" s="14" t="n"/>
      <c r="E319" s="15" t="n"/>
      <c r="F319" s="16" t="n"/>
      <c r="G319" s="17" t="n"/>
      <c r="H319" s="18">
        <f>IF(OR(F319="",G319=""),"",ROUND(F319*G319,2))</f>
        <v/>
      </c>
      <c r="I319" s="19">
        <f>IF(ISNUMBER(SEARCH("ستاند",D319)),"أثاث وستاندات","")</f>
        <v/>
      </c>
      <c r="J319" s="20">
        <f>IF(E319="","",IF(I319="","⚠ عبّي الغرض",IF(AND(D319&lt;&gt;"",OR(ISNUMBER(SEARCH("صيانة",D319)),ISNUMBER(SEARCH("تعزيل",D319)),ISNUMBER(SEARCH("تنظيف",D319)),ISNUMBER(SEARCH("تصليح",D319)))),"⚠ الصيانة بلا ورشة",IF(H319="","⚠ ناقص",IF(D319&lt;&gt;"",IF(SUMIF($D$7:$D$806,D319,$H$7:$H$806)&gt;=20,"أصل","مصروف"),IFERROR(IF(VLOOKUP(I319,'القوائم'!$A$2:$D$14,4,0)="زكاة وصدقة","زكاة وصدقة",IF(AND(VLOOKUP(I319,'القوائم'!$A$2:$D$14,3,0)&lt;&gt;"",H319&gt;=20),"أصل","مصروف")),"مصروف"))))))</f>
        <v/>
      </c>
      <c r="K319" s="21" t="n"/>
      <c r="L319" s="22" t="n"/>
      <c r="N319">
        <f>IF(B319="","",MONTH(B319))</f>
        <v/>
      </c>
      <c r="O319">
        <f>IF(B319="","",YEAR(B319))</f>
        <v/>
      </c>
      <c r="P319">
        <f>IF(AND(D319&lt;&gt;"",COUNTIF(D$7:D319,D319)=1),MAX(P$6:P318)+1,"")</f>
        <v/>
      </c>
      <c r="Q319">
        <f>IF(E319="","",IF(I319="أجور عمال","أجرة","مادة"))</f>
        <v/>
      </c>
    </row>
    <row r="320">
      <c r="A320" s="12">
        <f>IF(E320="","",ROW()-6)</f>
        <v/>
      </c>
      <c r="B320" s="13" t="n"/>
      <c r="C320" s="12">
        <f>IF(B320="","",CHOOSE(WEEKDAY(B320,1),"الأحد","الاثنين","الثلاثاء","الأربعاء","الخميس","الجمعة","السبت"))</f>
        <v/>
      </c>
      <c r="D320" s="14" t="n"/>
      <c r="E320" s="15" t="n"/>
      <c r="F320" s="16" t="n"/>
      <c r="G320" s="17" t="n"/>
      <c r="H320" s="18">
        <f>IF(OR(F320="",G320=""),"",ROUND(F320*G320,2))</f>
        <v/>
      </c>
      <c r="I320" s="19">
        <f>IF(ISNUMBER(SEARCH("ستاند",D320)),"أثاث وستاندات","")</f>
        <v/>
      </c>
      <c r="J320" s="20">
        <f>IF(E320="","",IF(I320="","⚠ عبّي الغرض",IF(AND(D320&lt;&gt;"",OR(ISNUMBER(SEARCH("صيانة",D320)),ISNUMBER(SEARCH("تعزيل",D320)),ISNUMBER(SEARCH("تنظيف",D320)),ISNUMBER(SEARCH("تصليح",D320)))),"⚠ الصيانة بلا ورشة",IF(H320="","⚠ ناقص",IF(D320&lt;&gt;"",IF(SUMIF($D$7:$D$806,D320,$H$7:$H$806)&gt;=20,"أصل","مصروف"),IFERROR(IF(VLOOKUP(I320,'القوائم'!$A$2:$D$14,4,0)="زكاة وصدقة","زكاة وصدقة",IF(AND(VLOOKUP(I320,'القوائم'!$A$2:$D$14,3,0)&lt;&gt;"",H320&gt;=20),"أصل","مصروف")),"مصروف"))))))</f>
        <v/>
      </c>
      <c r="K320" s="21" t="n"/>
      <c r="L320" s="22" t="n"/>
      <c r="N320">
        <f>IF(B320="","",MONTH(B320))</f>
        <v/>
      </c>
      <c r="O320">
        <f>IF(B320="","",YEAR(B320))</f>
        <v/>
      </c>
      <c r="P320">
        <f>IF(AND(D320&lt;&gt;"",COUNTIF(D$7:D320,D320)=1),MAX(P$6:P319)+1,"")</f>
        <v/>
      </c>
      <c r="Q320">
        <f>IF(E320="","",IF(I320="أجور عمال","أجرة","مادة"))</f>
        <v/>
      </c>
    </row>
    <row r="321">
      <c r="A321" s="12">
        <f>IF(E321="","",ROW()-6)</f>
        <v/>
      </c>
      <c r="B321" s="13" t="n"/>
      <c r="C321" s="12">
        <f>IF(B321="","",CHOOSE(WEEKDAY(B321,1),"الأحد","الاثنين","الثلاثاء","الأربعاء","الخميس","الجمعة","السبت"))</f>
        <v/>
      </c>
      <c r="D321" s="14" t="n"/>
      <c r="E321" s="15" t="n"/>
      <c r="F321" s="16" t="n"/>
      <c r="G321" s="17" t="n"/>
      <c r="H321" s="18">
        <f>IF(OR(F321="",G321=""),"",ROUND(F321*G321,2))</f>
        <v/>
      </c>
      <c r="I321" s="19">
        <f>IF(ISNUMBER(SEARCH("ستاند",D321)),"أثاث وستاندات","")</f>
        <v/>
      </c>
      <c r="J321" s="20">
        <f>IF(E321="","",IF(I321="","⚠ عبّي الغرض",IF(AND(D321&lt;&gt;"",OR(ISNUMBER(SEARCH("صيانة",D321)),ISNUMBER(SEARCH("تعزيل",D321)),ISNUMBER(SEARCH("تنظيف",D321)),ISNUMBER(SEARCH("تصليح",D321)))),"⚠ الصيانة بلا ورشة",IF(H321="","⚠ ناقص",IF(D321&lt;&gt;"",IF(SUMIF($D$7:$D$806,D321,$H$7:$H$806)&gt;=20,"أصل","مصروف"),IFERROR(IF(VLOOKUP(I321,'القوائم'!$A$2:$D$14,4,0)="زكاة وصدقة","زكاة وصدقة",IF(AND(VLOOKUP(I321,'القوائم'!$A$2:$D$14,3,0)&lt;&gt;"",H321&gt;=20),"أصل","مصروف")),"مصروف"))))))</f>
        <v/>
      </c>
      <c r="K321" s="21" t="n"/>
      <c r="L321" s="22" t="n"/>
      <c r="N321">
        <f>IF(B321="","",MONTH(B321))</f>
        <v/>
      </c>
      <c r="O321">
        <f>IF(B321="","",YEAR(B321))</f>
        <v/>
      </c>
      <c r="P321">
        <f>IF(AND(D321&lt;&gt;"",COUNTIF(D$7:D321,D321)=1),MAX(P$6:P320)+1,"")</f>
        <v/>
      </c>
      <c r="Q321">
        <f>IF(E321="","",IF(I321="أجور عمال","أجرة","مادة"))</f>
        <v/>
      </c>
    </row>
    <row r="322">
      <c r="A322" s="12">
        <f>IF(E322="","",ROW()-6)</f>
        <v/>
      </c>
      <c r="B322" s="13" t="n"/>
      <c r="C322" s="12">
        <f>IF(B322="","",CHOOSE(WEEKDAY(B322,1),"الأحد","الاثنين","الثلاثاء","الأربعاء","الخميس","الجمعة","السبت"))</f>
        <v/>
      </c>
      <c r="D322" s="14" t="n"/>
      <c r="E322" s="15" t="n"/>
      <c r="F322" s="16" t="n"/>
      <c r="G322" s="17" t="n"/>
      <c r="H322" s="18">
        <f>IF(OR(F322="",G322=""),"",ROUND(F322*G322,2))</f>
        <v/>
      </c>
      <c r="I322" s="19">
        <f>IF(ISNUMBER(SEARCH("ستاند",D322)),"أثاث وستاندات","")</f>
        <v/>
      </c>
      <c r="J322" s="20">
        <f>IF(E322="","",IF(I322="","⚠ عبّي الغرض",IF(AND(D322&lt;&gt;"",OR(ISNUMBER(SEARCH("صيانة",D322)),ISNUMBER(SEARCH("تعزيل",D322)),ISNUMBER(SEARCH("تنظيف",D322)),ISNUMBER(SEARCH("تصليح",D322)))),"⚠ الصيانة بلا ورشة",IF(H322="","⚠ ناقص",IF(D322&lt;&gt;"",IF(SUMIF($D$7:$D$806,D322,$H$7:$H$806)&gt;=20,"أصل","مصروف"),IFERROR(IF(VLOOKUP(I322,'القوائم'!$A$2:$D$14,4,0)="زكاة وصدقة","زكاة وصدقة",IF(AND(VLOOKUP(I322,'القوائم'!$A$2:$D$14,3,0)&lt;&gt;"",H322&gt;=20),"أصل","مصروف")),"مصروف"))))))</f>
        <v/>
      </c>
      <c r="K322" s="21" t="n"/>
      <c r="L322" s="22" t="n"/>
      <c r="N322">
        <f>IF(B322="","",MONTH(B322))</f>
        <v/>
      </c>
      <c r="O322">
        <f>IF(B322="","",YEAR(B322))</f>
        <v/>
      </c>
      <c r="P322">
        <f>IF(AND(D322&lt;&gt;"",COUNTIF(D$7:D322,D322)=1),MAX(P$6:P321)+1,"")</f>
        <v/>
      </c>
      <c r="Q322">
        <f>IF(E322="","",IF(I322="أجور عمال","أجرة","مادة"))</f>
        <v/>
      </c>
    </row>
    <row r="323">
      <c r="A323" s="12">
        <f>IF(E323="","",ROW()-6)</f>
        <v/>
      </c>
      <c r="B323" s="13" t="n"/>
      <c r="C323" s="12">
        <f>IF(B323="","",CHOOSE(WEEKDAY(B323,1),"الأحد","الاثنين","الثلاثاء","الأربعاء","الخميس","الجمعة","السبت"))</f>
        <v/>
      </c>
      <c r="D323" s="14" t="n"/>
      <c r="E323" s="15" t="n"/>
      <c r="F323" s="16" t="n"/>
      <c r="G323" s="17" t="n"/>
      <c r="H323" s="18">
        <f>IF(OR(F323="",G323=""),"",ROUND(F323*G323,2))</f>
        <v/>
      </c>
      <c r="I323" s="19">
        <f>IF(ISNUMBER(SEARCH("ستاند",D323)),"أثاث وستاندات","")</f>
        <v/>
      </c>
      <c r="J323" s="20">
        <f>IF(E323="","",IF(I323="","⚠ عبّي الغرض",IF(AND(D323&lt;&gt;"",OR(ISNUMBER(SEARCH("صيانة",D323)),ISNUMBER(SEARCH("تعزيل",D323)),ISNUMBER(SEARCH("تنظيف",D323)),ISNUMBER(SEARCH("تصليح",D323)))),"⚠ الصيانة بلا ورشة",IF(H323="","⚠ ناقص",IF(D323&lt;&gt;"",IF(SUMIF($D$7:$D$806,D323,$H$7:$H$806)&gt;=20,"أصل","مصروف"),IFERROR(IF(VLOOKUP(I323,'القوائم'!$A$2:$D$14,4,0)="زكاة وصدقة","زكاة وصدقة",IF(AND(VLOOKUP(I323,'القوائم'!$A$2:$D$14,3,0)&lt;&gt;"",H323&gt;=20),"أصل","مصروف")),"مصروف"))))))</f>
        <v/>
      </c>
      <c r="K323" s="21" t="n"/>
      <c r="L323" s="22" t="n"/>
      <c r="N323">
        <f>IF(B323="","",MONTH(B323))</f>
        <v/>
      </c>
      <c r="O323">
        <f>IF(B323="","",YEAR(B323))</f>
        <v/>
      </c>
      <c r="P323">
        <f>IF(AND(D323&lt;&gt;"",COUNTIF(D$7:D323,D323)=1),MAX(P$6:P322)+1,"")</f>
        <v/>
      </c>
      <c r="Q323">
        <f>IF(E323="","",IF(I323="أجور عمال","أجرة","مادة"))</f>
        <v/>
      </c>
    </row>
    <row r="324">
      <c r="A324" s="12">
        <f>IF(E324="","",ROW()-6)</f>
        <v/>
      </c>
      <c r="B324" s="13" t="n"/>
      <c r="C324" s="12">
        <f>IF(B324="","",CHOOSE(WEEKDAY(B324,1),"الأحد","الاثنين","الثلاثاء","الأربعاء","الخميس","الجمعة","السبت"))</f>
        <v/>
      </c>
      <c r="D324" s="14" t="n"/>
      <c r="E324" s="15" t="n"/>
      <c r="F324" s="16" t="n"/>
      <c r="G324" s="17" t="n"/>
      <c r="H324" s="18">
        <f>IF(OR(F324="",G324=""),"",ROUND(F324*G324,2))</f>
        <v/>
      </c>
      <c r="I324" s="19">
        <f>IF(ISNUMBER(SEARCH("ستاند",D324)),"أثاث وستاندات","")</f>
        <v/>
      </c>
      <c r="J324" s="20">
        <f>IF(E324="","",IF(I324="","⚠ عبّي الغرض",IF(AND(D324&lt;&gt;"",OR(ISNUMBER(SEARCH("صيانة",D324)),ISNUMBER(SEARCH("تعزيل",D324)),ISNUMBER(SEARCH("تنظيف",D324)),ISNUMBER(SEARCH("تصليح",D324)))),"⚠ الصيانة بلا ورشة",IF(H324="","⚠ ناقص",IF(D324&lt;&gt;"",IF(SUMIF($D$7:$D$806,D324,$H$7:$H$806)&gt;=20,"أصل","مصروف"),IFERROR(IF(VLOOKUP(I324,'القوائم'!$A$2:$D$14,4,0)="زكاة وصدقة","زكاة وصدقة",IF(AND(VLOOKUP(I324,'القوائم'!$A$2:$D$14,3,0)&lt;&gt;"",H324&gt;=20),"أصل","مصروف")),"مصروف"))))))</f>
        <v/>
      </c>
      <c r="K324" s="21" t="n"/>
      <c r="L324" s="22" t="n"/>
      <c r="N324">
        <f>IF(B324="","",MONTH(B324))</f>
        <v/>
      </c>
      <c r="O324">
        <f>IF(B324="","",YEAR(B324))</f>
        <v/>
      </c>
      <c r="P324">
        <f>IF(AND(D324&lt;&gt;"",COUNTIF(D$7:D324,D324)=1),MAX(P$6:P323)+1,"")</f>
        <v/>
      </c>
      <c r="Q324">
        <f>IF(E324="","",IF(I324="أجور عمال","أجرة","مادة"))</f>
        <v/>
      </c>
    </row>
    <row r="325">
      <c r="A325" s="12">
        <f>IF(E325="","",ROW()-6)</f>
        <v/>
      </c>
      <c r="B325" s="13" t="n"/>
      <c r="C325" s="12">
        <f>IF(B325="","",CHOOSE(WEEKDAY(B325,1),"الأحد","الاثنين","الثلاثاء","الأربعاء","الخميس","الجمعة","السبت"))</f>
        <v/>
      </c>
      <c r="D325" s="14" t="n"/>
      <c r="E325" s="15" t="n"/>
      <c r="F325" s="16" t="n"/>
      <c r="G325" s="17" t="n"/>
      <c r="H325" s="18">
        <f>IF(OR(F325="",G325=""),"",ROUND(F325*G325,2))</f>
        <v/>
      </c>
      <c r="I325" s="19">
        <f>IF(ISNUMBER(SEARCH("ستاند",D325)),"أثاث وستاندات","")</f>
        <v/>
      </c>
      <c r="J325" s="20">
        <f>IF(E325="","",IF(I325="","⚠ عبّي الغرض",IF(AND(D325&lt;&gt;"",OR(ISNUMBER(SEARCH("صيانة",D325)),ISNUMBER(SEARCH("تعزيل",D325)),ISNUMBER(SEARCH("تنظيف",D325)),ISNUMBER(SEARCH("تصليح",D325)))),"⚠ الصيانة بلا ورشة",IF(H325="","⚠ ناقص",IF(D325&lt;&gt;"",IF(SUMIF($D$7:$D$806,D325,$H$7:$H$806)&gt;=20,"أصل","مصروف"),IFERROR(IF(VLOOKUP(I325,'القوائم'!$A$2:$D$14,4,0)="زكاة وصدقة","زكاة وصدقة",IF(AND(VLOOKUP(I325,'القوائم'!$A$2:$D$14,3,0)&lt;&gt;"",H325&gt;=20),"أصل","مصروف")),"مصروف"))))))</f>
        <v/>
      </c>
      <c r="K325" s="21" t="n"/>
      <c r="L325" s="22" t="n"/>
      <c r="N325">
        <f>IF(B325="","",MONTH(B325))</f>
        <v/>
      </c>
      <c r="O325">
        <f>IF(B325="","",YEAR(B325))</f>
        <v/>
      </c>
      <c r="P325">
        <f>IF(AND(D325&lt;&gt;"",COUNTIF(D$7:D325,D325)=1),MAX(P$6:P324)+1,"")</f>
        <v/>
      </c>
      <c r="Q325">
        <f>IF(E325="","",IF(I325="أجور عمال","أجرة","مادة"))</f>
        <v/>
      </c>
    </row>
    <row r="326">
      <c r="A326" s="12">
        <f>IF(E326="","",ROW()-6)</f>
        <v/>
      </c>
      <c r="B326" s="13" t="n"/>
      <c r="C326" s="12">
        <f>IF(B326="","",CHOOSE(WEEKDAY(B326,1),"الأحد","الاثنين","الثلاثاء","الأربعاء","الخميس","الجمعة","السبت"))</f>
        <v/>
      </c>
      <c r="D326" s="14" t="n"/>
      <c r="E326" s="15" t="n"/>
      <c r="F326" s="16" t="n"/>
      <c r="G326" s="17" t="n"/>
      <c r="H326" s="18">
        <f>IF(OR(F326="",G326=""),"",ROUND(F326*G326,2))</f>
        <v/>
      </c>
      <c r="I326" s="19">
        <f>IF(ISNUMBER(SEARCH("ستاند",D326)),"أثاث وستاندات","")</f>
        <v/>
      </c>
      <c r="J326" s="20">
        <f>IF(E326="","",IF(I326="","⚠ عبّي الغرض",IF(AND(D326&lt;&gt;"",OR(ISNUMBER(SEARCH("صيانة",D326)),ISNUMBER(SEARCH("تعزيل",D326)),ISNUMBER(SEARCH("تنظيف",D326)),ISNUMBER(SEARCH("تصليح",D326)))),"⚠ الصيانة بلا ورشة",IF(H326="","⚠ ناقص",IF(D326&lt;&gt;"",IF(SUMIF($D$7:$D$806,D326,$H$7:$H$806)&gt;=20,"أصل","مصروف"),IFERROR(IF(VLOOKUP(I326,'القوائم'!$A$2:$D$14,4,0)="زكاة وصدقة","زكاة وصدقة",IF(AND(VLOOKUP(I326,'القوائم'!$A$2:$D$14,3,0)&lt;&gt;"",H326&gt;=20),"أصل","مصروف")),"مصروف"))))))</f>
        <v/>
      </c>
      <c r="K326" s="21" t="n"/>
      <c r="L326" s="22" t="n"/>
      <c r="N326">
        <f>IF(B326="","",MONTH(B326))</f>
        <v/>
      </c>
      <c r="O326">
        <f>IF(B326="","",YEAR(B326))</f>
        <v/>
      </c>
      <c r="P326">
        <f>IF(AND(D326&lt;&gt;"",COUNTIF(D$7:D326,D326)=1),MAX(P$6:P325)+1,"")</f>
        <v/>
      </c>
      <c r="Q326">
        <f>IF(E326="","",IF(I326="أجور عمال","أجرة","مادة"))</f>
        <v/>
      </c>
    </row>
    <row r="327">
      <c r="A327" s="12">
        <f>IF(E327="","",ROW()-6)</f>
        <v/>
      </c>
      <c r="B327" s="13" t="n"/>
      <c r="C327" s="12">
        <f>IF(B327="","",CHOOSE(WEEKDAY(B327,1),"الأحد","الاثنين","الثلاثاء","الأربعاء","الخميس","الجمعة","السبت"))</f>
        <v/>
      </c>
      <c r="D327" s="14" t="n"/>
      <c r="E327" s="15" t="n"/>
      <c r="F327" s="16" t="n"/>
      <c r="G327" s="17" t="n"/>
      <c r="H327" s="18">
        <f>IF(OR(F327="",G327=""),"",ROUND(F327*G327,2))</f>
        <v/>
      </c>
      <c r="I327" s="19">
        <f>IF(ISNUMBER(SEARCH("ستاند",D327)),"أثاث وستاندات","")</f>
        <v/>
      </c>
      <c r="J327" s="20">
        <f>IF(E327="","",IF(I327="","⚠ عبّي الغرض",IF(AND(D327&lt;&gt;"",OR(ISNUMBER(SEARCH("صيانة",D327)),ISNUMBER(SEARCH("تعزيل",D327)),ISNUMBER(SEARCH("تنظيف",D327)),ISNUMBER(SEARCH("تصليح",D327)))),"⚠ الصيانة بلا ورشة",IF(H327="","⚠ ناقص",IF(D327&lt;&gt;"",IF(SUMIF($D$7:$D$806,D327,$H$7:$H$806)&gt;=20,"أصل","مصروف"),IFERROR(IF(VLOOKUP(I327,'القوائم'!$A$2:$D$14,4,0)="زكاة وصدقة","زكاة وصدقة",IF(AND(VLOOKUP(I327,'القوائم'!$A$2:$D$14,3,0)&lt;&gt;"",H327&gt;=20),"أصل","مصروف")),"مصروف"))))))</f>
        <v/>
      </c>
      <c r="K327" s="21" t="n"/>
      <c r="L327" s="22" t="n"/>
      <c r="N327">
        <f>IF(B327="","",MONTH(B327))</f>
        <v/>
      </c>
      <c r="O327">
        <f>IF(B327="","",YEAR(B327))</f>
        <v/>
      </c>
      <c r="P327">
        <f>IF(AND(D327&lt;&gt;"",COUNTIF(D$7:D327,D327)=1),MAX(P$6:P326)+1,"")</f>
        <v/>
      </c>
      <c r="Q327">
        <f>IF(E327="","",IF(I327="أجور عمال","أجرة","مادة"))</f>
        <v/>
      </c>
    </row>
    <row r="328">
      <c r="A328" s="12">
        <f>IF(E328="","",ROW()-6)</f>
        <v/>
      </c>
      <c r="B328" s="13" t="n"/>
      <c r="C328" s="12">
        <f>IF(B328="","",CHOOSE(WEEKDAY(B328,1),"الأحد","الاثنين","الثلاثاء","الأربعاء","الخميس","الجمعة","السبت"))</f>
        <v/>
      </c>
      <c r="D328" s="14" t="n"/>
      <c r="E328" s="15" t="n"/>
      <c r="F328" s="16" t="n"/>
      <c r="G328" s="17" t="n"/>
      <c r="H328" s="18">
        <f>IF(OR(F328="",G328=""),"",ROUND(F328*G328,2))</f>
        <v/>
      </c>
      <c r="I328" s="19">
        <f>IF(ISNUMBER(SEARCH("ستاند",D328)),"أثاث وستاندات","")</f>
        <v/>
      </c>
      <c r="J328" s="20">
        <f>IF(E328="","",IF(I328="","⚠ عبّي الغرض",IF(AND(D328&lt;&gt;"",OR(ISNUMBER(SEARCH("صيانة",D328)),ISNUMBER(SEARCH("تعزيل",D328)),ISNUMBER(SEARCH("تنظيف",D328)),ISNUMBER(SEARCH("تصليح",D328)))),"⚠ الصيانة بلا ورشة",IF(H328="","⚠ ناقص",IF(D328&lt;&gt;"",IF(SUMIF($D$7:$D$806,D328,$H$7:$H$806)&gt;=20,"أصل","مصروف"),IFERROR(IF(VLOOKUP(I328,'القوائم'!$A$2:$D$14,4,0)="زكاة وصدقة","زكاة وصدقة",IF(AND(VLOOKUP(I328,'القوائم'!$A$2:$D$14,3,0)&lt;&gt;"",H328&gt;=20),"أصل","مصروف")),"مصروف"))))))</f>
        <v/>
      </c>
      <c r="K328" s="21" t="n"/>
      <c r="L328" s="22" t="n"/>
      <c r="N328">
        <f>IF(B328="","",MONTH(B328))</f>
        <v/>
      </c>
      <c r="O328">
        <f>IF(B328="","",YEAR(B328))</f>
        <v/>
      </c>
      <c r="P328">
        <f>IF(AND(D328&lt;&gt;"",COUNTIF(D$7:D328,D328)=1),MAX(P$6:P327)+1,"")</f>
        <v/>
      </c>
      <c r="Q328">
        <f>IF(E328="","",IF(I328="أجور عمال","أجرة","مادة"))</f>
        <v/>
      </c>
    </row>
    <row r="329">
      <c r="A329" s="12">
        <f>IF(E329="","",ROW()-6)</f>
        <v/>
      </c>
      <c r="B329" s="13" t="n"/>
      <c r="C329" s="12">
        <f>IF(B329="","",CHOOSE(WEEKDAY(B329,1),"الأحد","الاثنين","الثلاثاء","الأربعاء","الخميس","الجمعة","السبت"))</f>
        <v/>
      </c>
      <c r="D329" s="14" t="n"/>
      <c r="E329" s="15" t="n"/>
      <c r="F329" s="16" t="n"/>
      <c r="G329" s="17" t="n"/>
      <c r="H329" s="18">
        <f>IF(OR(F329="",G329=""),"",ROUND(F329*G329,2))</f>
        <v/>
      </c>
      <c r="I329" s="19">
        <f>IF(ISNUMBER(SEARCH("ستاند",D329)),"أثاث وستاندات","")</f>
        <v/>
      </c>
      <c r="J329" s="20">
        <f>IF(E329="","",IF(I329="","⚠ عبّي الغرض",IF(AND(D329&lt;&gt;"",OR(ISNUMBER(SEARCH("صيانة",D329)),ISNUMBER(SEARCH("تعزيل",D329)),ISNUMBER(SEARCH("تنظيف",D329)),ISNUMBER(SEARCH("تصليح",D329)))),"⚠ الصيانة بلا ورشة",IF(H329="","⚠ ناقص",IF(D329&lt;&gt;"",IF(SUMIF($D$7:$D$806,D329,$H$7:$H$806)&gt;=20,"أصل","مصروف"),IFERROR(IF(VLOOKUP(I329,'القوائم'!$A$2:$D$14,4,0)="زكاة وصدقة","زكاة وصدقة",IF(AND(VLOOKUP(I329,'القوائم'!$A$2:$D$14,3,0)&lt;&gt;"",H329&gt;=20),"أصل","مصروف")),"مصروف"))))))</f>
        <v/>
      </c>
      <c r="K329" s="21" t="n"/>
      <c r="L329" s="22" t="n"/>
      <c r="N329">
        <f>IF(B329="","",MONTH(B329))</f>
        <v/>
      </c>
      <c r="O329">
        <f>IF(B329="","",YEAR(B329))</f>
        <v/>
      </c>
      <c r="P329">
        <f>IF(AND(D329&lt;&gt;"",COUNTIF(D$7:D329,D329)=1),MAX(P$6:P328)+1,"")</f>
        <v/>
      </c>
      <c r="Q329">
        <f>IF(E329="","",IF(I329="أجور عمال","أجرة","مادة"))</f>
        <v/>
      </c>
    </row>
    <row r="330">
      <c r="A330" s="12">
        <f>IF(E330="","",ROW()-6)</f>
        <v/>
      </c>
      <c r="B330" s="13" t="n"/>
      <c r="C330" s="12">
        <f>IF(B330="","",CHOOSE(WEEKDAY(B330,1),"الأحد","الاثنين","الثلاثاء","الأربعاء","الخميس","الجمعة","السبت"))</f>
        <v/>
      </c>
      <c r="D330" s="14" t="n"/>
      <c r="E330" s="15" t="n"/>
      <c r="F330" s="16" t="n"/>
      <c r="G330" s="17" t="n"/>
      <c r="H330" s="18">
        <f>IF(OR(F330="",G330=""),"",ROUND(F330*G330,2))</f>
        <v/>
      </c>
      <c r="I330" s="19">
        <f>IF(ISNUMBER(SEARCH("ستاند",D330)),"أثاث وستاندات","")</f>
        <v/>
      </c>
      <c r="J330" s="20">
        <f>IF(E330="","",IF(I330="","⚠ عبّي الغرض",IF(AND(D330&lt;&gt;"",OR(ISNUMBER(SEARCH("صيانة",D330)),ISNUMBER(SEARCH("تعزيل",D330)),ISNUMBER(SEARCH("تنظيف",D330)),ISNUMBER(SEARCH("تصليح",D330)))),"⚠ الصيانة بلا ورشة",IF(H330="","⚠ ناقص",IF(D330&lt;&gt;"",IF(SUMIF($D$7:$D$806,D330,$H$7:$H$806)&gt;=20,"أصل","مصروف"),IFERROR(IF(VLOOKUP(I330,'القوائم'!$A$2:$D$14,4,0)="زكاة وصدقة","زكاة وصدقة",IF(AND(VLOOKUP(I330,'القوائم'!$A$2:$D$14,3,0)&lt;&gt;"",H330&gt;=20),"أصل","مصروف")),"مصروف"))))))</f>
        <v/>
      </c>
      <c r="K330" s="21" t="n"/>
      <c r="L330" s="22" t="n"/>
      <c r="N330">
        <f>IF(B330="","",MONTH(B330))</f>
        <v/>
      </c>
      <c r="O330">
        <f>IF(B330="","",YEAR(B330))</f>
        <v/>
      </c>
      <c r="P330">
        <f>IF(AND(D330&lt;&gt;"",COUNTIF(D$7:D330,D330)=1),MAX(P$6:P329)+1,"")</f>
        <v/>
      </c>
      <c r="Q330">
        <f>IF(E330="","",IF(I330="أجور عمال","أجرة","مادة"))</f>
        <v/>
      </c>
    </row>
    <row r="331">
      <c r="A331" s="12">
        <f>IF(E331="","",ROW()-6)</f>
        <v/>
      </c>
      <c r="B331" s="13" t="n"/>
      <c r="C331" s="12">
        <f>IF(B331="","",CHOOSE(WEEKDAY(B331,1),"الأحد","الاثنين","الثلاثاء","الأربعاء","الخميس","الجمعة","السبت"))</f>
        <v/>
      </c>
      <c r="D331" s="14" t="n"/>
      <c r="E331" s="15" t="n"/>
      <c r="F331" s="16" t="n"/>
      <c r="G331" s="17" t="n"/>
      <c r="H331" s="18">
        <f>IF(OR(F331="",G331=""),"",ROUND(F331*G331,2))</f>
        <v/>
      </c>
      <c r="I331" s="19">
        <f>IF(ISNUMBER(SEARCH("ستاند",D331)),"أثاث وستاندات","")</f>
        <v/>
      </c>
      <c r="J331" s="20">
        <f>IF(E331="","",IF(I331="","⚠ عبّي الغرض",IF(AND(D331&lt;&gt;"",OR(ISNUMBER(SEARCH("صيانة",D331)),ISNUMBER(SEARCH("تعزيل",D331)),ISNUMBER(SEARCH("تنظيف",D331)),ISNUMBER(SEARCH("تصليح",D331)))),"⚠ الصيانة بلا ورشة",IF(H331="","⚠ ناقص",IF(D331&lt;&gt;"",IF(SUMIF($D$7:$D$806,D331,$H$7:$H$806)&gt;=20,"أصل","مصروف"),IFERROR(IF(VLOOKUP(I331,'القوائم'!$A$2:$D$14,4,0)="زكاة وصدقة","زكاة وصدقة",IF(AND(VLOOKUP(I331,'القوائم'!$A$2:$D$14,3,0)&lt;&gt;"",H331&gt;=20),"أصل","مصروف")),"مصروف"))))))</f>
        <v/>
      </c>
      <c r="K331" s="21" t="n"/>
      <c r="L331" s="22" t="n"/>
      <c r="N331">
        <f>IF(B331="","",MONTH(B331))</f>
        <v/>
      </c>
      <c r="O331">
        <f>IF(B331="","",YEAR(B331))</f>
        <v/>
      </c>
      <c r="P331">
        <f>IF(AND(D331&lt;&gt;"",COUNTIF(D$7:D331,D331)=1),MAX(P$6:P330)+1,"")</f>
        <v/>
      </c>
      <c r="Q331">
        <f>IF(E331="","",IF(I331="أجور عمال","أجرة","مادة"))</f>
        <v/>
      </c>
    </row>
    <row r="332">
      <c r="A332" s="12">
        <f>IF(E332="","",ROW()-6)</f>
        <v/>
      </c>
      <c r="B332" s="13" t="n"/>
      <c r="C332" s="12">
        <f>IF(B332="","",CHOOSE(WEEKDAY(B332,1),"الأحد","الاثنين","الثلاثاء","الأربعاء","الخميس","الجمعة","السبت"))</f>
        <v/>
      </c>
      <c r="D332" s="14" t="n"/>
      <c r="E332" s="15" t="n"/>
      <c r="F332" s="16" t="n"/>
      <c r="G332" s="17" t="n"/>
      <c r="H332" s="18">
        <f>IF(OR(F332="",G332=""),"",ROUND(F332*G332,2))</f>
        <v/>
      </c>
      <c r="I332" s="19">
        <f>IF(ISNUMBER(SEARCH("ستاند",D332)),"أثاث وستاندات","")</f>
        <v/>
      </c>
      <c r="J332" s="20">
        <f>IF(E332="","",IF(I332="","⚠ عبّي الغرض",IF(AND(D332&lt;&gt;"",OR(ISNUMBER(SEARCH("صيانة",D332)),ISNUMBER(SEARCH("تعزيل",D332)),ISNUMBER(SEARCH("تنظيف",D332)),ISNUMBER(SEARCH("تصليح",D332)))),"⚠ الصيانة بلا ورشة",IF(H332="","⚠ ناقص",IF(D332&lt;&gt;"",IF(SUMIF($D$7:$D$806,D332,$H$7:$H$806)&gt;=20,"أصل","مصروف"),IFERROR(IF(VLOOKUP(I332,'القوائم'!$A$2:$D$14,4,0)="زكاة وصدقة","زكاة وصدقة",IF(AND(VLOOKUP(I332,'القوائم'!$A$2:$D$14,3,0)&lt;&gt;"",H332&gt;=20),"أصل","مصروف")),"مصروف"))))))</f>
        <v/>
      </c>
      <c r="K332" s="21" t="n"/>
      <c r="L332" s="22" t="n"/>
      <c r="N332">
        <f>IF(B332="","",MONTH(B332))</f>
        <v/>
      </c>
      <c r="O332">
        <f>IF(B332="","",YEAR(B332))</f>
        <v/>
      </c>
      <c r="P332">
        <f>IF(AND(D332&lt;&gt;"",COUNTIF(D$7:D332,D332)=1),MAX(P$6:P331)+1,"")</f>
        <v/>
      </c>
      <c r="Q332">
        <f>IF(E332="","",IF(I332="أجور عمال","أجرة","مادة"))</f>
        <v/>
      </c>
    </row>
    <row r="333">
      <c r="A333" s="12">
        <f>IF(E333="","",ROW()-6)</f>
        <v/>
      </c>
      <c r="B333" s="13" t="n"/>
      <c r="C333" s="12">
        <f>IF(B333="","",CHOOSE(WEEKDAY(B333,1),"الأحد","الاثنين","الثلاثاء","الأربعاء","الخميس","الجمعة","السبت"))</f>
        <v/>
      </c>
      <c r="D333" s="14" t="n"/>
      <c r="E333" s="15" t="n"/>
      <c r="F333" s="16" t="n"/>
      <c r="G333" s="17" t="n"/>
      <c r="H333" s="18">
        <f>IF(OR(F333="",G333=""),"",ROUND(F333*G333,2))</f>
        <v/>
      </c>
      <c r="I333" s="19">
        <f>IF(ISNUMBER(SEARCH("ستاند",D333)),"أثاث وستاندات","")</f>
        <v/>
      </c>
      <c r="J333" s="20">
        <f>IF(E333="","",IF(I333="","⚠ عبّي الغرض",IF(AND(D333&lt;&gt;"",OR(ISNUMBER(SEARCH("صيانة",D333)),ISNUMBER(SEARCH("تعزيل",D333)),ISNUMBER(SEARCH("تنظيف",D333)),ISNUMBER(SEARCH("تصليح",D333)))),"⚠ الصيانة بلا ورشة",IF(H333="","⚠ ناقص",IF(D333&lt;&gt;"",IF(SUMIF($D$7:$D$806,D333,$H$7:$H$806)&gt;=20,"أصل","مصروف"),IFERROR(IF(VLOOKUP(I333,'القوائم'!$A$2:$D$14,4,0)="زكاة وصدقة","زكاة وصدقة",IF(AND(VLOOKUP(I333,'القوائم'!$A$2:$D$14,3,0)&lt;&gt;"",H333&gt;=20),"أصل","مصروف")),"مصروف"))))))</f>
        <v/>
      </c>
      <c r="K333" s="21" t="n"/>
      <c r="L333" s="22" t="n"/>
      <c r="N333">
        <f>IF(B333="","",MONTH(B333))</f>
        <v/>
      </c>
      <c r="O333">
        <f>IF(B333="","",YEAR(B333))</f>
        <v/>
      </c>
      <c r="P333">
        <f>IF(AND(D333&lt;&gt;"",COUNTIF(D$7:D333,D333)=1),MAX(P$6:P332)+1,"")</f>
        <v/>
      </c>
      <c r="Q333">
        <f>IF(E333="","",IF(I333="أجور عمال","أجرة","مادة"))</f>
        <v/>
      </c>
    </row>
    <row r="334">
      <c r="A334" s="12">
        <f>IF(E334="","",ROW()-6)</f>
        <v/>
      </c>
      <c r="B334" s="13" t="n"/>
      <c r="C334" s="12">
        <f>IF(B334="","",CHOOSE(WEEKDAY(B334,1),"الأحد","الاثنين","الثلاثاء","الأربعاء","الخميس","الجمعة","السبت"))</f>
        <v/>
      </c>
      <c r="D334" s="14" t="n"/>
      <c r="E334" s="15" t="n"/>
      <c r="F334" s="16" t="n"/>
      <c r="G334" s="17" t="n"/>
      <c r="H334" s="18">
        <f>IF(OR(F334="",G334=""),"",ROUND(F334*G334,2))</f>
        <v/>
      </c>
      <c r="I334" s="19">
        <f>IF(ISNUMBER(SEARCH("ستاند",D334)),"أثاث وستاندات","")</f>
        <v/>
      </c>
      <c r="J334" s="20">
        <f>IF(E334="","",IF(I334="","⚠ عبّي الغرض",IF(AND(D334&lt;&gt;"",OR(ISNUMBER(SEARCH("صيانة",D334)),ISNUMBER(SEARCH("تعزيل",D334)),ISNUMBER(SEARCH("تنظيف",D334)),ISNUMBER(SEARCH("تصليح",D334)))),"⚠ الصيانة بلا ورشة",IF(H334="","⚠ ناقص",IF(D334&lt;&gt;"",IF(SUMIF($D$7:$D$806,D334,$H$7:$H$806)&gt;=20,"أصل","مصروف"),IFERROR(IF(VLOOKUP(I334,'القوائم'!$A$2:$D$14,4,0)="زكاة وصدقة","زكاة وصدقة",IF(AND(VLOOKUP(I334,'القوائم'!$A$2:$D$14,3,0)&lt;&gt;"",H334&gt;=20),"أصل","مصروف")),"مصروف"))))))</f>
        <v/>
      </c>
      <c r="K334" s="21" t="n"/>
      <c r="L334" s="22" t="n"/>
      <c r="N334">
        <f>IF(B334="","",MONTH(B334))</f>
        <v/>
      </c>
      <c r="O334">
        <f>IF(B334="","",YEAR(B334))</f>
        <v/>
      </c>
      <c r="P334">
        <f>IF(AND(D334&lt;&gt;"",COUNTIF(D$7:D334,D334)=1),MAX(P$6:P333)+1,"")</f>
        <v/>
      </c>
      <c r="Q334">
        <f>IF(E334="","",IF(I334="أجور عمال","أجرة","مادة"))</f>
        <v/>
      </c>
    </row>
    <row r="335">
      <c r="A335" s="12">
        <f>IF(E335="","",ROW()-6)</f>
        <v/>
      </c>
      <c r="B335" s="13" t="n"/>
      <c r="C335" s="12">
        <f>IF(B335="","",CHOOSE(WEEKDAY(B335,1),"الأحد","الاثنين","الثلاثاء","الأربعاء","الخميس","الجمعة","السبت"))</f>
        <v/>
      </c>
      <c r="D335" s="14" t="n"/>
      <c r="E335" s="15" t="n"/>
      <c r="F335" s="16" t="n"/>
      <c r="G335" s="17" t="n"/>
      <c r="H335" s="18">
        <f>IF(OR(F335="",G335=""),"",ROUND(F335*G335,2))</f>
        <v/>
      </c>
      <c r="I335" s="19">
        <f>IF(ISNUMBER(SEARCH("ستاند",D335)),"أثاث وستاندات","")</f>
        <v/>
      </c>
      <c r="J335" s="20">
        <f>IF(E335="","",IF(I335="","⚠ عبّي الغرض",IF(AND(D335&lt;&gt;"",OR(ISNUMBER(SEARCH("صيانة",D335)),ISNUMBER(SEARCH("تعزيل",D335)),ISNUMBER(SEARCH("تنظيف",D335)),ISNUMBER(SEARCH("تصليح",D335)))),"⚠ الصيانة بلا ورشة",IF(H335="","⚠ ناقص",IF(D335&lt;&gt;"",IF(SUMIF($D$7:$D$806,D335,$H$7:$H$806)&gt;=20,"أصل","مصروف"),IFERROR(IF(VLOOKUP(I335,'القوائم'!$A$2:$D$14,4,0)="زكاة وصدقة","زكاة وصدقة",IF(AND(VLOOKUP(I335,'القوائم'!$A$2:$D$14,3,0)&lt;&gt;"",H335&gt;=20),"أصل","مصروف")),"مصروف"))))))</f>
        <v/>
      </c>
      <c r="K335" s="21" t="n"/>
      <c r="L335" s="22" t="n"/>
      <c r="N335">
        <f>IF(B335="","",MONTH(B335))</f>
        <v/>
      </c>
      <c r="O335">
        <f>IF(B335="","",YEAR(B335))</f>
        <v/>
      </c>
      <c r="P335">
        <f>IF(AND(D335&lt;&gt;"",COUNTIF(D$7:D335,D335)=1),MAX(P$6:P334)+1,"")</f>
        <v/>
      </c>
      <c r="Q335">
        <f>IF(E335="","",IF(I335="أجور عمال","أجرة","مادة"))</f>
        <v/>
      </c>
    </row>
    <row r="336">
      <c r="A336" s="12">
        <f>IF(E336="","",ROW()-6)</f>
        <v/>
      </c>
      <c r="B336" s="13" t="n"/>
      <c r="C336" s="12">
        <f>IF(B336="","",CHOOSE(WEEKDAY(B336,1),"الأحد","الاثنين","الثلاثاء","الأربعاء","الخميس","الجمعة","السبت"))</f>
        <v/>
      </c>
      <c r="D336" s="14" t="n"/>
      <c r="E336" s="15" t="n"/>
      <c r="F336" s="16" t="n"/>
      <c r="G336" s="17" t="n"/>
      <c r="H336" s="18">
        <f>IF(OR(F336="",G336=""),"",ROUND(F336*G336,2))</f>
        <v/>
      </c>
      <c r="I336" s="19">
        <f>IF(ISNUMBER(SEARCH("ستاند",D336)),"أثاث وستاندات","")</f>
        <v/>
      </c>
      <c r="J336" s="20">
        <f>IF(E336="","",IF(I336="","⚠ عبّي الغرض",IF(AND(D336&lt;&gt;"",OR(ISNUMBER(SEARCH("صيانة",D336)),ISNUMBER(SEARCH("تعزيل",D336)),ISNUMBER(SEARCH("تنظيف",D336)),ISNUMBER(SEARCH("تصليح",D336)))),"⚠ الصيانة بلا ورشة",IF(H336="","⚠ ناقص",IF(D336&lt;&gt;"",IF(SUMIF($D$7:$D$806,D336,$H$7:$H$806)&gt;=20,"أصل","مصروف"),IFERROR(IF(VLOOKUP(I336,'القوائم'!$A$2:$D$14,4,0)="زكاة وصدقة","زكاة وصدقة",IF(AND(VLOOKUP(I336,'القوائم'!$A$2:$D$14,3,0)&lt;&gt;"",H336&gt;=20),"أصل","مصروف")),"مصروف"))))))</f>
        <v/>
      </c>
      <c r="K336" s="21" t="n"/>
      <c r="L336" s="22" t="n"/>
      <c r="N336">
        <f>IF(B336="","",MONTH(B336))</f>
        <v/>
      </c>
      <c r="O336">
        <f>IF(B336="","",YEAR(B336))</f>
        <v/>
      </c>
      <c r="P336">
        <f>IF(AND(D336&lt;&gt;"",COUNTIF(D$7:D336,D336)=1),MAX(P$6:P335)+1,"")</f>
        <v/>
      </c>
      <c r="Q336">
        <f>IF(E336="","",IF(I336="أجور عمال","أجرة","مادة"))</f>
        <v/>
      </c>
    </row>
    <row r="337">
      <c r="A337" s="12">
        <f>IF(E337="","",ROW()-6)</f>
        <v/>
      </c>
      <c r="B337" s="13" t="n"/>
      <c r="C337" s="12">
        <f>IF(B337="","",CHOOSE(WEEKDAY(B337,1),"الأحد","الاثنين","الثلاثاء","الأربعاء","الخميس","الجمعة","السبت"))</f>
        <v/>
      </c>
      <c r="D337" s="14" t="n"/>
      <c r="E337" s="15" t="n"/>
      <c r="F337" s="16" t="n"/>
      <c r="G337" s="17" t="n"/>
      <c r="H337" s="18">
        <f>IF(OR(F337="",G337=""),"",ROUND(F337*G337,2))</f>
        <v/>
      </c>
      <c r="I337" s="19">
        <f>IF(ISNUMBER(SEARCH("ستاند",D337)),"أثاث وستاندات","")</f>
        <v/>
      </c>
      <c r="J337" s="20">
        <f>IF(E337="","",IF(I337="","⚠ عبّي الغرض",IF(AND(D337&lt;&gt;"",OR(ISNUMBER(SEARCH("صيانة",D337)),ISNUMBER(SEARCH("تعزيل",D337)),ISNUMBER(SEARCH("تنظيف",D337)),ISNUMBER(SEARCH("تصليح",D337)))),"⚠ الصيانة بلا ورشة",IF(H337="","⚠ ناقص",IF(D337&lt;&gt;"",IF(SUMIF($D$7:$D$806,D337,$H$7:$H$806)&gt;=20,"أصل","مصروف"),IFERROR(IF(VLOOKUP(I337,'القوائم'!$A$2:$D$14,4,0)="زكاة وصدقة","زكاة وصدقة",IF(AND(VLOOKUP(I337,'القوائم'!$A$2:$D$14,3,0)&lt;&gt;"",H337&gt;=20),"أصل","مصروف")),"مصروف"))))))</f>
        <v/>
      </c>
      <c r="K337" s="21" t="n"/>
      <c r="L337" s="22" t="n"/>
      <c r="N337">
        <f>IF(B337="","",MONTH(B337))</f>
        <v/>
      </c>
      <c r="O337">
        <f>IF(B337="","",YEAR(B337))</f>
        <v/>
      </c>
      <c r="P337">
        <f>IF(AND(D337&lt;&gt;"",COUNTIF(D$7:D337,D337)=1),MAX(P$6:P336)+1,"")</f>
        <v/>
      </c>
      <c r="Q337">
        <f>IF(E337="","",IF(I337="أجور عمال","أجرة","مادة"))</f>
        <v/>
      </c>
    </row>
    <row r="338">
      <c r="A338" s="12">
        <f>IF(E338="","",ROW()-6)</f>
        <v/>
      </c>
      <c r="B338" s="13" t="n"/>
      <c r="C338" s="12">
        <f>IF(B338="","",CHOOSE(WEEKDAY(B338,1),"الأحد","الاثنين","الثلاثاء","الأربعاء","الخميس","الجمعة","السبت"))</f>
        <v/>
      </c>
      <c r="D338" s="14" t="n"/>
      <c r="E338" s="15" t="n"/>
      <c r="F338" s="16" t="n"/>
      <c r="G338" s="17" t="n"/>
      <c r="H338" s="18">
        <f>IF(OR(F338="",G338=""),"",ROUND(F338*G338,2))</f>
        <v/>
      </c>
      <c r="I338" s="19">
        <f>IF(ISNUMBER(SEARCH("ستاند",D338)),"أثاث وستاندات","")</f>
        <v/>
      </c>
      <c r="J338" s="20">
        <f>IF(E338="","",IF(I338="","⚠ عبّي الغرض",IF(AND(D338&lt;&gt;"",OR(ISNUMBER(SEARCH("صيانة",D338)),ISNUMBER(SEARCH("تعزيل",D338)),ISNUMBER(SEARCH("تنظيف",D338)),ISNUMBER(SEARCH("تصليح",D338)))),"⚠ الصيانة بلا ورشة",IF(H338="","⚠ ناقص",IF(D338&lt;&gt;"",IF(SUMIF($D$7:$D$806,D338,$H$7:$H$806)&gt;=20,"أصل","مصروف"),IFERROR(IF(VLOOKUP(I338,'القوائم'!$A$2:$D$14,4,0)="زكاة وصدقة","زكاة وصدقة",IF(AND(VLOOKUP(I338,'القوائم'!$A$2:$D$14,3,0)&lt;&gt;"",H338&gt;=20),"أصل","مصروف")),"مصروف"))))))</f>
        <v/>
      </c>
      <c r="K338" s="21" t="n"/>
      <c r="L338" s="22" t="n"/>
      <c r="N338">
        <f>IF(B338="","",MONTH(B338))</f>
        <v/>
      </c>
      <c r="O338">
        <f>IF(B338="","",YEAR(B338))</f>
        <v/>
      </c>
      <c r="P338">
        <f>IF(AND(D338&lt;&gt;"",COUNTIF(D$7:D338,D338)=1),MAX(P$6:P337)+1,"")</f>
        <v/>
      </c>
      <c r="Q338">
        <f>IF(E338="","",IF(I338="أجور عمال","أجرة","مادة"))</f>
        <v/>
      </c>
    </row>
    <row r="339">
      <c r="A339" s="12">
        <f>IF(E339="","",ROW()-6)</f>
        <v/>
      </c>
      <c r="B339" s="13" t="n"/>
      <c r="C339" s="12">
        <f>IF(B339="","",CHOOSE(WEEKDAY(B339,1),"الأحد","الاثنين","الثلاثاء","الأربعاء","الخميس","الجمعة","السبت"))</f>
        <v/>
      </c>
      <c r="D339" s="14" t="n"/>
      <c r="E339" s="15" t="n"/>
      <c r="F339" s="16" t="n"/>
      <c r="G339" s="17" t="n"/>
      <c r="H339" s="18">
        <f>IF(OR(F339="",G339=""),"",ROUND(F339*G339,2))</f>
        <v/>
      </c>
      <c r="I339" s="19">
        <f>IF(ISNUMBER(SEARCH("ستاند",D339)),"أثاث وستاندات","")</f>
        <v/>
      </c>
      <c r="J339" s="20">
        <f>IF(E339="","",IF(I339="","⚠ عبّي الغرض",IF(AND(D339&lt;&gt;"",OR(ISNUMBER(SEARCH("صيانة",D339)),ISNUMBER(SEARCH("تعزيل",D339)),ISNUMBER(SEARCH("تنظيف",D339)),ISNUMBER(SEARCH("تصليح",D339)))),"⚠ الصيانة بلا ورشة",IF(H339="","⚠ ناقص",IF(D339&lt;&gt;"",IF(SUMIF($D$7:$D$806,D339,$H$7:$H$806)&gt;=20,"أصل","مصروف"),IFERROR(IF(VLOOKUP(I339,'القوائم'!$A$2:$D$14,4,0)="زكاة وصدقة","زكاة وصدقة",IF(AND(VLOOKUP(I339,'القوائم'!$A$2:$D$14,3,0)&lt;&gt;"",H339&gt;=20),"أصل","مصروف")),"مصروف"))))))</f>
        <v/>
      </c>
      <c r="K339" s="21" t="n"/>
      <c r="L339" s="22" t="n"/>
      <c r="N339">
        <f>IF(B339="","",MONTH(B339))</f>
        <v/>
      </c>
      <c r="O339">
        <f>IF(B339="","",YEAR(B339))</f>
        <v/>
      </c>
      <c r="P339">
        <f>IF(AND(D339&lt;&gt;"",COUNTIF(D$7:D339,D339)=1),MAX(P$6:P338)+1,"")</f>
        <v/>
      </c>
      <c r="Q339">
        <f>IF(E339="","",IF(I339="أجور عمال","أجرة","مادة"))</f>
        <v/>
      </c>
    </row>
    <row r="340">
      <c r="A340" s="12">
        <f>IF(E340="","",ROW()-6)</f>
        <v/>
      </c>
      <c r="B340" s="13" t="n"/>
      <c r="C340" s="12">
        <f>IF(B340="","",CHOOSE(WEEKDAY(B340,1),"الأحد","الاثنين","الثلاثاء","الأربعاء","الخميس","الجمعة","السبت"))</f>
        <v/>
      </c>
      <c r="D340" s="14" t="n"/>
      <c r="E340" s="15" t="n"/>
      <c r="F340" s="16" t="n"/>
      <c r="G340" s="17" t="n"/>
      <c r="H340" s="18">
        <f>IF(OR(F340="",G340=""),"",ROUND(F340*G340,2))</f>
        <v/>
      </c>
      <c r="I340" s="19">
        <f>IF(ISNUMBER(SEARCH("ستاند",D340)),"أثاث وستاندات","")</f>
        <v/>
      </c>
      <c r="J340" s="20">
        <f>IF(E340="","",IF(I340="","⚠ عبّي الغرض",IF(AND(D340&lt;&gt;"",OR(ISNUMBER(SEARCH("صيانة",D340)),ISNUMBER(SEARCH("تعزيل",D340)),ISNUMBER(SEARCH("تنظيف",D340)),ISNUMBER(SEARCH("تصليح",D340)))),"⚠ الصيانة بلا ورشة",IF(H340="","⚠ ناقص",IF(D340&lt;&gt;"",IF(SUMIF($D$7:$D$806,D340,$H$7:$H$806)&gt;=20,"أصل","مصروف"),IFERROR(IF(VLOOKUP(I340,'القوائم'!$A$2:$D$14,4,0)="زكاة وصدقة","زكاة وصدقة",IF(AND(VLOOKUP(I340,'القوائم'!$A$2:$D$14,3,0)&lt;&gt;"",H340&gt;=20),"أصل","مصروف")),"مصروف"))))))</f>
        <v/>
      </c>
      <c r="K340" s="21" t="n"/>
      <c r="L340" s="22" t="n"/>
      <c r="N340">
        <f>IF(B340="","",MONTH(B340))</f>
        <v/>
      </c>
      <c r="O340">
        <f>IF(B340="","",YEAR(B340))</f>
        <v/>
      </c>
      <c r="P340">
        <f>IF(AND(D340&lt;&gt;"",COUNTIF(D$7:D340,D340)=1),MAX(P$6:P339)+1,"")</f>
        <v/>
      </c>
      <c r="Q340">
        <f>IF(E340="","",IF(I340="أجور عمال","أجرة","مادة"))</f>
        <v/>
      </c>
    </row>
    <row r="341">
      <c r="A341" s="12">
        <f>IF(E341="","",ROW()-6)</f>
        <v/>
      </c>
      <c r="B341" s="13" t="n"/>
      <c r="C341" s="12">
        <f>IF(B341="","",CHOOSE(WEEKDAY(B341,1),"الأحد","الاثنين","الثلاثاء","الأربعاء","الخميس","الجمعة","السبت"))</f>
        <v/>
      </c>
      <c r="D341" s="14" t="n"/>
      <c r="E341" s="15" t="n"/>
      <c r="F341" s="16" t="n"/>
      <c r="G341" s="17" t="n"/>
      <c r="H341" s="18">
        <f>IF(OR(F341="",G341=""),"",ROUND(F341*G341,2))</f>
        <v/>
      </c>
      <c r="I341" s="19">
        <f>IF(ISNUMBER(SEARCH("ستاند",D341)),"أثاث وستاندات","")</f>
        <v/>
      </c>
      <c r="J341" s="20">
        <f>IF(E341="","",IF(I341="","⚠ عبّي الغرض",IF(AND(D341&lt;&gt;"",OR(ISNUMBER(SEARCH("صيانة",D341)),ISNUMBER(SEARCH("تعزيل",D341)),ISNUMBER(SEARCH("تنظيف",D341)),ISNUMBER(SEARCH("تصليح",D341)))),"⚠ الصيانة بلا ورشة",IF(H341="","⚠ ناقص",IF(D341&lt;&gt;"",IF(SUMIF($D$7:$D$806,D341,$H$7:$H$806)&gt;=20,"أصل","مصروف"),IFERROR(IF(VLOOKUP(I341,'القوائم'!$A$2:$D$14,4,0)="زكاة وصدقة","زكاة وصدقة",IF(AND(VLOOKUP(I341,'القوائم'!$A$2:$D$14,3,0)&lt;&gt;"",H341&gt;=20),"أصل","مصروف")),"مصروف"))))))</f>
        <v/>
      </c>
      <c r="K341" s="21" t="n"/>
      <c r="L341" s="22" t="n"/>
      <c r="N341">
        <f>IF(B341="","",MONTH(B341))</f>
        <v/>
      </c>
      <c r="O341">
        <f>IF(B341="","",YEAR(B341))</f>
        <v/>
      </c>
      <c r="P341">
        <f>IF(AND(D341&lt;&gt;"",COUNTIF(D$7:D341,D341)=1),MAX(P$6:P340)+1,"")</f>
        <v/>
      </c>
      <c r="Q341">
        <f>IF(E341="","",IF(I341="أجور عمال","أجرة","مادة"))</f>
        <v/>
      </c>
    </row>
    <row r="342">
      <c r="A342" s="12">
        <f>IF(E342="","",ROW()-6)</f>
        <v/>
      </c>
      <c r="B342" s="13" t="n"/>
      <c r="C342" s="12">
        <f>IF(B342="","",CHOOSE(WEEKDAY(B342,1),"الأحد","الاثنين","الثلاثاء","الأربعاء","الخميس","الجمعة","السبت"))</f>
        <v/>
      </c>
      <c r="D342" s="14" t="n"/>
      <c r="E342" s="15" t="n"/>
      <c r="F342" s="16" t="n"/>
      <c r="G342" s="17" t="n"/>
      <c r="H342" s="18">
        <f>IF(OR(F342="",G342=""),"",ROUND(F342*G342,2))</f>
        <v/>
      </c>
      <c r="I342" s="19">
        <f>IF(ISNUMBER(SEARCH("ستاند",D342)),"أثاث وستاندات","")</f>
        <v/>
      </c>
      <c r="J342" s="20">
        <f>IF(E342="","",IF(I342="","⚠ عبّي الغرض",IF(AND(D342&lt;&gt;"",OR(ISNUMBER(SEARCH("صيانة",D342)),ISNUMBER(SEARCH("تعزيل",D342)),ISNUMBER(SEARCH("تنظيف",D342)),ISNUMBER(SEARCH("تصليح",D342)))),"⚠ الصيانة بلا ورشة",IF(H342="","⚠ ناقص",IF(D342&lt;&gt;"",IF(SUMIF($D$7:$D$806,D342,$H$7:$H$806)&gt;=20,"أصل","مصروف"),IFERROR(IF(VLOOKUP(I342,'القوائم'!$A$2:$D$14,4,0)="زكاة وصدقة","زكاة وصدقة",IF(AND(VLOOKUP(I342,'القوائم'!$A$2:$D$14,3,0)&lt;&gt;"",H342&gt;=20),"أصل","مصروف")),"مصروف"))))))</f>
        <v/>
      </c>
      <c r="K342" s="21" t="n"/>
      <c r="L342" s="22" t="n"/>
      <c r="N342">
        <f>IF(B342="","",MONTH(B342))</f>
        <v/>
      </c>
      <c r="O342">
        <f>IF(B342="","",YEAR(B342))</f>
        <v/>
      </c>
      <c r="P342">
        <f>IF(AND(D342&lt;&gt;"",COUNTIF(D$7:D342,D342)=1),MAX(P$6:P341)+1,"")</f>
        <v/>
      </c>
      <c r="Q342">
        <f>IF(E342="","",IF(I342="أجور عمال","أجرة","مادة"))</f>
        <v/>
      </c>
    </row>
    <row r="343">
      <c r="A343" s="12">
        <f>IF(E343="","",ROW()-6)</f>
        <v/>
      </c>
      <c r="B343" s="13" t="n"/>
      <c r="C343" s="12">
        <f>IF(B343="","",CHOOSE(WEEKDAY(B343,1),"الأحد","الاثنين","الثلاثاء","الأربعاء","الخميس","الجمعة","السبت"))</f>
        <v/>
      </c>
      <c r="D343" s="14" t="n"/>
      <c r="E343" s="15" t="n"/>
      <c r="F343" s="16" t="n"/>
      <c r="G343" s="17" t="n"/>
      <c r="H343" s="18">
        <f>IF(OR(F343="",G343=""),"",ROUND(F343*G343,2))</f>
        <v/>
      </c>
      <c r="I343" s="19">
        <f>IF(ISNUMBER(SEARCH("ستاند",D343)),"أثاث وستاندات","")</f>
        <v/>
      </c>
      <c r="J343" s="20">
        <f>IF(E343="","",IF(I343="","⚠ عبّي الغرض",IF(AND(D343&lt;&gt;"",OR(ISNUMBER(SEARCH("صيانة",D343)),ISNUMBER(SEARCH("تعزيل",D343)),ISNUMBER(SEARCH("تنظيف",D343)),ISNUMBER(SEARCH("تصليح",D343)))),"⚠ الصيانة بلا ورشة",IF(H343="","⚠ ناقص",IF(D343&lt;&gt;"",IF(SUMIF($D$7:$D$806,D343,$H$7:$H$806)&gt;=20,"أصل","مصروف"),IFERROR(IF(VLOOKUP(I343,'القوائم'!$A$2:$D$14,4,0)="زكاة وصدقة","زكاة وصدقة",IF(AND(VLOOKUP(I343,'القوائم'!$A$2:$D$14,3,0)&lt;&gt;"",H343&gt;=20),"أصل","مصروف")),"مصروف"))))))</f>
        <v/>
      </c>
      <c r="K343" s="21" t="n"/>
      <c r="L343" s="22" t="n"/>
      <c r="N343">
        <f>IF(B343="","",MONTH(B343))</f>
        <v/>
      </c>
      <c r="O343">
        <f>IF(B343="","",YEAR(B343))</f>
        <v/>
      </c>
      <c r="P343">
        <f>IF(AND(D343&lt;&gt;"",COUNTIF(D$7:D343,D343)=1),MAX(P$6:P342)+1,"")</f>
        <v/>
      </c>
      <c r="Q343">
        <f>IF(E343="","",IF(I343="أجور عمال","أجرة","مادة"))</f>
        <v/>
      </c>
    </row>
    <row r="344">
      <c r="A344" s="12">
        <f>IF(E344="","",ROW()-6)</f>
        <v/>
      </c>
      <c r="B344" s="13" t="n"/>
      <c r="C344" s="12">
        <f>IF(B344="","",CHOOSE(WEEKDAY(B344,1),"الأحد","الاثنين","الثلاثاء","الأربعاء","الخميس","الجمعة","السبت"))</f>
        <v/>
      </c>
      <c r="D344" s="14" t="n"/>
      <c r="E344" s="15" t="n"/>
      <c r="F344" s="16" t="n"/>
      <c r="G344" s="17" t="n"/>
      <c r="H344" s="18">
        <f>IF(OR(F344="",G344=""),"",ROUND(F344*G344,2))</f>
        <v/>
      </c>
      <c r="I344" s="19">
        <f>IF(ISNUMBER(SEARCH("ستاند",D344)),"أثاث وستاندات","")</f>
        <v/>
      </c>
      <c r="J344" s="20">
        <f>IF(E344="","",IF(I344="","⚠ عبّي الغرض",IF(AND(D344&lt;&gt;"",OR(ISNUMBER(SEARCH("صيانة",D344)),ISNUMBER(SEARCH("تعزيل",D344)),ISNUMBER(SEARCH("تنظيف",D344)),ISNUMBER(SEARCH("تصليح",D344)))),"⚠ الصيانة بلا ورشة",IF(H344="","⚠ ناقص",IF(D344&lt;&gt;"",IF(SUMIF($D$7:$D$806,D344,$H$7:$H$806)&gt;=20,"أصل","مصروف"),IFERROR(IF(VLOOKUP(I344,'القوائم'!$A$2:$D$14,4,0)="زكاة وصدقة","زكاة وصدقة",IF(AND(VLOOKUP(I344,'القوائم'!$A$2:$D$14,3,0)&lt;&gt;"",H344&gt;=20),"أصل","مصروف")),"مصروف"))))))</f>
        <v/>
      </c>
      <c r="K344" s="21" t="n"/>
      <c r="L344" s="22" t="n"/>
      <c r="N344">
        <f>IF(B344="","",MONTH(B344))</f>
        <v/>
      </c>
      <c r="O344">
        <f>IF(B344="","",YEAR(B344))</f>
        <v/>
      </c>
      <c r="P344">
        <f>IF(AND(D344&lt;&gt;"",COUNTIF(D$7:D344,D344)=1),MAX(P$6:P343)+1,"")</f>
        <v/>
      </c>
      <c r="Q344">
        <f>IF(E344="","",IF(I344="أجور عمال","أجرة","مادة"))</f>
        <v/>
      </c>
    </row>
    <row r="345">
      <c r="A345" s="12">
        <f>IF(E345="","",ROW()-6)</f>
        <v/>
      </c>
      <c r="B345" s="13" t="n"/>
      <c r="C345" s="12">
        <f>IF(B345="","",CHOOSE(WEEKDAY(B345,1),"الأحد","الاثنين","الثلاثاء","الأربعاء","الخميس","الجمعة","السبت"))</f>
        <v/>
      </c>
      <c r="D345" s="14" t="n"/>
      <c r="E345" s="15" t="n"/>
      <c r="F345" s="16" t="n"/>
      <c r="G345" s="17" t="n"/>
      <c r="H345" s="18">
        <f>IF(OR(F345="",G345=""),"",ROUND(F345*G345,2))</f>
        <v/>
      </c>
      <c r="I345" s="19">
        <f>IF(ISNUMBER(SEARCH("ستاند",D345)),"أثاث وستاندات","")</f>
        <v/>
      </c>
      <c r="J345" s="20">
        <f>IF(E345="","",IF(I345="","⚠ عبّي الغرض",IF(AND(D345&lt;&gt;"",OR(ISNUMBER(SEARCH("صيانة",D345)),ISNUMBER(SEARCH("تعزيل",D345)),ISNUMBER(SEARCH("تنظيف",D345)),ISNUMBER(SEARCH("تصليح",D345)))),"⚠ الصيانة بلا ورشة",IF(H345="","⚠ ناقص",IF(D345&lt;&gt;"",IF(SUMIF($D$7:$D$806,D345,$H$7:$H$806)&gt;=20,"أصل","مصروف"),IFERROR(IF(VLOOKUP(I345,'القوائم'!$A$2:$D$14,4,0)="زكاة وصدقة","زكاة وصدقة",IF(AND(VLOOKUP(I345,'القوائم'!$A$2:$D$14,3,0)&lt;&gt;"",H345&gt;=20),"أصل","مصروف")),"مصروف"))))))</f>
        <v/>
      </c>
      <c r="K345" s="21" t="n"/>
      <c r="L345" s="22" t="n"/>
      <c r="N345">
        <f>IF(B345="","",MONTH(B345))</f>
        <v/>
      </c>
      <c r="O345">
        <f>IF(B345="","",YEAR(B345))</f>
        <v/>
      </c>
      <c r="P345">
        <f>IF(AND(D345&lt;&gt;"",COUNTIF(D$7:D345,D345)=1),MAX(P$6:P344)+1,"")</f>
        <v/>
      </c>
      <c r="Q345">
        <f>IF(E345="","",IF(I345="أجور عمال","أجرة","مادة"))</f>
        <v/>
      </c>
    </row>
    <row r="346">
      <c r="A346" s="12">
        <f>IF(E346="","",ROW()-6)</f>
        <v/>
      </c>
      <c r="B346" s="13" t="n"/>
      <c r="C346" s="12">
        <f>IF(B346="","",CHOOSE(WEEKDAY(B346,1),"الأحد","الاثنين","الثلاثاء","الأربعاء","الخميس","الجمعة","السبت"))</f>
        <v/>
      </c>
      <c r="D346" s="14" t="n"/>
      <c r="E346" s="15" t="n"/>
      <c r="F346" s="16" t="n"/>
      <c r="G346" s="17" t="n"/>
      <c r="H346" s="18">
        <f>IF(OR(F346="",G346=""),"",ROUND(F346*G346,2))</f>
        <v/>
      </c>
      <c r="I346" s="19">
        <f>IF(ISNUMBER(SEARCH("ستاند",D346)),"أثاث وستاندات","")</f>
        <v/>
      </c>
      <c r="J346" s="20">
        <f>IF(E346="","",IF(I346="","⚠ عبّي الغرض",IF(AND(D346&lt;&gt;"",OR(ISNUMBER(SEARCH("صيانة",D346)),ISNUMBER(SEARCH("تعزيل",D346)),ISNUMBER(SEARCH("تنظيف",D346)),ISNUMBER(SEARCH("تصليح",D346)))),"⚠ الصيانة بلا ورشة",IF(H346="","⚠ ناقص",IF(D346&lt;&gt;"",IF(SUMIF($D$7:$D$806,D346,$H$7:$H$806)&gt;=20,"أصل","مصروف"),IFERROR(IF(VLOOKUP(I346,'القوائم'!$A$2:$D$14,4,0)="زكاة وصدقة","زكاة وصدقة",IF(AND(VLOOKUP(I346,'القوائم'!$A$2:$D$14,3,0)&lt;&gt;"",H346&gt;=20),"أصل","مصروف")),"مصروف"))))))</f>
        <v/>
      </c>
      <c r="K346" s="21" t="n"/>
      <c r="L346" s="22" t="n"/>
      <c r="N346">
        <f>IF(B346="","",MONTH(B346))</f>
        <v/>
      </c>
      <c r="O346">
        <f>IF(B346="","",YEAR(B346))</f>
        <v/>
      </c>
      <c r="P346">
        <f>IF(AND(D346&lt;&gt;"",COUNTIF(D$7:D346,D346)=1),MAX(P$6:P345)+1,"")</f>
        <v/>
      </c>
      <c r="Q346">
        <f>IF(E346="","",IF(I346="أجور عمال","أجرة","مادة"))</f>
        <v/>
      </c>
    </row>
    <row r="347">
      <c r="A347" s="12">
        <f>IF(E347="","",ROW()-6)</f>
        <v/>
      </c>
      <c r="B347" s="13" t="n"/>
      <c r="C347" s="12">
        <f>IF(B347="","",CHOOSE(WEEKDAY(B347,1),"الأحد","الاثنين","الثلاثاء","الأربعاء","الخميس","الجمعة","السبت"))</f>
        <v/>
      </c>
      <c r="D347" s="14" t="n"/>
      <c r="E347" s="15" t="n"/>
      <c r="F347" s="16" t="n"/>
      <c r="G347" s="17" t="n"/>
      <c r="H347" s="18">
        <f>IF(OR(F347="",G347=""),"",ROUND(F347*G347,2))</f>
        <v/>
      </c>
      <c r="I347" s="19">
        <f>IF(ISNUMBER(SEARCH("ستاند",D347)),"أثاث وستاندات","")</f>
        <v/>
      </c>
      <c r="J347" s="20">
        <f>IF(E347="","",IF(I347="","⚠ عبّي الغرض",IF(AND(D347&lt;&gt;"",OR(ISNUMBER(SEARCH("صيانة",D347)),ISNUMBER(SEARCH("تعزيل",D347)),ISNUMBER(SEARCH("تنظيف",D347)),ISNUMBER(SEARCH("تصليح",D347)))),"⚠ الصيانة بلا ورشة",IF(H347="","⚠ ناقص",IF(D347&lt;&gt;"",IF(SUMIF($D$7:$D$806,D347,$H$7:$H$806)&gt;=20,"أصل","مصروف"),IFERROR(IF(VLOOKUP(I347,'القوائم'!$A$2:$D$14,4,0)="زكاة وصدقة","زكاة وصدقة",IF(AND(VLOOKUP(I347,'القوائم'!$A$2:$D$14,3,0)&lt;&gt;"",H347&gt;=20),"أصل","مصروف")),"مصروف"))))))</f>
        <v/>
      </c>
      <c r="K347" s="21" t="n"/>
      <c r="L347" s="22" t="n"/>
      <c r="N347">
        <f>IF(B347="","",MONTH(B347))</f>
        <v/>
      </c>
      <c r="O347">
        <f>IF(B347="","",YEAR(B347))</f>
        <v/>
      </c>
      <c r="P347">
        <f>IF(AND(D347&lt;&gt;"",COUNTIF(D$7:D347,D347)=1),MAX(P$6:P346)+1,"")</f>
        <v/>
      </c>
      <c r="Q347">
        <f>IF(E347="","",IF(I347="أجور عمال","أجرة","مادة"))</f>
        <v/>
      </c>
    </row>
    <row r="348">
      <c r="A348" s="12">
        <f>IF(E348="","",ROW()-6)</f>
        <v/>
      </c>
      <c r="B348" s="13" t="n"/>
      <c r="C348" s="12">
        <f>IF(B348="","",CHOOSE(WEEKDAY(B348,1),"الأحد","الاثنين","الثلاثاء","الأربعاء","الخميس","الجمعة","السبت"))</f>
        <v/>
      </c>
      <c r="D348" s="14" t="n"/>
      <c r="E348" s="15" t="n"/>
      <c r="F348" s="16" t="n"/>
      <c r="G348" s="17" t="n"/>
      <c r="H348" s="18">
        <f>IF(OR(F348="",G348=""),"",ROUND(F348*G348,2))</f>
        <v/>
      </c>
      <c r="I348" s="19">
        <f>IF(ISNUMBER(SEARCH("ستاند",D348)),"أثاث وستاندات","")</f>
        <v/>
      </c>
      <c r="J348" s="20">
        <f>IF(E348="","",IF(I348="","⚠ عبّي الغرض",IF(AND(D348&lt;&gt;"",OR(ISNUMBER(SEARCH("صيانة",D348)),ISNUMBER(SEARCH("تعزيل",D348)),ISNUMBER(SEARCH("تنظيف",D348)),ISNUMBER(SEARCH("تصليح",D348)))),"⚠ الصيانة بلا ورشة",IF(H348="","⚠ ناقص",IF(D348&lt;&gt;"",IF(SUMIF($D$7:$D$806,D348,$H$7:$H$806)&gt;=20,"أصل","مصروف"),IFERROR(IF(VLOOKUP(I348,'القوائم'!$A$2:$D$14,4,0)="زكاة وصدقة","زكاة وصدقة",IF(AND(VLOOKUP(I348,'القوائم'!$A$2:$D$14,3,0)&lt;&gt;"",H348&gt;=20),"أصل","مصروف")),"مصروف"))))))</f>
        <v/>
      </c>
      <c r="K348" s="21" t="n"/>
      <c r="L348" s="22" t="n"/>
      <c r="N348">
        <f>IF(B348="","",MONTH(B348))</f>
        <v/>
      </c>
      <c r="O348">
        <f>IF(B348="","",YEAR(B348))</f>
        <v/>
      </c>
      <c r="P348">
        <f>IF(AND(D348&lt;&gt;"",COUNTIF(D$7:D348,D348)=1),MAX(P$6:P347)+1,"")</f>
        <v/>
      </c>
      <c r="Q348">
        <f>IF(E348="","",IF(I348="أجور عمال","أجرة","مادة"))</f>
        <v/>
      </c>
    </row>
    <row r="349">
      <c r="A349" s="12">
        <f>IF(E349="","",ROW()-6)</f>
        <v/>
      </c>
      <c r="B349" s="13" t="n"/>
      <c r="C349" s="12">
        <f>IF(B349="","",CHOOSE(WEEKDAY(B349,1),"الأحد","الاثنين","الثلاثاء","الأربعاء","الخميس","الجمعة","السبت"))</f>
        <v/>
      </c>
      <c r="D349" s="14" t="n"/>
      <c r="E349" s="15" t="n"/>
      <c r="F349" s="16" t="n"/>
      <c r="G349" s="17" t="n"/>
      <c r="H349" s="18">
        <f>IF(OR(F349="",G349=""),"",ROUND(F349*G349,2))</f>
        <v/>
      </c>
      <c r="I349" s="19">
        <f>IF(ISNUMBER(SEARCH("ستاند",D349)),"أثاث وستاندات","")</f>
        <v/>
      </c>
      <c r="J349" s="20">
        <f>IF(E349="","",IF(I349="","⚠ عبّي الغرض",IF(AND(D349&lt;&gt;"",OR(ISNUMBER(SEARCH("صيانة",D349)),ISNUMBER(SEARCH("تعزيل",D349)),ISNUMBER(SEARCH("تنظيف",D349)),ISNUMBER(SEARCH("تصليح",D349)))),"⚠ الصيانة بلا ورشة",IF(H349="","⚠ ناقص",IF(D349&lt;&gt;"",IF(SUMIF($D$7:$D$806,D349,$H$7:$H$806)&gt;=20,"أصل","مصروف"),IFERROR(IF(VLOOKUP(I349,'القوائم'!$A$2:$D$14,4,0)="زكاة وصدقة","زكاة وصدقة",IF(AND(VLOOKUP(I349,'القوائم'!$A$2:$D$14,3,0)&lt;&gt;"",H349&gt;=20),"أصل","مصروف")),"مصروف"))))))</f>
        <v/>
      </c>
      <c r="K349" s="21" t="n"/>
      <c r="L349" s="22" t="n"/>
      <c r="N349">
        <f>IF(B349="","",MONTH(B349))</f>
        <v/>
      </c>
      <c r="O349">
        <f>IF(B349="","",YEAR(B349))</f>
        <v/>
      </c>
      <c r="P349">
        <f>IF(AND(D349&lt;&gt;"",COUNTIF(D$7:D349,D349)=1),MAX(P$6:P348)+1,"")</f>
        <v/>
      </c>
      <c r="Q349">
        <f>IF(E349="","",IF(I349="أجور عمال","أجرة","مادة"))</f>
        <v/>
      </c>
    </row>
    <row r="350">
      <c r="A350" s="12">
        <f>IF(E350="","",ROW()-6)</f>
        <v/>
      </c>
      <c r="B350" s="13" t="n"/>
      <c r="C350" s="12">
        <f>IF(B350="","",CHOOSE(WEEKDAY(B350,1),"الأحد","الاثنين","الثلاثاء","الأربعاء","الخميس","الجمعة","السبت"))</f>
        <v/>
      </c>
      <c r="D350" s="14" t="n"/>
      <c r="E350" s="15" t="n"/>
      <c r="F350" s="16" t="n"/>
      <c r="G350" s="17" t="n"/>
      <c r="H350" s="18">
        <f>IF(OR(F350="",G350=""),"",ROUND(F350*G350,2))</f>
        <v/>
      </c>
      <c r="I350" s="19">
        <f>IF(ISNUMBER(SEARCH("ستاند",D350)),"أثاث وستاندات","")</f>
        <v/>
      </c>
      <c r="J350" s="20">
        <f>IF(E350="","",IF(I350="","⚠ عبّي الغرض",IF(AND(D350&lt;&gt;"",OR(ISNUMBER(SEARCH("صيانة",D350)),ISNUMBER(SEARCH("تعزيل",D350)),ISNUMBER(SEARCH("تنظيف",D350)),ISNUMBER(SEARCH("تصليح",D350)))),"⚠ الصيانة بلا ورشة",IF(H350="","⚠ ناقص",IF(D350&lt;&gt;"",IF(SUMIF($D$7:$D$806,D350,$H$7:$H$806)&gt;=20,"أصل","مصروف"),IFERROR(IF(VLOOKUP(I350,'القوائم'!$A$2:$D$14,4,0)="زكاة وصدقة","زكاة وصدقة",IF(AND(VLOOKUP(I350,'القوائم'!$A$2:$D$14,3,0)&lt;&gt;"",H350&gt;=20),"أصل","مصروف")),"مصروف"))))))</f>
        <v/>
      </c>
      <c r="K350" s="21" t="n"/>
      <c r="L350" s="22" t="n"/>
      <c r="N350">
        <f>IF(B350="","",MONTH(B350))</f>
        <v/>
      </c>
      <c r="O350">
        <f>IF(B350="","",YEAR(B350))</f>
        <v/>
      </c>
      <c r="P350">
        <f>IF(AND(D350&lt;&gt;"",COUNTIF(D$7:D350,D350)=1),MAX(P$6:P349)+1,"")</f>
        <v/>
      </c>
      <c r="Q350">
        <f>IF(E350="","",IF(I350="أجور عمال","أجرة","مادة"))</f>
        <v/>
      </c>
    </row>
    <row r="351">
      <c r="A351" s="12">
        <f>IF(E351="","",ROW()-6)</f>
        <v/>
      </c>
      <c r="B351" s="13" t="n"/>
      <c r="C351" s="12">
        <f>IF(B351="","",CHOOSE(WEEKDAY(B351,1),"الأحد","الاثنين","الثلاثاء","الأربعاء","الخميس","الجمعة","السبت"))</f>
        <v/>
      </c>
      <c r="D351" s="14" t="n"/>
      <c r="E351" s="15" t="n"/>
      <c r="F351" s="16" t="n"/>
      <c r="G351" s="17" t="n"/>
      <c r="H351" s="18">
        <f>IF(OR(F351="",G351=""),"",ROUND(F351*G351,2))</f>
        <v/>
      </c>
      <c r="I351" s="19">
        <f>IF(ISNUMBER(SEARCH("ستاند",D351)),"أثاث وستاندات","")</f>
        <v/>
      </c>
      <c r="J351" s="20">
        <f>IF(E351="","",IF(I351="","⚠ عبّي الغرض",IF(AND(D351&lt;&gt;"",OR(ISNUMBER(SEARCH("صيانة",D351)),ISNUMBER(SEARCH("تعزيل",D351)),ISNUMBER(SEARCH("تنظيف",D351)),ISNUMBER(SEARCH("تصليح",D351)))),"⚠ الصيانة بلا ورشة",IF(H351="","⚠ ناقص",IF(D351&lt;&gt;"",IF(SUMIF($D$7:$D$806,D351,$H$7:$H$806)&gt;=20,"أصل","مصروف"),IFERROR(IF(VLOOKUP(I351,'القوائم'!$A$2:$D$14,4,0)="زكاة وصدقة","زكاة وصدقة",IF(AND(VLOOKUP(I351,'القوائم'!$A$2:$D$14,3,0)&lt;&gt;"",H351&gt;=20),"أصل","مصروف")),"مصروف"))))))</f>
        <v/>
      </c>
      <c r="K351" s="21" t="n"/>
      <c r="L351" s="22" t="n"/>
      <c r="N351">
        <f>IF(B351="","",MONTH(B351))</f>
        <v/>
      </c>
      <c r="O351">
        <f>IF(B351="","",YEAR(B351))</f>
        <v/>
      </c>
      <c r="P351">
        <f>IF(AND(D351&lt;&gt;"",COUNTIF(D$7:D351,D351)=1),MAX(P$6:P350)+1,"")</f>
        <v/>
      </c>
      <c r="Q351">
        <f>IF(E351="","",IF(I351="أجور عمال","أجرة","مادة"))</f>
        <v/>
      </c>
    </row>
    <row r="352">
      <c r="A352" s="12">
        <f>IF(E352="","",ROW()-6)</f>
        <v/>
      </c>
      <c r="B352" s="13" t="n"/>
      <c r="C352" s="12">
        <f>IF(B352="","",CHOOSE(WEEKDAY(B352,1),"الأحد","الاثنين","الثلاثاء","الأربعاء","الخميس","الجمعة","السبت"))</f>
        <v/>
      </c>
      <c r="D352" s="14" t="n"/>
      <c r="E352" s="15" t="n"/>
      <c r="F352" s="16" t="n"/>
      <c r="G352" s="17" t="n"/>
      <c r="H352" s="18">
        <f>IF(OR(F352="",G352=""),"",ROUND(F352*G352,2))</f>
        <v/>
      </c>
      <c r="I352" s="19">
        <f>IF(ISNUMBER(SEARCH("ستاند",D352)),"أثاث وستاندات","")</f>
        <v/>
      </c>
      <c r="J352" s="20">
        <f>IF(E352="","",IF(I352="","⚠ عبّي الغرض",IF(AND(D352&lt;&gt;"",OR(ISNUMBER(SEARCH("صيانة",D352)),ISNUMBER(SEARCH("تعزيل",D352)),ISNUMBER(SEARCH("تنظيف",D352)),ISNUMBER(SEARCH("تصليح",D352)))),"⚠ الصيانة بلا ورشة",IF(H352="","⚠ ناقص",IF(D352&lt;&gt;"",IF(SUMIF($D$7:$D$806,D352,$H$7:$H$806)&gt;=20,"أصل","مصروف"),IFERROR(IF(VLOOKUP(I352,'القوائم'!$A$2:$D$14,4,0)="زكاة وصدقة","زكاة وصدقة",IF(AND(VLOOKUP(I352,'القوائم'!$A$2:$D$14,3,0)&lt;&gt;"",H352&gt;=20),"أصل","مصروف")),"مصروف"))))))</f>
        <v/>
      </c>
      <c r="K352" s="21" t="n"/>
      <c r="L352" s="22" t="n"/>
      <c r="N352">
        <f>IF(B352="","",MONTH(B352))</f>
        <v/>
      </c>
      <c r="O352">
        <f>IF(B352="","",YEAR(B352))</f>
        <v/>
      </c>
      <c r="P352">
        <f>IF(AND(D352&lt;&gt;"",COUNTIF(D$7:D352,D352)=1),MAX(P$6:P351)+1,"")</f>
        <v/>
      </c>
      <c r="Q352">
        <f>IF(E352="","",IF(I352="أجور عمال","أجرة","مادة"))</f>
        <v/>
      </c>
    </row>
    <row r="353">
      <c r="A353" s="12">
        <f>IF(E353="","",ROW()-6)</f>
        <v/>
      </c>
      <c r="B353" s="13" t="n"/>
      <c r="C353" s="12">
        <f>IF(B353="","",CHOOSE(WEEKDAY(B353,1),"الأحد","الاثنين","الثلاثاء","الأربعاء","الخميس","الجمعة","السبت"))</f>
        <v/>
      </c>
      <c r="D353" s="14" t="n"/>
      <c r="E353" s="15" t="n"/>
      <c r="F353" s="16" t="n"/>
      <c r="G353" s="17" t="n"/>
      <c r="H353" s="18">
        <f>IF(OR(F353="",G353=""),"",ROUND(F353*G353,2))</f>
        <v/>
      </c>
      <c r="I353" s="19">
        <f>IF(ISNUMBER(SEARCH("ستاند",D353)),"أثاث وستاندات","")</f>
        <v/>
      </c>
      <c r="J353" s="20">
        <f>IF(E353="","",IF(I353="","⚠ عبّي الغرض",IF(AND(D353&lt;&gt;"",OR(ISNUMBER(SEARCH("صيانة",D353)),ISNUMBER(SEARCH("تعزيل",D353)),ISNUMBER(SEARCH("تنظيف",D353)),ISNUMBER(SEARCH("تصليح",D353)))),"⚠ الصيانة بلا ورشة",IF(H353="","⚠ ناقص",IF(D353&lt;&gt;"",IF(SUMIF($D$7:$D$806,D353,$H$7:$H$806)&gt;=20,"أصل","مصروف"),IFERROR(IF(VLOOKUP(I353,'القوائم'!$A$2:$D$14,4,0)="زكاة وصدقة","زكاة وصدقة",IF(AND(VLOOKUP(I353,'القوائم'!$A$2:$D$14,3,0)&lt;&gt;"",H353&gt;=20),"أصل","مصروف")),"مصروف"))))))</f>
        <v/>
      </c>
      <c r="K353" s="21" t="n"/>
      <c r="L353" s="22" t="n"/>
      <c r="N353">
        <f>IF(B353="","",MONTH(B353))</f>
        <v/>
      </c>
      <c r="O353">
        <f>IF(B353="","",YEAR(B353))</f>
        <v/>
      </c>
      <c r="P353">
        <f>IF(AND(D353&lt;&gt;"",COUNTIF(D$7:D353,D353)=1),MAX(P$6:P352)+1,"")</f>
        <v/>
      </c>
      <c r="Q353">
        <f>IF(E353="","",IF(I353="أجور عمال","أجرة","مادة"))</f>
        <v/>
      </c>
    </row>
    <row r="354">
      <c r="A354" s="12">
        <f>IF(E354="","",ROW()-6)</f>
        <v/>
      </c>
      <c r="B354" s="13" t="n"/>
      <c r="C354" s="12">
        <f>IF(B354="","",CHOOSE(WEEKDAY(B354,1),"الأحد","الاثنين","الثلاثاء","الأربعاء","الخميس","الجمعة","السبت"))</f>
        <v/>
      </c>
      <c r="D354" s="14" t="n"/>
      <c r="E354" s="15" t="n"/>
      <c r="F354" s="16" t="n"/>
      <c r="G354" s="17" t="n"/>
      <c r="H354" s="18">
        <f>IF(OR(F354="",G354=""),"",ROUND(F354*G354,2))</f>
        <v/>
      </c>
      <c r="I354" s="19">
        <f>IF(ISNUMBER(SEARCH("ستاند",D354)),"أثاث وستاندات","")</f>
        <v/>
      </c>
      <c r="J354" s="20">
        <f>IF(E354="","",IF(I354="","⚠ عبّي الغرض",IF(AND(D354&lt;&gt;"",OR(ISNUMBER(SEARCH("صيانة",D354)),ISNUMBER(SEARCH("تعزيل",D354)),ISNUMBER(SEARCH("تنظيف",D354)),ISNUMBER(SEARCH("تصليح",D354)))),"⚠ الصيانة بلا ورشة",IF(H354="","⚠ ناقص",IF(D354&lt;&gt;"",IF(SUMIF($D$7:$D$806,D354,$H$7:$H$806)&gt;=20,"أصل","مصروف"),IFERROR(IF(VLOOKUP(I354,'القوائم'!$A$2:$D$14,4,0)="زكاة وصدقة","زكاة وصدقة",IF(AND(VLOOKUP(I354,'القوائم'!$A$2:$D$14,3,0)&lt;&gt;"",H354&gt;=20),"أصل","مصروف")),"مصروف"))))))</f>
        <v/>
      </c>
      <c r="K354" s="21" t="n"/>
      <c r="L354" s="22" t="n"/>
      <c r="N354">
        <f>IF(B354="","",MONTH(B354))</f>
        <v/>
      </c>
      <c r="O354">
        <f>IF(B354="","",YEAR(B354))</f>
        <v/>
      </c>
      <c r="P354">
        <f>IF(AND(D354&lt;&gt;"",COUNTIF(D$7:D354,D354)=1),MAX(P$6:P353)+1,"")</f>
        <v/>
      </c>
      <c r="Q354">
        <f>IF(E354="","",IF(I354="أجور عمال","أجرة","مادة"))</f>
        <v/>
      </c>
    </row>
    <row r="355">
      <c r="A355" s="12">
        <f>IF(E355="","",ROW()-6)</f>
        <v/>
      </c>
      <c r="B355" s="13" t="n"/>
      <c r="C355" s="12">
        <f>IF(B355="","",CHOOSE(WEEKDAY(B355,1),"الأحد","الاثنين","الثلاثاء","الأربعاء","الخميس","الجمعة","السبت"))</f>
        <v/>
      </c>
      <c r="D355" s="14" t="n"/>
      <c r="E355" s="15" t="n"/>
      <c r="F355" s="16" t="n"/>
      <c r="G355" s="17" t="n"/>
      <c r="H355" s="18">
        <f>IF(OR(F355="",G355=""),"",ROUND(F355*G355,2))</f>
        <v/>
      </c>
      <c r="I355" s="19">
        <f>IF(ISNUMBER(SEARCH("ستاند",D355)),"أثاث وستاندات","")</f>
        <v/>
      </c>
      <c r="J355" s="20">
        <f>IF(E355="","",IF(I355="","⚠ عبّي الغرض",IF(AND(D355&lt;&gt;"",OR(ISNUMBER(SEARCH("صيانة",D355)),ISNUMBER(SEARCH("تعزيل",D355)),ISNUMBER(SEARCH("تنظيف",D355)),ISNUMBER(SEARCH("تصليح",D355)))),"⚠ الصيانة بلا ورشة",IF(H355="","⚠ ناقص",IF(D355&lt;&gt;"",IF(SUMIF($D$7:$D$806,D355,$H$7:$H$806)&gt;=20,"أصل","مصروف"),IFERROR(IF(VLOOKUP(I355,'القوائم'!$A$2:$D$14,4,0)="زكاة وصدقة","زكاة وصدقة",IF(AND(VLOOKUP(I355,'القوائم'!$A$2:$D$14,3,0)&lt;&gt;"",H355&gt;=20),"أصل","مصروف")),"مصروف"))))))</f>
        <v/>
      </c>
      <c r="K355" s="21" t="n"/>
      <c r="L355" s="22" t="n"/>
      <c r="N355">
        <f>IF(B355="","",MONTH(B355))</f>
        <v/>
      </c>
      <c r="O355">
        <f>IF(B355="","",YEAR(B355))</f>
        <v/>
      </c>
      <c r="P355">
        <f>IF(AND(D355&lt;&gt;"",COUNTIF(D$7:D355,D355)=1),MAX(P$6:P354)+1,"")</f>
        <v/>
      </c>
      <c r="Q355">
        <f>IF(E355="","",IF(I355="أجور عمال","أجرة","مادة"))</f>
        <v/>
      </c>
    </row>
    <row r="356">
      <c r="A356" s="12">
        <f>IF(E356="","",ROW()-6)</f>
        <v/>
      </c>
      <c r="B356" s="13" t="n"/>
      <c r="C356" s="12">
        <f>IF(B356="","",CHOOSE(WEEKDAY(B356,1),"الأحد","الاثنين","الثلاثاء","الأربعاء","الخميس","الجمعة","السبت"))</f>
        <v/>
      </c>
      <c r="D356" s="14" t="n"/>
      <c r="E356" s="15" t="n"/>
      <c r="F356" s="16" t="n"/>
      <c r="G356" s="17" t="n"/>
      <c r="H356" s="18">
        <f>IF(OR(F356="",G356=""),"",ROUND(F356*G356,2))</f>
        <v/>
      </c>
      <c r="I356" s="19">
        <f>IF(ISNUMBER(SEARCH("ستاند",D356)),"أثاث وستاندات","")</f>
        <v/>
      </c>
      <c r="J356" s="20">
        <f>IF(E356="","",IF(I356="","⚠ عبّي الغرض",IF(AND(D356&lt;&gt;"",OR(ISNUMBER(SEARCH("صيانة",D356)),ISNUMBER(SEARCH("تعزيل",D356)),ISNUMBER(SEARCH("تنظيف",D356)),ISNUMBER(SEARCH("تصليح",D356)))),"⚠ الصيانة بلا ورشة",IF(H356="","⚠ ناقص",IF(D356&lt;&gt;"",IF(SUMIF($D$7:$D$806,D356,$H$7:$H$806)&gt;=20,"أصل","مصروف"),IFERROR(IF(VLOOKUP(I356,'القوائم'!$A$2:$D$14,4,0)="زكاة وصدقة","زكاة وصدقة",IF(AND(VLOOKUP(I356,'القوائم'!$A$2:$D$14,3,0)&lt;&gt;"",H356&gt;=20),"أصل","مصروف")),"مصروف"))))))</f>
        <v/>
      </c>
      <c r="K356" s="21" t="n"/>
      <c r="L356" s="22" t="n"/>
      <c r="N356">
        <f>IF(B356="","",MONTH(B356))</f>
        <v/>
      </c>
      <c r="O356">
        <f>IF(B356="","",YEAR(B356))</f>
        <v/>
      </c>
      <c r="P356">
        <f>IF(AND(D356&lt;&gt;"",COUNTIF(D$7:D356,D356)=1),MAX(P$6:P355)+1,"")</f>
        <v/>
      </c>
      <c r="Q356">
        <f>IF(E356="","",IF(I356="أجور عمال","أجرة","مادة"))</f>
        <v/>
      </c>
    </row>
    <row r="357">
      <c r="A357" s="12">
        <f>IF(E357="","",ROW()-6)</f>
        <v/>
      </c>
      <c r="B357" s="13" t="n"/>
      <c r="C357" s="12">
        <f>IF(B357="","",CHOOSE(WEEKDAY(B357,1),"الأحد","الاثنين","الثلاثاء","الأربعاء","الخميس","الجمعة","السبت"))</f>
        <v/>
      </c>
      <c r="D357" s="14" t="n"/>
      <c r="E357" s="15" t="n"/>
      <c r="F357" s="16" t="n"/>
      <c r="G357" s="17" t="n"/>
      <c r="H357" s="18">
        <f>IF(OR(F357="",G357=""),"",ROUND(F357*G357,2))</f>
        <v/>
      </c>
      <c r="I357" s="19">
        <f>IF(ISNUMBER(SEARCH("ستاند",D357)),"أثاث وستاندات","")</f>
        <v/>
      </c>
      <c r="J357" s="20">
        <f>IF(E357="","",IF(I357="","⚠ عبّي الغرض",IF(AND(D357&lt;&gt;"",OR(ISNUMBER(SEARCH("صيانة",D357)),ISNUMBER(SEARCH("تعزيل",D357)),ISNUMBER(SEARCH("تنظيف",D357)),ISNUMBER(SEARCH("تصليح",D357)))),"⚠ الصيانة بلا ورشة",IF(H357="","⚠ ناقص",IF(D357&lt;&gt;"",IF(SUMIF($D$7:$D$806,D357,$H$7:$H$806)&gt;=20,"أصل","مصروف"),IFERROR(IF(VLOOKUP(I357,'القوائم'!$A$2:$D$14,4,0)="زكاة وصدقة","زكاة وصدقة",IF(AND(VLOOKUP(I357,'القوائم'!$A$2:$D$14,3,0)&lt;&gt;"",H357&gt;=20),"أصل","مصروف")),"مصروف"))))))</f>
        <v/>
      </c>
      <c r="K357" s="21" t="n"/>
      <c r="L357" s="22" t="n"/>
      <c r="N357">
        <f>IF(B357="","",MONTH(B357))</f>
        <v/>
      </c>
      <c r="O357">
        <f>IF(B357="","",YEAR(B357))</f>
        <v/>
      </c>
      <c r="P357">
        <f>IF(AND(D357&lt;&gt;"",COUNTIF(D$7:D357,D357)=1),MAX(P$6:P356)+1,"")</f>
        <v/>
      </c>
      <c r="Q357">
        <f>IF(E357="","",IF(I357="أجور عمال","أجرة","مادة"))</f>
        <v/>
      </c>
    </row>
    <row r="358">
      <c r="A358" s="12">
        <f>IF(E358="","",ROW()-6)</f>
        <v/>
      </c>
      <c r="B358" s="13" t="n"/>
      <c r="C358" s="12">
        <f>IF(B358="","",CHOOSE(WEEKDAY(B358,1),"الأحد","الاثنين","الثلاثاء","الأربعاء","الخميس","الجمعة","السبت"))</f>
        <v/>
      </c>
      <c r="D358" s="14" t="n"/>
      <c r="E358" s="15" t="n"/>
      <c r="F358" s="16" t="n"/>
      <c r="G358" s="17" t="n"/>
      <c r="H358" s="18">
        <f>IF(OR(F358="",G358=""),"",ROUND(F358*G358,2))</f>
        <v/>
      </c>
      <c r="I358" s="19">
        <f>IF(ISNUMBER(SEARCH("ستاند",D358)),"أثاث وستاندات","")</f>
        <v/>
      </c>
      <c r="J358" s="20">
        <f>IF(E358="","",IF(I358="","⚠ عبّي الغرض",IF(AND(D358&lt;&gt;"",OR(ISNUMBER(SEARCH("صيانة",D358)),ISNUMBER(SEARCH("تعزيل",D358)),ISNUMBER(SEARCH("تنظيف",D358)),ISNUMBER(SEARCH("تصليح",D358)))),"⚠ الصيانة بلا ورشة",IF(H358="","⚠ ناقص",IF(D358&lt;&gt;"",IF(SUMIF($D$7:$D$806,D358,$H$7:$H$806)&gt;=20,"أصل","مصروف"),IFERROR(IF(VLOOKUP(I358,'القوائم'!$A$2:$D$14,4,0)="زكاة وصدقة","زكاة وصدقة",IF(AND(VLOOKUP(I358,'القوائم'!$A$2:$D$14,3,0)&lt;&gt;"",H358&gt;=20),"أصل","مصروف")),"مصروف"))))))</f>
        <v/>
      </c>
      <c r="K358" s="21" t="n"/>
      <c r="L358" s="22" t="n"/>
      <c r="N358">
        <f>IF(B358="","",MONTH(B358))</f>
        <v/>
      </c>
      <c r="O358">
        <f>IF(B358="","",YEAR(B358))</f>
        <v/>
      </c>
      <c r="P358">
        <f>IF(AND(D358&lt;&gt;"",COUNTIF(D$7:D358,D358)=1),MAX(P$6:P357)+1,"")</f>
        <v/>
      </c>
      <c r="Q358">
        <f>IF(E358="","",IF(I358="أجور عمال","أجرة","مادة"))</f>
        <v/>
      </c>
    </row>
    <row r="359">
      <c r="A359" s="12">
        <f>IF(E359="","",ROW()-6)</f>
        <v/>
      </c>
      <c r="B359" s="13" t="n"/>
      <c r="C359" s="12">
        <f>IF(B359="","",CHOOSE(WEEKDAY(B359,1),"الأحد","الاثنين","الثلاثاء","الأربعاء","الخميس","الجمعة","السبت"))</f>
        <v/>
      </c>
      <c r="D359" s="14" t="n"/>
      <c r="E359" s="15" t="n"/>
      <c r="F359" s="16" t="n"/>
      <c r="G359" s="17" t="n"/>
      <c r="H359" s="18">
        <f>IF(OR(F359="",G359=""),"",ROUND(F359*G359,2))</f>
        <v/>
      </c>
      <c r="I359" s="19">
        <f>IF(ISNUMBER(SEARCH("ستاند",D359)),"أثاث وستاندات","")</f>
        <v/>
      </c>
      <c r="J359" s="20">
        <f>IF(E359="","",IF(I359="","⚠ عبّي الغرض",IF(AND(D359&lt;&gt;"",OR(ISNUMBER(SEARCH("صيانة",D359)),ISNUMBER(SEARCH("تعزيل",D359)),ISNUMBER(SEARCH("تنظيف",D359)),ISNUMBER(SEARCH("تصليح",D359)))),"⚠ الصيانة بلا ورشة",IF(H359="","⚠ ناقص",IF(D359&lt;&gt;"",IF(SUMIF($D$7:$D$806,D359,$H$7:$H$806)&gt;=20,"أصل","مصروف"),IFERROR(IF(VLOOKUP(I359,'القوائم'!$A$2:$D$14,4,0)="زكاة وصدقة","زكاة وصدقة",IF(AND(VLOOKUP(I359,'القوائم'!$A$2:$D$14,3,0)&lt;&gt;"",H359&gt;=20),"أصل","مصروف")),"مصروف"))))))</f>
        <v/>
      </c>
      <c r="K359" s="21" t="n"/>
      <c r="L359" s="22" t="n"/>
      <c r="N359">
        <f>IF(B359="","",MONTH(B359))</f>
        <v/>
      </c>
      <c r="O359">
        <f>IF(B359="","",YEAR(B359))</f>
        <v/>
      </c>
      <c r="P359">
        <f>IF(AND(D359&lt;&gt;"",COUNTIF(D$7:D359,D359)=1),MAX(P$6:P358)+1,"")</f>
        <v/>
      </c>
      <c r="Q359">
        <f>IF(E359="","",IF(I359="أجور عمال","أجرة","مادة"))</f>
        <v/>
      </c>
    </row>
    <row r="360">
      <c r="A360" s="12">
        <f>IF(E360="","",ROW()-6)</f>
        <v/>
      </c>
      <c r="B360" s="13" t="n"/>
      <c r="C360" s="12">
        <f>IF(B360="","",CHOOSE(WEEKDAY(B360,1),"الأحد","الاثنين","الثلاثاء","الأربعاء","الخميس","الجمعة","السبت"))</f>
        <v/>
      </c>
      <c r="D360" s="14" t="n"/>
      <c r="E360" s="15" t="n"/>
      <c r="F360" s="16" t="n"/>
      <c r="G360" s="17" t="n"/>
      <c r="H360" s="18">
        <f>IF(OR(F360="",G360=""),"",ROUND(F360*G360,2))</f>
        <v/>
      </c>
      <c r="I360" s="19">
        <f>IF(ISNUMBER(SEARCH("ستاند",D360)),"أثاث وستاندات","")</f>
        <v/>
      </c>
      <c r="J360" s="20">
        <f>IF(E360="","",IF(I360="","⚠ عبّي الغرض",IF(AND(D360&lt;&gt;"",OR(ISNUMBER(SEARCH("صيانة",D360)),ISNUMBER(SEARCH("تعزيل",D360)),ISNUMBER(SEARCH("تنظيف",D360)),ISNUMBER(SEARCH("تصليح",D360)))),"⚠ الصيانة بلا ورشة",IF(H360="","⚠ ناقص",IF(D360&lt;&gt;"",IF(SUMIF($D$7:$D$806,D360,$H$7:$H$806)&gt;=20,"أصل","مصروف"),IFERROR(IF(VLOOKUP(I360,'القوائم'!$A$2:$D$14,4,0)="زكاة وصدقة","زكاة وصدقة",IF(AND(VLOOKUP(I360,'القوائم'!$A$2:$D$14,3,0)&lt;&gt;"",H360&gt;=20),"أصل","مصروف")),"مصروف"))))))</f>
        <v/>
      </c>
      <c r="K360" s="21" t="n"/>
      <c r="L360" s="22" t="n"/>
      <c r="N360">
        <f>IF(B360="","",MONTH(B360))</f>
        <v/>
      </c>
      <c r="O360">
        <f>IF(B360="","",YEAR(B360))</f>
        <v/>
      </c>
      <c r="P360">
        <f>IF(AND(D360&lt;&gt;"",COUNTIF(D$7:D360,D360)=1),MAX(P$6:P359)+1,"")</f>
        <v/>
      </c>
      <c r="Q360">
        <f>IF(E360="","",IF(I360="أجور عمال","أجرة","مادة"))</f>
        <v/>
      </c>
    </row>
    <row r="361">
      <c r="A361" s="12">
        <f>IF(E361="","",ROW()-6)</f>
        <v/>
      </c>
      <c r="B361" s="13" t="n"/>
      <c r="C361" s="12">
        <f>IF(B361="","",CHOOSE(WEEKDAY(B361,1),"الأحد","الاثنين","الثلاثاء","الأربعاء","الخميس","الجمعة","السبت"))</f>
        <v/>
      </c>
      <c r="D361" s="14" t="n"/>
      <c r="E361" s="15" t="n"/>
      <c r="F361" s="16" t="n"/>
      <c r="G361" s="17" t="n"/>
      <c r="H361" s="18">
        <f>IF(OR(F361="",G361=""),"",ROUND(F361*G361,2))</f>
        <v/>
      </c>
      <c r="I361" s="19">
        <f>IF(ISNUMBER(SEARCH("ستاند",D361)),"أثاث وستاندات","")</f>
        <v/>
      </c>
      <c r="J361" s="20">
        <f>IF(E361="","",IF(I361="","⚠ عبّي الغرض",IF(AND(D361&lt;&gt;"",OR(ISNUMBER(SEARCH("صيانة",D361)),ISNUMBER(SEARCH("تعزيل",D361)),ISNUMBER(SEARCH("تنظيف",D361)),ISNUMBER(SEARCH("تصليح",D361)))),"⚠ الصيانة بلا ورشة",IF(H361="","⚠ ناقص",IF(D361&lt;&gt;"",IF(SUMIF($D$7:$D$806,D361,$H$7:$H$806)&gt;=20,"أصل","مصروف"),IFERROR(IF(VLOOKUP(I361,'القوائم'!$A$2:$D$14,4,0)="زكاة وصدقة","زكاة وصدقة",IF(AND(VLOOKUP(I361,'القوائم'!$A$2:$D$14,3,0)&lt;&gt;"",H361&gt;=20),"أصل","مصروف")),"مصروف"))))))</f>
        <v/>
      </c>
      <c r="K361" s="21" t="n"/>
      <c r="L361" s="22" t="n"/>
      <c r="N361">
        <f>IF(B361="","",MONTH(B361))</f>
        <v/>
      </c>
      <c r="O361">
        <f>IF(B361="","",YEAR(B361))</f>
        <v/>
      </c>
      <c r="P361">
        <f>IF(AND(D361&lt;&gt;"",COUNTIF(D$7:D361,D361)=1),MAX(P$6:P360)+1,"")</f>
        <v/>
      </c>
      <c r="Q361">
        <f>IF(E361="","",IF(I361="أجور عمال","أجرة","مادة"))</f>
        <v/>
      </c>
    </row>
    <row r="362">
      <c r="A362" s="12">
        <f>IF(E362="","",ROW()-6)</f>
        <v/>
      </c>
      <c r="B362" s="13" t="n"/>
      <c r="C362" s="12">
        <f>IF(B362="","",CHOOSE(WEEKDAY(B362,1),"الأحد","الاثنين","الثلاثاء","الأربعاء","الخميس","الجمعة","السبت"))</f>
        <v/>
      </c>
      <c r="D362" s="14" t="n"/>
      <c r="E362" s="15" t="n"/>
      <c r="F362" s="16" t="n"/>
      <c r="G362" s="17" t="n"/>
      <c r="H362" s="18">
        <f>IF(OR(F362="",G362=""),"",ROUND(F362*G362,2))</f>
        <v/>
      </c>
      <c r="I362" s="19">
        <f>IF(ISNUMBER(SEARCH("ستاند",D362)),"أثاث وستاندات","")</f>
        <v/>
      </c>
      <c r="J362" s="20">
        <f>IF(E362="","",IF(I362="","⚠ عبّي الغرض",IF(AND(D362&lt;&gt;"",OR(ISNUMBER(SEARCH("صيانة",D362)),ISNUMBER(SEARCH("تعزيل",D362)),ISNUMBER(SEARCH("تنظيف",D362)),ISNUMBER(SEARCH("تصليح",D362)))),"⚠ الصيانة بلا ورشة",IF(H362="","⚠ ناقص",IF(D362&lt;&gt;"",IF(SUMIF($D$7:$D$806,D362,$H$7:$H$806)&gt;=20,"أصل","مصروف"),IFERROR(IF(VLOOKUP(I362,'القوائم'!$A$2:$D$14,4,0)="زكاة وصدقة","زكاة وصدقة",IF(AND(VLOOKUP(I362,'القوائم'!$A$2:$D$14,3,0)&lt;&gt;"",H362&gt;=20),"أصل","مصروف")),"مصروف"))))))</f>
        <v/>
      </c>
      <c r="K362" s="21" t="n"/>
      <c r="L362" s="22" t="n"/>
      <c r="N362">
        <f>IF(B362="","",MONTH(B362))</f>
        <v/>
      </c>
      <c r="O362">
        <f>IF(B362="","",YEAR(B362))</f>
        <v/>
      </c>
      <c r="P362">
        <f>IF(AND(D362&lt;&gt;"",COUNTIF(D$7:D362,D362)=1),MAX(P$6:P361)+1,"")</f>
        <v/>
      </c>
      <c r="Q362">
        <f>IF(E362="","",IF(I362="أجور عمال","أجرة","مادة"))</f>
        <v/>
      </c>
    </row>
    <row r="363">
      <c r="A363" s="12">
        <f>IF(E363="","",ROW()-6)</f>
        <v/>
      </c>
      <c r="B363" s="13" t="n"/>
      <c r="C363" s="12">
        <f>IF(B363="","",CHOOSE(WEEKDAY(B363,1),"الأحد","الاثنين","الثلاثاء","الأربعاء","الخميس","الجمعة","السبت"))</f>
        <v/>
      </c>
      <c r="D363" s="14" t="n"/>
      <c r="E363" s="15" t="n"/>
      <c r="F363" s="16" t="n"/>
      <c r="G363" s="17" t="n"/>
      <c r="H363" s="18">
        <f>IF(OR(F363="",G363=""),"",ROUND(F363*G363,2))</f>
        <v/>
      </c>
      <c r="I363" s="19">
        <f>IF(ISNUMBER(SEARCH("ستاند",D363)),"أثاث وستاندات","")</f>
        <v/>
      </c>
      <c r="J363" s="20">
        <f>IF(E363="","",IF(I363="","⚠ عبّي الغرض",IF(AND(D363&lt;&gt;"",OR(ISNUMBER(SEARCH("صيانة",D363)),ISNUMBER(SEARCH("تعزيل",D363)),ISNUMBER(SEARCH("تنظيف",D363)),ISNUMBER(SEARCH("تصليح",D363)))),"⚠ الصيانة بلا ورشة",IF(H363="","⚠ ناقص",IF(D363&lt;&gt;"",IF(SUMIF($D$7:$D$806,D363,$H$7:$H$806)&gt;=20,"أصل","مصروف"),IFERROR(IF(VLOOKUP(I363,'القوائم'!$A$2:$D$14,4,0)="زكاة وصدقة","زكاة وصدقة",IF(AND(VLOOKUP(I363,'القوائم'!$A$2:$D$14,3,0)&lt;&gt;"",H363&gt;=20),"أصل","مصروف")),"مصروف"))))))</f>
        <v/>
      </c>
      <c r="K363" s="21" t="n"/>
      <c r="L363" s="22" t="n"/>
      <c r="N363">
        <f>IF(B363="","",MONTH(B363))</f>
        <v/>
      </c>
      <c r="O363">
        <f>IF(B363="","",YEAR(B363))</f>
        <v/>
      </c>
      <c r="P363">
        <f>IF(AND(D363&lt;&gt;"",COUNTIF(D$7:D363,D363)=1),MAX(P$6:P362)+1,"")</f>
        <v/>
      </c>
      <c r="Q363">
        <f>IF(E363="","",IF(I363="أجور عمال","أجرة","مادة"))</f>
        <v/>
      </c>
    </row>
    <row r="364">
      <c r="A364" s="12">
        <f>IF(E364="","",ROW()-6)</f>
        <v/>
      </c>
      <c r="B364" s="13" t="n"/>
      <c r="C364" s="12">
        <f>IF(B364="","",CHOOSE(WEEKDAY(B364,1),"الأحد","الاثنين","الثلاثاء","الأربعاء","الخميس","الجمعة","السبت"))</f>
        <v/>
      </c>
      <c r="D364" s="14" t="n"/>
      <c r="E364" s="15" t="n"/>
      <c r="F364" s="16" t="n"/>
      <c r="G364" s="17" t="n"/>
      <c r="H364" s="18">
        <f>IF(OR(F364="",G364=""),"",ROUND(F364*G364,2))</f>
        <v/>
      </c>
      <c r="I364" s="19">
        <f>IF(ISNUMBER(SEARCH("ستاند",D364)),"أثاث وستاندات","")</f>
        <v/>
      </c>
      <c r="J364" s="20">
        <f>IF(E364="","",IF(I364="","⚠ عبّي الغرض",IF(AND(D364&lt;&gt;"",OR(ISNUMBER(SEARCH("صيانة",D364)),ISNUMBER(SEARCH("تعزيل",D364)),ISNUMBER(SEARCH("تنظيف",D364)),ISNUMBER(SEARCH("تصليح",D364)))),"⚠ الصيانة بلا ورشة",IF(H364="","⚠ ناقص",IF(D364&lt;&gt;"",IF(SUMIF($D$7:$D$806,D364,$H$7:$H$806)&gt;=20,"أصل","مصروف"),IFERROR(IF(VLOOKUP(I364,'القوائم'!$A$2:$D$14,4,0)="زكاة وصدقة","زكاة وصدقة",IF(AND(VLOOKUP(I364,'القوائم'!$A$2:$D$14,3,0)&lt;&gt;"",H364&gt;=20),"أصل","مصروف")),"مصروف"))))))</f>
        <v/>
      </c>
      <c r="K364" s="21" t="n"/>
      <c r="L364" s="22" t="n"/>
      <c r="N364">
        <f>IF(B364="","",MONTH(B364))</f>
        <v/>
      </c>
      <c r="O364">
        <f>IF(B364="","",YEAR(B364))</f>
        <v/>
      </c>
      <c r="P364">
        <f>IF(AND(D364&lt;&gt;"",COUNTIF(D$7:D364,D364)=1),MAX(P$6:P363)+1,"")</f>
        <v/>
      </c>
      <c r="Q364">
        <f>IF(E364="","",IF(I364="أجور عمال","أجرة","مادة"))</f>
        <v/>
      </c>
    </row>
    <row r="365">
      <c r="A365" s="12">
        <f>IF(E365="","",ROW()-6)</f>
        <v/>
      </c>
      <c r="B365" s="13" t="n"/>
      <c r="C365" s="12">
        <f>IF(B365="","",CHOOSE(WEEKDAY(B365,1),"الأحد","الاثنين","الثلاثاء","الأربعاء","الخميس","الجمعة","السبت"))</f>
        <v/>
      </c>
      <c r="D365" s="14" t="n"/>
      <c r="E365" s="15" t="n"/>
      <c r="F365" s="16" t="n"/>
      <c r="G365" s="17" t="n"/>
      <c r="H365" s="18">
        <f>IF(OR(F365="",G365=""),"",ROUND(F365*G365,2))</f>
        <v/>
      </c>
      <c r="I365" s="19">
        <f>IF(ISNUMBER(SEARCH("ستاند",D365)),"أثاث وستاندات","")</f>
        <v/>
      </c>
      <c r="J365" s="20">
        <f>IF(E365="","",IF(I365="","⚠ عبّي الغرض",IF(AND(D365&lt;&gt;"",OR(ISNUMBER(SEARCH("صيانة",D365)),ISNUMBER(SEARCH("تعزيل",D365)),ISNUMBER(SEARCH("تنظيف",D365)),ISNUMBER(SEARCH("تصليح",D365)))),"⚠ الصيانة بلا ورشة",IF(H365="","⚠ ناقص",IF(D365&lt;&gt;"",IF(SUMIF($D$7:$D$806,D365,$H$7:$H$806)&gt;=20,"أصل","مصروف"),IFERROR(IF(VLOOKUP(I365,'القوائم'!$A$2:$D$14,4,0)="زكاة وصدقة","زكاة وصدقة",IF(AND(VLOOKUP(I365,'القوائم'!$A$2:$D$14,3,0)&lt;&gt;"",H365&gt;=20),"أصل","مصروف")),"مصروف"))))))</f>
        <v/>
      </c>
      <c r="K365" s="21" t="n"/>
      <c r="L365" s="22" t="n"/>
      <c r="N365">
        <f>IF(B365="","",MONTH(B365))</f>
        <v/>
      </c>
      <c r="O365">
        <f>IF(B365="","",YEAR(B365))</f>
        <v/>
      </c>
      <c r="P365">
        <f>IF(AND(D365&lt;&gt;"",COUNTIF(D$7:D365,D365)=1),MAX(P$6:P364)+1,"")</f>
        <v/>
      </c>
      <c r="Q365">
        <f>IF(E365="","",IF(I365="أجور عمال","أجرة","مادة"))</f>
        <v/>
      </c>
    </row>
    <row r="366">
      <c r="A366" s="12">
        <f>IF(E366="","",ROW()-6)</f>
        <v/>
      </c>
      <c r="B366" s="13" t="n"/>
      <c r="C366" s="12">
        <f>IF(B366="","",CHOOSE(WEEKDAY(B366,1),"الأحد","الاثنين","الثلاثاء","الأربعاء","الخميس","الجمعة","السبت"))</f>
        <v/>
      </c>
      <c r="D366" s="14" t="n"/>
      <c r="E366" s="15" t="n"/>
      <c r="F366" s="16" t="n"/>
      <c r="G366" s="17" t="n"/>
      <c r="H366" s="18">
        <f>IF(OR(F366="",G366=""),"",ROUND(F366*G366,2))</f>
        <v/>
      </c>
      <c r="I366" s="19">
        <f>IF(ISNUMBER(SEARCH("ستاند",D366)),"أثاث وستاندات","")</f>
        <v/>
      </c>
      <c r="J366" s="20">
        <f>IF(E366="","",IF(I366="","⚠ عبّي الغرض",IF(AND(D366&lt;&gt;"",OR(ISNUMBER(SEARCH("صيانة",D366)),ISNUMBER(SEARCH("تعزيل",D366)),ISNUMBER(SEARCH("تنظيف",D366)),ISNUMBER(SEARCH("تصليح",D366)))),"⚠ الصيانة بلا ورشة",IF(H366="","⚠ ناقص",IF(D366&lt;&gt;"",IF(SUMIF($D$7:$D$806,D366,$H$7:$H$806)&gt;=20,"أصل","مصروف"),IFERROR(IF(VLOOKUP(I366,'القوائم'!$A$2:$D$14,4,0)="زكاة وصدقة","زكاة وصدقة",IF(AND(VLOOKUP(I366,'القوائم'!$A$2:$D$14,3,0)&lt;&gt;"",H366&gt;=20),"أصل","مصروف")),"مصروف"))))))</f>
        <v/>
      </c>
      <c r="K366" s="21" t="n"/>
      <c r="L366" s="22" t="n"/>
      <c r="N366">
        <f>IF(B366="","",MONTH(B366))</f>
        <v/>
      </c>
      <c r="O366">
        <f>IF(B366="","",YEAR(B366))</f>
        <v/>
      </c>
      <c r="P366">
        <f>IF(AND(D366&lt;&gt;"",COUNTIF(D$7:D366,D366)=1),MAX(P$6:P365)+1,"")</f>
        <v/>
      </c>
      <c r="Q366">
        <f>IF(E366="","",IF(I366="أجور عمال","أجرة","مادة"))</f>
        <v/>
      </c>
    </row>
    <row r="367">
      <c r="A367" s="12">
        <f>IF(E367="","",ROW()-6)</f>
        <v/>
      </c>
      <c r="B367" s="13" t="n"/>
      <c r="C367" s="12">
        <f>IF(B367="","",CHOOSE(WEEKDAY(B367,1),"الأحد","الاثنين","الثلاثاء","الأربعاء","الخميس","الجمعة","السبت"))</f>
        <v/>
      </c>
      <c r="D367" s="14" t="n"/>
      <c r="E367" s="15" t="n"/>
      <c r="F367" s="16" t="n"/>
      <c r="G367" s="17" t="n"/>
      <c r="H367" s="18">
        <f>IF(OR(F367="",G367=""),"",ROUND(F367*G367,2))</f>
        <v/>
      </c>
      <c r="I367" s="19">
        <f>IF(ISNUMBER(SEARCH("ستاند",D367)),"أثاث وستاندات","")</f>
        <v/>
      </c>
      <c r="J367" s="20">
        <f>IF(E367="","",IF(I367="","⚠ عبّي الغرض",IF(AND(D367&lt;&gt;"",OR(ISNUMBER(SEARCH("صيانة",D367)),ISNUMBER(SEARCH("تعزيل",D367)),ISNUMBER(SEARCH("تنظيف",D367)),ISNUMBER(SEARCH("تصليح",D367)))),"⚠ الصيانة بلا ورشة",IF(H367="","⚠ ناقص",IF(D367&lt;&gt;"",IF(SUMIF($D$7:$D$806,D367,$H$7:$H$806)&gt;=20,"أصل","مصروف"),IFERROR(IF(VLOOKUP(I367,'القوائم'!$A$2:$D$14,4,0)="زكاة وصدقة","زكاة وصدقة",IF(AND(VLOOKUP(I367,'القوائم'!$A$2:$D$14,3,0)&lt;&gt;"",H367&gt;=20),"أصل","مصروف")),"مصروف"))))))</f>
        <v/>
      </c>
      <c r="K367" s="21" t="n"/>
      <c r="L367" s="22" t="n"/>
      <c r="N367">
        <f>IF(B367="","",MONTH(B367))</f>
        <v/>
      </c>
      <c r="O367">
        <f>IF(B367="","",YEAR(B367))</f>
        <v/>
      </c>
      <c r="P367">
        <f>IF(AND(D367&lt;&gt;"",COUNTIF(D$7:D367,D367)=1),MAX(P$6:P366)+1,"")</f>
        <v/>
      </c>
      <c r="Q367">
        <f>IF(E367="","",IF(I367="أجور عمال","أجرة","مادة"))</f>
        <v/>
      </c>
    </row>
    <row r="368">
      <c r="A368" s="12">
        <f>IF(E368="","",ROW()-6)</f>
        <v/>
      </c>
      <c r="B368" s="13" t="n"/>
      <c r="C368" s="12">
        <f>IF(B368="","",CHOOSE(WEEKDAY(B368,1),"الأحد","الاثنين","الثلاثاء","الأربعاء","الخميس","الجمعة","السبت"))</f>
        <v/>
      </c>
      <c r="D368" s="14" t="n"/>
      <c r="E368" s="15" t="n"/>
      <c r="F368" s="16" t="n"/>
      <c r="G368" s="17" t="n"/>
      <c r="H368" s="18">
        <f>IF(OR(F368="",G368=""),"",ROUND(F368*G368,2))</f>
        <v/>
      </c>
      <c r="I368" s="19">
        <f>IF(ISNUMBER(SEARCH("ستاند",D368)),"أثاث وستاندات","")</f>
        <v/>
      </c>
      <c r="J368" s="20">
        <f>IF(E368="","",IF(I368="","⚠ عبّي الغرض",IF(AND(D368&lt;&gt;"",OR(ISNUMBER(SEARCH("صيانة",D368)),ISNUMBER(SEARCH("تعزيل",D368)),ISNUMBER(SEARCH("تنظيف",D368)),ISNUMBER(SEARCH("تصليح",D368)))),"⚠ الصيانة بلا ورشة",IF(H368="","⚠ ناقص",IF(D368&lt;&gt;"",IF(SUMIF($D$7:$D$806,D368,$H$7:$H$806)&gt;=20,"أصل","مصروف"),IFERROR(IF(VLOOKUP(I368,'القوائم'!$A$2:$D$14,4,0)="زكاة وصدقة","زكاة وصدقة",IF(AND(VLOOKUP(I368,'القوائم'!$A$2:$D$14,3,0)&lt;&gt;"",H368&gt;=20),"أصل","مصروف")),"مصروف"))))))</f>
        <v/>
      </c>
      <c r="K368" s="21" t="n"/>
      <c r="L368" s="22" t="n"/>
      <c r="N368">
        <f>IF(B368="","",MONTH(B368))</f>
        <v/>
      </c>
      <c r="O368">
        <f>IF(B368="","",YEAR(B368))</f>
        <v/>
      </c>
      <c r="P368">
        <f>IF(AND(D368&lt;&gt;"",COUNTIF(D$7:D368,D368)=1),MAX(P$6:P367)+1,"")</f>
        <v/>
      </c>
      <c r="Q368">
        <f>IF(E368="","",IF(I368="أجور عمال","أجرة","مادة"))</f>
        <v/>
      </c>
    </row>
    <row r="369">
      <c r="A369" s="12">
        <f>IF(E369="","",ROW()-6)</f>
        <v/>
      </c>
      <c r="B369" s="13" t="n"/>
      <c r="C369" s="12">
        <f>IF(B369="","",CHOOSE(WEEKDAY(B369,1),"الأحد","الاثنين","الثلاثاء","الأربعاء","الخميس","الجمعة","السبت"))</f>
        <v/>
      </c>
      <c r="D369" s="14" t="n"/>
      <c r="E369" s="15" t="n"/>
      <c r="F369" s="16" t="n"/>
      <c r="G369" s="17" t="n"/>
      <c r="H369" s="18">
        <f>IF(OR(F369="",G369=""),"",ROUND(F369*G369,2))</f>
        <v/>
      </c>
      <c r="I369" s="19">
        <f>IF(ISNUMBER(SEARCH("ستاند",D369)),"أثاث وستاندات","")</f>
        <v/>
      </c>
      <c r="J369" s="20">
        <f>IF(E369="","",IF(I369="","⚠ عبّي الغرض",IF(AND(D369&lt;&gt;"",OR(ISNUMBER(SEARCH("صيانة",D369)),ISNUMBER(SEARCH("تعزيل",D369)),ISNUMBER(SEARCH("تنظيف",D369)),ISNUMBER(SEARCH("تصليح",D369)))),"⚠ الصيانة بلا ورشة",IF(H369="","⚠ ناقص",IF(D369&lt;&gt;"",IF(SUMIF($D$7:$D$806,D369,$H$7:$H$806)&gt;=20,"أصل","مصروف"),IFERROR(IF(VLOOKUP(I369,'القوائم'!$A$2:$D$14,4,0)="زكاة وصدقة","زكاة وصدقة",IF(AND(VLOOKUP(I369,'القوائم'!$A$2:$D$14,3,0)&lt;&gt;"",H369&gt;=20),"أصل","مصروف")),"مصروف"))))))</f>
        <v/>
      </c>
      <c r="K369" s="21" t="n"/>
      <c r="L369" s="22" t="n"/>
      <c r="N369">
        <f>IF(B369="","",MONTH(B369))</f>
        <v/>
      </c>
      <c r="O369">
        <f>IF(B369="","",YEAR(B369))</f>
        <v/>
      </c>
      <c r="P369">
        <f>IF(AND(D369&lt;&gt;"",COUNTIF(D$7:D369,D369)=1),MAX(P$6:P368)+1,"")</f>
        <v/>
      </c>
      <c r="Q369">
        <f>IF(E369="","",IF(I369="أجور عمال","أجرة","مادة"))</f>
        <v/>
      </c>
    </row>
    <row r="370">
      <c r="A370" s="12">
        <f>IF(E370="","",ROW()-6)</f>
        <v/>
      </c>
      <c r="B370" s="13" t="n"/>
      <c r="C370" s="12">
        <f>IF(B370="","",CHOOSE(WEEKDAY(B370,1),"الأحد","الاثنين","الثلاثاء","الأربعاء","الخميس","الجمعة","السبت"))</f>
        <v/>
      </c>
      <c r="D370" s="14" t="n"/>
      <c r="E370" s="15" t="n"/>
      <c r="F370" s="16" t="n"/>
      <c r="G370" s="17" t="n"/>
      <c r="H370" s="18">
        <f>IF(OR(F370="",G370=""),"",ROUND(F370*G370,2))</f>
        <v/>
      </c>
      <c r="I370" s="19">
        <f>IF(ISNUMBER(SEARCH("ستاند",D370)),"أثاث وستاندات","")</f>
        <v/>
      </c>
      <c r="J370" s="20">
        <f>IF(E370="","",IF(I370="","⚠ عبّي الغرض",IF(AND(D370&lt;&gt;"",OR(ISNUMBER(SEARCH("صيانة",D370)),ISNUMBER(SEARCH("تعزيل",D370)),ISNUMBER(SEARCH("تنظيف",D370)),ISNUMBER(SEARCH("تصليح",D370)))),"⚠ الصيانة بلا ورشة",IF(H370="","⚠ ناقص",IF(D370&lt;&gt;"",IF(SUMIF($D$7:$D$806,D370,$H$7:$H$806)&gt;=20,"أصل","مصروف"),IFERROR(IF(VLOOKUP(I370,'القوائم'!$A$2:$D$14,4,0)="زكاة وصدقة","زكاة وصدقة",IF(AND(VLOOKUP(I370,'القوائم'!$A$2:$D$14,3,0)&lt;&gt;"",H370&gt;=20),"أصل","مصروف")),"مصروف"))))))</f>
        <v/>
      </c>
      <c r="K370" s="21" t="n"/>
      <c r="L370" s="22" t="n"/>
      <c r="N370">
        <f>IF(B370="","",MONTH(B370))</f>
        <v/>
      </c>
      <c r="O370">
        <f>IF(B370="","",YEAR(B370))</f>
        <v/>
      </c>
      <c r="P370">
        <f>IF(AND(D370&lt;&gt;"",COUNTIF(D$7:D370,D370)=1),MAX(P$6:P369)+1,"")</f>
        <v/>
      </c>
      <c r="Q370">
        <f>IF(E370="","",IF(I370="أجور عمال","أجرة","مادة"))</f>
        <v/>
      </c>
    </row>
    <row r="371">
      <c r="A371" s="12">
        <f>IF(E371="","",ROW()-6)</f>
        <v/>
      </c>
      <c r="B371" s="13" t="n"/>
      <c r="C371" s="12">
        <f>IF(B371="","",CHOOSE(WEEKDAY(B371,1),"الأحد","الاثنين","الثلاثاء","الأربعاء","الخميس","الجمعة","السبت"))</f>
        <v/>
      </c>
      <c r="D371" s="14" t="n"/>
      <c r="E371" s="15" t="n"/>
      <c r="F371" s="16" t="n"/>
      <c r="G371" s="17" t="n"/>
      <c r="H371" s="18">
        <f>IF(OR(F371="",G371=""),"",ROUND(F371*G371,2))</f>
        <v/>
      </c>
      <c r="I371" s="19">
        <f>IF(ISNUMBER(SEARCH("ستاند",D371)),"أثاث وستاندات","")</f>
        <v/>
      </c>
      <c r="J371" s="20">
        <f>IF(E371="","",IF(I371="","⚠ عبّي الغرض",IF(AND(D371&lt;&gt;"",OR(ISNUMBER(SEARCH("صيانة",D371)),ISNUMBER(SEARCH("تعزيل",D371)),ISNUMBER(SEARCH("تنظيف",D371)),ISNUMBER(SEARCH("تصليح",D371)))),"⚠ الصيانة بلا ورشة",IF(H371="","⚠ ناقص",IF(D371&lt;&gt;"",IF(SUMIF($D$7:$D$806,D371,$H$7:$H$806)&gt;=20,"أصل","مصروف"),IFERROR(IF(VLOOKUP(I371,'القوائم'!$A$2:$D$14,4,0)="زكاة وصدقة","زكاة وصدقة",IF(AND(VLOOKUP(I371,'القوائم'!$A$2:$D$14,3,0)&lt;&gt;"",H371&gt;=20),"أصل","مصروف")),"مصروف"))))))</f>
        <v/>
      </c>
      <c r="K371" s="21" t="n"/>
      <c r="L371" s="22" t="n"/>
      <c r="N371">
        <f>IF(B371="","",MONTH(B371))</f>
        <v/>
      </c>
      <c r="O371">
        <f>IF(B371="","",YEAR(B371))</f>
        <v/>
      </c>
      <c r="P371">
        <f>IF(AND(D371&lt;&gt;"",COUNTIF(D$7:D371,D371)=1),MAX(P$6:P370)+1,"")</f>
        <v/>
      </c>
      <c r="Q371">
        <f>IF(E371="","",IF(I371="أجور عمال","أجرة","مادة"))</f>
        <v/>
      </c>
    </row>
    <row r="372">
      <c r="A372" s="12">
        <f>IF(E372="","",ROW()-6)</f>
        <v/>
      </c>
      <c r="B372" s="13" t="n"/>
      <c r="C372" s="12">
        <f>IF(B372="","",CHOOSE(WEEKDAY(B372,1),"الأحد","الاثنين","الثلاثاء","الأربعاء","الخميس","الجمعة","السبت"))</f>
        <v/>
      </c>
      <c r="D372" s="14" t="n"/>
      <c r="E372" s="15" t="n"/>
      <c r="F372" s="16" t="n"/>
      <c r="G372" s="17" t="n"/>
      <c r="H372" s="18">
        <f>IF(OR(F372="",G372=""),"",ROUND(F372*G372,2))</f>
        <v/>
      </c>
      <c r="I372" s="19">
        <f>IF(ISNUMBER(SEARCH("ستاند",D372)),"أثاث وستاندات","")</f>
        <v/>
      </c>
      <c r="J372" s="20">
        <f>IF(E372="","",IF(I372="","⚠ عبّي الغرض",IF(AND(D372&lt;&gt;"",OR(ISNUMBER(SEARCH("صيانة",D372)),ISNUMBER(SEARCH("تعزيل",D372)),ISNUMBER(SEARCH("تنظيف",D372)),ISNUMBER(SEARCH("تصليح",D372)))),"⚠ الصيانة بلا ورشة",IF(H372="","⚠ ناقص",IF(D372&lt;&gt;"",IF(SUMIF($D$7:$D$806,D372,$H$7:$H$806)&gt;=20,"أصل","مصروف"),IFERROR(IF(VLOOKUP(I372,'القوائم'!$A$2:$D$14,4,0)="زكاة وصدقة","زكاة وصدقة",IF(AND(VLOOKUP(I372,'القوائم'!$A$2:$D$14,3,0)&lt;&gt;"",H372&gt;=20),"أصل","مصروف")),"مصروف"))))))</f>
        <v/>
      </c>
      <c r="K372" s="21" t="n"/>
      <c r="L372" s="22" t="n"/>
      <c r="N372">
        <f>IF(B372="","",MONTH(B372))</f>
        <v/>
      </c>
      <c r="O372">
        <f>IF(B372="","",YEAR(B372))</f>
        <v/>
      </c>
      <c r="P372">
        <f>IF(AND(D372&lt;&gt;"",COUNTIF(D$7:D372,D372)=1),MAX(P$6:P371)+1,"")</f>
        <v/>
      </c>
      <c r="Q372">
        <f>IF(E372="","",IF(I372="أجور عمال","أجرة","مادة"))</f>
        <v/>
      </c>
    </row>
    <row r="373">
      <c r="A373" s="12">
        <f>IF(E373="","",ROW()-6)</f>
        <v/>
      </c>
      <c r="B373" s="13" t="n"/>
      <c r="C373" s="12">
        <f>IF(B373="","",CHOOSE(WEEKDAY(B373,1),"الأحد","الاثنين","الثلاثاء","الأربعاء","الخميس","الجمعة","السبت"))</f>
        <v/>
      </c>
      <c r="D373" s="14" t="n"/>
      <c r="E373" s="15" t="n"/>
      <c r="F373" s="16" t="n"/>
      <c r="G373" s="17" t="n"/>
      <c r="H373" s="18">
        <f>IF(OR(F373="",G373=""),"",ROUND(F373*G373,2))</f>
        <v/>
      </c>
      <c r="I373" s="19">
        <f>IF(ISNUMBER(SEARCH("ستاند",D373)),"أثاث وستاندات","")</f>
        <v/>
      </c>
      <c r="J373" s="20">
        <f>IF(E373="","",IF(I373="","⚠ عبّي الغرض",IF(AND(D373&lt;&gt;"",OR(ISNUMBER(SEARCH("صيانة",D373)),ISNUMBER(SEARCH("تعزيل",D373)),ISNUMBER(SEARCH("تنظيف",D373)),ISNUMBER(SEARCH("تصليح",D373)))),"⚠ الصيانة بلا ورشة",IF(H373="","⚠ ناقص",IF(D373&lt;&gt;"",IF(SUMIF($D$7:$D$806,D373,$H$7:$H$806)&gt;=20,"أصل","مصروف"),IFERROR(IF(VLOOKUP(I373,'القوائم'!$A$2:$D$14,4,0)="زكاة وصدقة","زكاة وصدقة",IF(AND(VLOOKUP(I373,'القوائم'!$A$2:$D$14,3,0)&lt;&gt;"",H373&gt;=20),"أصل","مصروف")),"مصروف"))))))</f>
        <v/>
      </c>
      <c r="K373" s="21" t="n"/>
      <c r="L373" s="22" t="n"/>
      <c r="N373">
        <f>IF(B373="","",MONTH(B373))</f>
        <v/>
      </c>
      <c r="O373">
        <f>IF(B373="","",YEAR(B373))</f>
        <v/>
      </c>
      <c r="P373">
        <f>IF(AND(D373&lt;&gt;"",COUNTIF(D$7:D373,D373)=1),MAX(P$6:P372)+1,"")</f>
        <v/>
      </c>
      <c r="Q373">
        <f>IF(E373="","",IF(I373="أجور عمال","أجرة","مادة"))</f>
        <v/>
      </c>
    </row>
    <row r="374">
      <c r="A374" s="12">
        <f>IF(E374="","",ROW()-6)</f>
        <v/>
      </c>
      <c r="B374" s="13" t="n"/>
      <c r="C374" s="12">
        <f>IF(B374="","",CHOOSE(WEEKDAY(B374,1),"الأحد","الاثنين","الثلاثاء","الأربعاء","الخميس","الجمعة","السبت"))</f>
        <v/>
      </c>
      <c r="D374" s="14" t="n"/>
      <c r="E374" s="15" t="n"/>
      <c r="F374" s="16" t="n"/>
      <c r="G374" s="17" t="n"/>
      <c r="H374" s="18">
        <f>IF(OR(F374="",G374=""),"",ROUND(F374*G374,2))</f>
        <v/>
      </c>
      <c r="I374" s="19">
        <f>IF(ISNUMBER(SEARCH("ستاند",D374)),"أثاث وستاندات","")</f>
        <v/>
      </c>
      <c r="J374" s="20">
        <f>IF(E374="","",IF(I374="","⚠ عبّي الغرض",IF(AND(D374&lt;&gt;"",OR(ISNUMBER(SEARCH("صيانة",D374)),ISNUMBER(SEARCH("تعزيل",D374)),ISNUMBER(SEARCH("تنظيف",D374)),ISNUMBER(SEARCH("تصليح",D374)))),"⚠ الصيانة بلا ورشة",IF(H374="","⚠ ناقص",IF(D374&lt;&gt;"",IF(SUMIF($D$7:$D$806,D374,$H$7:$H$806)&gt;=20,"أصل","مصروف"),IFERROR(IF(VLOOKUP(I374,'القوائم'!$A$2:$D$14,4,0)="زكاة وصدقة","زكاة وصدقة",IF(AND(VLOOKUP(I374,'القوائم'!$A$2:$D$14,3,0)&lt;&gt;"",H374&gt;=20),"أصل","مصروف")),"مصروف"))))))</f>
        <v/>
      </c>
      <c r="K374" s="21" t="n"/>
      <c r="L374" s="22" t="n"/>
      <c r="N374">
        <f>IF(B374="","",MONTH(B374))</f>
        <v/>
      </c>
      <c r="O374">
        <f>IF(B374="","",YEAR(B374))</f>
        <v/>
      </c>
      <c r="P374">
        <f>IF(AND(D374&lt;&gt;"",COUNTIF(D$7:D374,D374)=1),MAX(P$6:P373)+1,"")</f>
        <v/>
      </c>
      <c r="Q374">
        <f>IF(E374="","",IF(I374="أجور عمال","أجرة","مادة"))</f>
        <v/>
      </c>
    </row>
    <row r="375">
      <c r="A375" s="12">
        <f>IF(E375="","",ROW()-6)</f>
        <v/>
      </c>
      <c r="B375" s="13" t="n"/>
      <c r="C375" s="12">
        <f>IF(B375="","",CHOOSE(WEEKDAY(B375,1),"الأحد","الاثنين","الثلاثاء","الأربعاء","الخميس","الجمعة","السبت"))</f>
        <v/>
      </c>
      <c r="D375" s="14" t="n"/>
      <c r="E375" s="15" t="n"/>
      <c r="F375" s="16" t="n"/>
      <c r="G375" s="17" t="n"/>
      <c r="H375" s="18">
        <f>IF(OR(F375="",G375=""),"",ROUND(F375*G375,2))</f>
        <v/>
      </c>
      <c r="I375" s="19">
        <f>IF(ISNUMBER(SEARCH("ستاند",D375)),"أثاث وستاندات","")</f>
        <v/>
      </c>
      <c r="J375" s="20">
        <f>IF(E375="","",IF(I375="","⚠ عبّي الغرض",IF(AND(D375&lt;&gt;"",OR(ISNUMBER(SEARCH("صيانة",D375)),ISNUMBER(SEARCH("تعزيل",D375)),ISNUMBER(SEARCH("تنظيف",D375)),ISNUMBER(SEARCH("تصليح",D375)))),"⚠ الصيانة بلا ورشة",IF(H375="","⚠ ناقص",IF(D375&lt;&gt;"",IF(SUMIF($D$7:$D$806,D375,$H$7:$H$806)&gt;=20,"أصل","مصروف"),IFERROR(IF(VLOOKUP(I375,'القوائم'!$A$2:$D$14,4,0)="زكاة وصدقة","زكاة وصدقة",IF(AND(VLOOKUP(I375,'القوائم'!$A$2:$D$14,3,0)&lt;&gt;"",H375&gt;=20),"أصل","مصروف")),"مصروف"))))))</f>
        <v/>
      </c>
      <c r="K375" s="21" t="n"/>
      <c r="L375" s="22" t="n"/>
      <c r="N375">
        <f>IF(B375="","",MONTH(B375))</f>
        <v/>
      </c>
      <c r="O375">
        <f>IF(B375="","",YEAR(B375))</f>
        <v/>
      </c>
      <c r="P375">
        <f>IF(AND(D375&lt;&gt;"",COUNTIF(D$7:D375,D375)=1),MAX(P$6:P374)+1,"")</f>
        <v/>
      </c>
      <c r="Q375">
        <f>IF(E375="","",IF(I375="أجور عمال","أجرة","مادة"))</f>
        <v/>
      </c>
    </row>
    <row r="376">
      <c r="A376" s="12">
        <f>IF(E376="","",ROW()-6)</f>
        <v/>
      </c>
      <c r="B376" s="13" t="n"/>
      <c r="C376" s="12">
        <f>IF(B376="","",CHOOSE(WEEKDAY(B376,1),"الأحد","الاثنين","الثلاثاء","الأربعاء","الخميس","الجمعة","السبت"))</f>
        <v/>
      </c>
      <c r="D376" s="14" t="n"/>
      <c r="E376" s="15" t="n"/>
      <c r="F376" s="16" t="n"/>
      <c r="G376" s="17" t="n"/>
      <c r="H376" s="18">
        <f>IF(OR(F376="",G376=""),"",ROUND(F376*G376,2))</f>
        <v/>
      </c>
      <c r="I376" s="19">
        <f>IF(ISNUMBER(SEARCH("ستاند",D376)),"أثاث وستاندات","")</f>
        <v/>
      </c>
      <c r="J376" s="20">
        <f>IF(E376="","",IF(I376="","⚠ عبّي الغرض",IF(AND(D376&lt;&gt;"",OR(ISNUMBER(SEARCH("صيانة",D376)),ISNUMBER(SEARCH("تعزيل",D376)),ISNUMBER(SEARCH("تنظيف",D376)),ISNUMBER(SEARCH("تصليح",D376)))),"⚠ الصيانة بلا ورشة",IF(H376="","⚠ ناقص",IF(D376&lt;&gt;"",IF(SUMIF($D$7:$D$806,D376,$H$7:$H$806)&gt;=20,"أصل","مصروف"),IFERROR(IF(VLOOKUP(I376,'القوائم'!$A$2:$D$14,4,0)="زكاة وصدقة","زكاة وصدقة",IF(AND(VLOOKUP(I376,'القوائم'!$A$2:$D$14,3,0)&lt;&gt;"",H376&gt;=20),"أصل","مصروف")),"مصروف"))))))</f>
        <v/>
      </c>
      <c r="K376" s="21" t="n"/>
      <c r="L376" s="22" t="n"/>
      <c r="N376">
        <f>IF(B376="","",MONTH(B376))</f>
        <v/>
      </c>
      <c r="O376">
        <f>IF(B376="","",YEAR(B376))</f>
        <v/>
      </c>
      <c r="P376">
        <f>IF(AND(D376&lt;&gt;"",COUNTIF(D$7:D376,D376)=1),MAX(P$6:P375)+1,"")</f>
        <v/>
      </c>
      <c r="Q376">
        <f>IF(E376="","",IF(I376="أجور عمال","أجرة","مادة"))</f>
        <v/>
      </c>
    </row>
    <row r="377">
      <c r="A377" s="12">
        <f>IF(E377="","",ROW()-6)</f>
        <v/>
      </c>
      <c r="B377" s="13" t="n"/>
      <c r="C377" s="12">
        <f>IF(B377="","",CHOOSE(WEEKDAY(B377,1),"الأحد","الاثنين","الثلاثاء","الأربعاء","الخميس","الجمعة","السبت"))</f>
        <v/>
      </c>
      <c r="D377" s="14" t="n"/>
      <c r="E377" s="15" t="n"/>
      <c r="F377" s="16" t="n"/>
      <c r="G377" s="17" t="n"/>
      <c r="H377" s="18">
        <f>IF(OR(F377="",G377=""),"",ROUND(F377*G377,2))</f>
        <v/>
      </c>
      <c r="I377" s="19">
        <f>IF(ISNUMBER(SEARCH("ستاند",D377)),"أثاث وستاندات","")</f>
        <v/>
      </c>
      <c r="J377" s="20">
        <f>IF(E377="","",IF(I377="","⚠ عبّي الغرض",IF(AND(D377&lt;&gt;"",OR(ISNUMBER(SEARCH("صيانة",D377)),ISNUMBER(SEARCH("تعزيل",D377)),ISNUMBER(SEARCH("تنظيف",D377)),ISNUMBER(SEARCH("تصليح",D377)))),"⚠ الصيانة بلا ورشة",IF(H377="","⚠ ناقص",IF(D377&lt;&gt;"",IF(SUMIF($D$7:$D$806,D377,$H$7:$H$806)&gt;=20,"أصل","مصروف"),IFERROR(IF(VLOOKUP(I377,'القوائم'!$A$2:$D$14,4,0)="زكاة وصدقة","زكاة وصدقة",IF(AND(VLOOKUP(I377,'القوائم'!$A$2:$D$14,3,0)&lt;&gt;"",H377&gt;=20),"أصل","مصروف")),"مصروف"))))))</f>
        <v/>
      </c>
      <c r="K377" s="21" t="n"/>
      <c r="L377" s="22" t="n"/>
      <c r="N377">
        <f>IF(B377="","",MONTH(B377))</f>
        <v/>
      </c>
      <c r="O377">
        <f>IF(B377="","",YEAR(B377))</f>
        <v/>
      </c>
      <c r="P377">
        <f>IF(AND(D377&lt;&gt;"",COUNTIF(D$7:D377,D377)=1),MAX(P$6:P376)+1,"")</f>
        <v/>
      </c>
      <c r="Q377">
        <f>IF(E377="","",IF(I377="أجور عمال","أجرة","مادة"))</f>
        <v/>
      </c>
    </row>
    <row r="378">
      <c r="A378" s="12">
        <f>IF(E378="","",ROW()-6)</f>
        <v/>
      </c>
      <c r="B378" s="13" t="n"/>
      <c r="C378" s="12">
        <f>IF(B378="","",CHOOSE(WEEKDAY(B378,1),"الأحد","الاثنين","الثلاثاء","الأربعاء","الخميس","الجمعة","السبت"))</f>
        <v/>
      </c>
      <c r="D378" s="14" t="n"/>
      <c r="E378" s="15" t="n"/>
      <c r="F378" s="16" t="n"/>
      <c r="G378" s="17" t="n"/>
      <c r="H378" s="18">
        <f>IF(OR(F378="",G378=""),"",ROUND(F378*G378,2))</f>
        <v/>
      </c>
      <c r="I378" s="19">
        <f>IF(ISNUMBER(SEARCH("ستاند",D378)),"أثاث وستاندات","")</f>
        <v/>
      </c>
      <c r="J378" s="20">
        <f>IF(E378="","",IF(I378="","⚠ عبّي الغرض",IF(AND(D378&lt;&gt;"",OR(ISNUMBER(SEARCH("صيانة",D378)),ISNUMBER(SEARCH("تعزيل",D378)),ISNUMBER(SEARCH("تنظيف",D378)),ISNUMBER(SEARCH("تصليح",D378)))),"⚠ الصيانة بلا ورشة",IF(H378="","⚠ ناقص",IF(D378&lt;&gt;"",IF(SUMIF($D$7:$D$806,D378,$H$7:$H$806)&gt;=20,"أصل","مصروف"),IFERROR(IF(VLOOKUP(I378,'القوائم'!$A$2:$D$14,4,0)="زكاة وصدقة","زكاة وصدقة",IF(AND(VLOOKUP(I378,'القوائم'!$A$2:$D$14,3,0)&lt;&gt;"",H378&gt;=20),"أصل","مصروف")),"مصروف"))))))</f>
        <v/>
      </c>
      <c r="K378" s="21" t="n"/>
      <c r="L378" s="22" t="n"/>
      <c r="N378">
        <f>IF(B378="","",MONTH(B378))</f>
        <v/>
      </c>
      <c r="O378">
        <f>IF(B378="","",YEAR(B378))</f>
        <v/>
      </c>
      <c r="P378">
        <f>IF(AND(D378&lt;&gt;"",COUNTIF(D$7:D378,D378)=1),MAX(P$6:P377)+1,"")</f>
        <v/>
      </c>
      <c r="Q378">
        <f>IF(E378="","",IF(I378="أجور عمال","أجرة","مادة"))</f>
        <v/>
      </c>
    </row>
    <row r="379">
      <c r="A379" s="12">
        <f>IF(E379="","",ROW()-6)</f>
        <v/>
      </c>
      <c r="B379" s="13" t="n"/>
      <c r="C379" s="12">
        <f>IF(B379="","",CHOOSE(WEEKDAY(B379,1),"الأحد","الاثنين","الثلاثاء","الأربعاء","الخميس","الجمعة","السبت"))</f>
        <v/>
      </c>
      <c r="D379" s="14" t="n"/>
      <c r="E379" s="15" t="n"/>
      <c r="F379" s="16" t="n"/>
      <c r="G379" s="17" t="n"/>
      <c r="H379" s="18">
        <f>IF(OR(F379="",G379=""),"",ROUND(F379*G379,2))</f>
        <v/>
      </c>
      <c r="I379" s="19">
        <f>IF(ISNUMBER(SEARCH("ستاند",D379)),"أثاث وستاندات","")</f>
        <v/>
      </c>
      <c r="J379" s="20">
        <f>IF(E379="","",IF(I379="","⚠ عبّي الغرض",IF(AND(D379&lt;&gt;"",OR(ISNUMBER(SEARCH("صيانة",D379)),ISNUMBER(SEARCH("تعزيل",D379)),ISNUMBER(SEARCH("تنظيف",D379)),ISNUMBER(SEARCH("تصليح",D379)))),"⚠ الصيانة بلا ورشة",IF(H379="","⚠ ناقص",IF(D379&lt;&gt;"",IF(SUMIF($D$7:$D$806,D379,$H$7:$H$806)&gt;=20,"أصل","مصروف"),IFERROR(IF(VLOOKUP(I379,'القوائم'!$A$2:$D$14,4,0)="زكاة وصدقة","زكاة وصدقة",IF(AND(VLOOKUP(I379,'القوائم'!$A$2:$D$14,3,0)&lt;&gt;"",H379&gt;=20),"أصل","مصروف")),"مصروف"))))))</f>
        <v/>
      </c>
      <c r="K379" s="21" t="n"/>
      <c r="L379" s="22" t="n"/>
      <c r="N379">
        <f>IF(B379="","",MONTH(B379))</f>
        <v/>
      </c>
      <c r="O379">
        <f>IF(B379="","",YEAR(B379))</f>
        <v/>
      </c>
      <c r="P379">
        <f>IF(AND(D379&lt;&gt;"",COUNTIF(D$7:D379,D379)=1),MAX(P$6:P378)+1,"")</f>
        <v/>
      </c>
      <c r="Q379">
        <f>IF(E379="","",IF(I379="أجور عمال","أجرة","مادة"))</f>
        <v/>
      </c>
    </row>
    <row r="380">
      <c r="A380" s="12">
        <f>IF(E380="","",ROW()-6)</f>
        <v/>
      </c>
      <c r="B380" s="13" t="n"/>
      <c r="C380" s="12">
        <f>IF(B380="","",CHOOSE(WEEKDAY(B380,1),"الأحد","الاثنين","الثلاثاء","الأربعاء","الخميس","الجمعة","السبت"))</f>
        <v/>
      </c>
      <c r="D380" s="14" t="n"/>
      <c r="E380" s="15" t="n"/>
      <c r="F380" s="16" t="n"/>
      <c r="G380" s="17" t="n"/>
      <c r="H380" s="18">
        <f>IF(OR(F380="",G380=""),"",ROUND(F380*G380,2))</f>
        <v/>
      </c>
      <c r="I380" s="19">
        <f>IF(ISNUMBER(SEARCH("ستاند",D380)),"أثاث وستاندات","")</f>
        <v/>
      </c>
      <c r="J380" s="20">
        <f>IF(E380="","",IF(I380="","⚠ عبّي الغرض",IF(AND(D380&lt;&gt;"",OR(ISNUMBER(SEARCH("صيانة",D380)),ISNUMBER(SEARCH("تعزيل",D380)),ISNUMBER(SEARCH("تنظيف",D380)),ISNUMBER(SEARCH("تصليح",D380)))),"⚠ الصيانة بلا ورشة",IF(H380="","⚠ ناقص",IF(D380&lt;&gt;"",IF(SUMIF($D$7:$D$806,D380,$H$7:$H$806)&gt;=20,"أصل","مصروف"),IFERROR(IF(VLOOKUP(I380,'القوائم'!$A$2:$D$14,4,0)="زكاة وصدقة","زكاة وصدقة",IF(AND(VLOOKUP(I380,'القوائم'!$A$2:$D$14,3,0)&lt;&gt;"",H380&gt;=20),"أصل","مصروف")),"مصروف"))))))</f>
        <v/>
      </c>
      <c r="K380" s="21" t="n"/>
      <c r="L380" s="22" t="n"/>
      <c r="N380">
        <f>IF(B380="","",MONTH(B380))</f>
        <v/>
      </c>
      <c r="O380">
        <f>IF(B380="","",YEAR(B380))</f>
        <v/>
      </c>
      <c r="P380">
        <f>IF(AND(D380&lt;&gt;"",COUNTIF(D$7:D380,D380)=1),MAX(P$6:P379)+1,"")</f>
        <v/>
      </c>
      <c r="Q380">
        <f>IF(E380="","",IF(I380="أجور عمال","أجرة","مادة"))</f>
        <v/>
      </c>
    </row>
    <row r="381">
      <c r="A381" s="12">
        <f>IF(E381="","",ROW()-6)</f>
        <v/>
      </c>
      <c r="B381" s="13" t="n"/>
      <c r="C381" s="12">
        <f>IF(B381="","",CHOOSE(WEEKDAY(B381,1),"الأحد","الاثنين","الثلاثاء","الأربعاء","الخميس","الجمعة","السبت"))</f>
        <v/>
      </c>
      <c r="D381" s="14" t="n"/>
      <c r="E381" s="15" t="n"/>
      <c r="F381" s="16" t="n"/>
      <c r="G381" s="17" t="n"/>
      <c r="H381" s="18">
        <f>IF(OR(F381="",G381=""),"",ROUND(F381*G381,2))</f>
        <v/>
      </c>
      <c r="I381" s="19">
        <f>IF(ISNUMBER(SEARCH("ستاند",D381)),"أثاث وستاندات","")</f>
        <v/>
      </c>
      <c r="J381" s="20">
        <f>IF(E381="","",IF(I381="","⚠ عبّي الغرض",IF(AND(D381&lt;&gt;"",OR(ISNUMBER(SEARCH("صيانة",D381)),ISNUMBER(SEARCH("تعزيل",D381)),ISNUMBER(SEARCH("تنظيف",D381)),ISNUMBER(SEARCH("تصليح",D381)))),"⚠ الصيانة بلا ورشة",IF(H381="","⚠ ناقص",IF(D381&lt;&gt;"",IF(SUMIF($D$7:$D$806,D381,$H$7:$H$806)&gt;=20,"أصل","مصروف"),IFERROR(IF(VLOOKUP(I381,'القوائم'!$A$2:$D$14,4,0)="زكاة وصدقة","زكاة وصدقة",IF(AND(VLOOKUP(I381,'القوائم'!$A$2:$D$14,3,0)&lt;&gt;"",H381&gt;=20),"أصل","مصروف")),"مصروف"))))))</f>
        <v/>
      </c>
      <c r="K381" s="21" t="n"/>
      <c r="L381" s="22" t="n"/>
      <c r="N381">
        <f>IF(B381="","",MONTH(B381))</f>
        <v/>
      </c>
      <c r="O381">
        <f>IF(B381="","",YEAR(B381))</f>
        <v/>
      </c>
      <c r="P381">
        <f>IF(AND(D381&lt;&gt;"",COUNTIF(D$7:D381,D381)=1),MAX(P$6:P380)+1,"")</f>
        <v/>
      </c>
      <c r="Q381">
        <f>IF(E381="","",IF(I381="أجور عمال","أجرة","مادة"))</f>
        <v/>
      </c>
    </row>
    <row r="382">
      <c r="A382" s="12">
        <f>IF(E382="","",ROW()-6)</f>
        <v/>
      </c>
      <c r="B382" s="13" t="n"/>
      <c r="C382" s="12">
        <f>IF(B382="","",CHOOSE(WEEKDAY(B382,1),"الأحد","الاثنين","الثلاثاء","الأربعاء","الخميس","الجمعة","السبت"))</f>
        <v/>
      </c>
      <c r="D382" s="14" t="n"/>
      <c r="E382" s="15" t="n"/>
      <c r="F382" s="16" t="n"/>
      <c r="G382" s="17" t="n"/>
      <c r="H382" s="18">
        <f>IF(OR(F382="",G382=""),"",ROUND(F382*G382,2))</f>
        <v/>
      </c>
      <c r="I382" s="19">
        <f>IF(ISNUMBER(SEARCH("ستاند",D382)),"أثاث وستاندات","")</f>
        <v/>
      </c>
      <c r="J382" s="20">
        <f>IF(E382="","",IF(I382="","⚠ عبّي الغرض",IF(AND(D382&lt;&gt;"",OR(ISNUMBER(SEARCH("صيانة",D382)),ISNUMBER(SEARCH("تعزيل",D382)),ISNUMBER(SEARCH("تنظيف",D382)),ISNUMBER(SEARCH("تصليح",D382)))),"⚠ الصيانة بلا ورشة",IF(H382="","⚠ ناقص",IF(D382&lt;&gt;"",IF(SUMIF($D$7:$D$806,D382,$H$7:$H$806)&gt;=20,"أصل","مصروف"),IFERROR(IF(VLOOKUP(I382,'القوائم'!$A$2:$D$14,4,0)="زكاة وصدقة","زكاة وصدقة",IF(AND(VLOOKUP(I382,'القوائم'!$A$2:$D$14,3,0)&lt;&gt;"",H382&gt;=20),"أصل","مصروف")),"مصروف"))))))</f>
        <v/>
      </c>
      <c r="K382" s="21" t="n"/>
      <c r="L382" s="22" t="n"/>
      <c r="N382">
        <f>IF(B382="","",MONTH(B382))</f>
        <v/>
      </c>
      <c r="O382">
        <f>IF(B382="","",YEAR(B382))</f>
        <v/>
      </c>
      <c r="P382">
        <f>IF(AND(D382&lt;&gt;"",COUNTIF(D$7:D382,D382)=1),MAX(P$6:P381)+1,"")</f>
        <v/>
      </c>
      <c r="Q382">
        <f>IF(E382="","",IF(I382="أجور عمال","أجرة","مادة"))</f>
        <v/>
      </c>
    </row>
    <row r="383">
      <c r="A383" s="12">
        <f>IF(E383="","",ROW()-6)</f>
        <v/>
      </c>
      <c r="B383" s="13" t="n"/>
      <c r="C383" s="12">
        <f>IF(B383="","",CHOOSE(WEEKDAY(B383,1),"الأحد","الاثنين","الثلاثاء","الأربعاء","الخميس","الجمعة","السبت"))</f>
        <v/>
      </c>
      <c r="D383" s="14" t="n"/>
      <c r="E383" s="15" t="n"/>
      <c r="F383" s="16" t="n"/>
      <c r="G383" s="17" t="n"/>
      <c r="H383" s="18">
        <f>IF(OR(F383="",G383=""),"",ROUND(F383*G383,2))</f>
        <v/>
      </c>
      <c r="I383" s="19">
        <f>IF(ISNUMBER(SEARCH("ستاند",D383)),"أثاث وستاندات","")</f>
        <v/>
      </c>
      <c r="J383" s="20">
        <f>IF(E383="","",IF(I383="","⚠ عبّي الغرض",IF(AND(D383&lt;&gt;"",OR(ISNUMBER(SEARCH("صيانة",D383)),ISNUMBER(SEARCH("تعزيل",D383)),ISNUMBER(SEARCH("تنظيف",D383)),ISNUMBER(SEARCH("تصليح",D383)))),"⚠ الصيانة بلا ورشة",IF(H383="","⚠ ناقص",IF(D383&lt;&gt;"",IF(SUMIF($D$7:$D$806,D383,$H$7:$H$806)&gt;=20,"أصل","مصروف"),IFERROR(IF(VLOOKUP(I383,'القوائم'!$A$2:$D$14,4,0)="زكاة وصدقة","زكاة وصدقة",IF(AND(VLOOKUP(I383,'القوائم'!$A$2:$D$14,3,0)&lt;&gt;"",H383&gt;=20),"أصل","مصروف")),"مصروف"))))))</f>
        <v/>
      </c>
      <c r="K383" s="21" t="n"/>
      <c r="L383" s="22" t="n"/>
      <c r="N383">
        <f>IF(B383="","",MONTH(B383))</f>
        <v/>
      </c>
      <c r="O383">
        <f>IF(B383="","",YEAR(B383))</f>
        <v/>
      </c>
      <c r="P383">
        <f>IF(AND(D383&lt;&gt;"",COUNTIF(D$7:D383,D383)=1),MAX(P$6:P382)+1,"")</f>
        <v/>
      </c>
      <c r="Q383">
        <f>IF(E383="","",IF(I383="أجور عمال","أجرة","مادة"))</f>
        <v/>
      </c>
    </row>
    <row r="384">
      <c r="A384" s="12">
        <f>IF(E384="","",ROW()-6)</f>
        <v/>
      </c>
      <c r="B384" s="13" t="n"/>
      <c r="C384" s="12">
        <f>IF(B384="","",CHOOSE(WEEKDAY(B384,1),"الأحد","الاثنين","الثلاثاء","الأربعاء","الخميس","الجمعة","السبت"))</f>
        <v/>
      </c>
      <c r="D384" s="14" t="n"/>
      <c r="E384" s="15" t="n"/>
      <c r="F384" s="16" t="n"/>
      <c r="G384" s="17" t="n"/>
      <c r="H384" s="18">
        <f>IF(OR(F384="",G384=""),"",ROUND(F384*G384,2))</f>
        <v/>
      </c>
      <c r="I384" s="19">
        <f>IF(ISNUMBER(SEARCH("ستاند",D384)),"أثاث وستاندات","")</f>
        <v/>
      </c>
      <c r="J384" s="20">
        <f>IF(E384="","",IF(I384="","⚠ عبّي الغرض",IF(AND(D384&lt;&gt;"",OR(ISNUMBER(SEARCH("صيانة",D384)),ISNUMBER(SEARCH("تعزيل",D384)),ISNUMBER(SEARCH("تنظيف",D384)),ISNUMBER(SEARCH("تصليح",D384)))),"⚠ الصيانة بلا ورشة",IF(H384="","⚠ ناقص",IF(D384&lt;&gt;"",IF(SUMIF($D$7:$D$806,D384,$H$7:$H$806)&gt;=20,"أصل","مصروف"),IFERROR(IF(VLOOKUP(I384,'القوائم'!$A$2:$D$14,4,0)="زكاة وصدقة","زكاة وصدقة",IF(AND(VLOOKUP(I384,'القوائم'!$A$2:$D$14,3,0)&lt;&gt;"",H384&gt;=20),"أصل","مصروف")),"مصروف"))))))</f>
        <v/>
      </c>
      <c r="K384" s="21" t="n"/>
      <c r="L384" s="22" t="n"/>
      <c r="N384">
        <f>IF(B384="","",MONTH(B384))</f>
        <v/>
      </c>
      <c r="O384">
        <f>IF(B384="","",YEAR(B384))</f>
        <v/>
      </c>
      <c r="P384">
        <f>IF(AND(D384&lt;&gt;"",COUNTIF(D$7:D384,D384)=1),MAX(P$6:P383)+1,"")</f>
        <v/>
      </c>
      <c r="Q384">
        <f>IF(E384="","",IF(I384="أجور عمال","أجرة","مادة"))</f>
        <v/>
      </c>
    </row>
    <row r="385">
      <c r="A385" s="12">
        <f>IF(E385="","",ROW()-6)</f>
        <v/>
      </c>
      <c r="B385" s="13" t="n"/>
      <c r="C385" s="12">
        <f>IF(B385="","",CHOOSE(WEEKDAY(B385,1),"الأحد","الاثنين","الثلاثاء","الأربعاء","الخميس","الجمعة","السبت"))</f>
        <v/>
      </c>
      <c r="D385" s="14" t="n"/>
      <c r="E385" s="15" t="n"/>
      <c r="F385" s="16" t="n"/>
      <c r="G385" s="17" t="n"/>
      <c r="H385" s="18">
        <f>IF(OR(F385="",G385=""),"",ROUND(F385*G385,2))</f>
        <v/>
      </c>
      <c r="I385" s="19">
        <f>IF(ISNUMBER(SEARCH("ستاند",D385)),"أثاث وستاندات","")</f>
        <v/>
      </c>
      <c r="J385" s="20">
        <f>IF(E385="","",IF(I385="","⚠ عبّي الغرض",IF(AND(D385&lt;&gt;"",OR(ISNUMBER(SEARCH("صيانة",D385)),ISNUMBER(SEARCH("تعزيل",D385)),ISNUMBER(SEARCH("تنظيف",D385)),ISNUMBER(SEARCH("تصليح",D385)))),"⚠ الصيانة بلا ورشة",IF(H385="","⚠ ناقص",IF(D385&lt;&gt;"",IF(SUMIF($D$7:$D$806,D385,$H$7:$H$806)&gt;=20,"أصل","مصروف"),IFERROR(IF(VLOOKUP(I385,'القوائم'!$A$2:$D$14,4,0)="زكاة وصدقة","زكاة وصدقة",IF(AND(VLOOKUP(I385,'القوائم'!$A$2:$D$14,3,0)&lt;&gt;"",H385&gt;=20),"أصل","مصروف")),"مصروف"))))))</f>
        <v/>
      </c>
      <c r="K385" s="21" t="n"/>
      <c r="L385" s="22" t="n"/>
      <c r="N385">
        <f>IF(B385="","",MONTH(B385))</f>
        <v/>
      </c>
      <c r="O385">
        <f>IF(B385="","",YEAR(B385))</f>
        <v/>
      </c>
      <c r="P385">
        <f>IF(AND(D385&lt;&gt;"",COUNTIF(D$7:D385,D385)=1),MAX(P$6:P384)+1,"")</f>
        <v/>
      </c>
      <c r="Q385">
        <f>IF(E385="","",IF(I385="أجور عمال","أجرة","مادة"))</f>
        <v/>
      </c>
    </row>
    <row r="386">
      <c r="A386" s="12">
        <f>IF(E386="","",ROW()-6)</f>
        <v/>
      </c>
      <c r="B386" s="13" t="n"/>
      <c r="C386" s="12">
        <f>IF(B386="","",CHOOSE(WEEKDAY(B386,1),"الأحد","الاثنين","الثلاثاء","الأربعاء","الخميس","الجمعة","السبت"))</f>
        <v/>
      </c>
      <c r="D386" s="14" t="n"/>
      <c r="E386" s="15" t="n"/>
      <c r="F386" s="16" t="n"/>
      <c r="G386" s="17" t="n"/>
      <c r="H386" s="18">
        <f>IF(OR(F386="",G386=""),"",ROUND(F386*G386,2))</f>
        <v/>
      </c>
      <c r="I386" s="19">
        <f>IF(ISNUMBER(SEARCH("ستاند",D386)),"أثاث وستاندات","")</f>
        <v/>
      </c>
      <c r="J386" s="20">
        <f>IF(E386="","",IF(I386="","⚠ عبّي الغرض",IF(AND(D386&lt;&gt;"",OR(ISNUMBER(SEARCH("صيانة",D386)),ISNUMBER(SEARCH("تعزيل",D386)),ISNUMBER(SEARCH("تنظيف",D386)),ISNUMBER(SEARCH("تصليح",D386)))),"⚠ الصيانة بلا ورشة",IF(H386="","⚠ ناقص",IF(D386&lt;&gt;"",IF(SUMIF($D$7:$D$806,D386,$H$7:$H$806)&gt;=20,"أصل","مصروف"),IFERROR(IF(VLOOKUP(I386,'القوائم'!$A$2:$D$14,4,0)="زكاة وصدقة","زكاة وصدقة",IF(AND(VLOOKUP(I386,'القوائم'!$A$2:$D$14,3,0)&lt;&gt;"",H386&gt;=20),"أصل","مصروف")),"مصروف"))))))</f>
        <v/>
      </c>
      <c r="K386" s="21" t="n"/>
      <c r="L386" s="22" t="n"/>
      <c r="N386">
        <f>IF(B386="","",MONTH(B386))</f>
        <v/>
      </c>
      <c r="O386">
        <f>IF(B386="","",YEAR(B386))</f>
        <v/>
      </c>
      <c r="P386">
        <f>IF(AND(D386&lt;&gt;"",COUNTIF(D$7:D386,D386)=1),MAX(P$6:P385)+1,"")</f>
        <v/>
      </c>
      <c r="Q386">
        <f>IF(E386="","",IF(I386="أجور عمال","أجرة","مادة"))</f>
        <v/>
      </c>
    </row>
    <row r="387">
      <c r="A387" s="12">
        <f>IF(E387="","",ROW()-6)</f>
        <v/>
      </c>
      <c r="B387" s="13" t="n"/>
      <c r="C387" s="12">
        <f>IF(B387="","",CHOOSE(WEEKDAY(B387,1),"الأحد","الاثنين","الثلاثاء","الأربعاء","الخميس","الجمعة","السبت"))</f>
        <v/>
      </c>
      <c r="D387" s="14" t="n"/>
      <c r="E387" s="15" t="n"/>
      <c r="F387" s="16" t="n"/>
      <c r="G387" s="17" t="n"/>
      <c r="H387" s="18">
        <f>IF(OR(F387="",G387=""),"",ROUND(F387*G387,2))</f>
        <v/>
      </c>
      <c r="I387" s="19">
        <f>IF(ISNUMBER(SEARCH("ستاند",D387)),"أثاث وستاندات","")</f>
        <v/>
      </c>
      <c r="J387" s="20">
        <f>IF(E387="","",IF(I387="","⚠ عبّي الغرض",IF(AND(D387&lt;&gt;"",OR(ISNUMBER(SEARCH("صيانة",D387)),ISNUMBER(SEARCH("تعزيل",D387)),ISNUMBER(SEARCH("تنظيف",D387)),ISNUMBER(SEARCH("تصليح",D387)))),"⚠ الصيانة بلا ورشة",IF(H387="","⚠ ناقص",IF(D387&lt;&gt;"",IF(SUMIF($D$7:$D$806,D387,$H$7:$H$806)&gt;=20,"أصل","مصروف"),IFERROR(IF(VLOOKUP(I387,'القوائم'!$A$2:$D$14,4,0)="زكاة وصدقة","زكاة وصدقة",IF(AND(VLOOKUP(I387,'القوائم'!$A$2:$D$14,3,0)&lt;&gt;"",H387&gt;=20),"أصل","مصروف")),"مصروف"))))))</f>
        <v/>
      </c>
      <c r="K387" s="21" t="n"/>
      <c r="L387" s="22" t="n"/>
      <c r="N387">
        <f>IF(B387="","",MONTH(B387))</f>
        <v/>
      </c>
      <c r="O387">
        <f>IF(B387="","",YEAR(B387))</f>
        <v/>
      </c>
      <c r="P387">
        <f>IF(AND(D387&lt;&gt;"",COUNTIF(D$7:D387,D387)=1),MAX(P$6:P386)+1,"")</f>
        <v/>
      </c>
      <c r="Q387">
        <f>IF(E387="","",IF(I387="أجور عمال","أجرة","مادة"))</f>
        <v/>
      </c>
    </row>
    <row r="388">
      <c r="A388" s="12">
        <f>IF(E388="","",ROW()-6)</f>
        <v/>
      </c>
      <c r="B388" s="13" t="n"/>
      <c r="C388" s="12">
        <f>IF(B388="","",CHOOSE(WEEKDAY(B388,1),"الأحد","الاثنين","الثلاثاء","الأربعاء","الخميس","الجمعة","السبت"))</f>
        <v/>
      </c>
      <c r="D388" s="14" t="n"/>
      <c r="E388" s="15" t="n"/>
      <c r="F388" s="16" t="n"/>
      <c r="G388" s="17" t="n"/>
      <c r="H388" s="18">
        <f>IF(OR(F388="",G388=""),"",ROUND(F388*G388,2))</f>
        <v/>
      </c>
      <c r="I388" s="19">
        <f>IF(ISNUMBER(SEARCH("ستاند",D388)),"أثاث وستاندات","")</f>
        <v/>
      </c>
      <c r="J388" s="20">
        <f>IF(E388="","",IF(I388="","⚠ عبّي الغرض",IF(AND(D388&lt;&gt;"",OR(ISNUMBER(SEARCH("صيانة",D388)),ISNUMBER(SEARCH("تعزيل",D388)),ISNUMBER(SEARCH("تنظيف",D388)),ISNUMBER(SEARCH("تصليح",D388)))),"⚠ الصيانة بلا ورشة",IF(H388="","⚠ ناقص",IF(D388&lt;&gt;"",IF(SUMIF($D$7:$D$806,D388,$H$7:$H$806)&gt;=20,"أصل","مصروف"),IFERROR(IF(VLOOKUP(I388,'القوائم'!$A$2:$D$14,4,0)="زكاة وصدقة","زكاة وصدقة",IF(AND(VLOOKUP(I388,'القوائم'!$A$2:$D$14,3,0)&lt;&gt;"",H388&gt;=20),"أصل","مصروف")),"مصروف"))))))</f>
        <v/>
      </c>
      <c r="K388" s="21" t="n"/>
      <c r="L388" s="22" t="n"/>
      <c r="N388">
        <f>IF(B388="","",MONTH(B388))</f>
        <v/>
      </c>
      <c r="O388">
        <f>IF(B388="","",YEAR(B388))</f>
        <v/>
      </c>
      <c r="P388">
        <f>IF(AND(D388&lt;&gt;"",COUNTIF(D$7:D388,D388)=1),MAX(P$6:P387)+1,"")</f>
        <v/>
      </c>
      <c r="Q388">
        <f>IF(E388="","",IF(I388="أجور عمال","أجرة","مادة"))</f>
        <v/>
      </c>
    </row>
    <row r="389">
      <c r="A389" s="12">
        <f>IF(E389="","",ROW()-6)</f>
        <v/>
      </c>
      <c r="B389" s="13" t="n"/>
      <c r="C389" s="12">
        <f>IF(B389="","",CHOOSE(WEEKDAY(B389,1),"الأحد","الاثنين","الثلاثاء","الأربعاء","الخميس","الجمعة","السبت"))</f>
        <v/>
      </c>
      <c r="D389" s="14" t="n"/>
      <c r="E389" s="15" t="n"/>
      <c r="F389" s="16" t="n"/>
      <c r="G389" s="17" t="n"/>
      <c r="H389" s="18">
        <f>IF(OR(F389="",G389=""),"",ROUND(F389*G389,2))</f>
        <v/>
      </c>
      <c r="I389" s="19">
        <f>IF(ISNUMBER(SEARCH("ستاند",D389)),"أثاث وستاندات","")</f>
        <v/>
      </c>
      <c r="J389" s="20">
        <f>IF(E389="","",IF(I389="","⚠ عبّي الغرض",IF(AND(D389&lt;&gt;"",OR(ISNUMBER(SEARCH("صيانة",D389)),ISNUMBER(SEARCH("تعزيل",D389)),ISNUMBER(SEARCH("تنظيف",D389)),ISNUMBER(SEARCH("تصليح",D389)))),"⚠ الصيانة بلا ورشة",IF(H389="","⚠ ناقص",IF(D389&lt;&gt;"",IF(SUMIF($D$7:$D$806,D389,$H$7:$H$806)&gt;=20,"أصل","مصروف"),IFERROR(IF(VLOOKUP(I389,'القوائم'!$A$2:$D$14,4,0)="زكاة وصدقة","زكاة وصدقة",IF(AND(VLOOKUP(I389,'القوائم'!$A$2:$D$14,3,0)&lt;&gt;"",H389&gt;=20),"أصل","مصروف")),"مصروف"))))))</f>
        <v/>
      </c>
      <c r="K389" s="21" t="n"/>
      <c r="L389" s="22" t="n"/>
      <c r="N389">
        <f>IF(B389="","",MONTH(B389))</f>
        <v/>
      </c>
      <c r="O389">
        <f>IF(B389="","",YEAR(B389))</f>
        <v/>
      </c>
      <c r="P389">
        <f>IF(AND(D389&lt;&gt;"",COUNTIF(D$7:D389,D389)=1),MAX(P$6:P388)+1,"")</f>
        <v/>
      </c>
      <c r="Q389">
        <f>IF(E389="","",IF(I389="أجور عمال","أجرة","مادة"))</f>
        <v/>
      </c>
    </row>
    <row r="390">
      <c r="A390" s="12">
        <f>IF(E390="","",ROW()-6)</f>
        <v/>
      </c>
      <c r="B390" s="13" t="n"/>
      <c r="C390" s="12">
        <f>IF(B390="","",CHOOSE(WEEKDAY(B390,1),"الأحد","الاثنين","الثلاثاء","الأربعاء","الخميس","الجمعة","السبت"))</f>
        <v/>
      </c>
      <c r="D390" s="14" t="n"/>
      <c r="E390" s="15" t="n"/>
      <c r="F390" s="16" t="n"/>
      <c r="G390" s="17" t="n"/>
      <c r="H390" s="18">
        <f>IF(OR(F390="",G390=""),"",ROUND(F390*G390,2))</f>
        <v/>
      </c>
      <c r="I390" s="19">
        <f>IF(ISNUMBER(SEARCH("ستاند",D390)),"أثاث وستاندات","")</f>
        <v/>
      </c>
      <c r="J390" s="20">
        <f>IF(E390="","",IF(I390="","⚠ عبّي الغرض",IF(AND(D390&lt;&gt;"",OR(ISNUMBER(SEARCH("صيانة",D390)),ISNUMBER(SEARCH("تعزيل",D390)),ISNUMBER(SEARCH("تنظيف",D390)),ISNUMBER(SEARCH("تصليح",D390)))),"⚠ الصيانة بلا ورشة",IF(H390="","⚠ ناقص",IF(D390&lt;&gt;"",IF(SUMIF($D$7:$D$806,D390,$H$7:$H$806)&gt;=20,"أصل","مصروف"),IFERROR(IF(VLOOKUP(I390,'القوائم'!$A$2:$D$14,4,0)="زكاة وصدقة","زكاة وصدقة",IF(AND(VLOOKUP(I390,'القوائم'!$A$2:$D$14,3,0)&lt;&gt;"",H390&gt;=20),"أصل","مصروف")),"مصروف"))))))</f>
        <v/>
      </c>
      <c r="K390" s="21" t="n"/>
      <c r="L390" s="22" t="n"/>
      <c r="N390">
        <f>IF(B390="","",MONTH(B390))</f>
        <v/>
      </c>
      <c r="O390">
        <f>IF(B390="","",YEAR(B390))</f>
        <v/>
      </c>
      <c r="P390">
        <f>IF(AND(D390&lt;&gt;"",COUNTIF(D$7:D390,D390)=1),MAX(P$6:P389)+1,"")</f>
        <v/>
      </c>
      <c r="Q390">
        <f>IF(E390="","",IF(I390="أجور عمال","أجرة","مادة"))</f>
        <v/>
      </c>
    </row>
    <row r="391">
      <c r="A391" s="12">
        <f>IF(E391="","",ROW()-6)</f>
        <v/>
      </c>
      <c r="B391" s="13" t="n"/>
      <c r="C391" s="12">
        <f>IF(B391="","",CHOOSE(WEEKDAY(B391,1),"الأحد","الاثنين","الثلاثاء","الأربعاء","الخميس","الجمعة","السبت"))</f>
        <v/>
      </c>
      <c r="D391" s="14" t="n"/>
      <c r="E391" s="15" t="n"/>
      <c r="F391" s="16" t="n"/>
      <c r="G391" s="17" t="n"/>
      <c r="H391" s="18">
        <f>IF(OR(F391="",G391=""),"",ROUND(F391*G391,2))</f>
        <v/>
      </c>
      <c r="I391" s="19">
        <f>IF(ISNUMBER(SEARCH("ستاند",D391)),"أثاث وستاندات","")</f>
        <v/>
      </c>
      <c r="J391" s="20">
        <f>IF(E391="","",IF(I391="","⚠ عبّي الغرض",IF(AND(D391&lt;&gt;"",OR(ISNUMBER(SEARCH("صيانة",D391)),ISNUMBER(SEARCH("تعزيل",D391)),ISNUMBER(SEARCH("تنظيف",D391)),ISNUMBER(SEARCH("تصليح",D391)))),"⚠ الصيانة بلا ورشة",IF(H391="","⚠ ناقص",IF(D391&lt;&gt;"",IF(SUMIF($D$7:$D$806,D391,$H$7:$H$806)&gt;=20,"أصل","مصروف"),IFERROR(IF(VLOOKUP(I391,'القوائم'!$A$2:$D$14,4,0)="زكاة وصدقة","زكاة وصدقة",IF(AND(VLOOKUP(I391,'القوائم'!$A$2:$D$14,3,0)&lt;&gt;"",H391&gt;=20),"أصل","مصروف")),"مصروف"))))))</f>
        <v/>
      </c>
      <c r="K391" s="21" t="n"/>
      <c r="L391" s="22" t="n"/>
      <c r="N391">
        <f>IF(B391="","",MONTH(B391))</f>
        <v/>
      </c>
      <c r="O391">
        <f>IF(B391="","",YEAR(B391))</f>
        <v/>
      </c>
      <c r="P391">
        <f>IF(AND(D391&lt;&gt;"",COUNTIF(D$7:D391,D391)=1),MAX(P$6:P390)+1,"")</f>
        <v/>
      </c>
      <c r="Q391">
        <f>IF(E391="","",IF(I391="أجور عمال","أجرة","مادة"))</f>
        <v/>
      </c>
    </row>
    <row r="392">
      <c r="A392" s="12">
        <f>IF(E392="","",ROW()-6)</f>
        <v/>
      </c>
      <c r="B392" s="13" t="n"/>
      <c r="C392" s="12">
        <f>IF(B392="","",CHOOSE(WEEKDAY(B392,1),"الأحد","الاثنين","الثلاثاء","الأربعاء","الخميس","الجمعة","السبت"))</f>
        <v/>
      </c>
      <c r="D392" s="14" t="n"/>
      <c r="E392" s="15" t="n"/>
      <c r="F392" s="16" t="n"/>
      <c r="G392" s="17" t="n"/>
      <c r="H392" s="18">
        <f>IF(OR(F392="",G392=""),"",ROUND(F392*G392,2))</f>
        <v/>
      </c>
      <c r="I392" s="19">
        <f>IF(ISNUMBER(SEARCH("ستاند",D392)),"أثاث وستاندات","")</f>
        <v/>
      </c>
      <c r="J392" s="20">
        <f>IF(E392="","",IF(I392="","⚠ عبّي الغرض",IF(AND(D392&lt;&gt;"",OR(ISNUMBER(SEARCH("صيانة",D392)),ISNUMBER(SEARCH("تعزيل",D392)),ISNUMBER(SEARCH("تنظيف",D392)),ISNUMBER(SEARCH("تصليح",D392)))),"⚠ الصيانة بلا ورشة",IF(H392="","⚠ ناقص",IF(D392&lt;&gt;"",IF(SUMIF($D$7:$D$806,D392,$H$7:$H$806)&gt;=20,"أصل","مصروف"),IFERROR(IF(VLOOKUP(I392,'القوائم'!$A$2:$D$14,4,0)="زكاة وصدقة","زكاة وصدقة",IF(AND(VLOOKUP(I392,'القوائم'!$A$2:$D$14,3,0)&lt;&gt;"",H392&gt;=20),"أصل","مصروف")),"مصروف"))))))</f>
        <v/>
      </c>
      <c r="K392" s="21" t="n"/>
      <c r="L392" s="22" t="n"/>
      <c r="N392">
        <f>IF(B392="","",MONTH(B392))</f>
        <v/>
      </c>
      <c r="O392">
        <f>IF(B392="","",YEAR(B392))</f>
        <v/>
      </c>
      <c r="P392">
        <f>IF(AND(D392&lt;&gt;"",COUNTIF(D$7:D392,D392)=1),MAX(P$6:P391)+1,"")</f>
        <v/>
      </c>
      <c r="Q392">
        <f>IF(E392="","",IF(I392="أجور عمال","أجرة","مادة"))</f>
        <v/>
      </c>
    </row>
    <row r="393">
      <c r="A393" s="12">
        <f>IF(E393="","",ROW()-6)</f>
        <v/>
      </c>
      <c r="B393" s="13" t="n"/>
      <c r="C393" s="12">
        <f>IF(B393="","",CHOOSE(WEEKDAY(B393,1),"الأحد","الاثنين","الثلاثاء","الأربعاء","الخميس","الجمعة","السبت"))</f>
        <v/>
      </c>
      <c r="D393" s="14" t="n"/>
      <c r="E393" s="15" t="n"/>
      <c r="F393" s="16" t="n"/>
      <c r="G393" s="17" t="n"/>
      <c r="H393" s="18">
        <f>IF(OR(F393="",G393=""),"",ROUND(F393*G393,2))</f>
        <v/>
      </c>
      <c r="I393" s="19">
        <f>IF(ISNUMBER(SEARCH("ستاند",D393)),"أثاث وستاندات","")</f>
        <v/>
      </c>
      <c r="J393" s="20">
        <f>IF(E393="","",IF(I393="","⚠ عبّي الغرض",IF(AND(D393&lt;&gt;"",OR(ISNUMBER(SEARCH("صيانة",D393)),ISNUMBER(SEARCH("تعزيل",D393)),ISNUMBER(SEARCH("تنظيف",D393)),ISNUMBER(SEARCH("تصليح",D393)))),"⚠ الصيانة بلا ورشة",IF(H393="","⚠ ناقص",IF(D393&lt;&gt;"",IF(SUMIF($D$7:$D$806,D393,$H$7:$H$806)&gt;=20,"أصل","مصروف"),IFERROR(IF(VLOOKUP(I393,'القوائم'!$A$2:$D$14,4,0)="زكاة وصدقة","زكاة وصدقة",IF(AND(VLOOKUP(I393,'القوائم'!$A$2:$D$14,3,0)&lt;&gt;"",H393&gt;=20),"أصل","مصروف")),"مصروف"))))))</f>
        <v/>
      </c>
      <c r="K393" s="21" t="n"/>
      <c r="L393" s="22" t="n"/>
      <c r="N393">
        <f>IF(B393="","",MONTH(B393))</f>
        <v/>
      </c>
      <c r="O393">
        <f>IF(B393="","",YEAR(B393))</f>
        <v/>
      </c>
      <c r="P393">
        <f>IF(AND(D393&lt;&gt;"",COUNTIF(D$7:D393,D393)=1),MAX(P$6:P392)+1,"")</f>
        <v/>
      </c>
      <c r="Q393">
        <f>IF(E393="","",IF(I393="أجور عمال","أجرة","مادة"))</f>
        <v/>
      </c>
    </row>
    <row r="394">
      <c r="A394" s="12">
        <f>IF(E394="","",ROW()-6)</f>
        <v/>
      </c>
      <c r="B394" s="13" t="n"/>
      <c r="C394" s="12">
        <f>IF(B394="","",CHOOSE(WEEKDAY(B394,1),"الأحد","الاثنين","الثلاثاء","الأربعاء","الخميس","الجمعة","السبت"))</f>
        <v/>
      </c>
      <c r="D394" s="14" t="n"/>
      <c r="E394" s="15" t="n"/>
      <c r="F394" s="16" t="n"/>
      <c r="G394" s="17" t="n"/>
      <c r="H394" s="18">
        <f>IF(OR(F394="",G394=""),"",ROUND(F394*G394,2))</f>
        <v/>
      </c>
      <c r="I394" s="19">
        <f>IF(ISNUMBER(SEARCH("ستاند",D394)),"أثاث وستاندات","")</f>
        <v/>
      </c>
      <c r="J394" s="20">
        <f>IF(E394="","",IF(I394="","⚠ عبّي الغرض",IF(AND(D394&lt;&gt;"",OR(ISNUMBER(SEARCH("صيانة",D394)),ISNUMBER(SEARCH("تعزيل",D394)),ISNUMBER(SEARCH("تنظيف",D394)),ISNUMBER(SEARCH("تصليح",D394)))),"⚠ الصيانة بلا ورشة",IF(H394="","⚠ ناقص",IF(D394&lt;&gt;"",IF(SUMIF($D$7:$D$806,D394,$H$7:$H$806)&gt;=20,"أصل","مصروف"),IFERROR(IF(VLOOKUP(I394,'القوائم'!$A$2:$D$14,4,0)="زكاة وصدقة","زكاة وصدقة",IF(AND(VLOOKUP(I394,'القوائم'!$A$2:$D$14,3,0)&lt;&gt;"",H394&gt;=20),"أصل","مصروف")),"مصروف"))))))</f>
        <v/>
      </c>
      <c r="K394" s="21" t="n"/>
      <c r="L394" s="22" t="n"/>
      <c r="N394">
        <f>IF(B394="","",MONTH(B394))</f>
        <v/>
      </c>
      <c r="O394">
        <f>IF(B394="","",YEAR(B394))</f>
        <v/>
      </c>
      <c r="P394">
        <f>IF(AND(D394&lt;&gt;"",COUNTIF(D$7:D394,D394)=1),MAX(P$6:P393)+1,"")</f>
        <v/>
      </c>
      <c r="Q394">
        <f>IF(E394="","",IF(I394="أجور عمال","أجرة","مادة"))</f>
        <v/>
      </c>
    </row>
    <row r="395">
      <c r="A395" s="12">
        <f>IF(E395="","",ROW()-6)</f>
        <v/>
      </c>
      <c r="B395" s="13" t="n"/>
      <c r="C395" s="12">
        <f>IF(B395="","",CHOOSE(WEEKDAY(B395,1),"الأحد","الاثنين","الثلاثاء","الأربعاء","الخميس","الجمعة","السبت"))</f>
        <v/>
      </c>
      <c r="D395" s="14" t="n"/>
      <c r="E395" s="15" t="n"/>
      <c r="F395" s="16" t="n"/>
      <c r="G395" s="17" t="n"/>
      <c r="H395" s="18">
        <f>IF(OR(F395="",G395=""),"",ROUND(F395*G395,2))</f>
        <v/>
      </c>
      <c r="I395" s="19">
        <f>IF(ISNUMBER(SEARCH("ستاند",D395)),"أثاث وستاندات","")</f>
        <v/>
      </c>
      <c r="J395" s="20">
        <f>IF(E395="","",IF(I395="","⚠ عبّي الغرض",IF(AND(D395&lt;&gt;"",OR(ISNUMBER(SEARCH("صيانة",D395)),ISNUMBER(SEARCH("تعزيل",D395)),ISNUMBER(SEARCH("تنظيف",D395)),ISNUMBER(SEARCH("تصليح",D395)))),"⚠ الصيانة بلا ورشة",IF(H395="","⚠ ناقص",IF(D395&lt;&gt;"",IF(SUMIF($D$7:$D$806,D395,$H$7:$H$806)&gt;=20,"أصل","مصروف"),IFERROR(IF(VLOOKUP(I395,'القوائم'!$A$2:$D$14,4,0)="زكاة وصدقة","زكاة وصدقة",IF(AND(VLOOKUP(I395,'القوائم'!$A$2:$D$14,3,0)&lt;&gt;"",H395&gt;=20),"أصل","مصروف")),"مصروف"))))))</f>
        <v/>
      </c>
      <c r="K395" s="21" t="n"/>
      <c r="L395" s="22" t="n"/>
      <c r="N395">
        <f>IF(B395="","",MONTH(B395))</f>
        <v/>
      </c>
      <c r="O395">
        <f>IF(B395="","",YEAR(B395))</f>
        <v/>
      </c>
      <c r="P395">
        <f>IF(AND(D395&lt;&gt;"",COUNTIF(D$7:D395,D395)=1),MAX(P$6:P394)+1,"")</f>
        <v/>
      </c>
      <c r="Q395">
        <f>IF(E395="","",IF(I395="أجور عمال","أجرة","مادة"))</f>
        <v/>
      </c>
    </row>
    <row r="396">
      <c r="A396" s="12">
        <f>IF(E396="","",ROW()-6)</f>
        <v/>
      </c>
      <c r="B396" s="13" t="n"/>
      <c r="C396" s="12">
        <f>IF(B396="","",CHOOSE(WEEKDAY(B396,1),"الأحد","الاثنين","الثلاثاء","الأربعاء","الخميس","الجمعة","السبت"))</f>
        <v/>
      </c>
      <c r="D396" s="14" t="n"/>
      <c r="E396" s="15" t="n"/>
      <c r="F396" s="16" t="n"/>
      <c r="G396" s="17" t="n"/>
      <c r="H396" s="18">
        <f>IF(OR(F396="",G396=""),"",ROUND(F396*G396,2))</f>
        <v/>
      </c>
      <c r="I396" s="19">
        <f>IF(ISNUMBER(SEARCH("ستاند",D396)),"أثاث وستاندات","")</f>
        <v/>
      </c>
      <c r="J396" s="20">
        <f>IF(E396="","",IF(I396="","⚠ عبّي الغرض",IF(AND(D396&lt;&gt;"",OR(ISNUMBER(SEARCH("صيانة",D396)),ISNUMBER(SEARCH("تعزيل",D396)),ISNUMBER(SEARCH("تنظيف",D396)),ISNUMBER(SEARCH("تصليح",D396)))),"⚠ الصيانة بلا ورشة",IF(H396="","⚠ ناقص",IF(D396&lt;&gt;"",IF(SUMIF($D$7:$D$806,D396,$H$7:$H$806)&gt;=20,"أصل","مصروف"),IFERROR(IF(VLOOKUP(I396,'القوائم'!$A$2:$D$14,4,0)="زكاة وصدقة","زكاة وصدقة",IF(AND(VLOOKUP(I396,'القوائم'!$A$2:$D$14,3,0)&lt;&gt;"",H396&gt;=20),"أصل","مصروف")),"مصروف"))))))</f>
        <v/>
      </c>
      <c r="K396" s="21" t="n"/>
      <c r="L396" s="22" t="n"/>
      <c r="N396">
        <f>IF(B396="","",MONTH(B396))</f>
        <v/>
      </c>
      <c r="O396">
        <f>IF(B396="","",YEAR(B396))</f>
        <v/>
      </c>
      <c r="P396">
        <f>IF(AND(D396&lt;&gt;"",COUNTIF(D$7:D396,D396)=1),MAX(P$6:P395)+1,"")</f>
        <v/>
      </c>
      <c r="Q396">
        <f>IF(E396="","",IF(I396="أجور عمال","أجرة","مادة"))</f>
        <v/>
      </c>
    </row>
    <row r="397">
      <c r="A397" s="12">
        <f>IF(E397="","",ROW()-6)</f>
        <v/>
      </c>
      <c r="B397" s="13" t="n"/>
      <c r="C397" s="12">
        <f>IF(B397="","",CHOOSE(WEEKDAY(B397,1),"الأحد","الاثنين","الثلاثاء","الأربعاء","الخميس","الجمعة","السبت"))</f>
        <v/>
      </c>
      <c r="D397" s="14" t="n"/>
      <c r="E397" s="15" t="n"/>
      <c r="F397" s="16" t="n"/>
      <c r="G397" s="17" t="n"/>
      <c r="H397" s="18">
        <f>IF(OR(F397="",G397=""),"",ROUND(F397*G397,2))</f>
        <v/>
      </c>
      <c r="I397" s="19">
        <f>IF(ISNUMBER(SEARCH("ستاند",D397)),"أثاث وستاندات","")</f>
        <v/>
      </c>
      <c r="J397" s="20">
        <f>IF(E397="","",IF(I397="","⚠ عبّي الغرض",IF(AND(D397&lt;&gt;"",OR(ISNUMBER(SEARCH("صيانة",D397)),ISNUMBER(SEARCH("تعزيل",D397)),ISNUMBER(SEARCH("تنظيف",D397)),ISNUMBER(SEARCH("تصليح",D397)))),"⚠ الصيانة بلا ورشة",IF(H397="","⚠ ناقص",IF(D397&lt;&gt;"",IF(SUMIF($D$7:$D$806,D397,$H$7:$H$806)&gt;=20,"أصل","مصروف"),IFERROR(IF(VLOOKUP(I397,'القوائم'!$A$2:$D$14,4,0)="زكاة وصدقة","زكاة وصدقة",IF(AND(VLOOKUP(I397,'القوائم'!$A$2:$D$14,3,0)&lt;&gt;"",H397&gt;=20),"أصل","مصروف")),"مصروف"))))))</f>
        <v/>
      </c>
      <c r="K397" s="21" t="n"/>
      <c r="L397" s="22" t="n"/>
      <c r="N397">
        <f>IF(B397="","",MONTH(B397))</f>
        <v/>
      </c>
      <c r="O397">
        <f>IF(B397="","",YEAR(B397))</f>
        <v/>
      </c>
      <c r="P397">
        <f>IF(AND(D397&lt;&gt;"",COUNTIF(D$7:D397,D397)=1),MAX(P$6:P396)+1,"")</f>
        <v/>
      </c>
      <c r="Q397">
        <f>IF(E397="","",IF(I397="أجور عمال","أجرة","مادة"))</f>
        <v/>
      </c>
    </row>
    <row r="398">
      <c r="A398" s="12">
        <f>IF(E398="","",ROW()-6)</f>
        <v/>
      </c>
      <c r="B398" s="13" t="n"/>
      <c r="C398" s="12">
        <f>IF(B398="","",CHOOSE(WEEKDAY(B398,1),"الأحد","الاثنين","الثلاثاء","الأربعاء","الخميس","الجمعة","السبت"))</f>
        <v/>
      </c>
      <c r="D398" s="14" t="n"/>
      <c r="E398" s="15" t="n"/>
      <c r="F398" s="16" t="n"/>
      <c r="G398" s="17" t="n"/>
      <c r="H398" s="18">
        <f>IF(OR(F398="",G398=""),"",ROUND(F398*G398,2))</f>
        <v/>
      </c>
      <c r="I398" s="19">
        <f>IF(ISNUMBER(SEARCH("ستاند",D398)),"أثاث وستاندات","")</f>
        <v/>
      </c>
      <c r="J398" s="20">
        <f>IF(E398="","",IF(I398="","⚠ عبّي الغرض",IF(AND(D398&lt;&gt;"",OR(ISNUMBER(SEARCH("صيانة",D398)),ISNUMBER(SEARCH("تعزيل",D398)),ISNUMBER(SEARCH("تنظيف",D398)),ISNUMBER(SEARCH("تصليح",D398)))),"⚠ الصيانة بلا ورشة",IF(H398="","⚠ ناقص",IF(D398&lt;&gt;"",IF(SUMIF($D$7:$D$806,D398,$H$7:$H$806)&gt;=20,"أصل","مصروف"),IFERROR(IF(VLOOKUP(I398,'القوائم'!$A$2:$D$14,4,0)="زكاة وصدقة","زكاة وصدقة",IF(AND(VLOOKUP(I398,'القوائم'!$A$2:$D$14,3,0)&lt;&gt;"",H398&gt;=20),"أصل","مصروف")),"مصروف"))))))</f>
        <v/>
      </c>
      <c r="K398" s="21" t="n"/>
      <c r="L398" s="22" t="n"/>
      <c r="N398">
        <f>IF(B398="","",MONTH(B398))</f>
        <v/>
      </c>
      <c r="O398">
        <f>IF(B398="","",YEAR(B398))</f>
        <v/>
      </c>
      <c r="P398">
        <f>IF(AND(D398&lt;&gt;"",COUNTIF(D$7:D398,D398)=1),MAX(P$6:P397)+1,"")</f>
        <v/>
      </c>
      <c r="Q398">
        <f>IF(E398="","",IF(I398="أجور عمال","أجرة","مادة"))</f>
        <v/>
      </c>
    </row>
    <row r="399">
      <c r="A399" s="12">
        <f>IF(E399="","",ROW()-6)</f>
        <v/>
      </c>
      <c r="B399" s="13" t="n"/>
      <c r="C399" s="12">
        <f>IF(B399="","",CHOOSE(WEEKDAY(B399,1),"الأحد","الاثنين","الثلاثاء","الأربعاء","الخميس","الجمعة","السبت"))</f>
        <v/>
      </c>
      <c r="D399" s="14" t="n"/>
      <c r="E399" s="15" t="n"/>
      <c r="F399" s="16" t="n"/>
      <c r="G399" s="17" t="n"/>
      <c r="H399" s="18">
        <f>IF(OR(F399="",G399=""),"",ROUND(F399*G399,2))</f>
        <v/>
      </c>
      <c r="I399" s="19">
        <f>IF(ISNUMBER(SEARCH("ستاند",D399)),"أثاث وستاندات","")</f>
        <v/>
      </c>
      <c r="J399" s="20">
        <f>IF(E399="","",IF(I399="","⚠ عبّي الغرض",IF(AND(D399&lt;&gt;"",OR(ISNUMBER(SEARCH("صيانة",D399)),ISNUMBER(SEARCH("تعزيل",D399)),ISNUMBER(SEARCH("تنظيف",D399)),ISNUMBER(SEARCH("تصليح",D399)))),"⚠ الصيانة بلا ورشة",IF(H399="","⚠ ناقص",IF(D399&lt;&gt;"",IF(SUMIF($D$7:$D$806,D399,$H$7:$H$806)&gt;=20,"أصل","مصروف"),IFERROR(IF(VLOOKUP(I399,'القوائم'!$A$2:$D$14,4,0)="زكاة وصدقة","زكاة وصدقة",IF(AND(VLOOKUP(I399,'القوائم'!$A$2:$D$14,3,0)&lt;&gt;"",H399&gt;=20),"أصل","مصروف")),"مصروف"))))))</f>
        <v/>
      </c>
      <c r="K399" s="21" t="n"/>
      <c r="L399" s="22" t="n"/>
      <c r="N399">
        <f>IF(B399="","",MONTH(B399))</f>
        <v/>
      </c>
      <c r="O399">
        <f>IF(B399="","",YEAR(B399))</f>
        <v/>
      </c>
      <c r="P399">
        <f>IF(AND(D399&lt;&gt;"",COUNTIF(D$7:D399,D399)=1),MAX(P$6:P398)+1,"")</f>
        <v/>
      </c>
      <c r="Q399">
        <f>IF(E399="","",IF(I399="أجور عمال","أجرة","مادة"))</f>
        <v/>
      </c>
    </row>
    <row r="400">
      <c r="A400" s="12">
        <f>IF(E400="","",ROW()-6)</f>
        <v/>
      </c>
      <c r="B400" s="13" t="n"/>
      <c r="C400" s="12">
        <f>IF(B400="","",CHOOSE(WEEKDAY(B400,1),"الأحد","الاثنين","الثلاثاء","الأربعاء","الخميس","الجمعة","السبت"))</f>
        <v/>
      </c>
      <c r="D400" s="14" t="n"/>
      <c r="E400" s="15" t="n"/>
      <c r="F400" s="16" t="n"/>
      <c r="G400" s="17" t="n"/>
      <c r="H400" s="18">
        <f>IF(OR(F400="",G400=""),"",ROUND(F400*G400,2))</f>
        <v/>
      </c>
      <c r="I400" s="19">
        <f>IF(ISNUMBER(SEARCH("ستاند",D400)),"أثاث وستاندات","")</f>
        <v/>
      </c>
      <c r="J400" s="20">
        <f>IF(E400="","",IF(I400="","⚠ عبّي الغرض",IF(AND(D400&lt;&gt;"",OR(ISNUMBER(SEARCH("صيانة",D400)),ISNUMBER(SEARCH("تعزيل",D400)),ISNUMBER(SEARCH("تنظيف",D400)),ISNUMBER(SEARCH("تصليح",D400)))),"⚠ الصيانة بلا ورشة",IF(H400="","⚠ ناقص",IF(D400&lt;&gt;"",IF(SUMIF($D$7:$D$806,D400,$H$7:$H$806)&gt;=20,"أصل","مصروف"),IFERROR(IF(VLOOKUP(I400,'القوائم'!$A$2:$D$14,4,0)="زكاة وصدقة","زكاة وصدقة",IF(AND(VLOOKUP(I400,'القوائم'!$A$2:$D$14,3,0)&lt;&gt;"",H400&gt;=20),"أصل","مصروف")),"مصروف"))))))</f>
        <v/>
      </c>
      <c r="K400" s="21" t="n"/>
      <c r="L400" s="22" t="n"/>
      <c r="N400">
        <f>IF(B400="","",MONTH(B400))</f>
        <v/>
      </c>
      <c r="O400">
        <f>IF(B400="","",YEAR(B400))</f>
        <v/>
      </c>
      <c r="P400">
        <f>IF(AND(D400&lt;&gt;"",COUNTIF(D$7:D400,D400)=1),MAX(P$6:P399)+1,"")</f>
        <v/>
      </c>
      <c r="Q400">
        <f>IF(E400="","",IF(I400="أجور عمال","أجرة","مادة"))</f>
        <v/>
      </c>
    </row>
    <row r="401">
      <c r="A401" s="12">
        <f>IF(E401="","",ROW()-6)</f>
        <v/>
      </c>
      <c r="B401" s="13" t="n"/>
      <c r="C401" s="12">
        <f>IF(B401="","",CHOOSE(WEEKDAY(B401,1),"الأحد","الاثنين","الثلاثاء","الأربعاء","الخميس","الجمعة","السبت"))</f>
        <v/>
      </c>
      <c r="D401" s="14" t="n"/>
      <c r="E401" s="15" t="n"/>
      <c r="F401" s="16" t="n"/>
      <c r="G401" s="17" t="n"/>
      <c r="H401" s="18">
        <f>IF(OR(F401="",G401=""),"",ROUND(F401*G401,2))</f>
        <v/>
      </c>
      <c r="I401" s="19">
        <f>IF(ISNUMBER(SEARCH("ستاند",D401)),"أثاث وستاندات","")</f>
        <v/>
      </c>
      <c r="J401" s="20">
        <f>IF(E401="","",IF(I401="","⚠ عبّي الغرض",IF(AND(D401&lt;&gt;"",OR(ISNUMBER(SEARCH("صيانة",D401)),ISNUMBER(SEARCH("تعزيل",D401)),ISNUMBER(SEARCH("تنظيف",D401)),ISNUMBER(SEARCH("تصليح",D401)))),"⚠ الصيانة بلا ورشة",IF(H401="","⚠ ناقص",IF(D401&lt;&gt;"",IF(SUMIF($D$7:$D$806,D401,$H$7:$H$806)&gt;=20,"أصل","مصروف"),IFERROR(IF(VLOOKUP(I401,'القوائم'!$A$2:$D$14,4,0)="زكاة وصدقة","زكاة وصدقة",IF(AND(VLOOKUP(I401,'القوائم'!$A$2:$D$14,3,0)&lt;&gt;"",H401&gt;=20),"أصل","مصروف")),"مصروف"))))))</f>
        <v/>
      </c>
      <c r="K401" s="21" t="n"/>
      <c r="L401" s="22" t="n"/>
      <c r="N401">
        <f>IF(B401="","",MONTH(B401))</f>
        <v/>
      </c>
      <c r="O401">
        <f>IF(B401="","",YEAR(B401))</f>
        <v/>
      </c>
      <c r="P401">
        <f>IF(AND(D401&lt;&gt;"",COUNTIF(D$7:D401,D401)=1),MAX(P$6:P400)+1,"")</f>
        <v/>
      </c>
      <c r="Q401">
        <f>IF(E401="","",IF(I401="أجور عمال","أجرة","مادة"))</f>
        <v/>
      </c>
    </row>
    <row r="402">
      <c r="A402" s="12">
        <f>IF(E402="","",ROW()-6)</f>
        <v/>
      </c>
      <c r="B402" s="13" t="n"/>
      <c r="C402" s="12">
        <f>IF(B402="","",CHOOSE(WEEKDAY(B402,1),"الأحد","الاثنين","الثلاثاء","الأربعاء","الخميس","الجمعة","السبت"))</f>
        <v/>
      </c>
      <c r="D402" s="14" t="n"/>
      <c r="E402" s="15" t="n"/>
      <c r="F402" s="16" t="n"/>
      <c r="G402" s="17" t="n"/>
      <c r="H402" s="18">
        <f>IF(OR(F402="",G402=""),"",ROUND(F402*G402,2))</f>
        <v/>
      </c>
      <c r="I402" s="19">
        <f>IF(ISNUMBER(SEARCH("ستاند",D402)),"أثاث وستاندات","")</f>
        <v/>
      </c>
      <c r="J402" s="20">
        <f>IF(E402="","",IF(I402="","⚠ عبّي الغرض",IF(AND(D402&lt;&gt;"",OR(ISNUMBER(SEARCH("صيانة",D402)),ISNUMBER(SEARCH("تعزيل",D402)),ISNUMBER(SEARCH("تنظيف",D402)),ISNUMBER(SEARCH("تصليح",D402)))),"⚠ الصيانة بلا ورشة",IF(H402="","⚠ ناقص",IF(D402&lt;&gt;"",IF(SUMIF($D$7:$D$806,D402,$H$7:$H$806)&gt;=20,"أصل","مصروف"),IFERROR(IF(VLOOKUP(I402,'القوائم'!$A$2:$D$14,4,0)="زكاة وصدقة","زكاة وصدقة",IF(AND(VLOOKUP(I402,'القوائم'!$A$2:$D$14,3,0)&lt;&gt;"",H402&gt;=20),"أصل","مصروف")),"مصروف"))))))</f>
        <v/>
      </c>
      <c r="K402" s="21" t="n"/>
      <c r="L402" s="22" t="n"/>
      <c r="N402">
        <f>IF(B402="","",MONTH(B402))</f>
        <v/>
      </c>
      <c r="O402">
        <f>IF(B402="","",YEAR(B402))</f>
        <v/>
      </c>
      <c r="P402">
        <f>IF(AND(D402&lt;&gt;"",COUNTIF(D$7:D402,D402)=1),MAX(P$6:P401)+1,"")</f>
        <v/>
      </c>
      <c r="Q402">
        <f>IF(E402="","",IF(I402="أجور عمال","أجرة","مادة"))</f>
        <v/>
      </c>
    </row>
    <row r="403">
      <c r="A403" s="12">
        <f>IF(E403="","",ROW()-6)</f>
        <v/>
      </c>
      <c r="B403" s="13" t="n"/>
      <c r="C403" s="12">
        <f>IF(B403="","",CHOOSE(WEEKDAY(B403,1),"الأحد","الاثنين","الثلاثاء","الأربعاء","الخميس","الجمعة","السبت"))</f>
        <v/>
      </c>
      <c r="D403" s="14" t="n"/>
      <c r="E403" s="15" t="n"/>
      <c r="F403" s="16" t="n"/>
      <c r="G403" s="17" t="n"/>
      <c r="H403" s="18">
        <f>IF(OR(F403="",G403=""),"",ROUND(F403*G403,2))</f>
        <v/>
      </c>
      <c r="I403" s="19">
        <f>IF(ISNUMBER(SEARCH("ستاند",D403)),"أثاث وستاندات","")</f>
        <v/>
      </c>
      <c r="J403" s="20">
        <f>IF(E403="","",IF(I403="","⚠ عبّي الغرض",IF(AND(D403&lt;&gt;"",OR(ISNUMBER(SEARCH("صيانة",D403)),ISNUMBER(SEARCH("تعزيل",D403)),ISNUMBER(SEARCH("تنظيف",D403)),ISNUMBER(SEARCH("تصليح",D403)))),"⚠ الصيانة بلا ورشة",IF(H403="","⚠ ناقص",IF(D403&lt;&gt;"",IF(SUMIF($D$7:$D$806,D403,$H$7:$H$806)&gt;=20,"أصل","مصروف"),IFERROR(IF(VLOOKUP(I403,'القوائم'!$A$2:$D$14,4,0)="زكاة وصدقة","زكاة وصدقة",IF(AND(VLOOKUP(I403,'القوائم'!$A$2:$D$14,3,0)&lt;&gt;"",H403&gt;=20),"أصل","مصروف")),"مصروف"))))))</f>
        <v/>
      </c>
      <c r="K403" s="21" t="n"/>
      <c r="L403" s="22" t="n"/>
      <c r="N403">
        <f>IF(B403="","",MONTH(B403))</f>
        <v/>
      </c>
      <c r="O403">
        <f>IF(B403="","",YEAR(B403))</f>
        <v/>
      </c>
      <c r="P403">
        <f>IF(AND(D403&lt;&gt;"",COUNTIF(D$7:D403,D403)=1),MAX(P$6:P402)+1,"")</f>
        <v/>
      </c>
      <c r="Q403">
        <f>IF(E403="","",IF(I403="أجور عمال","أجرة","مادة"))</f>
        <v/>
      </c>
    </row>
    <row r="404">
      <c r="A404" s="12">
        <f>IF(E404="","",ROW()-6)</f>
        <v/>
      </c>
      <c r="B404" s="13" t="n"/>
      <c r="C404" s="12">
        <f>IF(B404="","",CHOOSE(WEEKDAY(B404,1),"الأحد","الاثنين","الثلاثاء","الأربعاء","الخميس","الجمعة","السبت"))</f>
        <v/>
      </c>
      <c r="D404" s="14" t="n"/>
      <c r="E404" s="15" t="n"/>
      <c r="F404" s="16" t="n"/>
      <c r="G404" s="17" t="n"/>
      <c r="H404" s="18">
        <f>IF(OR(F404="",G404=""),"",ROUND(F404*G404,2))</f>
        <v/>
      </c>
      <c r="I404" s="19">
        <f>IF(ISNUMBER(SEARCH("ستاند",D404)),"أثاث وستاندات","")</f>
        <v/>
      </c>
      <c r="J404" s="20">
        <f>IF(E404="","",IF(I404="","⚠ عبّي الغرض",IF(AND(D404&lt;&gt;"",OR(ISNUMBER(SEARCH("صيانة",D404)),ISNUMBER(SEARCH("تعزيل",D404)),ISNUMBER(SEARCH("تنظيف",D404)),ISNUMBER(SEARCH("تصليح",D404)))),"⚠ الصيانة بلا ورشة",IF(H404="","⚠ ناقص",IF(D404&lt;&gt;"",IF(SUMIF($D$7:$D$806,D404,$H$7:$H$806)&gt;=20,"أصل","مصروف"),IFERROR(IF(VLOOKUP(I404,'القوائم'!$A$2:$D$14,4,0)="زكاة وصدقة","زكاة وصدقة",IF(AND(VLOOKUP(I404,'القوائم'!$A$2:$D$14,3,0)&lt;&gt;"",H404&gt;=20),"أصل","مصروف")),"مصروف"))))))</f>
        <v/>
      </c>
      <c r="K404" s="21" t="n"/>
      <c r="L404" s="22" t="n"/>
      <c r="N404">
        <f>IF(B404="","",MONTH(B404))</f>
        <v/>
      </c>
      <c r="O404">
        <f>IF(B404="","",YEAR(B404))</f>
        <v/>
      </c>
      <c r="P404">
        <f>IF(AND(D404&lt;&gt;"",COUNTIF(D$7:D404,D404)=1),MAX(P$6:P403)+1,"")</f>
        <v/>
      </c>
      <c r="Q404">
        <f>IF(E404="","",IF(I404="أجور عمال","أجرة","مادة"))</f>
        <v/>
      </c>
    </row>
    <row r="405">
      <c r="A405" s="12">
        <f>IF(E405="","",ROW()-6)</f>
        <v/>
      </c>
      <c r="B405" s="13" t="n"/>
      <c r="C405" s="12">
        <f>IF(B405="","",CHOOSE(WEEKDAY(B405,1),"الأحد","الاثنين","الثلاثاء","الأربعاء","الخميس","الجمعة","السبت"))</f>
        <v/>
      </c>
      <c r="D405" s="14" t="n"/>
      <c r="E405" s="15" t="n"/>
      <c r="F405" s="16" t="n"/>
      <c r="G405" s="17" t="n"/>
      <c r="H405" s="18">
        <f>IF(OR(F405="",G405=""),"",ROUND(F405*G405,2))</f>
        <v/>
      </c>
      <c r="I405" s="19">
        <f>IF(ISNUMBER(SEARCH("ستاند",D405)),"أثاث وستاندات","")</f>
        <v/>
      </c>
      <c r="J405" s="20">
        <f>IF(E405="","",IF(I405="","⚠ عبّي الغرض",IF(AND(D405&lt;&gt;"",OR(ISNUMBER(SEARCH("صيانة",D405)),ISNUMBER(SEARCH("تعزيل",D405)),ISNUMBER(SEARCH("تنظيف",D405)),ISNUMBER(SEARCH("تصليح",D405)))),"⚠ الصيانة بلا ورشة",IF(H405="","⚠ ناقص",IF(D405&lt;&gt;"",IF(SUMIF($D$7:$D$806,D405,$H$7:$H$806)&gt;=20,"أصل","مصروف"),IFERROR(IF(VLOOKUP(I405,'القوائم'!$A$2:$D$14,4,0)="زكاة وصدقة","زكاة وصدقة",IF(AND(VLOOKUP(I405,'القوائم'!$A$2:$D$14,3,0)&lt;&gt;"",H405&gt;=20),"أصل","مصروف")),"مصروف"))))))</f>
        <v/>
      </c>
      <c r="K405" s="21" t="n"/>
      <c r="L405" s="22" t="n"/>
      <c r="N405">
        <f>IF(B405="","",MONTH(B405))</f>
        <v/>
      </c>
      <c r="O405">
        <f>IF(B405="","",YEAR(B405))</f>
        <v/>
      </c>
      <c r="P405">
        <f>IF(AND(D405&lt;&gt;"",COUNTIF(D$7:D405,D405)=1),MAX(P$6:P404)+1,"")</f>
        <v/>
      </c>
      <c r="Q405">
        <f>IF(E405="","",IF(I405="أجور عمال","أجرة","مادة"))</f>
        <v/>
      </c>
    </row>
    <row r="406">
      <c r="A406" s="12">
        <f>IF(E406="","",ROW()-6)</f>
        <v/>
      </c>
      <c r="B406" s="13" t="n"/>
      <c r="C406" s="12">
        <f>IF(B406="","",CHOOSE(WEEKDAY(B406,1),"الأحد","الاثنين","الثلاثاء","الأربعاء","الخميس","الجمعة","السبت"))</f>
        <v/>
      </c>
      <c r="D406" s="14" t="n"/>
      <c r="E406" s="15" t="n"/>
      <c r="F406" s="16" t="n"/>
      <c r="G406" s="17" t="n"/>
      <c r="H406" s="18">
        <f>IF(OR(F406="",G406=""),"",ROUND(F406*G406,2))</f>
        <v/>
      </c>
      <c r="I406" s="19">
        <f>IF(ISNUMBER(SEARCH("ستاند",D406)),"أثاث وستاندات","")</f>
        <v/>
      </c>
      <c r="J406" s="20">
        <f>IF(E406="","",IF(I406="","⚠ عبّي الغرض",IF(AND(D406&lt;&gt;"",OR(ISNUMBER(SEARCH("صيانة",D406)),ISNUMBER(SEARCH("تعزيل",D406)),ISNUMBER(SEARCH("تنظيف",D406)),ISNUMBER(SEARCH("تصليح",D406)))),"⚠ الصيانة بلا ورشة",IF(H406="","⚠ ناقص",IF(D406&lt;&gt;"",IF(SUMIF($D$7:$D$806,D406,$H$7:$H$806)&gt;=20,"أصل","مصروف"),IFERROR(IF(VLOOKUP(I406,'القوائم'!$A$2:$D$14,4,0)="زكاة وصدقة","زكاة وصدقة",IF(AND(VLOOKUP(I406,'القوائم'!$A$2:$D$14,3,0)&lt;&gt;"",H406&gt;=20),"أصل","مصروف")),"مصروف"))))))</f>
        <v/>
      </c>
      <c r="K406" s="21" t="n"/>
      <c r="L406" s="22" t="n"/>
      <c r="N406">
        <f>IF(B406="","",MONTH(B406))</f>
        <v/>
      </c>
      <c r="O406">
        <f>IF(B406="","",YEAR(B406))</f>
        <v/>
      </c>
      <c r="P406">
        <f>IF(AND(D406&lt;&gt;"",COUNTIF(D$7:D406,D406)=1),MAX(P$6:P405)+1,"")</f>
        <v/>
      </c>
      <c r="Q406">
        <f>IF(E406="","",IF(I406="أجور عمال","أجرة","مادة"))</f>
        <v/>
      </c>
    </row>
    <row r="407">
      <c r="A407" s="12">
        <f>IF(E407="","",ROW()-6)</f>
        <v/>
      </c>
      <c r="B407" s="13" t="n"/>
      <c r="C407" s="12">
        <f>IF(B407="","",CHOOSE(WEEKDAY(B407,1),"الأحد","الاثنين","الثلاثاء","الأربعاء","الخميس","الجمعة","السبت"))</f>
        <v/>
      </c>
      <c r="D407" s="14" t="n"/>
      <c r="E407" s="15" t="n"/>
      <c r="F407" s="16" t="n"/>
      <c r="G407" s="17" t="n"/>
      <c r="H407" s="18">
        <f>IF(OR(F407="",G407=""),"",ROUND(F407*G407,2))</f>
        <v/>
      </c>
      <c r="I407" s="19">
        <f>IF(ISNUMBER(SEARCH("ستاند",D407)),"أثاث وستاندات","")</f>
        <v/>
      </c>
      <c r="J407" s="20">
        <f>IF(E407="","",IF(I407="","⚠ عبّي الغرض",IF(AND(D407&lt;&gt;"",OR(ISNUMBER(SEARCH("صيانة",D407)),ISNUMBER(SEARCH("تعزيل",D407)),ISNUMBER(SEARCH("تنظيف",D407)),ISNUMBER(SEARCH("تصليح",D407)))),"⚠ الصيانة بلا ورشة",IF(H407="","⚠ ناقص",IF(D407&lt;&gt;"",IF(SUMIF($D$7:$D$806,D407,$H$7:$H$806)&gt;=20,"أصل","مصروف"),IFERROR(IF(VLOOKUP(I407,'القوائم'!$A$2:$D$14,4,0)="زكاة وصدقة","زكاة وصدقة",IF(AND(VLOOKUP(I407,'القوائم'!$A$2:$D$14,3,0)&lt;&gt;"",H407&gt;=20),"أصل","مصروف")),"مصروف"))))))</f>
        <v/>
      </c>
      <c r="K407" s="21" t="n"/>
      <c r="L407" s="22" t="n"/>
      <c r="N407">
        <f>IF(B407="","",MONTH(B407))</f>
        <v/>
      </c>
      <c r="O407">
        <f>IF(B407="","",YEAR(B407))</f>
        <v/>
      </c>
      <c r="P407">
        <f>IF(AND(D407&lt;&gt;"",COUNTIF(D$7:D407,D407)=1),MAX(P$6:P406)+1,"")</f>
        <v/>
      </c>
      <c r="Q407">
        <f>IF(E407="","",IF(I407="أجور عمال","أجرة","مادة"))</f>
        <v/>
      </c>
    </row>
    <row r="408">
      <c r="A408" s="12">
        <f>IF(E408="","",ROW()-6)</f>
        <v/>
      </c>
      <c r="B408" s="13" t="n"/>
      <c r="C408" s="12">
        <f>IF(B408="","",CHOOSE(WEEKDAY(B408,1),"الأحد","الاثنين","الثلاثاء","الأربعاء","الخميس","الجمعة","السبت"))</f>
        <v/>
      </c>
      <c r="D408" s="14" t="n"/>
      <c r="E408" s="15" t="n"/>
      <c r="F408" s="16" t="n"/>
      <c r="G408" s="17" t="n"/>
      <c r="H408" s="18">
        <f>IF(OR(F408="",G408=""),"",ROUND(F408*G408,2))</f>
        <v/>
      </c>
      <c r="I408" s="19">
        <f>IF(ISNUMBER(SEARCH("ستاند",D408)),"أثاث وستاندات","")</f>
        <v/>
      </c>
      <c r="J408" s="20">
        <f>IF(E408="","",IF(I408="","⚠ عبّي الغرض",IF(AND(D408&lt;&gt;"",OR(ISNUMBER(SEARCH("صيانة",D408)),ISNUMBER(SEARCH("تعزيل",D408)),ISNUMBER(SEARCH("تنظيف",D408)),ISNUMBER(SEARCH("تصليح",D408)))),"⚠ الصيانة بلا ورشة",IF(H408="","⚠ ناقص",IF(D408&lt;&gt;"",IF(SUMIF($D$7:$D$806,D408,$H$7:$H$806)&gt;=20,"أصل","مصروف"),IFERROR(IF(VLOOKUP(I408,'القوائم'!$A$2:$D$14,4,0)="زكاة وصدقة","زكاة وصدقة",IF(AND(VLOOKUP(I408,'القوائم'!$A$2:$D$14,3,0)&lt;&gt;"",H408&gt;=20),"أصل","مصروف")),"مصروف"))))))</f>
        <v/>
      </c>
      <c r="K408" s="21" t="n"/>
      <c r="L408" s="22" t="n"/>
      <c r="N408">
        <f>IF(B408="","",MONTH(B408))</f>
        <v/>
      </c>
      <c r="O408">
        <f>IF(B408="","",YEAR(B408))</f>
        <v/>
      </c>
      <c r="P408">
        <f>IF(AND(D408&lt;&gt;"",COUNTIF(D$7:D408,D408)=1),MAX(P$6:P407)+1,"")</f>
        <v/>
      </c>
      <c r="Q408">
        <f>IF(E408="","",IF(I408="أجور عمال","أجرة","مادة"))</f>
        <v/>
      </c>
    </row>
    <row r="409">
      <c r="A409" s="12">
        <f>IF(E409="","",ROW()-6)</f>
        <v/>
      </c>
      <c r="B409" s="13" t="n"/>
      <c r="C409" s="12">
        <f>IF(B409="","",CHOOSE(WEEKDAY(B409,1),"الأحد","الاثنين","الثلاثاء","الأربعاء","الخميس","الجمعة","السبت"))</f>
        <v/>
      </c>
      <c r="D409" s="14" t="n"/>
      <c r="E409" s="15" t="n"/>
      <c r="F409" s="16" t="n"/>
      <c r="G409" s="17" t="n"/>
      <c r="H409" s="18">
        <f>IF(OR(F409="",G409=""),"",ROUND(F409*G409,2))</f>
        <v/>
      </c>
      <c r="I409" s="19">
        <f>IF(ISNUMBER(SEARCH("ستاند",D409)),"أثاث وستاندات","")</f>
        <v/>
      </c>
      <c r="J409" s="20">
        <f>IF(E409="","",IF(I409="","⚠ عبّي الغرض",IF(AND(D409&lt;&gt;"",OR(ISNUMBER(SEARCH("صيانة",D409)),ISNUMBER(SEARCH("تعزيل",D409)),ISNUMBER(SEARCH("تنظيف",D409)),ISNUMBER(SEARCH("تصليح",D409)))),"⚠ الصيانة بلا ورشة",IF(H409="","⚠ ناقص",IF(D409&lt;&gt;"",IF(SUMIF($D$7:$D$806,D409,$H$7:$H$806)&gt;=20,"أصل","مصروف"),IFERROR(IF(VLOOKUP(I409,'القوائم'!$A$2:$D$14,4,0)="زكاة وصدقة","زكاة وصدقة",IF(AND(VLOOKUP(I409,'القوائم'!$A$2:$D$14,3,0)&lt;&gt;"",H409&gt;=20),"أصل","مصروف")),"مصروف"))))))</f>
        <v/>
      </c>
      <c r="K409" s="21" t="n"/>
      <c r="L409" s="22" t="n"/>
      <c r="N409">
        <f>IF(B409="","",MONTH(B409))</f>
        <v/>
      </c>
      <c r="O409">
        <f>IF(B409="","",YEAR(B409))</f>
        <v/>
      </c>
      <c r="P409">
        <f>IF(AND(D409&lt;&gt;"",COUNTIF(D$7:D409,D409)=1),MAX(P$6:P408)+1,"")</f>
        <v/>
      </c>
      <c r="Q409">
        <f>IF(E409="","",IF(I409="أجور عمال","أجرة","مادة"))</f>
        <v/>
      </c>
    </row>
    <row r="410">
      <c r="A410" s="12">
        <f>IF(E410="","",ROW()-6)</f>
        <v/>
      </c>
      <c r="B410" s="13" t="n"/>
      <c r="C410" s="12">
        <f>IF(B410="","",CHOOSE(WEEKDAY(B410,1),"الأحد","الاثنين","الثلاثاء","الأربعاء","الخميس","الجمعة","السبت"))</f>
        <v/>
      </c>
      <c r="D410" s="14" t="n"/>
      <c r="E410" s="15" t="n"/>
      <c r="F410" s="16" t="n"/>
      <c r="G410" s="17" t="n"/>
      <c r="H410" s="18">
        <f>IF(OR(F410="",G410=""),"",ROUND(F410*G410,2))</f>
        <v/>
      </c>
      <c r="I410" s="19">
        <f>IF(ISNUMBER(SEARCH("ستاند",D410)),"أثاث وستاندات","")</f>
        <v/>
      </c>
      <c r="J410" s="20">
        <f>IF(E410="","",IF(I410="","⚠ عبّي الغرض",IF(AND(D410&lt;&gt;"",OR(ISNUMBER(SEARCH("صيانة",D410)),ISNUMBER(SEARCH("تعزيل",D410)),ISNUMBER(SEARCH("تنظيف",D410)),ISNUMBER(SEARCH("تصليح",D410)))),"⚠ الصيانة بلا ورشة",IF(H410="","⚠ ناقص",IF(D410&lt;&gt;"",IF(SUMIF($D$7:$D$806,D410,$H$7:$H$806)&gt;=20,"أصل","مصروف"),IFERROR(IF(VLOOKUP(I410,'القوائم'!$A$2:$D$14,4,0)="زكاة وصدقة","زكاة وصدقة",IF(AND(VLOOKUP(I410,'القوائم'!$A$2:$D$14,3,0)&lt;&gt;"",H410&gt;=20),"أصل","مصروف")),"مصروف"))))))</f>
        <v/>
      </c>
      <c r="K410" s="21" t="n"/>
      <c r="L410" s="22" t="n"/>
      <c r="N410">
        <f>IF(B410="","",MONTH(B410))</f>
        <v/>
      </c>
      <c r="O410">
        <f>IF(B410="","",YEAR(B410))</f>
        <v/>
      </c>
      <c r="P410">
        <f>IF(AND(D410&lt;&gt;"",COUNTIF(D$7:D410,D410)=1),MAX(P$6:P409)+1,"")</f>
        <v/>
      </c>
      <c r="Q410">
        <f>IF(E410="","",IF(I410="أجور عمال","أجرة","مادة"))</f>
        <v/>
      </c>
    </row>
    <row r="411">
      <c r="A411" s="12">
        <f>IF(E411="","",ROW()-6)</f>
        <v/>
      </c>
      <c r="B411" s="13" t="n"/>
      <c r="C411" s="12">
        <f>IF(B411="","",CHOOSE(WEEKDAY(B411,1),"الأحد","الاثنين","الثلاثاء","الأربعاء","الخميس","الجمعة","السبت"))</f>
        <v/>
      </c>
      <c r="D411" s="14" t="n"/>
      <c r="E411" s="15" t="n"/>
      <c r="F411" s="16" t="n"/>
      <c r="G411" s="17" t="n"/>
      <c r="H411" s="18">
        <f>IF(OR(F411="",G411=""),"",ROUND(F411*G411,2))</f>
        <v/>
      </c>
      <c r="I411" s="19">
        <f>IF(ISNUMBER(SEARCH("ستاند",D411)),"أثاث وستاندات","")</f>
        <v/>
      </c>
      <c r="J411" s="20">
        <f>IF(E411="","",IF(I411="","⚠ عبّي الغرض",IF(AND(D411&lt;&gt;"",OR(ISNUMBER(SEARCH("صيانة",D411)),ISNUMBER(SEARCH("تعزيل",D411)),ISNUMBER(SEARCH("تنظيف",D411)),ISNUMBER(SEARCH("تصليح",D411)))),"⚠ الصيانة بلا ورشة",IF(H411="","⚠ ناقص",IF(D411&lt;&gt;"",IF(SUMIF($D$7:$D$806,D411,$H$7:$H$806)&gt;=20,"أصل","مصروف"),IFERROR(IF(VLOOKUP(I411,'القوائم'!$A$2:$D$14,4,0)="زكاة وصدقة","زكاة وصدقة",IF(AND(VLOOKUP(I411,'القوائم'!$A$2:$D$14,3,0)&lt;&gt;"",H411&gt;=20),"أصل","مصروف")),"مصروف"))))))</f>
        <v/>
      </c>
      <c r="K411" s="21" t="n"/>
      <c r="L411" s="22" t="n"/>
      <c r="N411">
        <f>IF(B411="","",MONTH(B411))</f>
        <v/>
      </c>
      <c r="O411">
        <f>IF(B411="","",YEAR(B411))</f>
        <v/>
      </c>
      <c r="P411">
        <f>IF(AND(D411&lt;&gt;"",COUNTIF(D$7:D411,D411)=1),MAX(P$6:P410)+1,"")</f>
        <v/>
      </c>
      <c r="Q411">
        <f>IF(E411="","",IF(I411="أجور عمال","أجرة","مادة"))</f>
        <v/>
      </c>
    </row>
    <row r="412">
      <c r="A412" s="12">
        <f>IF(E412="","",ROW()-6)</f>
        <v/>
      </c>
      <c r="B412" s="13" t="n"/>
      <c r="C412" s="12">
        <f>IF(B412="","",CHOOSE(WEEKDAY(B412,1),"الأحد","الاثنين","الثلاثاء","الأربعاء","الخميس","الجمعة","السبت"))</f>
        <v/>
      </c>
      <c r="D412" s="14" t="n"/>
      <c r="E412" s="15" t="n"/>
      <c r="F412" s="16" t="n"/>
      <c r="G412" s="17" t="n"/>
      <c r="H412" s="18">
        <f>IF(OR(F412="",G412=""),"",ROUND(F412*G412,2))</f>
        <v/>
      </c>
      <c r="I412" s="19">
        <f>IF(ISNUMBER(SEARCH("ستاند",D412)),"أثاث وستاندات","")</f>
        <v/>
      </c>
      <c r="J412" s="20">
        <f>IF(E412="","",IF(I412="","⚠ عبّي الغرض",IF(AND(D412&lt;&gt;"",OR(ISNUMBER(SEARCH("صيانة",D412)),ISNUMBER(SEARCH("تعزيل",D412)),ISNUMBER(SEARCH("تنظيف",D412)),ISNUMBER(SEARCH("تصليح",D412)))),"⚠ الصيانة بلا ورشة",IF(H412="","⚠ ناقص",IF(D412&lt;&gt;"",IF(SUMIF($D$7:$D$806,D412,$H$7:$H$806)&gt;=20,"أصل","مصروف"),IFERROR(IF(VLOOKUP(I412,'القوائم'!$A$2:$D$14,4,0)="زكاة وصدقة","زكاة وصدقة",IF(AND(VLOOKUP(I412,'القوائم'!$A$2:$D$14,3,0)&lt;&gt;"",H412&gt;=20),"أصل","مصروف")),"مصروف"))))))</f>
        <v/>
      </c>
      <c r="K412" s="21" t="n"/>
      <c r="L412" s="22" t="n"/>
      <c r="N412">
        <f>IF(B412="","",MONTH(B412))</f>
        <v/>
      </c>
      <c r="O412">
        <f>IF(B412="","",YEAR(B412))</f>
        <v/>
      </c>
      <c r="P412">
        <f>IF(AND(D412&lt;&gt;"",COUNTIF(D$7:D412,D412)=1),MAX(P$6:P411)+1,"")</f>
        <v/>
      </c>
      <c r="Q412">
        <f>IF(E412="","",IF(I412="أجور عمال","أجرة","مادة"))</f>
        <v/>
      </c>
    </row>
    <row r="413">
      <c r="A413" s="12">
        <f>IF(E413="","",ROW()-6)</f>
        <v/>
      </c>
      <c r="B413" s="13" t="n"/>
      <c r="C413" s="12">
        <f>IF(B413="","",CHOOSE(WEEKDAY(B413,1),"الأحد","الاثنين","الثلاثاء","الأربعاء","الخميس","الجمعة","السبت"))</f>
        <v/>
      </c>
      <c r="D413" s="14" t="n"/>
      <c r="E413" s="15" t="n"/>
      <c r="F413" s="16" t="n"/>
      <c r="G413" s="17" t="n"/>
      <c r="H413" s="18">
        <f>IF(OR(F413="",G413=""),"",ROUND(F413*G413,2))</f>
        <v/>
      </c>
      <c r="I413" s="19">
        <f>IF(ISNUMBER(SEARCH("ستاند",D413)),"أثاث وستاندات","")</f>
        <v/>
      </c>
      <c r="J413" s="20">
        <f>IF(E413="","",IF(I413="","⚠ عبّي الغرض",IF(AND(D413&lt;&gt;"",OR(ISNUMBER(SEARCH("صيانة",D413)),ISNUMBER(SEARCH("تعزيل",D413)),ISNUMBER(SEARCH("تنظيف",D413)),ISNUMBER(SEARCH("تصليح",D413)))),"⚠ الصيانة بلا ورشة",IF(H413="","⚠ ناقص",IF(D413&lt;&gt;"",IF(SUMIF($D$7:$D$806,D413,$H$7:$H$806)&gt;=20,"أصل","مصروف"),IFERROR(IF(VLOOKUP(I413,'القوائم'!$A$2:$D$14,4,0)="زكاة وصدقة","زكاة وصدقة",IF(AND(VLOOKUP(I413,'القوائم'!$A$2:$D$14,3,0)&lt;&gt;"",H413&gt;=20),"أصل","مصروف")),"مصروف"))))))</f>
        <v/>
      </c>
      <c r="K413" s="21" t="n"/>
      <c r="L413" s="22" t="n"/>
      <c r="N413">
        <f>IF(B413="","",MONTH(B413))</f>
        <v/>
      </c>
      <c r="O413">
        <f>IF(B413="","",YEAR(B413))</f>
        <v/>
      </c>
      <c r="P413">
        <f>IF(AND(D413&lt;&gt;"",COUNTIF(D$7:D413,D413)=1),MAX(P$6:P412)+1,"")</f>
        <v/>
      </c>
      <c r="Q413">
        <f>IF(E413="","",IF(I413="أجور عمال","أجرة","مادة"))</f>
        <v/>
      </c>
    </row>
    <row r="414">
      <c r="A414" s="12">
        <f>IF(E414="","",ROW()-6)</f>
        <v/>
      </c>
      <c r="B414" s="13" t="n"/>
      <c r="C414" s="12">
        <f>IF(B414="","",CHOOSE(WEEKDAY(B414,1),"الأحد","الاثنين","الثلاثاء","الأربعاء","الخميس","الجمعة","السبت"))</f>
        <v/>
      </c>
      <c r="D414" s="14" t="n"/>
      <c r="E414" s="15" t="n"/>
      <c r="F414" s="16" t="n"/>
      <c r="G414" s="17" t="n"/>
      <c r="H414" s="18">
        <f>IF(OR(F414="",G414=""),"",ROUND(F414*G414,2))</f>
        <v/>
      </c>
      <c r="I414" s="19">
        <f>IF(ISNUMBER(SEARCH("ستاند",D414)),"أثاث وستاندات","")</f>
        <v/>
      </c>
      <c r="J414" s="20">
        <f>IF(E414="","",IF(I414="","⚠ عبّي الغرض",IF(AND(D414&lt;&gt;"",OR(ISNUMBER(SEARCH("صيانة",D414)),ISNUMBER(SEARCH("تعزيل",D414)),ISNUMBER(SEARCH("تنظيف",D414)),ISNUMBER(SEARCH("تصليح",D414)))),"⚠ الصيانة بلا ورشة",IF(H414="","⚠ ناقص",IF(D414&lt;&gt;"",IF(SUMIF($D$7:$D$806,D414,$H$7:$H$806)&gt;=20,"أصل","مصروف"),IFERROR(IF(VLOOKUP(I414,'القوائم'!$A$2:$D$14,4,0)="زكاة وصدقة","زكاة وصدقة",IF(AND(VLOOKUP(I414,'القوائم'!$A$2:$D$14,3,0)&lt;&gt;"",H414&gt;=20),"أصل","مصروف")),"مصروف"))))))</f>
        <v/>
      </c>
      <c r="K414" s="21" t="n"/>
      <c r="L414" s="22" t="n"/>
      <c r="N414">
        <f>IF(B414="","",MONTH(B414))</f>
        <v/>
      </c>
      <c r="O414">
        <f>IF(B414="","",YEAR(B414))</f>
        <v/>
      </c>
      <c r="P414">
        <f>IF(AND(D414&lt;&gt;"",COUNTIF(D$7:D414,D414)=1),MAX(P$6:P413)+1,"")</f>
        <v/>
      </c>
      <c r="Q414">
        <f>IF(E414="","",IF(I414="أجور عمال","أجرة","مادة"))</f>
        <v/>
      </c>
    </row>
    <row r="415">
      <c r="A415" s="12">
        <f>IF(E415="","",ROW()-6)</f>
        <v/>
      </c>
      <c r="B415" s="13" t="n"/>
      <c r="C415" s="12">
        <f>IF(B415="","",CHOOSE(WEEKDAY(B415,1),"الأحد","الاثنين","الثلاثاء","الأربعاء","الخميس","الجمعة","السبت"))</f>
        <v/>
      </c>
      <c r="D415" s="14" t="n"/>
      <c r="E415" s="15" t="n"/>
      <c r="F415" s="16" t="n"/>
      <c r="G415" s="17" t="n"/>
      <c r="H415" s="18">
        <f>IF(OR(F415="",G415=""),"",ROUND(F415*G415,2))</f>
        <v/>
      </c>
      <c r="I415" s="19">
        <f>IF(ISNUMBER(SEARCH("ستاند",D415)),"أثاث وستاندات","")</f>
        <v/>
      </c>
      <c r="J415" s="20">
        <f>IF(E415="","",IF(I415="","⚠ عبّي الغرض",IF(AND(D415&lt;&gt;"",OR(ISNUMBER(SEARCH("صيانة",D415)),ISNUMBER(SEARCH("تعزيل",D415)),ISNUMBER(SEARCH("تنظيف",D415)),ISNUMBER(SEARCH("تصليح",D415)))),"⚠ الصيانة بلا ورشة",IF(H415="","⚠ ناقص",IF(D415&lt;&gt;"",IF(SUMIF($D$7:$D$806,D415,$H$7:$H$806)&gt;=20,"أصل","مصروف"),IFERROR(IF(VLOOKUP(I415,'القوائم'!$A$2:$D$14,4,0)="زكاة وصدقة","زكاة وصدقة",IF(AND(VLOOKUP(I415,'القوائم'!$A$2:$D$14,3,0)&lt;&gt;"",H415&gt;=20),"أصل","مصروف")),"مصروف"))))))</f>
        <v/>
      </c>
      <c r="K415" s="21" t="n"/>
      <c r="L415" s="22" t="n"/>
      <c r="N415">
        <f>IF(B415="","",MONTH(B415))</f>
        <v/>
      </c>
      <c r="O415">
        <f>IF(B415="","",YEAR(B415))</f>
        <v/>
      </c>
      <c r="P415">
        <f>IF(AND(D415&lt;&gt;"",COUNTIF(D$7:D415,D415)=1),MAX(P$6:P414)+1,"")</f>
        <v/>
      </c>
      <c r="Q415">
        <f>IF(E415="","",IF(I415="أجور عمال","أجرة","مادة"))</f>
        <v/>
      </c>
    </row>
    <row r="416">
      <c r="A416" s="12">
        <f>IF(E416="","",ROW()-6)</f>
        <v/>
      </c>
      <c r="B416" s="13" t="n"/>
      <c r="C416" s="12">
        <f>IF(B416="","",CHOOSE(WEEKDAY(B416,1),"الأحد","الاثنين","الثلاثاء","الأربعاء","الخميس","الجمعة","السبت"))</f>
        <v/>
      </c>
      <c r="D416" s="14" t="n"/>
      <c r="E416" s="15" t="n"/>
      <c r="F416" s="16" t="n"/>
      <c r="G416" s="17" t="n"/>
      <c r="H416" s="18">
        <f>IF(OR(F416="",G416=""),"",ROUND(F416*G416,2))</f>
        <v/>
      </c>
      <c r="I416" s="19">
        <f>IF(ISNUMBER(SEARCH("ستاند",D416)),"أثاث وستاندات","")</f>
        <v/>
      </c>
      <c r="J416" s="20">
        <f>IF(E416="","",IF(I416="","⚠ عبّي الغرض",IF(AND(D416&lt;&gt;"",OR(ISNUMBER(SEARCH("صيانة",D416)),ISNUMBER(SEARCH("تعزيل",D416)),ISNUMBER(SEARCH("تنظيف",D416)),ISNUMBER(SEARCH("تصليح",D416)))),"⚠ الصيانة بلا ورشة",IF(H416="","⚠ ناقص",IF(D416&lt;&gt;"",IF(SUMIF($D$7:$D$806,D416,$H$7:$H$806)&gt;=20,"أصل","مصروف"),IFERROR(IF(VLOOKUP(I416,'القوائم'!$A$2:$D$14,4,0)="زكاة وصدقة","زكاة وصدقة",IF(AND(VLOOKUP(I416,'القوائم'!$A$2:$D$14,3,0)&lt;&gt;"",H416&gt;=20),"أصل","مصروف")),"مصروف"))))))</f>
        <v/>
      </c>
      <c r="K416" s="21" t="n"/>
      <c r="L416" s="22" t="n"/>
      <c r="N416">
        <f>IF(B416="","",MONTH(B416))</f>
        <v/>
      </c>
      <c r="O416">
        <f>IF(B416="","",YEAR(B416))</f>
        <v/>
      </c>
      <c r="P416">
        <f>IF(AND(D416&lt;&gt;"",COUNTIF(D$7:D416,D416)=1),MAX(P$6:P415)+1,"")</f>
        <v/>
      </c>
      <c r="Q416">
        <f>IF(E416="","",IF(I416="أجور عمال","أجرة","مادة"))</f>
        <v/>
      </c>
    </row>
    <row r="417">
      <c r="A417" s="12">
        <f>IF(E417="","",ROW()-6)</f>
        <v/>
      </c>
      <c r="B417" s="13" t="n"/>
      <c r="C417" s="12">
        <f>IF(B417="","",CHOOSE(WEEKDAY(B417,1),"الأحد","الاثنين","الثلاثاء","الأربعاء","الخميس","الجمعة","السبت"))</f>
        <v/>
      </c>
      <c r="D417" s="14" t="n"/>
      <c r="E417" s="15" t="n"/>
      <c r="F417" s="16" t="n"/>
      <c r="G417" s="17" t="n"/>
      <c r="H417" s="18">
        <f>IF(OR(F417="",G417=""),"",ROUND(F417*G417,2))</f>
        <v/>
      </c>
      <c r="I417" s="19">
        <f>IF(ISNUMBER(SEARCH("ستاند",D417)),"أثاث وستاندات","")</f>
        <v/>
      </c>
      <c r="J417" s="20">
        <f>IF(E417="","",IF(I417="","⚠ عبّي الغرض",IF(AND(D417&lt;&gt;"",OR(ISNUMBER(SEARCH("صيانة",D417)),ISNUMBER(SEARCH("تعزيل",D417)),ISNUMBER(SEARCH("تنظيف",D417)),ISNUMBER(SEARCH("تصليح",D417)))),"⚠ الصيانة بلا ورشة",IF(H417="","⚠ ناقص",IF(D417&lt;&gt;"",IF(SUMIF($D$7:$D$806,D417,$H$7:$H$806)&gt;=20,"أصل","مصروف"),IFERROR(IF(VLOOKUP(I417,'القوائم'!$A$2:$D$14,4,0)="زكاة وصدقة","زكاة وصدقة",IF(AND(VLOOKUP(I417,'القوائم'!$A$2:$D$14,3,0)&lt;&gt;"",H417&gt;=20),"أصل","مصروف")),"مصروف"))))))</f>
        <v/>
      </c>
      <c r="K417" s="21" t="n"/>
      <c r="L417" s="22" t="n"/>
      <c r="N417">
        <f>IF(B417="","",MONTH(B417))</f>
        <v/>
      </c>
      <c r="O417">
        <f>IF(B417="","",YEAR(B417))</f>
        <v/>
      </c>
      <c r="P417">
        <f>IF(AND(D417&lt;&gt;"",COUNTIF(D$7:D417,D417)=1),MAX(P$6:P416)+1,"")</f>
        <v/>
      </c>
      <c r="Q417">
        <f>IF(E417="","",IF(I417="أجور عمال","أجرة","مادة"))</f>
        <v/>
      </c>
    </row>
    <row r="418">
      <c r="A418" s="12">
        <f>IF(E418="","",ROW()-6)</f>
        <v/>
      </c>
      <c r="B418" s="13" t="n"/>
      <c r="C418" s="12">
        <f>IF(B418="","",CHOOSE(WEEKDAY(B418,1),"الأحد","الاثنين","الثلاثاء","الأربعاء","الخميس","الجمعة","السبت"))</f>
        <v/>
      </c>
      <c r="D418" s="14" t="n"/>
      <c r="E418" s="15" t="n"/>
      <c r="F418" s="16" t="n"/>
      <c r="G418" s="17" t="n"/>
      <c r="H418" s="18">
        <f>IF(OR(F418="",G418=""),"",ROUND(F418*G418,2))</f>
        <v/>
      </c>
      <c r="I418" s="19">
        <f>IF(ISNUMBER(SEARCH("ستاند",D418)),"أثاث وستاندات","")</f>
        <v/>
      </c>
      <c r="J418" s="20">
        <f>IF(E418="","",IF(I418="","⚠ عبّي الغرض",IF(AND(D418&lt;&gt;"",OR(ISNUMBER(SEARCH("صيانة",D418)),ISNUMBER(SEARCH("تعزيل",D418)),ISNUMBER(SEARCH("تنظيف",D418)),ISNUMBER(SEARCH("تصليح",D418)))),"⚠ الصيانة بلا ورشة",IF(H418="","⚠ ناقص",IF(D418&lt;&gt;"",IF(SUMIF($D$7:$D$806,D418,$H$7:$H$806)&gt;=20,"أصل","مصروف"),IFERROR(IF(VLOOKUP(I418,'القوائم'!$A$2:$D$14,4,0)="زكاة وصدقة","زكاة وصدقة",IF(AND(VLOOKUP(I418,'القوائم'!$A$2:$D$14,3,0)&lt;&gt;"",H418&gt;=20),"أصل","مصروف")),"مصروف"))))))</f>
        <v/>
      </c>
      <c r="K418" s="21" t="n"/>
      <c r="L418" s="22" t="n"/>
      <c r="N418">
        <f>IF(B418="","",MONTH(B418))</f>
        <v/>
      </c>
      <c r="O418">
        <f>IF(B418="","",YEAR(B418))</f>
        <v/>
      </c>
      <c r="P418">
        <f>IF(AND(D418&lt;&gt;"",COUNTIF(D$7:D418,D418)=1),MAX(P$6:P417)+1,"")</f>
        <v/>
      </c>
      <c r="Q418">
        <f>IF(E418="","",IF(I418="أجور عمال","أجرة","مادة"))</f>
        <v/>
      </c>
    </row>
    <row r="419">
      <c r="A419" s="12">
        <f>IF(E419="","",ROW()-6)</f>
        <v/>
      </c>
      <c r="B419" s="13" t="n"/>
      <c r="C419" s="12">
        <f>IF(B419="","",CHOOSE(WEEKDAY(B419,1),"الأحد","الاثنين","الثلاثاء","الأربعاء","الخميس","الجمعة","السبت"))</f>
        <v/>
      </c>
      <c r="D419" s="14" t="n"/>
      <c r="E419" s="15" t="n"/>
      <c r="F419" s="16" t="n"/>
      <c r="G419" s="17" t="n"/>
      <c r="H419" s="18">
        <f>IF(OR(F419="",G419=""),"",ROUND(F419*G419,2))</f>
        <v/>
      </c>
      <c r="I419" s="19">
        <f>IF(ISNUMBER(SEARCH("ستاند",D419)),"أثاث وستاندات","")</f>
        <v/>
      </c>
      <c r="J419" s="20">
        <f>IF(E419="","",IF(I419="","⚠ عبّي الغرض",IF(AND(D419&lt;&gt;"",OR(ISNUMBER(SEARCH("صيانة",D419)),ISNUMBER(SEARCH("تعزيل",D419)),ISNUMBER(SEARCH("تنظيف",D419)),ISNUMBER(SEARCH("تصليح",D419)))),"⚠ الصيانة بلا ورشة",IF(H419="","⚠ ناقص",IF(D419&lt;&gt;"",IF(SUMIF($D$7:$D$806,D419,$H$7:$H$806)&gt;=20,"أصل","مصروف"),IFERROR(IF(VLOOKUP(I419,'القوائم'!$A$2:$D$14,4,0)="زكاة وصدقة","زكاة وصدقة",IF(AND(VLOOKUP(I419,'القوائم'!$A$2:$D$14,3,0)&lt;&gt;"",H419&gt;=20),"أصل","مصروف")),"مصروف"))))))</f>
        <v/>
      </c>
      <c r="K419" s="21" t="n"/>
      <c r="L419" s="22" t="n"/>
      <c r="N419">
        <f>IF(B419="","",MONTH(B419))</f>
        <v/>
      </c>
      <c r="O419">
        <f>IF(B419="","",YEAR(B419))</f>
        <v/>
      </c>
      <c r="P419">
        <f>IF(AND(D419&lt;&gt;"",COUNTIF(D$7:D419,D419)=1),MAX(P$6:P418)+1,"")</f>
        <v/>
      </c>
      <c r="Q419">
        <f>IF(E419="","",IF(I419="أجور عمال","أجرة","مادة"))</f>
        <v/>
      </c>
    </row>
    <row r="420">
      <c r="A420" s="12">
        <f>IF(E420="","",ROW()-6)</f>
        <v/>
      </c>
      <c r="B420" s="13" t="n"/>
      <c r="C420" s="12">
        <f>IF(B420="","",CHOOSE(WEEKDAY(B420,1),"الأحد","الاثنين","الثلاثاء","الأربعاء","الخميس","الجمعة","السبت"))</f>
        <v/>
      </c>
      <c r="D420" s="14" t="n"/>
      <c r="E420" s="15" t="n"/>
      <c r="F420" s="16" t="n"/>
      <c r="G420" s="17" t="n"/>
      <c r="H420" s="18">
        <f>IF(OR(F420="",G420=""),"",ROUND(F420*G420,2))</f>
        <v/>
      </c>
      <c r="I420" s="19">
        <f>IF(ISNUMBER(SEARCH("ستاند",D420)),"أثاث وستاندات","")</f>
        <v/>
      </c>
      <c r="J420" s="20">
        <f>IF(E420="","",IF(I420="","⚠ عبّي الغرض",IF(AND(D420&lt;&gt;"",OR(ISNUMBER(SEARCH("صيانة",D420)),ISNUMBER(SEARCH("تعزيل",D420)),ISNUMBER(SEARCH("تنظيف",D420)),ISNUMBER(SEARCH("تصليح",D420)))),"⚠ الصيانة بلا ورشة",IF(H420="","⚠ ناقص",IF(D420&lt;&gt;"",IF(SUMIF($D$7:$D$806,D420,$H$7:$H$806)&gt;=20,"أصل","مصروف"),IFERROR(IF(VLOOKUP(I420,'القوائم'!$A$2:$D$14,4,0)="زكاة وصدقة","زكاة وصدقة",IF(AND(VLOOKUP(I420,'القوائم'!$A$2:$D$14,3,0)&lt;&gt;"",H420&gt;=20),"أصل","مصروف")),"مصروف"))))))</f>
        <v/>
      </c>
      <c r="K420" s="21" t="n"/>
      <c r="L420" s="22" t="n"/>
      <c r="N420">
        <f>IF(B420="","",MONTH(B420))</f>
        <v/>
      </c>
      <c r="O420">
        <f>IF(B420="","",YEAR(B420))</f>
        <v/>
      </c>
      <c r="P420">
        <f>IF(AND(D420&lt;&gt;"",COUNTIF(D$7:D420,D420)=1),MAX(P$6:P419)+1,"")</f>
        <v/>
      </c>
      <c r="Q420">
        <f>IF(E420="","",IF(I420="أجور عمال","أجرة","مادة"))</f>
        <v/>
      </c>
    </row>
    <row r="421">
      <c r="A421" s="12">
        <f>IF(E421="","",ROW()-6)</f>
        <v/>
      </c>
      <c r="B421" s="13" t="n"/>
      <c r="C421" s="12">
        <f>IF(B421="","",CHOOSE(WEEKDAY(B421,1),"الأحد","الاثنين","الثلاثاء","الأربعاء","الخميس","الجمعة","السبت"))</f>
        <v/>
      </c>
      <c r="D421" s="14" t="n"/>
      <c r="E421" s="15" t="n"/>
      <c r="F421" s="16" t="n"/>
      <c r="G421" s="17" t="n"/>
      <c r="H421" s="18">
        <f>IF(OR(F421="",G421=""),"",ROUND(F421*G421,2))</f>
        <v/>
      </c>
      <c r="I421" s="19">
        <f>IF(ISNUMBER(SEARCH("ستاند",D421)),"أثاث وستاندات","")</f>
        <v/>
      </c>
      <c r="J421" s="20">
        <f>IF(E421="","",IF(I421="","⚠ عبّي الغرض",IF(AND(D421&lt;&gt;"",OR(ISNUMBER(SEARCH("صيانة",D421)),ISNUMBER(SEARCH("تعزيل",D421)),ISNUMBER(SEARCH("تنظيف",D421)),ISNUMBER(SEARCH("تصليح",D421)))),"⚠ الصيانة بلا ورشة",IF(H421="","⚠ ناقص",IF(D421&lt;&gt;"",IF(SUMIF($D$7:$D$806,D421,$H$7:$H$806)&gt;=20,"أصل","مصروف"),IFERROR(IF(VLOOKUP(I421,'القوائم'!$A$2:$D$14,4,0)="زكاة وصدقة","زكاة وصدقة",IF(AND(VLOOKUP(I421,'القوائم'!$A$2:$D$14,3,0)&lt;&gt;"",H421&gt;=20),"أصل","مصروف")),"مصروف"))))))</f>
        <v/>
      </c>
      <c r="K421" s="21" t="n"/>
      <c r="L421" s="22" t="n"/>
      <c r="N421">
        <f>IF(B421="","",MONTH(B421))</f>
        <v/>
      </c>
      <c r="O421">
        <f>IF(B421="","",YEAR(B421))</f>
        <v/>
      </c>
      <c r="P421">
        <f>IF(AND(D421&lt;&gt;"",COUNTIF(D$7:D421,D421)=1),MAX(P$6:P420)+1,"")</f>
        <v/>
      </c>
      <c r="Q421">
        <f>IF(E421="","",IF(I421="أجور عمال","أجرة","مادة"))</f>
        <v/>
      </c>
    </row>
    <row r="422">
      <c r="A422" s="12">
        <f>IF(E422="","",ROW()-6)</f>
        <v/>
      </c>
      <c r="B422" s="13" t="n"/>
      <c r="C422" s="12">
        <f>IF(B422="","",CHOOSE(WEEKDAY(B422,1),"الأحد","الاثنين","الثلاثاء","الأربعاء","الخميس","الجمعة","السبت"))</f>
        <v/>
      </c>
      <c r="D422" s="14" t="n"/>
      <c r="E422" s="15" t="n"/>
      <c r="F422" s="16" t="n"/>
      <c r="G422" s="17" t="n"/>
      <c r="H422" s="18">
        <f>IF(OR(F422="",G422=""),"",ROUND(F422*G422,2))</f>
        <v/>
      </c>
      <c r="I422" s="19">
        <f>IF(ISNUMBER(SEARCH("ستاند",D422)),"أثاث وستاندات","")</f>
        <v/>
      </c>
      <c r="J422" s="20">
        <f>IF(E422="","",IF(I422="","⚠ عبّي الغرض",IF(AND(D422&lt;&gt;"",OR(ISNUMBER(SEARCH("صيانة",D422)),ISNUMBER(SEARCH("تعزيل",D422)),ISNUMBER(SEARCH("تنظيف",D422)),ISNUMBER(SEARCH("تصليح",D422)))),"⚠ الصيانة بلا ورشة",IF(H422="","⚠ ناقص",IF(D422&lt;&gt;"",IF(SUMIF($D$7:$D$806,D422,$H$7:$H$806)&gt;=20,"أصل","مصروف"),IFERROR(IF(VLOOKUP(I422,'القوائم'!$A$2:$D$14,4,0)="زكاة وصدقة","زكاة وصدقة",IF(AND(VLOOKUP(I422,'القوائم'!$A$2:$D$14,3,0)&lt;&gt;"",H422&gt;=20),"أصل","مصروف")),"مصروف"))))))</f>
        <v/>
      </c>
      <c r="K422" s="21" t="n"/>
      <c r="L422" s="22" t="n"/>
      <c r="N422">
        <f>IF(B422="","",MONTH(B422))</f>
        <v/>
      </c>
      <c r="O422">
        <f>IF(B422="","",YEAR(B422))</f>
        <v/>
      </c>
      <c r="P422">
        <f>IF(AND(D422&lt;&gt;"",COUNTIF(D$7:D422,D422)=1),MAX(P$6:P421)+1,"")</f>
        <v/>
      </c>
      <c r="Q422">
        <f>IF(E422="","",IF(I422="أجور عمال","أجرة","مادة"))</f>
        <v/>
      </c>
    </row>
    <row r="423">
      <c r="A423" s="12">
        <f>IF(E423="","",ROW()-6)</f>
        <v/>
      </c>
      <c r="B423" s="13" t="n"/>
      <c r="C423" s="12">
        <f>IF(B423="","",CHOOSE(WEEKDAY(B423,1),"الأحد","الاثنين","الثلاثاء","الأربعاء","الخميس","الجمعة","السبت"))</f>
        <v/>
      </c>
      <c r="D423" s="14" t="n"/>
      <c r="E423" s="15" t="n"/>
      <c r="F423" s="16" t="n"/>
      <c r="G423" s="17" t="n"/>
      <c r="H423" s="18">
        <f>IF(OR(F423="",G423=""),"",ROUND(F423*G423,2))</f>
        <v/>
      </c>
      <c r="I423" s="19">
        <f>IF(ISNUMBER(SEARCH("ستاند",D423)),"أثاث وستاندات","")</f>
        <v/>
      </c>
      <c r="J423" s="20">
        <f>IF(E423="","",IF(I423="","⚠ عبّي الغرض",IF(AND(D423&lt;&gt;"",OR(ISNUMBER(SEARCH("صيانة",D423)),ISNUMBER(SEARCH("تعزيل",D423)),ISNUMBER(SEARCH("تنظيف",D423)),ISNUMBER(SEARCH("تصليح",D423)))),"⚠ الصيانة بلا ورشة",IF(H423="","⚠ ناقص",IF(D423&lt;&gt;"",IF(SUMIF($D$7:$D$806,D423,$H$7:$H$806)&gt;=20,"أصل","مصروف"),IFERROR(IF(VLOOKUP(I423,'القوائم'!$A$2:$D$14,4,0)="زكاة وصدقة","زكاة وصدقة",IF(AND(VLOOKUP(I423,'القوائم'!$A$2:$D$14,3,0)&lt;&gt;"",H423&gt;=20),"أصل","مصروف")),"مصروف"))))))</f>
        <v/>
      </c>
      <c r="K423" s="21" t="n"/>
      <c r="L423" s="22" t="n"/>
      <c r="N423">
        <f>IF(B423="","",MONTH(B423))</f>
        <v/>
      </c>
      <c r="O423">
        <f>IF(B423="","",YEAR(B423))</f>
        <v/>
      </c>
      <c r="P423">
        <f>IF(AND(D423&lt;&gt;"",COUNTIF(D$7:D423,D423)=1),MAX(P$6:P422)+1,"")</f>
        <v/>
      </c>
      <c r="Q423">
        <f>IF(E423="","",IF(I423="أجور عمال","أجرة","مادة"))</f>
        <v/>
      </c>
    </row>
    <row r="424">
      <c r="A424" s="12">
        <f>IF(E424="","",ROW()-6)</f>
        <v/>
      </c>
      <c r="B424" s="13" t="n"/>
      <c r="C424" s="12">
        <f>IF(B424="","",CHOOSE(WEEKDAY(B424,1),"الأحد","الاثنين","الثلاثاء","الأربعاء","الخميس","الجمعة","السبت"))</f>
        <v/>
      </c>
      <c r="D424" s="14" t="n"/>
      <c r="E424" s="15" t="n"/>
      <c r="F424" s="16" t="n"/>
      <c r="G424" s="17" t="n"/>
      <c r="H424" s="18">
        <f>IF(OR(F424="",G424=""),"",ROUND(F424*G424,2))</f>
        <v/>
      </c>
      <c r="I424" s="19">
        <f>IF(ISNUMBER(SEARCH("ستاند",D424)),"أثاث وستاندات","")</f>
        <v/>
      </c>
      <c r="J424" s="20">
        <f>IF(E424="","",IF(I424="","⚠ عبّي الغرض",IF(AND(D424&lt;&gt;"",OR(ISNUMBER(SEARCH("صيانة",D424)),ISNUMBER(SEARCH("تعزيل",D424)),ISNUMBER(SEARCH("تنظيف",D424)),ISNUMBER(SEARCH("تصليح",D424)))),"⚠ الصيانة بلا ورشة",IF(H424="","⚠ ناقص",IF(D424&lt;&gt;"",IF(SUMIF($D$7:$D$806,D424,$H$7:$H$806)&gt;=20,"أصل","مصروف"),IFERROR(IF(VLOOKUP(I424,'القوائم'!$A$2:$D$14,4,0)="زكاة وصدقة","زكاة وصدقة",IF(AND(VLOOKUP(I424,'القوائم'!$A$2:$D$14,3,0)&lt;&gt;"",H424&gt;=20),"أصل","مصروف")),"مصروف"))))))</f>
        <v/>
      </c>
      <c r="K424" s="21" t="n"/>
      <c r="L424" s="22" t="n"/>
      <c r="N424">
        <f>IF(B424="","",MONTH(B424))</f>
        <v/>
      </c>
      <c r="O424">
        <f>IF(B424="","",YEAR(B424))</f>
        <v/>
      </c>
      <c r="P424">
        <f>IF(AND(D424&lt;&gt;"",COUNTIF(D$7:D424,D424)=1),MAX(P$6:P423)+1,"")</f>
        <v/>
      </c>
      <c r="Q424">
        <f>IF(E424="","",IF(I424="أجور عمال","أجرة","مادة"))</f>
        <v/>
      </c>
    </row>
    <row r="425">
      <c r="A425" s="12">
        <f>IF(E425="","",ROW()-6)</f>
        <v/>
      </c>
      <c r="B425" s="13" t="n"/>
      <c r="C425" s="12">
        <f>IF(B425="","",CHOOSE(WEEKDAY(B425,1),"الأحد","الاثنين","الثلاثاء","الأربعاء","الخميس","الجمعة","السبت"))</f>
        <v/>
      </c>
      <c r="D425" s="14" t="n"/>
      <c r="E425" s="15" t="n"/>
      <c r="F425" s="16" t="n"/>
      <c r="G425" s="17" t="n"/>
      <c r="H425" s="18">
        <f>IF(OR(F425="",G425=""),"",ROUND(F425*G425,2))</f>
        <v/>
      </c>
      <c r="I425" s="19">
        <f>IF(ISNUMBER(SEARCH("ستاند",D425)),"أثاث وستاندات","")</f>
        <v/>
      </c>
      <c r="J425" s="20">
        <f>IF(E425="","",IF(I425="","⚠ عبّي الغرض",IF(AND(D425&lt;&gt;"",OR(ISNUMBER(SEARCH("صيانة",D425)),ISNUMBER(SEARCH("تعزيل",D425)),ISNUMBER(SEARCH("تنظيف",D425)),ISNUMBER(SEARCH("تصليح",D425)))),"⚠ الصيانة بلا ورشة",IF(H425="","⚠ ناقص",IF(D425&lt;&gt;"",IF(SUMIF($D$7:$D$806,D425,$H$7:$H$806)&gt;=20,"أصل","مصروف"),IFERROR(IF(VLOOKUP(I425,'القوائم'!$A$2:$D$14,4,0)="زكاة وصدقة","زكاة وصدقة",IF(AND(VLOOKUP(I425,'القوائم'!$A$2:$D$14,3,0)&lt;&gt;"",H425&gt;=20),"أصل","مصروف")),"مصروف"))))))</f>
        <v/>
      </c>
      <c r="K425" s="21" t="n"/>
      <c r="L425" s="22" t="n"/>
      <c r="N425">
        <f>IF(B425="","",MONTH(B425))</f>
        <v/>
      </c>
      <c r="O425">
        <f>IF(B425="","",YEAR(B425))</f>
        <v/>
      </c>
      <c r="P425">
        <f>IF(AND(D425&lt;&gt;"",COUNTIF(D$7:D425,D425)=1),MAX(P$6:P424)+1,"")</f>
        <v/>
      </c>
      <c r="Q425">
        <f>IF(E425="","",IF(I425="أجور عمال","أجرة","مادة"))</f>
        <v/>
      </c>
    </row>
    <row r="426">
      <c r="A426" s="12">
        <f>IF(E426="","",ROW()-6)</f>
        <v/>
      </c>
      <c r="B426" s="13" t="n"/>
      <c r="C426" s="12">
        <f>IF(B426="","",CHOOSE(WEEKDAY(B426,1),"الأحد","الاثنين","الثلاثاء","الأربعاء","الخميس","الجمعة","السبت"))</f>
        <v/>
      </c>
      <c r="D426" s="14" t="n"/>
      <c r="E426" s="15" t="n"/>
      <c r="F426" s="16" t="n"/>
      <c r="G426" s="17" t="n"/>
      <c r="H426" s="18">
        <f>IF(OR(F426="",G426=""),"",ROUND(F426*G426,2))</f>
        <v/>
      </c>
      <c r="I426" s="19">
        <f>IF(ISNUMBER(SEARCH("ستاند",D426)),"أثاث وستاندات","")</f>
        <v/>
      </c>
      <c r="J426" s="20">
        <f>IF(E426="","",IF(I426="","⚠ عبّي الغرض",IF(AND(D426&lt;&gt;"",OR(ISNUMBER(SEARCH("صيانة",D426)),ISNUMBER(SEARCH("تعزيل",D426)),ISNUMBER(SEARCH("تنظيف",D426)),ISNUMBER(SEARCH("تصليح",D426)))),"⚠ الصيانة بلا ورشة",IF(H426="","⚠ ناقص",IF(D426&lt;&gt;"",IF(SUMIF($D$7:$D$806,D426,$H$7:$H$806)&gt;=20,"أصل","مصروف"),IFERROR(IF(VLOOKUP(I426,'القوائم'!$A$2:$D$14,4,0)="زكاة وصدقة","زكاة وصدقة",IF(AND(VLOOKUP(I426,'القوائم'!$A$2:$D$14,3,0)&lt;&gt;"",H426&gt;=20),"أصل","مصروف")),"مصروف"))))))</f>
        <v/>
      </c>
      <c r="K426" s="21" t="n"/>
      <c r="L426" s="22" t="n"/>
      <c r="N426">
        <f>IF(B426="","",MONTH(B426))</f>
        <v/>
      </c>
      <c r="O426">
        <f>IF(B426="","",YEAR(B426))</f>
        <v/>
      </c>
      <c r="P426">
        <f>IF(AND(D426&lt;&gt;"",COUNTIF(D$7:D426,D426)=1),MAX(P$6:P425)+1,"")</f>
        <v/>
      </c>
      <c r="Q426">
        <f>IF(E426="","",IF(I426="أجور عمال","أجرة","مادة"))</f>
        <v/>
      </c>
    </row>
    <row r="427">
      <c r="A427" s="12">
        <f>IF(E427="","",ROW()-6)</f>
        <v/>
      </c>
      <c r="B427" s="13" t="n"/>
      <c r="C427" s="12">
        <f>IF(B427="","",CHOOSE(WEEKDAY(B427,1),"الأحد","الاثنين","الثلاثاء","الأربعاء","الخميس","الجمعة","السبت"))</f>
        <v/>
      </c>
      <c r="D427" s="14" t="n"/>
      <c r="E427" s="15" t="n"/>
      <c r="F427" s="16" t="n"/>
      <c r="G427" s="17" t="n"/>
      <c r="H427" s="18">
        <f>IF(OR(F427="",G427=""),"",ROUND(F427*G427,2))</f>
        <v/>
      </c>
      <c r="I427" s="19">
        <f>IF(ISNUMBER(SEARCH("ستاند",D427)),"أثاث وستاندات","")</f>
        <v/>
      </c>
      <c r="J427" s="20">
        <f>IF(E427="","",IF(I427="","⚠ عبّي الغرض",IF(AND(D427&lt;&gt;"",OR(ISNUMBER(SEARCH("صيانة",D427)),ISNUMBER(SEARCH("تعزيل",D427)),ISNUMBER(SEARCH("تنظيف",D427)),ISNUMBER(SEARCH("تصليح",D427)))),"⚠ الصيانة بلا ورشة",IF(H427="","⚠ ناقص",IF(D427&lt;&gt;"",IF(SUMIF($D$7:$D$806,D427,$H$7:$H$806)&gt;=20,"أصل","مصروف"),IFERROR(IF(VLOOKUP(I427,'القوائم'!$A$2:$D$14,4,0)="زكاة وصدقة","زكاة وصدقة",IF(AND(VLOOKUP(I427,'القوائم'!$A$2:$D$14,3,0)&lt;&gt;"",H427&gt;=20),"أصل","مصروف")),"مصروف"))))))</f>
        <v/>
      </c>
      <c r="K427" s="21" t="n"/>
      <c r="L427" s="22" t="n"/>
      <c r="N427">
        <f>IF(B427="","",MONTH(B427))</f>
        <v/>
      </c>
      <c r="O427">
        <f>IF(B427="","",YEAR(B427))</f>
        <v/>
      </c>
      <c r="P427">
        <f>IF(AND(D427&lt;&gt;"",COUNTIF(D$7:D427,D427)=1),MAX(P$6:P426)+1,"")</f>
        <v/>
      </c>
      <c r="Q427">
        <f>IF(E427="","",IF(I427="أجور عمال","أجرة","مادة"))</f>
        <v/>
      </c>
    </row>
    <row r="428">
      <c r="A428" s="12">
        <f>IF(E428="","",ROW()-6)</f>
        <v/>
      </c>
      <c r="B428" s="13" t="n"/>
      <c r="C428" s="12">
        <f>IF(B428="","",CHOOSE(WEEKDAY(B428,1),"الأحد","الاثنين","الثلاثاء","الأربعاء","الخميس","الجمعة","السبت"))</f>
        <v/>
      </c>
      <c r="D428" s="14" t="n"/>
      <c r="E428" s="15" t="n"/>
      <c r="F428" s="16" t="n"/>
      <c r="G428" s="17" t="n"/>
      <c r="H428" s="18">
        <f>IF(OR(F428="",G428=""),"",ROUND(F428*G428,2))</f>
        <v/>
      </c>
      <c r="I428" s="19">
        <f>IF(ISNUMBER(SEARCH("ستاند",D428)),"أثاث وستاندات","")</f>
        <v/>
      </c>
      <c r="J428" s="20">
        <f>IF(E428="","",IF(I428="","⚠ عبّي الغرض",IF(AND(D428&lt;&gt;"",OR(ISNUMBER(SEARCH("صيانة",D428)),ISNUMBER(SEARCH("تعزيل",D428)),ISNUMBER(SEARCH("تنظيف",D428)),ISNUMBER(SEARCH("تصليح",D428)))),"⚠ الصيانة بلا ورشة",IF(H428="","⚠ ناقص",IF(D428&lt;&gt;"",IF(SUMIF($D$7:$D$806,D428,$H$7:$H$806)&gt;=20,"أصل","مصروف"),IFERROR(IF(VLOOKUP(I428,'القوائم'!$A$2:$D$14,4,0)="زكاة وصدقة","زكاة وصدقة",IF(AND(VLOOKUP(I428,'القوائم'!$A$2:$D$14,3,0)&lt;&gt;"",H428&gt;=20),"أصل","مصروف")),"مصروف"))))))</f>
        <v/>
      </c>
      <c r="K428" s="21" t="n"/>
      <c r="L428" s="22" t="n"/>
      <c r="N428">
        <f>IF(B428="","",MONTH(B428))</f>
        <v/>
      </c>
      <c r="O428">
        <f>IF(B428="","",YEAR(B428))</f>
        <v/>
      </c>
      <c r="P428">
        <f>IF(AND(D428&lt;&gt;"",COUNTIF(D$7:D428,D428)=1),MAX(P$6:P427)+1,"")</f>
        <v/>
      </c>
      <c r="Q428">
        <f>IF(E428="","",IF(I428="أجور عمال","أجرة","مادة"))</f>
        <v/>
      </c>
    </row>
    <row r="429">
      <c r="A429" s="12">
        <f>IF(E429="","",ROW()-6)</f>
        <v/>
      </c>
      <c r="B429" s="13" t="n"/>
      <c r="C429" s="12">
        <f>IF(B429="","",CHOOSE(WEEKDAY(B429,1),"الأحد","الاثنين","الثلاثاء","الأربعاء","الخميس","الجمعة","السبت"))</f>
        <v/>
      </c>
      <c r="D429" s="14" t="n"/>
      <c r="E429" s="15" t="n"/>
      <c r="F429" s="16" t="n"/>
      <c r="G429" s="17" t="n"/>
      <c r="H429" s="18">
        <f>IF(OR(F429="",G429=""),"",ROUND(F429*G429,2))</f>
        <v/>
      </c>
      <c r="I429" s="19">
        <f>IF(ISNUMBER(SEARCH("ستاند",D429)),"أثاث وستاندات","")</f>
        <v/>
      </c>
      <c r="J429" s="20">
        <f>IF(E429="","",IF(I429="","⚠ عبّي الغرض",IF(AND(D429&lt;&gt;"",OR(ISNUMBER(SEARCH("صيانة",D429)),ISNUMBER(SEARCH("تعزيل",D429)),ISNUMBER(SEARCH("تنظيف",D429)),ISNUMBER(SEARCH("تصليح",D429)))),"⚠ الصيانة بلا ورشة",IF(H429="","⚠ ناقص",IF(D429&lt;&gt;"",IF(SUMIF($D$7:$D$806,D429,$H$7:$H$806)&gt;=20,"أصل","مصروف"),IFERROR(IF(VLOOKUP(I429,'القوائم'!$A$2:$D$14,4,0)="زكاة وصدقة","زكاة وصدقة",IF(AND(VLOOKUP(I429,'القوائم'!$A$2:$D$14,3,0)&lt;&gt;"",H429&gt;=20),"أصل","مصروف")),"مصروف"))))))</f>
        <v/>
      </c>
      <c r="K429" s="21" t="n"/>
      <c r="L429" s="22" t="n"/>
      <c r="N429">
        <f>IF(B429="","",MONTH(B429))</f>
        <v/>
      </c>
      <c r="O429">
        <f>IF(B429="","",YEAR(B429))</f>
        <v/>
      </c>
      <c r="P429">
        <f>IF(AND(D429&lt;&gt;"",COUNTIF(D$7:D429,D429)=1),MAX(P$6:P428)+1,"")</f>
        <v/>
      </c>
      <c r="Q429">
        <f>IF(E429="","",IF(I429="أجور عمال","أجرة","مادة"))</f>
        <v/>
      </c>
    </row>
    <row r="430">
      <c r="A430" s="12">
        <f>IF(E430="","",ROW()-6)</f>
        <v/>
      </c>
      <c r="B430" s="13" t="n"/>
      <c r="C430" s="12">
        <f>IF(B430="","",CHOOSE(WEEKDAY(B430,1),"الأحد","الاثنين","الثلاثاء","الأربعاء","الخميس","الجمعة","السبت"))</f>
        <v/>
      </c>
      <c r="D430" s="14" t="n"/>
      <c r="E430" s="15" t="n"/>
      <c r="F430" s="16" t="n"/>
      <c r="G430" s="17" t="n"/>
      <c r="H430" s="18">
        <f>IF(OR(F430="",G430=""),"",ROUND(F430*G430,2))</f>
        <v/>
      </c>
      <c r="I430" s="19">
        <f>IF(ISNUMBER(SEARCH("ستاند",D430)),"أثاث وستاندات","")</f>
        <v/>
      </c>
      <c r="J430" s="20">
        <f>IF(E430="","",IF(I430="","⚠ عبّي الغرض",IF(AND(D430&lt;&gt;"",OR(ISNUMBER(SEARCH("صيانة",D430)),ISNUMBER(SEARCH("تعزيل",D430)),ISNUMBER(SEARCH("تنظيف",D430)),ISNUMBER(SEARCH("تصليح",D430)))),"⚠ الصيانة بلا ورشة",IF(H430="","⚠ ناقص",IF(D430&lt;&gt;"",IF(SUMIF($D$7:$D$806,D430,$H$7:$H$806)&gt;=20,"أصل","مصروف"),IFERROR(IF(VLOOKUP(I430,'القوائم'!$A$2:$D$14,4,0)="زكاة وصدقة","زكاة وصدقة",IF(AND(VLOOKUP(I430,'القوائم'!$A$2:$D$14,3,0)&lt;&gt;"",H430&gt;=20),"أصل","مصروف")),"مصروف"))))))</f>
        <v/>
      </c>
      <c r="K430" s="21" t="n"/>
      <c r="L430" s="22" t="n"/>
      <c r="N430">
        <f>IF(B430="","",MONTH(B430))</f>
        <v/>
      </c>
      <c r="O430">
        <f>IF(B430="","",YEAR(B430))</f>
        <v/>
      </c>
      <c r="P430">
        <f>IF(AND(D430&lt;&gt;"",COUNTIF(D$7:D430,D430)=1),MAX(P$6:P429)+1,"")</f>
        <v/>
      </c>
      <c r="Q430">
        <f>IF(E430="","",IF(I430="أجور عمال","أجرة","مادة"))</f>
        <v/>
      </c>
    </row>
    <row r="431">
      <c r="A431" s="12">
        <f>IF(E431="","",ROW()-6)</f>
        <v/>
      </c>
      <c r="B431" s="13" t="n"/>
      <c r="C431" s="12">
        <f>IF(B431="","",CHOOSE(WEEKDAY(B431,1),"الأحد","الاثنين","الثلاثاء","الأربعاء","الخميس","الجمعة","السبت"))</f>
        <v/>
      </c>
      <c r="D431" s="14" t="n"/>
      <c r="E431" s="15" t="n"/>
      <c r="F431" s="16" t="n"/>
      <c r="G431" s="17" t="n"/>
      <c r="H431" s="18">
        <f>IF(OR(F431="",G431=""),"",ROUND(F431*G431,2))</f>
        <v/>
      </c>
      <c r="I431" s="19">
        <f>IF(ISNUMBER(SEARCH("ستاند",D431)),"أثاث وستاندات","")</f>
        <v/>
      </c>
      <c r="J431" s="20">
        <f>IF(E431="","",IF(I431="","⚠ عبّي الغرض",IF(AND(D431&lt;&gt;"",OR(ISNUMBER(SEARCH("صيانة",D431)),ISNUMBER(SEARCH("تعزيل",D431)),ISNUMBER(SEARCH("تنظيف",D431)),ISNUMBER(SEARCH("تصليح",D431)))),"⚠ الصيانة بلا ورشة",IF(H431="","⚠ ناقص",IF(D431&lt;&gt;"",IF(SUMIF($D$7:$D$806,D431,$H$7:$H$806)&gt;=20,"أصل","مصروف"),IFERROR(IF(VLOOKUP(I431,'القوائم'!$A$2:$D$14,4,0)="زكاة وصدقة","زكاة وصدقة",IF(AND(VLOOKUP(I431,'القوائم'!$A$2:$D$14,3,0)&lt;&gt;"",H431&gt;=20),"أصل","مصروف")),"مصروف"))))))</f>
        <v/>
      </c>
      <c r="K431" s="21" t="n"/>
      <c r="L431" s="22" t="n"/>
      <c r="N431">
        <f>IF(B431="","",MONTH(B431))</f>
        <v/>
      </c>
      <c r="O431">
        <f>IF(B431="","",YEAR(B431))</f>
        <v/>
      </c>
      <c r="P431">
        <f>IF(AND(D431&lt;&gt;"",COUNTIF(D$7:D431,D431)=1),MAX(P$6:P430)+1,"")</f>
        <v/>
      </c>
      <c r="Q431">
        <f>IF(E431="","",IF(I431="أجور عمال","أجرة","مادة"))</f>
        <v/>
      </c>
    </row>
    <row r="432">
      <c r="A432" s="12">
        <f>IF(E432="","",ROW()-6)</f>
        <v/>
      </c>
      <c r="B432" s="13" t="n"/>
      <c r="C432" s="12">
        <f>IF(B432="","",CHOOSE(WEEKDAY(B432,1),"الأحد","الاثنين","الثلاثاء","الأربعاء","الخميس","الجمعة","السبت"))</f>
        <v/>
      </c>
      <c r="D432" s="14" t="n"/>
      <c r="E432" s="15" t="n"/>
      <c r="F432" s="16" t="n"/>
      <c r="G432" s="17" t="n"/>
      <c r="H432" s="18">
        <f>IF(OR(F432="",G432=""),"",ROUND(F432*G432,2))</f>
        <v/>
      </c>
      <c r="I432" s="19">
        <f>IF(ISNUMBER(SEARCH("ستاند",D432)),"أثاث وستاندات","")</f>
        <v/>
      </c>
      <c r="J432" s="20">
        <f>IF(E432="","",IF(I432="","⚠ عبّي الغرض",IF(AND(D432&lt;&gt;"",OR(ISNUMBER(SEARCH("صيانة",D432)),ISNUMBER(SEARCH("تعزيل",D432)),ISNUMBER(SEARCH("تنظيف",D432)),ISNUMBER(SEARCH("تصليح",D432)))),"⚠ الصيانة بلا ورشة",IF(H432="","⚠ ناقص",IF(D432&lt;&gt;"",IF(SUMIF($D$7:$D$806,D432,$H$7:$H$806)&gt;=20,"أصل","مصروف"),IFERROR(IF(VLOOKUP(I432,'القوائم'!$A$2:$D$14,4,0)="زكاة وصدقة","زكاة وصدقة",IF(AND(VLOOKUP(I432,'القوائم'!$A$2:$D$14,3,0)&lt;&gt;"",H432&gt;=20),"أصل","مصروف")),"مصروف"))))))</f>
        <v/>
      </c>
      <c r="K432" s="21" t="n"/>
      <c r="L432" s="22" t="n"/>
      <c r="N432">
        <f>IF(B432="","",MONTH(B432))</f>
        <v/>
      </c>
      <c r="O432">
        <f>IF(B432="","",YEAR(B432))</f>
        <v/>
      </c>
      <c r="P432">
        <f>IF(AND(D432&lt;&gt;"",COUNTIF(D$7:D432,D432)=1),MAX(P$6:P431)+1,"")</f>
        <v/>
      </c>
      <c r="Q432">
        <f>IF(E432="","",IF(I432="أجور عمال","أجرة","مادة"))</f>
        <v/>
      </c>
    </row>
    <row r="433">
      <c r="A433" s="12">
        <f>IF(E433="","",ROW()-6)</f>
        <v/>
      </c>
      <c r="B433" s="13" t="n"/>
      <c r="C433" s="12">
        <f>IF(B433="","",CHOOSE(WEEKDAY(B433,1),"الأحد","الاثنين","الثلاثاء","الأربعاء","الخميس","الجمعة","السبت"))</f>
        <v/>
      </c>
      <c r="D433" s="14" t="n"/>
      <c r="E433" s="15" t="n"/>
      <c r="F433" s="16" t="n"/>
      <c r="G433" s="17" t="n"/>
      <c r="H433" s="18">
        <f>IF(OR(F433="",G433=""),"",ROUND(F433*G433,2))</f>
        <v/>
      </c>
      <c r="I433" s="19">
        <f>IF(ISNUMBER(SEARCH("ستاند",D433)),"أثاث وستاندات","")</f>
        <v/>
      </c>
      <c r="J433" s="20">
        <f>IF(E433="","",IF(I433="","⚠ عبّي الغرض",IF(AND(D433&lt;&gt;"",OR(ISNUMBER(SEARCH("صيانة",D433)),ISNUMBER(SEARCH("تعزيل",D433)),ISNUMBER(SEARCH("تنظيف",D433)),ISNUMBER(SEARCH("تصليح",D433)))),"⚠ الصيانة بلا ورشة",IF(H433="","⚠ ناقص",IF(D433&lt;&gt;"",IF(SUMIF($D$7:$D$806,D433,$H$7:$H$806)&gt;=20,"أصل","مصروف"),IFERROR(IF(VLOOKUP(I433,'القوائم'!$A$2:$D$14,4,0)="زكاة وصدقة","زكاة وصدقة",IF(AND(VLOOKUP(I433,'القوائم'!$A$2:$D$14,3,0)&lt;&gt;"",H433&gt;=20),"أصل","مصروف")),"مصروف"))))))</f>
        <v/>
      </c>
      <c r="K433" s="21" t="n"/>
      <c r="L433" s="22" t="n"/>
      <c r="N433">
        <f>IF(B433="","",MONTH(B433))</f>
        <v/>
      </c>
      <c r="O433">
        <f>IF(B433="","",YEAR(B433))</f>
        <v/>
      </c>
      <c r="P433">
        <f>IF(AND(D433&lt;&gt;"",COUNTIF(D$7:D433,D433)=1),MAX(P$6:P432)+1,"")</f>
        <v/>
      </c>
      <c r="Q433">
        <f>IF(E433="","",IF(I433="أجور عمال","أجرة","مادة"))</f>
        <v/>
      </c>
    </row>
    <row r="434">
      <c r="A434" s="12">
        <f>IF(E434="","",ROW()-6)</f>
        <v/>
      </c>
      <c r="B434" s="13" t="n"/>
      <c r="C434" s="12">
        <f>IF(B434="","",CHOOSE(WEEKDAY(B434,1),"الأحد","الاثنين","الثلاثاء","الأربعاء","الخميس","الجمعة","السبت"))</f>
        <v/>
      </c>
      <c r="D434" s="14" t="n"/>
      <c r="E434" s="15" t="n"/>
      <c r="F434" s="16" t="n"/>
      <c r="G434" s="17" t="n"/>
      <c r="H434" s="18">
        <f>IF(OR(F434="",G434=""),"",ROUND(F434*G434,2))</f>
        <v/>
      </c>
      <c r="I434" s="19">
        <f>IF(ISNUMBER(SEARCH("ستاند",D434)),"أثاث وستاندات","")</f>
        <v/>
      </c>
      <c r="J434" s="20">
        <f>IF(E434="","",IF(I434="","⚠ عبّي الغرض",IF(AND(D434&lt;&gt;"",OR(ISNUMBER(SEARCH("صيانة",D434)),ISNUMBER(SEARCH("تعزيل",D434)),ISNUMBER(SEARCH("تنظيف",D434)),ISNUMBER(SEARCH("تصليح",D434)))),"⚠ الصيانة بلا ورشة",IF(H434="","⚠ ناقص",IF(D434&lt;&gt;"",IF(SUMIF($D$7:$D$806,D434,$H$7:$H$806)&gt;=20,"أصل","مصروف"),IFERROR(IF(VLOOKUP(I434,'القوائم'!$A$2:$D$14,4,0)="زكاة وصدقة","زكاة وصدقة",IF(AND(VLOOKUP(I434,'القوائم'!$A$2:$D$14,3,0)&lt;&gt;"",H434&gt;=20),"أصل","مصروف")),"مصروف"))))))</f>
        <v/>
      </c>
      <c r="K434" s="21" t="n"/>
      <c r="L434" s="22" t="n"/>
      <c r="N434">
        <f>IF(B434="","",MONTH(B434))</f>
        <v/>
      </c>
      <c r="O434">
        <f>IF(B434="","",YEAR(B434))</f>
        <v/>
      </c>
      <c r="P434">
        <f>IF(AND(D434&lt;&gt;"",COUNTIF(D$7:D434,D434)=1),MAX(P$6:P433)+1,"")</f>
        <v/>
      </c>
      <c r="Q434">
        <f>IF(E434="","",IF(I434="أجور عمال","أجرة","مادة"))</f>
        <v/>
      </c>
    </row>
    <row r="435">
      <c r="A435" s="12">
        <f>IF(E435="","",ROW()-6)</f>
        <v/>
      </c>
      <c r="B435" s="13" t="n"/>
      <c r="C435" s="12">
        <f>IF(B435="","",CHOOSE(WEEKDAY(B435,1),"الأحد","الاثنين","الثلاثاء","الأربعاء","الخميس","الجمعة","السبت"))</f>
        <v/>
      </c>
      <c r="D435" s="14" t="n"/>
      <c r="E435" s="15" t="n"/>
      <c r="F435" s="16" t="n"/>
      <c r="G435" s="17" t="n"/>
      <c r="H435" s="18">
        <f>IF(OR(F435="",G435=""),"",ROUND(F435*G435,2))</f>
        <v/>
      </c>
      <c r="I435" s="19">
        <f>IF(ISNUMBER(SEARCH("ستاند",D435)),"أثاث وستاندات","")</f>
        <v/>
      </c>
      <c r="J435" s="20">
        <f>IF(E435="","",IF(I435="","⚠ عبّي الغرض",IF(AND(D435&lt;&gt;"",OR(ISNUMBER(SEARCH("صيانة",D435)),ISNUMBER(SEARCH("تعزيل",D435)),ISNUMBER(SEARCH("تنظيف",D435)),ISNUMBER(SEARCH("تصليح",D435)))),"⚠ الصيانة بلا ورشة",IF(H435="","⚠ ناقص",IF(D435&lt;&gt;"",IF(SUMIF($D$7:$D$806,D435,$H$7:$H$806)&gt;=20,"أصل","مصروف"),IFERROR(IF(VLOOKUP(I435,'القوائم'!$A$2:$D$14,4,0)="زكاة وصدقة","زكاة وصدقة",IF(AND(VLOOKUP(I435,'القوائم'!$A$2:$D$14,3,0)&lt;&gt;"",H435&gt;=20),"أصل","مصروف")),"مصروف"))))))</f>
        <v/>
      </c>
      <c r="K435" s="21" t="n"/>
      <c r="L435" s="22" t="n"/>
      <c r="N435">
        <f>IF(B435="","",MONTH(B435))</f>
        <v/>
      </c>
      <c r="O435">
        <f>IF(B435="","",YEAR(B435))</f>
        <v/>
      </c>
      <c r="P435">
        <f>IF(AND(D435&lt;&gt;"",COUNTIF(D$7:D435,D435)=1),MAX(P$6:P434)+1,"")</f>
        <v/>
      </c>
      <c r="Q435">
        <f>IF(E435="","",IF(I435="أجور عمال","أجرة","مادة"))</f>
        <v/>
      </c>
    </row>
    <row r="436">
      <c r="A436" s="12">
        <f>IF(E436="","",ROW()-6)</f>
        <v/>
      </c>
      <c r="B436" s="13" t="n"/>
      <c r="C436" s="12">
        <f>IF(B436="","",CHOOSE(WEEKDAY(B436,1),"الأحد","الاثنين","الثلاثاء","الأربعاء","الخميس","الجمعة","السبت"))</f>
        <v/>
      </c>
      <c r="D436" s="14" t="n"/>
      <c r="E436" s="15" t="n"/>
      <c r="F436" s="16" t="n"/>
      <c r="G436" s="17" t="n"/>
      <c r="H436" s="18">
        <f>IF(OR(F436="",G436=""),"",ROUND(F436*G436,2))</f>
        <v/>
      </c>
      <c r="I436" s="19">
        <f>IF(ISNUMBER(SEARCH("ستاند",D436)),"أثاث وستاندات","")</f>
        <v/>
      </c>
      <c r="J436" s="20">
        <f>IF(E436="","",IF(I436="","⚠ عبّي الغرض",IF(AND(D436&lt;&gt;"",OR(ISNUMBER(SEARCH("صيانة",D436)),ISNUMBER(SEARCH("تعزيل",D436)),ISNUMBER(SEARCH("تنظيف",D436)),ISNUMBER(SEARCH("تصليح",D436)))),"⚠ الصيانة بلا ورشة",IF(H436="","⚠ ناقص",IF(D436&lt;&gt;"",IF(SUMIF($D$7:$D$806,D436,$H$7:$H$806)&gt;=20,"أصل","مصروف"),IFERROR(IF(VLOOKUP(I436,'القوائم'!$A$2:$D$14,4,0)="زكاة وصدقة","زكاة وصدقة",IF(AND(VLOOKUP(I436,'القوائم'!$A$2:$D$14,3,0)&lt;&gt;"",H436&gt;=20),"أصل","مصروف")),"مصروف"))))))</f>
        <v/>
      </c>
      <c r="K436" s="21" t="n"/>
      <c r="L436" s="22" t="n"/>
      <c r="N436">
        <f>IF(B436="","",MONTH(B436))</f>
        <v/>
      </c>
      <c r="O436">
        <f>IF(B436="","",YEAR(B436))</f>
        <v/>
      </c>
      <c r="P436">
        <f>IF(AND(D436&lt;&gt;"",COUNTIF(D$7:D436,D436)=1),MAX(P$6:P435)+1,"")</f>
        <v/>
      </c>
      <c r="Q436">
        <f>IF(E436="","",IF(I436="أجور عمال","أجرة","مادة"))</f>
        <v/>
      </c>
    </row>
    <row r="437">
      <c r="A437" s="12">
        <f>IF(E437="","",ROW()-6)</f>
        <v/>
      </c>
      <c r="B437" s="13" t="n"/>
      <c r="C437" s="12">
        <f>IF(B437="","",CHOOSE(WEEKDAY(B437,1),"الأحد","الاثنين","الثلاثاء","الأربعاء","الخميس","الجمعة","السبت"))</f>
        <v/>
      </c>
      <c r="D437" s="14" t="n"/>
      <c r="E437" s="15" t="n"/>
      <c r="F437" s="16" t="n"/>
      <c r="G437" s="17" t="n"/>
      <c r="H437" s="18">
        <f>IF(OR(F437="",G437=""),"",ROUND(F437*G437,2))</f>
        <v/>
      </c>
      <c r="I437" s="19">
        <f>IF(ISNUMBER(SEARCH("ستاند",D437)),"أثاث وستاندات","")</f>
        <v/>
      </c>
      <c r="J437" s="20">
        <f>IF(E437="","",IF(I437="","⚠ عبّي الغرض",IF(AND(D437&lt;&gt;"",OR(ISNUMBER(SEARCH("صيانة",D437)),ISNUMBER(SEARCH("تعزيل",D437)),ISNUMBER(SEARCH("تنظيف",D437)),ISNUMBER(SEARCH("تصليح",D437)))),"⚠ الصيانة بلا ورشة",IF(H437="","⚠ ناقص",IF(D437&lt;&gt;"",IF(SUMIF($D$7:$D$806,D437,$H$7:$H$806)&gt;=20,"أصل","مصروف"),IFERROR(IF(VLOOKUP(I437,'القوائم'!$A$2:$D$14,4,0)="زكاة وصدقة","زكاة وصدقة",IF(AND(VLOOKUP(I437,'القوائم'!$A$2:$D$14,3,0)&lt;&gt;"",H437&gt;=20),"أصل","مصروف")),"مصروف"))))))</f>
        <v/>
      </c>
      <c r="K437" s="21" t="n"/>
      <c r="L437" s="22" t="n"/>
      <c r="N437">
        <f>IF(B437="","",MONTH(B437))</f>
        <v/>
      </c>
      <c r="O437">
        <f>IF(B437="","",YEAR(B437))</f>
        <v/>
      </c>
      <c r="P437">
        <f>IF(AND(D437&lt;&gt;"",COUNTIF(D$7:D437,D437)=1),MAX(P$6:P436)+1,"")</f>
        <v/>
      </c>
      <c r="Q437">
        <f>IF(E437="","",IF(I437="أجور عمال","أجرة","مادة"))</f>
        <v/>
      </c>
    </row>
    <row r="438">
      <c r="A438" s="12">
        <f>IF(E438="","",ROW()-6)</f>
        <v/>
      </c>
      <c r="B438" s="13" t="n"/>
      <c r="C438" s="12">
        <f>IF(B438="","",CHOOSE(WEEKDAY(B438,1),"الأحد","الاثنين","الثلاثاء","الأربعاء","الخميس","الجمعة","السبت"))</f>
        <v/>
      </c>
      <c r="D438" s="14" t="n"/>
      <c r="E438" s="15" t="n"/>
      <c r="F438" s="16" t="n"/>
      <c r="G438" s="17" t="n"/>
      <c r="H438" s="18">
        <f>IF(OR(F438="",G438=""),"",ROUND(F438*G438,2))</f>
        <v/>
      </c>
      <c r="I438" s="19">
        <f>IF(ISNUMBER(SEARCH("ستاند",D438)),"أثاث وستاندات","")</f>
        <v/>
      </c>
      <c r="J438" s="20">
        <f>IF(E438="","",IF(I438="","⚠ عبّي الغرض",IF(AND(D438&lt;&gt;"",OR(ISNUMBER(SEARCH("صيانة",D438)),ISNUMBER(SEARCH("تعزيل",D438)),ISNUMBER(SEARCH("تنظيف",D438)),ISNUMBER(SEARCH("تصليح",D438)))),"⚠ الصيانة بلا ورشة",IF(H438="","⚠ ناقص",IF(D438&lt;&gt;"",IF(SUMIF($D$7:$D$806,D438,$H$7:$H$806)&gt;=20,"أصل","مصروف"),IFERROR(IF(VLOOKUP(I438,'القوائم'!$A$2:$D$14,4,0)="زكاة وصدقة","زكاة وصدقة",IF(AND(VLOOKUP(I438,'القوائم'!$A$2:$D$14,3,0)&lt;&gt;"",H438&gt;=20),"أصل","مصروف")),"مصروف"))))))</f>
        <v/>
      </c>
      <c r="K438" s="21" t="n"/>
      <c r="L438" s="22" t="n"/>
      <c r="N438">
        <f>IF(B438="","",MONTH(B438))</f>
        <v/>
      </c>
      <c r="O438">
        <f>IF(B438="","",YEAR(B438))</f>
        <v/>
      </c>
      <c r="P438">
        <f>IF(AND(D438&lt;&gt;"",COUNTIF(D$7:D438,D438)=1),MAX(P$6:P437)+1,"")</f>
        <v/>
      </c>
      <c r="Q438">
        <f>IF(E438="","",IF(I438="أجور عمال","أجرة","مادة"))</f>
        <v/>
      </c>
    </row>
    <row r="439">
      <c r="A439" s="12">
        <f>IF(E439="","",ROW()-6)</f>
        <v/>
      </c>
      <c r="B439" s="13" t="n"/>
      <c r="C439" s="12">
        <f>IF(B439="","",CHOOSE(WEEKDAY(B439,1),"الأحد","الاثنين","الثلاثاء","الأربعاء","الخميس","الجمعة","السبت"))</f>
        <v/>
      </c>
      <c r="D439" s="14" t="n"/>
      <c r="E439" s="15" t="n"/>
      <c r="F439" s="16" t="n"/>
      <c r="G439" s="17" t="n"/>
      <c r="H439" s="18">
        <f>IF(OR(F439="",G439=""),"",ROUND(F439*G439,2))</f>
        <v/>
      </c>
      <c r="I439" s="19">
        <f>IF(ISNUMBER(SEARCH("ستاند",D439)),"أثاث وستاندات","")</f>
        <v/>
      </c>
      <c r="J439" s="20">
        <f>IF(E439="","",IF(I439="","⚠ عبّي الغرض",IF(AND(D439&lt;&gt;"",OR(ISNUMBER(SEARCH("صيانة",D439)),ISNUMBER(SEARCH("تعزيل",D439)),ISNUMBER(SEARCH("تنظيف",D439)),ISNUMBER(SEARCH("تصليح",D439)))),"⚠ الصيانة بلا ورشة",IF(H439="","⚠ ناقص",IF(D439&lt;&gt;"",IF(SUMIF($D$7:$D$806,D439,$H$7:$H$806)&gt;=20,"أصل","مصروف"),IFERROR(IF(VLOOKUP(I439,'القوائم'!$A$2:$D$14,4,0)="زكاة وصدقة","زكاة وصدقة",IF(AND(VLOOKUP(I439,'القوائم'!$A$2:$D$14,3,0)&lt;&gt;"",H439&gt;=20),"أصل","مصروف")),"مصروف"))))))</f>
        <v/>
      </c>
      <c r="K439" s="21" t="n"/>
      <c r="L439" s="22" t="n"/>
      <c r="N439">
        <f>IF(B439="","",MONTH(B439))</f>
        <v/>
      </c>
      <c r="O439">
        <f>IF(B439="","",YEAR(B439))</f>
        <v/>
      </c>
      <c r="P439">
        <f>IF(AND(D439&lt;&gt;"",COUNTIF(D$7:D439,D439)=1),MAX(P$6:P438)+1,"")</f>
        <v/>
      </c>
      <c r="Q439">
        <f>IF(E439="","",IF(I439="أجور عمال","أجرة","مادة"))</f>
        <v/>
      </c>
    </row>
    <row r="440">
      <c r="A440" s="12">
        <f>IF(E440="","",ROW()-6)</f>
        <v/>
      </c>
      <c r="B440" s="13" t="n"/>
      <c r="C440" s="12">
        <f>IF(B440="","",CHOOSE(WEEKDAY(B440,1),"الأحد","الاثنين","الثلاثاء","الأربعاء","الخميس","الجمعة","السبت"))</f>
        <v/>
      </c>
      <c r="D440" s="14" t="n"/>
      <c r="E440" s="15" t="n"/>
      <c r="F440" s="16" t="n"/>
      <c r="G440" s="17" t="n"/>
      <c r="H440" s="18">
        <f>IF(OR(F440="",G440=""),"",ROUND(F440*G440,2))</f>
        <v/>
      </c>
      <c r="I440" s="19">
        <f>IF(ISNUMBER(SEARCH("ستاند",D440)),"أثاث وستاندات","")</f>
        <v/>
      </c>
      <c r="J440" s="20">
        <f>IF(E440="","",IF(I440="","⚠ عبّي الغرض",IF(AND(D440&lt;&gt;"",OR(ISNUMBER(SEARCH("صيانة",D440)),ISNUMBER(SEARCH("تعزيل",D440)),ISNUMBER(SEARCH("تنظيف",D440)),ISNUMBER(SEARCH("تصليح",D440)))),"⚠ الصيانة بلا ورشة",IF(H440="","⚠ ناقص",IF(D440&lt;&gt;"",IF(SUMIF($D$7:$D$806,D440,$H$7:$H$806)&gt;=20,"أصل","مصروف"),IFERROR(IF(VLOOKUP(I440,'القوائم'!$A$2:$D$14,4,0)="زكاة وصدقة","زكاة وصدقة",IF(AND(VLOOKUP(I440,'القوائم'!$A$2:$D$14,3,0)&lt;&gt;"",H440&gt;=20),"أصل","مصروف")),"مصروف"))))))</f>
        <v/>
      </c>
      <c r="K440" s="21" t="n"/>
      <c r="L440" s="22" t="n"/>
      <c r="N440">
        <f>IF(B440="","",MONTH(B440))</f>
        <v/>
      </c>
      <c r="O440">
        <f>IF(B440="","",YEAR(B440))</f>
        <v/>
      </c>
      <c r="P440">
        <f>IF(AND(D440&lt;&gt;"",COUNTIF(D$7:D440,D440)=1),MAX(P$6:P439)+1,"")</f>
        <v/>
      </c>
      <c r="Q440">
        <f>IF(E440="","",IF(I440="أجور عمال","أجرة","مادة"))</f>
        <v/>
      </c>
    </row>
    <row r="441">
      <c r="A441" s="12">
        <f>IF(E441="","",ROW()-6)</f>
        <v/>
      </c>
      <c r="B441" s="13" t="n"/>
      <c r="C441" s="12">
        <f>IF(B441="","",CHOOSE(WEEKDAY(B441,1),"الأحد","الاثنين","الثلاثاء","الأربعاء","الخميس","الجمعة","السبت"))</f>
        <v/>
      </c>
      <c r="D441" s="14" t="n"/>
      <c r="E441" s="15" t="n"/>
      <c r="F441" s="16" t="n"/>
      <c r="G441" s="17" t="n"/>
      <c r="H441" s="18">
        <f>IF(OR(F441="",G441=""),"",ROUND(F441*G441,2))</f>
        <v/>
      </c>
      <c r="I441" s="19">
        <f>IF(ISNUMBER(SEARCH("ستاند",D441)),"أثاث وستاندات","")</f>
        <v/>
      </c>
      <c r="J441" s="20">
        <f>IF(E441="","",IF(I441="","⚠ عبّي الغرض",IF(AND(D441&lt;&gt;"",OR(ISNUMBER(SEARCH("صيانة",D441)),ISNUMBER(SEARCH("تعزيل",D441)),ISNUMBER(SEARCH("تنظيف",D441)),ISNUMBER(SEARCH("تصليح",D441)))),"⚠ الصيانة بلا ورشة",IF(H441="","⚠ ناقص",IF(D441&lt;&gt;"",IF(SUMIF($D$7:$D$806,D441,$H$7:$H$806)&gt;=20,"أصل","مصروف"),IFERROR(IF(VLOOKUP(I441,'القوائم'!$A$2:$D$14,4,0)="زكاة وصدقة","زكاة وصدقة",IF(AND(VLOOKUP(I441,'القوائم'!$A$2:$D$14,3,0)&lt;&gt;"",H441&gt;=20),"أصل","مصروف")),"مصروف"))))))</f>
        <v/>
      </c>
      <c r="K441" s="21" t="n"/>
      <c r="L441" s="22" t="n"/>
      <c r="N441">
        <f>IF(B441="","",MONTH(B441))</f>
        <v/>
      </c>
      <c r="O441">
        <f>IF(B441="","",YEAR(B441))</f>
        <v/>
      </c>
      <c r="P441">
        <f>IF(AND(D441&lt;&gt;"",COUNTIF(D$7:D441,D441)=1),MAX(P$6:P440)+1,"")</f>
        <v/>
      </c>
      <c r="Q441">
        <f>IF(E441="","",IF(I441="أجور عمال","أجرة","مادة"))</f>
        <v/>
      </c>
    </row>
    <row r="442">
      <c r="A442" s="12">
        <f>IF(E442="","",ROW()-6)</f>
        <v/>
      </c>
      <c r="B442" s="13" t="n"/>
      <c r="C442" s="12">
        <f>IF(B442="","",CHOOSE(WEEKDAY(B442,1),"الأحد","الاثنين","الثلاثاء","الأربعاء","الخميس","الجمعة","السبت"))</f>
        <v/>
      </c>
      <c r="D442" s="14" t="n"/>
      <c r="E442" s="15" t="n"/>
      <c r="F442" s="16" t="n"/>
      <c r="G442" s="17" t="n"/>
      <c r="H442" s="18">
        <f>IF(OR(F442="",G442=""),"",ROUND(F442*G442,2))</f>
        <v/>
      </c>
      <c r="I442" s="19">
        <f>IF(ISNUMBER(SEARCH("ستاند",D442)),"أثاث وستاندات","")</f>
        <v/>
      </c>
      <c r="J442" s="20">
        <f>IF(E442="","",IF(I442="","⚠ عبّي الغرض",IF(AND(D442&lt;&gt;"",OR(ISNUMBER(SEARCH("صيانة",D442)),ISNUMBER(SEARCH("تعزيل",D442)),ISNUMBER(SEARCH("تنظيف",D442)),ISNUMBER(SEARCH("تصليح",D442)))),"⚠ الصيانة بلا ورشة",IF(H442="","⚠ ناقص",IF(D442&lt;&gt;"",IF(SUMIF($D$7:$D$806,D442,$H$7:$H$806)&gt;=20,"أصل","مصروف"),IFERROR(IF(VLOOKUP(I442,'القوائم'!$A$2:$D$14,4,0)="زكاة وصدقة","زكاة وصدقة",IF(AND(VLOOKUP(I442,'القوائم'!$A$2:$D$14,3,0)&lt;&gt;"",H442&gt;=20),"أصل","مصروف")),"مصروف"))))))</f>
        <v/>
      </c>
      <c r="K442" s="21" t="n"/>
      <c r="L442" s="22" t="n"/>
      <c r="N442">
        <f>IF(B442="","",MONTH(B442))</f>
        <v/>
      </c>
      <c r="O442">
        <f>IF(B442="","",YEAR(B442))</f>
        <v/>
      </c>
      <c r="P442">
        <f>IF(AND(D442&lt;&gt;"",COUNTIF(D$7:D442,D442)=1),MAX(P$6:P441)+1,"")</f>
        <v/>
      </c>
      <c r="Q442">
        <f>IF(E442="","",IF(I442="أجور عمال","أجرة","مادة"))</f>
        <v/>
      </c>
    </row>
    <row r="443">
      <c r="A443" s="12">
        <f>IF(E443="","",ROW()-6)</f>
        <v/>
      </c>
      <c r="B443" s="13" t="n"/>
      <c r="C443" s="12">
        <f>IF(B443="","",CHOOSE(WEEKDAY(B443,1),"الأحد","الاثنين","الثلاثاء","الأربعاء","الخميس","الجمعة","السبت"))</f>
        <v/>
      </c>
      <c r="D443" s="14" t="n"/>
      <c r="E443" s="15" t="n"/>
      <c r="F443" s="16" t="n"/>
      <c r="G443" s="17" t="n"/>
      <c r="H443" s="18">
        <f>IF(OR(F443="",G443=""),"",ROUND(F443*G443,2))</f>
        <v/>
      </c>
      <c r="I443" s="19">
        <f>IF(ISNUMBER(SEARCH("ستاند",D443)),"أثاث وستاندات","")</f>
        <v/>
      </c>
      <c r="J443" s="20">
        <f>IF(E443="","",IF(I443="","⚠ عبّي الغرض",IF(AND(D443&lt;&gt;"",OR(ISNUMBER(SEARCH("صيانة",D443)),ISNUMBER(SEARCH("تعزيل",D443)),ISNUMBER(SEARCH("تنظيف",D443)),ISNUMBER(SEARCH("تصليح",D443)))),"⚠ الصيانة بلا ورشة",IF(H443="","⚠ ناقص",IF(D443&lt;&gt;"",IF(SUMIF($D$7:$D$806,D443,$H$7:$H$806)&gt;=20,"أصل","مصروف"),IFERROR(IF(VLOOKUP(I443,'القوائم'!$A$2:$D$14,4,0)="زكاة وصدقة","زكاة وصدقة",IF(AND(VLOOKUP(I443,'القوائم'!$A$2:$D$14,3,0)&lt;&gt;"",H443&gt;=20),"أصل","مصروف")),"مصروف"))))))</f>
        <v/>
      </c>
      <c r="K443" s="21" t="n"/>
      <c r="L443" s="22" t="n"/>
      <c r="N443">
        <f>IF(B443="","",MONTH(B443))</f>
        <v/>
      </c>
      <c r="O443">
        <f>IF(B443="","",YEAR(B443))</f>
        <v/>
      </c>
      <c r="P443">
        <f>IF(AND(D443&lt;&gt;"",COUNTIF(D$7:D443,D443)=1),MAX(P$6:P442)+1,"")</f>
        <v/>
      </c>
      <c r="Q443">
        <f>IF(E443="","",IF(I443="أجور عمال","أجرة","مادة"))</f>
        <v/>
      </c>
    </row>
    <row r="444">
      <c r="A444" s="12">
        <f>IF(E444="","",ROW()-6)</f>
        <v/>
      </c>
      <c r="B444" s="13" t="n"/>
      <c r="C444" s="12">
        <f>IF(B444="","",CHOOSE(WEEKDAY(B444,1),"الأحد","الاثنين","الثلاثاء","الأربعاء","الخميس","الجمعة","السبت"))</f>
        <v/>
      </c>
      <c r="D444" s="14" t="n"/>
      <c r="E444" s="15" t="n"/>
      <c r="F444" s="16" t="n"/>
      <c r="G444" s="17" t="n"/>
      <c r="H444" s="18">
        <f>IF(OR(F444="",G444=""),"",ROUND(F444*G444,2))</f>
        <v/>
      </c>
      <c r="I444" s="19">
        <f>IF(ISNUMBER(SEARCH("ستاند",D444)),"أثاث وستاندات","")</f>
        <v/>
      </c>
      <c r="J444" s="20">
        <f>IF(E444="","",IF(I444="","⚠ عبّي الغرض",IF(AND(D444&lt;&gt;"",OR(ISNUMBER(SEARCH("صيانة",D444)),ISNUMBER(SEARCH("تعزيل",D444)),ISNUMBER(SEARCH("تنظيف",D444)),ISNUMBER(SEARCH("تصليح",D444)))),"⚠ الصيانة بلا ورشة",IF(H444="","⚠ ناقص",IF(D444&lt;&gt;"",IF(SUMIF($D$7:$D$806,D444,$H$7:$H$806)&gt;=20,"أصل","مصروف"),IFERROR(IF(VLOOKUP(I444,'القوائم'!$A$2:$D$14,4,0)="زكاة وصدقة","زكاة وصدقة",IF(AND(VLOOKUP(I444,'القوائم'!$A$2:$D$14,3,0)&lt;&gt;"",H444&gt;=20),"أصل","مصروف")),"مصروف"))))))</f>
        <v/>
      </c>
      <c r="K444" s="21" t="n"/>
      <c r="L444" s="22" t="n"/>
      <c r="N444">
        <f>IF(B444="","",MONTH(B444))</f>
        <v/>
      </c>
      <c r="O444">
        <f>IF(B444="","",YEAR(B444))</f>
        <v/>
      </c>
      <c r="P444">
        <f>IF(AND(D444&lt;&gt;"",COUNTIF(D$7:D444,D444)=1),MAX(P$6:P443)+1,"")</f>
        <v/>
      </c>
      <c r="Q444">
        <f>IF(E444="","",IF(I444="أجور عمال","أجرة","مادة"))</f>
        <v/>
      </c>
    </row>
    <row r="445">
      <c r="A445" s="12">
        <f>IF(E445="","",ROW()-6)</f>
        <v/>
      </c>
      <c r="B445" s="13" t="n"/>
      <c r="C445" s="12">
        <f>IF(B445="","",CHOOSE(WEEKDAY(B445,1),"الأحد","الاثنين","الثلاثاء","الأربعاء","الخميس","الجمعة","السبت"))</f>
        <v/>
      </c>
      <c r="D445" s="14" t="n"/>
      <c r="E445" s="15" t="n"/>
      <c r="F445" s="16" t="n"/>
      <c r="G445" s="17" t="n"/>
      <c r="H445" s="18">
        <f>IF(OR(F445="",G445=""),"",ROUND(F445*G445,2))</f>
        <v/>
      </c>
      <c r="I445" s="19">
        <f>IF(ISNUMBER(SEARCH("ستاند",D445)),"أثاث وستاندات","")</f>
        <v/>
      </c>
      <c r="J445" s="20">
        <f>IF(E445="","",IF(I445="","⚠ عبّي الغرض",IF(AND(D445&lt;&gt;"",OR(ISNUMBER(SEARCH("صيانة",D445)),ISNUMBER(SEARCH("تعزيل",D445)),ISNUMBER(SEARCH("تنظيف",D445)),ISNUMBER(SEARCH("تصليح",D445)))),"⚠ الصيانة بلا ورشة",IF(H445="","⚠ ناقص",IF(D445&lt;&gt;"",IF(SUMIF($D$7:$D$806,D445,$H$7:$H$806)&gt;=20,"أصل","مصروف"),IFERROR(IF(VLOOKUP(I445,'القوائم'!$A$2:$D$14,4,0)="زكاة وصدقة","زكاة وصدقة",IF(AND(VLOOKUP(I445,'القوائم'!$A$2:$D$14,3,0)&lt;&gt;"",H445&gt;=20),"أصل","مصروف")),"مصروف"))))))</f>
        <v/>
      </c>
      <c r="K445" s="21" t="n"/>
      <c r="L445" s="22" t="n"/>
      <c r="N445">
        <f>IF(B445="","",MONTH(B445))</f>
        <v/>
      </c>
      <c r="O445">
        <f>IF(B445="","",YEAR(B445))</f>
        <v/>
      </c>
      <c r="P445">
        <f>IF(AND(D445&lt;&gt;"",COUNTIF(D$7:D445,D445)=1),MAX(P$6:P444)+1,"")</f>
        <v/>
      </c>
      <c r="Q445">
        <f>IF(E445="","",IF(I445="أجور عمال","أجرة","مادة"))</f>
        <v/>
      </c>
    </row>
    <row r="446">
      <c r="A446" s="12">
        <f>IF(E446="","",ROW()-6)</f>
        <v/>
      </c>
      <c r="B446" s="13" t="n"/>
      <c r="C446" s="12">
        <f>IF(B446="","",CHOOSE(WEEKDAY(B446,1),"الأحد","الاثنين","الثلاثاء","الأربعاء","الخميس","الجمعة","السبت"))</f>
        <v/>
      </c>
      <c r="D446" s="14" t="n"/>
      <c r="E446" s="15" t="n"/>
      <c r="F446" s="16" t="n"/>
      <c r="G446" s="17" t="n"/>
      <c r="H446" s="18">
        <f>IF(OR(F446="",G446=""),"",ROUND(F446*G446,2))</f>
        <v/>
      </c>
      <c r="I446" s="19">
        <f>IF(ISNUMBER(SEARCH("ستاند",D446)),"أثاث وستاندات","")</f>
        <v/>
      </c>
      <c r="J446" s="20">
        <f>IF(E446="","",IF(I446="","⚠ عبّي الغرض",IF(AND(D446&lt;&gt;"",OR(ISNUMBER(SEARCH("صيانة",D446)),ISNUMBER(SEARCH("تعزيل",D446)),ISNUMBER(SEARCH("تنظيف",D446)),ISNUMBER(SEARCH("تصليح",D446)))),"⚠ الصيانة بلا ورشة",IF(H446="","⚠ ناقص",IF(D446&lt;&gt;"",IF(SUMIF($D$7:$D$806,D446,$H$7:$H$806)&gt;=20,"أصل","مصروف"),IFERROR(IF(VLOOKUP(I446,'القوائم'!$A$2:$D$14,4,0)="زكاة وصدقة","زكاة وصدقة",IF(AND(VLOOKUP(I446,'القوائم'!$A$2:$D$14,3,0)&lt;&gt;"",H446&gt;=20),"أصل","مصروف")),"مصروف"))))))</f>
        <v/>
      </c>
      <c r="K446" s="21" t="n"/>
      <c r="L446" s="22" t="n"/>
      <c r="N446">
        <f>IF(B446="","",MONTH(B446))</f>
        <v/>
      </c>
      <c r="O446">
        <f>IF(B446="","",YEAR(B446))</f>
        <v/>
      </c>
      <c r="P446">
        <f>IF(AND(D446&lt;&gt;"",COUNTIF(D$7:D446,D446)=1),MAX(P$6:P445)+1,"")</f>
        <v/>
      </c>
      <c r="Q446">
        <f>IF(E446="","",IF(I446="أجور عمال","أجرة","مادة"))</f>
        <v/>
      </c>
    </row>
    <row r="447">
      <c r="A447" s="12">
        <f>IF(E447="","",ROW()-6)</f>
        <v/>
      </c>
      <c r="B447" s="13" t="n"/>
      <c r="C447" s="12">
        <f>IF(B447="","",CHOOSE(WEEKDAY(B447,1),"الأحد","الاثنين","الثلاثاء","الأربعاء","الخميس","الجمعة","السبت"))</f>
        <v/>
      </c>
      <c r="D447" s="14" t="n"/>
      <c r="E447" s="15" t="n"/>
      <c r="F447" s="16" t="n"/>
      <c r="G447" s="17" t="n"/>
      <c r="H447" s="18">
        <f>IF(OR(F447="",G447=""),"",ROUND(F447*G447,2))</f>
        <v/>
      </c>
      <c r="I447" s="19">
        <f>IF(ISNUMBER(SEARCH("ستاند",D447)),"أثاث وستاندات","")</f>
        <v/>
      </c>
      <c r="J447" s="20">
        <f>IF(E447="","",IF(I447="","⚠ عبّي الغرض",IF(AND(D447&lt;&gt;"",OR(ISNUMBER(SEARCH("صيانة",D447)),ISNUMBER(SEARCH("تعزيل",D447)),ISNUMBER(SEARCH("تنظيف",D447)),ISNUMBER(SEARCH("تصليح",D447)))),"⚠ الصيانة بلا ورشة",IF(H447="","⚠ ناقص",IF(D447&lt;&gt;"",IF(SUMIF($D$7:$D$806,D447,$H$7:$H$806)&gt;=20,"أصل","مصروف"),IFERROR(IF(VLOOKUP(I447,'القوائم'!$A$2:$D$14,4,0)="زكاة وصدقة","زكاة وصدقة",IF(AND(VLOOKUP(I447,'القوائم'!$A$2:$D$14,3,0)&lt;&gt;"",H447&gt;=20),"أصل","مصروف")),"مصروف"))))))</f>
        <v/>
      </c>
      <c r="K447" s="21" t="n"/>
      <c r="L447" s="22" t="n"/>
      <c r="N447">
        <f>IF(B447="","",MONTH(B447))</f>
        <v/>
      </c>
      <c r="O447">
        <f>IF(B447="","",YEAR(B447))</f>
        <v/>
      </c>
      <c r="P447">
        <f>IF(AND(D447&lt;&gt;"",COUNTIF(D$7:D447,D447)=1),MAX(P$6:P446)+1,"")</f>
        <v/>
      </c>
      <c r="Q447">
        <f>IF(E447="","",IF(I447="أجور عمال","أجرة","مادة"))</f>
        <v/>
      </c>
    </row>
    <row r="448">
      <c r="A448" s="12">
        <f>IF(E448="","",ROW()-6)</f>
        <v/>
      </c>
      <c r="B448" s="13" t="n"/>
      <c r="C448" s="12">
        <f>IF(B448="","",CHOOSE(WEEKDAY(B448,1),"الأحد","الاثنين","الثلاثاء","الأربعاء","الخميس","الجمعة","السبت"))</f>
        <v/>
      </c>
      <c r="D448" s="14" t="n"/>
      <c r="E448" s="15" t="n"/>
      <c r="F448" s="16" t="n"/>
      <c r="G448" s="17" t="n"/>
      <c r="H448" s="18">
        <f>IF(OR(F448="",G448=""),"",ROUND(F448*G448,2))</f>
        <v/>
      </c>
      <c r="I448" s="19">
        <f>IF(ISNUMBER(SEARCH("ستاند",D448)),"أثاث وستاندات","")</f>
        <v/>
      </c>
      <c r="J448" s="20">
        <f>IF(E448="","",IF(I448="","⚠ عبّي الغرض",IF(AND(D448&lt;&gt;"",OR(ISNUMBER(SEARCH("صيانة",D448)),ISNUMBER(SEARCH("تعزيل",D448)),ISNUMBER(SEARCH("تنظيف",D448)),ISNUMBER(SEARCH("تصليح",D448)))),"⚠ الصيانة بلا ورشة",IF(H448="","⚠ ناقص",IF(D448&lt;&gt;"",IF(SUMIF($D$7:$D$806,D448,$H$7:$H$806)&gt;=20,"أصل","مصروف"),IFERROR(IF(VLOOKUP(I448,'القوائم'!$A$2:$D$14,4,0)="زكاة وصدقة","زكاة وصدقة",IF(AND(VLOOKUP(I448,'القوائم'!$A$2:$D$14,3,0)&lt;&gt;"",H448&gt;=20),"أصل","مصروف")),"مصروف"))))))</f>
        <v/>
      </c>
      <c r="K448" s="21" t="n"/>
      <c r="L448" s="22" t="n"/>
      <c r="N448">
        <f>IF(B448="","",MONTH(B448))</f>
        <v/>
      </c>
      <c r="O448">
        <f>IF(B448="","",YEAR(B448))</f>
        <v/>
      </c>
      <c r="P448">
        <f>IF(AND(D448&lt;&gt;"",COUNTIF(D$7:D448,D448)=1),MAX(P$6:P447)+1,"")</f>
        <v/>
      </c>
      <c r="Q448">
        <f>IF(E448="","",IF(I448="أجور عمال","أجرة","مادة"))</f>
        <v/>
      </c>
    </row>
    <row r="449">
      <c r="A449" s="12">
        <f>IF(E449="","",ROW()-6)</f>
        <v/>
      </c>
      <c r="B449" s="13" t="n"/>
      <c r="C449" s="12">
        <f>IF(B449="","",CHOOSE(WEEKDAY(B449,1),"الأحد","الاثنين","الثلاثاء","الأربعاء","الخميس","الجمعة","السبت"))</f>
        <v/>
      </c>
      <c r="D449" s="14" t="n"/>
      <c r="E449" s="15" t="n"/>
      <c r="F449" s="16" t="n"/>
      <c r="G449" s="17" t="n"/>
      <c r="H449" s="18">
        <f>IF(OR(F449="",G449=""),"",ROUND(F449*G449,2))</f>
        <v/>
      </c>
      <c r="I449" s="19">
        <f>IF(ISNUMBER(SEARCH("ستاند",D449)),"أثاث وستاندات","")</f>
        <v/>
      </c>
      <c r="J449" s="20">
        <f>IF(E449="","",IF(I449="","⚠ عبّي الغرض",IF(AND(D449&lt;&gt;"",OR(ISNUMBER(SEARCH("صيانة",D449)),ISNUMBER(SEARCH("تعزيل",D449)),ISNUMBER(SEARCH("تنظيف",D449)),ISNUMBER(SEARCH("تصليح",D449)))),"⚠ الصيانة بلا ورشة",IF(H449="","⚠ ناقص",IF(D449&lt;&gt;"",IF(SUMIF($D$7:$D$806,D449,$H$7:$H$806)&gt;=20,"أصل","مصروف"),IFERROR(IF(VLOOKUP(I449,'القوائم'!$A$2:$D$14,4,0)="زكاة وصدقة","زكاة وصدقة",IF(AND(VLOOKUP(I449,'القوائم'!$A$2:$D$14,3,0)&lt;&gt;"",H449&gt;=20),"أصل","مصروف")),"مصروف"))))))</f>
        <v/>
      </c>
      <c r="K449" s="21" t="n"/>
      <c r="L449" s="22" t="n"/>
      <c r="N449">
        <f>IF(B449="","",MONTH(B449))</f>
        <v/>
      </c>
      <c r="O449">
        <f>IF(B449="","",YEAR(B449))</f>
        <v/>
      </c>
      <c r="P449">
        <f>IF(AND(D449&lt;&gt;"",COUNTIF(D$7:D449,D449)=1),MAX(P$6:P448)+1,"")</f>
        <v/>
      </c>
      <c r="Q449">
        <f>IF(E449="","",IF(I449="أجور عمال","أجرة","مادة"))</f>
        <v/>
      </c>
    </row>
    <row r="450">
      <c r="A450" s="12">
        <f>IF(E450="","",ROW()-6)</f>
        <v/>
      </c>
      <c r="B450" s="13" t="n"/>
      <c r="C450" s="12">
        <f>IF(B450="","",CHOOSE(WEEKDAY(B450,1),"الأحد","الاثنين","الثلاثاء","الأربعاء","الخميس","الجمعة","السبت"))</f>
        <v/>
      </c>
      <c r="D450" s="14" t="n"/>
      <c r="E450" s="15" t="n"/>
      <c r="F450" s="16" t="n"/>
      <c r="G450" s="17" t="n"/>
      <c r="H450" s="18">
        <f>IF(OR(F450="",G450=""),"",ROUND(F450*G450,2))</f>
        <v/>
      </c>
      <c r="I450" s="19">
        <f>IF(ISNUMBER(SEARCH("ستاند",D450)),"أثاث وستاندات","")</f>
        <v/>
      </c>
      <c r="J450" s="20">
        <f>IF(E450="","",IF(I450="","⚠ عبّي الغرض",IF(AND(D450&lt;&gt;"",OR(ISNUMBER(SEARCH("صيانة",D450)),ISNUMBER(SEARCH("تعزيل",D450)),ISNUMBER(SEARCH("تنظيف",D450)),ISNUMBER(SEARCH("تصليح",D450)))),"⚠ الصيانة بلا ورشة",IF(H450="","⚠ ناقص",IF(D450&lt;&gt;"",IF(SUMIF($D$7:$D$806,D450,$H$7:$H$806)&gt;=20,"أصل","مصروف"),IFERROR(IF(VLOOKUP(I450,'القوائم'!$A$2:$D$14,4,0)="زكاة وصدقة","زكاة وصدقة",IF(AND(VLOOKUP(I450,'القوائم'!$A$2:$D$14,3,0)&lt;&gt;"",H450&gt;=20),"أصل","مصروف")),"مصروف"))))))</f>
        <v/>
      </c>
      <c r="K450" s="21" t="n"/>
      <c r="L450" s="22" t="n"/>
      <c r="N450">
        <f>IF(B450="","",MONTH(B450))</f>
        <v/>
      </c>
      <c r="O450">
        <f>IF(B450="","",YEAR(B450))</f>
        <v/>
      </c>
      <c r="P450">
        <f>IF(AND(D450&lt;&gt;"",COUNTIF(D$7:D450,D450)=1),MAX(P$6:P449)+1,"")</f>
        <v/>
      </c>
      <c r="Q450">
        <f>IF(E450="","",IF(I450="أجور عمال","أجرة","مادة"))</f>
        <v/>
      </c>
    </row>
    <row r="451">
      <c r="A451" s="12">
        <f>IF(E451="","",ROW()-6)</f>
        <v/>
      </c>
      <c r="B451" s="13" t="n"/>
      <c r="C451" s="12">
        <f>IF(B451="","",CHOOSE(WEEKDAY(B451,1),"الأحد","الاثنين","الثلاثاء","الأربعاء","الخميس","الجمعة","السبت"))</f>
        <v/>
      </c>
      <c r="D451" s="14" t="n"/>
      <c r="E451" s="15" t="n"/>
      <c r="F451" s="16" t="n"/>
      <c r="G451" s="17" t="n"/>
      <c r="H451" s="18">
        <f>IF(OR(F451="",G451=""),"",ROUND(F451*G451,2))</f>
        <v/>
      </c>
      <c r="I451" s="19">
        <f>IF(ISNUMBER(SEARCH("ستاند",D451)),"أثاث وستاندات","")</f>
        <v/>
      </c>
      <c r="J451" s="20">
        <f>IF(E451="","",IF(I451="","⚠ عبّي الغرض",IF(AND(D451&lt;&gt;"",OR(ISNUMBER(SEARCH("صيانة",D451)),ISNUMBER(SEARCH("تعزيل",D451)),ISNUMBER(SEARCH("تنظيف",D451)),ISNUMBER(SEARCH("تصليح",D451)))),"⚠ الصيانة بلا ورشة",IF(H451="","⚠ ناقص",IF(D451&lt;&gt;"",IF(SUMIF($D$7:$D$806,D451,$H$7:$H$806)&gt;=20,"أصل","مصروف"),IFERROR(IF(VLOOKUP(I451,'القوائم'!$A$2:$D$14,4,0)="زكاة وصدقة","زكاة وصدقة",IF(AND(VLOOKUP(I451,'القوائم'!$A$2:$D$14,3,0)&lt;&gt;"",H451&gt;=20),"أصل","مصروف")),"مصروف"))))))</f>
        <v/>
      </c>
      <c r="K451" s="21" t="n"/>
      <c r="L451" s="22" t="n"/>
      <c r="N451">
        <f>IF(B451="","",MONTH(B451))</f>
        <v/>
      </c>
      <c r="O451">
        <f>IF(B451="","",YEAR(B451))</f>
        <v/>
      </c>
      <c r="P451">
        <f>IF(AND(D451&lt;&gt;"",COUNTIF(D$7:D451,D451)=1),MAX(P$6:P450)+1,"")</f>
        <v/>
      </c>
      <c r="Q451">
        <f>IF(E451="","",IF(I451="أجور عمال","أجرة","مادة"))</f>
        <v/>
      </c>
    </row>
    <row r="452">
      <c r="A452" s="12">
        <f>IF(E452="","",ROW()-6)</f>
        <v/>
      </c>
      <c r="B452" s="13" t="n"/>
      <c r="C452" s="12">
        <f>IF(B452="","",CHOOSE(WEEKDAY(B452,1),"الأحد","الاثنين","الثلاثاء","الأربعاء","الخميس","الجمعة","السبت"))</f>
        <v/>
      </c>
      <c r="D452" s="14" t="n"/>
      <c r="E452" s="15" t="n"/>
      <c r="F452" s="16" t="n"/>
      <c r="G452" s="17" t="n"/>
      <c r="H452" s="18">
        <f>IF(OR(F452="",G452=""),"",ROUND(F452*G452,2))</f>
        <v/>
      </c>
      <c r="I452" s="19">
        <f>IF(ISNUMBER(SEARCH("ستاند",D452)),"أثاث وستاندات","")</f>
        <v/>
      </c>
      <c r="J452" s="20">
        <f>IF(E452="","",IF(I452="","⚠ عبّي الغرض",IF(AND(D452&lt;&gt;"",OR(ISNUMBER(SEARCH("صيانة",D452)),ISNUMBER(SEARCH("تعزيل",D452)),ISNUMBER(SEARCH("تنظيف",D452)),ISNUMBER(SEARCH("تصليح",D452)))),"⚠ الصيانة بلا ورشة",IF(H452="","⚠ ناقص",IF(D452&lt;&gt;"",IF(SUMIF($D$7:$D$806,D452,$H$7:$H$806)&gt;=20,"أصل","مصروف"),IFERROR(IF(VLOOKUP(I452,'القوائم'!$A$2:$D$14,4,0)="زكاة وصدقة","زكاة وصدقة",IF(AND(VLOOKUP(I452,'القوائم'!$A$2:$D$14,3,0)&lt;&gt;"",H452&gt;=20),"أصل","مصروف")),"مصروف"))))))</f>
        <v/>
      </c>
      <c r="K452" s="21" t="n"/>
      <c r="L452" s="22" t="n"/>
      <c r="N452">
        <f>IF(B452="","",MONTH(B452))</f>
        <v/>
      </c>
      <c r="O452">
        <f>IF(B452="","",YEAR(B452))</f>
        <v/>
      </c>
      <c r="P452">
        <f>IF(AND(D452&lt;&gt;"",COUNTIF(D$7:D452,D452)=1),MAX(P$6:P451)+1,"")</f>
        <v/>
      </c>
      <c r="Q452">
        <f>IF(E452="","",IF(I452="أجور عمال","أجرة","مادة"))</f>
        <v/>
      </c>
    </row>
    <row r="453">
      <c r="A453" s="12">
        <f>IF(E453="","",ROW()-6)</f>
        <v/>
      </c>
      <c r="B453" s="13" t="n"/>
      <c r="C453" s="12">
        <f>IF(B453="","",CHOOSE(WEEKDAY(B453,1),"الأحد","الاثنين","الثلاثاء","الأربعاء","الخميس","الجمعة","السبت"))</f>
        <v/>
      </c>
      <c r="D453" s="14" t="n"/>
      <c r="E453" s="15" t="n"/>
      <c r="F453" s="16" t="n"/>
      <c r="G453" s="17" t="n"/>
      <c r="H453" s="18">
        <f>IF(OR(F453="",G453=""),"",ROUND(F453*G453,2))</f>
        <v/>
      </c>
      <c r="I453" s="19">
        <f>IF(ISNUMBER(SEARCH("ستاند",D453)),"أثاث وستاندات","")</f>
        <v/>
      </c>
      <c r="J453" s="20">
        <f>IF(E453="","",IF(I453="","⚠ عبّي الغرض",IF(AND(D453&lt;&gt;"",OR(ISNUMBER(SEARCH("صيانة",D453)),ISNUMBER(SEARCH("تعزيل",D453)),ISNUMBER(SEARCH("تنظيف",D453)),ISNUMBER(SEARCH("تصليح",D453)))),"⚠ الصيانة بلا ورشة",IF(H453="","⚠ ناقص",IF(D453&lt;&gt;"",IF(SUMIF($D$7:$D$806,D453,$H$7:$H$806)&gt;=20,"أصل","مصروف"),IFERROR(IF(VLOOKUP(I453,'القوائم'!$A$2:$D$14,4,0)="زكاة وصدقة","زكاة وصدقة",IF(AND(VLOOKUP(I453,'القوائم'!$A$2:$D$14,3,0)&lt;&gt;"",H453&gt;=20),"أصل","مصروف")),"مصروف"))))))</f>
        <v/>
      </c>
      <c r="K453" s="21" t="n"/>
      <c r="L453" s="22" t="n"/>
      <c r="N453">
        <f>IF(B453="","",MONTH(B453))</f>
        <v/>
      </c>
      <c r="O453">
        <f>IF(B453="","",YEAR(B453))</f>
        <v/>
      </c>
      <c r="P453">
        <f>IF(AND(D453&lt;&gt;"",COUNTIF(D$7:D453,D453)=1),MAX(P$6:P452)+1,"")</f>
        <v/>
      </c>
      <c r="Q453">
        <f>IF(E453="","",IF(I453="أجور عمال","أجرة","مادة"))</f>
        <v/>
      </c>
    </row>
    <row r="454">
      <c r="A454" s="12">
        <f>IF(E454="","",ROW()-6)</f>
        <v/>
      </c>
      <c r="B454" s="13" t="n"/>
      <c r="C454" s="12">
        <f>IF(B454="","",CHOOSE(WEEKDAY(B454,1),"الأحد","الاثنين","الثلاثاء","الأربعاء","الخميس","الجمعة","السبت"))</f>
        <v/>
      </c>
      <c r="D454" s="14" t="n"/>
      <c r="E454" s="15" t="n"/>
      <c r="F454" s="16" t="n"/>
      <c r="G454" s="17" t="n"/>
      <c r="H454" s="18">
        <f>IF(OR(F454="",G454=""),"",ROUND(F454*G454,2))</f>
        <v/>
      </c>
      <c r="I454" s="19">
        <f>IF(ISNUMBER(SEARCH("ستاند",D454)),"أثاث وستاندات","")</f>
        <v/>
      </c>
      <c r="J454" s="20">
        <f>IF(E454="","",IF(I454="","⚠ عبّي الغرض",IF(AND(D454&lt;&gt;"",OR(ISNUMBER(SEARCH("صيانة",D454)),ISNUMBER(SEARCH("تعزيل",D454)),ISNUMBER(SEARCH("تنظيف",D454)),ISNUMBER(SEARCH("تصليح",D454)))),"⚠ الصيانة بلا ورشة",IF(H454="","⚠ ناقص",IF(D454&lt;&gt;"",IF(SUMIF($D$7:$D$806,D454,$H$7:$H$806)&gt;=20,"أصل","مصروف"),IFERROR(IF(VLOOKUP(I454,'القوائم'!$A$2:$D$14,4,0)="زكاة وصدقة","زكاة وصدقة",IF(AND(VLOOKUP(I454,'القوائم'!$A$2:$D$14,3,0)&lt;&gt;"",H454&gt;=20),"أصل","مصروف")),"مصروف"))))))</f>
        <v/>
      </c>
      <c r="K454" s="21" t="n"/>
      <c r="L454" s="22" t="n"/>
      <c r="N454">
        <f>IF(B454="","",MONTH(B454))</f>
        <v/>
      </c>
      <c r="O454">
        <f>IF(B454="","",YEAR(B454))</f>
        <v/>
      </c>
      <c r="P454">
        <f>IF(AND(D454&lt;&gt;"",COUNTIF(D$7:D454,D454)=1),MAX(P$6:P453)+1,"")</f>
        <v/>
      </c>
      <c r="Q454">
        <f>IF(E454="","",IF(I454="أجور عمال","أجرة","مادة"))</f>
        <v/>
      </c>
    </row>
    <row r="455">
      <c r="A455" s="12">
        <f>IF(E455="","",ROW()-6)</f>
        <v/>
      </c>
      <c r="B455" s="13" t="n"/>
      <c r="C455" s="12">
        <f>IF(B455="","",CHOOSE(WEEKDAY(B455,1),"الأحد","الاثنين","الثلاثاء","الأربعاء","الخميس","الجمعة","السبت"))</f>
        <v/>
      </c>
      <c r="D455" s="14" t="n"/>
      <c r="E455" s="15" t="n"/>
      <c r="F455" s="16" t="n"/>
      <c r="G455" s="17" t="n"/>
      <c r="H455" s="18">
        <f>IF(OR(F455="",G455=""),"",ROUND(F455*G455,2))</f>
        <v/>
      </c>
      <c r="I455" s="19">
        <f>IF(ISNUMBER(SEARCH("ستاند",D455)),"أثاث وستاندات","")</f>
        <v/>
      </c>
      <c r="J455" s="20">
        <f>IF(E455="","",IF(I455="","⚠ عبّي الغرض",IF(AND(D455&lt;&gt;"",OR(ISNUMBER(SEARCH("صيانة",D455)),ISNUMBER(SEARCH("تعزيل",D455)),ISNUMBER(SEARCH("تنظيف",D455)),ISNUMBER(SEARCH("تصليح",D455)))),"⚠ الصيانة بلا ورشة",IF(H455="","⚠ ناقص",IF(D455&lt;&gt;"",IF(SUMIF($D$7:$D$806,D455,$H$7:$H$806)&gt;=20,"أصل","مصروف"),IFERROR(IF(VLOOKUP(I455,'القوائم'!$A$2:$D$14,4,0)="زكاة وصدقة","زكاة وصدقة",IF(AND(VLOOKUP(I455,'القوائم'!$A$2:$D$14,3,0)&lt;&gt;"",H455&gt;=20),"أصل","مصروف")),"مصروف"))))))</f>
        <v/>
      </c>
      <c r="K455" s="21" t="n"/>
      <c r="L455" s="22" t="n"/>
      <c r="N455">
        <f>IF(B455="","",MONTH(B455))</f>
        <v/>
      </c>
      <c r="O455">
        <f>IF(B455="","",YEAR(B455))</f>
        <v/>
      </c>
      <c r="P455">
        <f>IF(AND(D455&lt;&gt;"",COUNTIF(D$7:D455,D455)=1),MAX(P$6:P454)+1,"")</f>
        <v/>
      </c>
      <c r="Q455">
        <f>IF(E455="","",IF(I455="أجور عمال","أجرة","مادة"))</f>
        <v/>
      </c>
    </row>
    <row r="456">
      <c r="A456" s="12">
        <f>IF(E456="","",ROW()-6)</f>
        <v/>
      </c>
      <c r="B456" s="13" t="n"/>
      <c r="C456" s="12">
        <f>IF(B456="","",CHOOSE(WEEKDAY(B456,1),"الأحد","الاثنين","الثلاثاء","الأربعاء","الخميس","الجمعة","السبت"))</f>
        <v/>
      </c>
      <c r="D456" s="14" t="n"/>
      <c r="E456" s="15" t="n"/>
      <c r="F456" s="16" t="n"/>
      <c r="G456" s="17" t="n"/>
      <c r="H456" s="18">
        <f>IF(OR(F456="",G456=""),"",ROUND(F456*G456,2))</f>
        <v/>
      </c>
      <c r="I456" s="19">
        <f>IF(ISNUMBER(SEARCH("ستاند",D456)),"أثاث وستاندات","")</f>
        <v/>
      </c>
      <c r="J456" s="20">
        <f>IF(E456="","",IF(I456="","⚠ عبّي الغرض",IF(AND(D456&lt;&gt;"",OR(ISNUMBER(SEARCH("صيانة",D456)),ISNUMBER(SEARCH("تعزيل",D456)),ISNUMBER(SEARCH("تنظيف",D456)),ISNUMBER(SEARCH("تصليح",D456)))),"⚠ الصيانة بلا ورشة",IF(H456="","⚠ ناقص",IF(D456&lt;&gt;"",IF(SUMIF($D$7:$D$806,D456,$H$7:$H$806)&gt;=20,"أصل","مصروف"),IFERROR(IF(VLOOKUP(I456,'القوائم'!$A$2:$D$14,4,0)="زكاة وصدقة","زكاة وصدقة",IF(AND(VLOOKUP(I456,'القوائم'!$A$2:$D$14,3,0)&lt;&gt;"",H456&gt;=20),"أصل","مصروف")),"مصروف"))))))</f>
        <v/>
      </c>
      <c r="K456" s="21" t="n"/>
      <c r="L456" s="22" t="n"/>
      <c r="N456">
        <f>IF(B456="","",MONTH(B456))</f>
        <v/>
      </c>
      <c r="O456">
        <f>IF(B456="","",YEAR(B456))</f>
        <v/>
      </c>
      <c r="P456">
        <f>IF(AND(D456&lt;&gt;"",COUNTIF(D$7:D456,D456)=1),MAX(P$6:P455)+1,"")</f>
        <v/>
      </c>
      <c r="Q456">
        <f>IF(E456="","",IF(I456="أجور عمال","أجرة","مادة"))</f>
        <v/>
      </c>
    </row>
    <row r="457">
      <c r="A457" s="12">
        <f>IF(E457="","",ROW()-6)</f>
        <v/>
      </c>
      <c r="B457" s="13" t="n"/>
      <c r="C457" s="12">
        <f>IF(B457="","",CHOOSE(WEEKDAY(B457,1),"الأحد","الاثنين","الثلاثاء","الأربعاء","الخميس","الجمعة","السبت"))</f>
        <v/>
      </c>
      <c r="D457" s="14" t="n"/>
      <c r="E457" s="15" t="n"/>
      <c r="F457" s="16" t="n"/>
      <c r="G457" s="17" t="n"/>
      <c r="H457" s="18">
        <f>IF(OR(F457="",G457=""),"",ROUND(F457*G457,2))</f>
        <v/>
      </c>
      <c r="I457" s="19">
        <f>IF(ISNUMBER(SEARCH("ستاند",D457)),"أثاث وستاندات","")</f>
        <v/>
      </c>
      <c r="J457" s="20">
        <f>IF(E457="","",IF(I457="","⚠ عبّي الغرض",IF(AND(D457&lt;&gt;"",OR(ISNUMBER(SEARCH("صيانة",D457)),ISNUMBER(SEARCH("تعزيل",D457)),ISNUMBER(SEARCH("تنظيف",D457)),ISNUMBER(SEARCH("تصليح",D457)))),"⚠ الصيانة بلا ورشة",IF(H457="","⚠ ناقص",IF(D457&lt;&gt;"",IF(SUMIF($D$7:$D$806,D457,$H$7:$H$806)&gt;=20,"أصل","مصروف"),IFERROR(IF(VLOOKUP(I457,'القوائم'!$A$2:$D$14,4,0)="زكاة وصدقة","زكاة وصدقة",IF(AND(VLOOKUP(I457,'القوائم'!$A$2:$D$14,3,0)&lt;&gt;"",H457&gt;=20),"أصل","مصروف")),"مصروف"))))))</f>
        <v/>
      </c>
      <c r="K457" s="21" t="n"/>
      <c r="L457" s="22" t="n"/>
      <c r="N457">
        <f>IF(B457="","",MONTH(B457))</f>
        <v/>
      </c>
      <c r="O457">
        <f>IF(B457="","",YEAR(B457))</f>
        <v/>
      </c>
      <c r="P457">
        <f>IF(AND(D457&lt;&gt;"",COUNTIF(D$7:D457,D457)=1),MAX(P$6:P456)+1,"")</f>
        <v/>
      </c>
      <c r="Q457">
        <f>IF(E457="","",IF(I457="أجور عمال","أجرة","مادة"))</f>
        <v/>
      </c>
    </row>
    <row r="458">
      <c r="A458" s="12">
        <f>IF(E458="","",ROW()-6)</f>
        <v/>
      </c>
      <c r="B458" s="13" t="n"/>
      <c r="C458" s="12">
        <f>IF(B458="","",CHOOSE(WEEKDAY(B458,1),"الأحد","الاثنين","الثلاثاء","الأربعاء","الخميس","الجمعة","السبت"))</f>
        <v/>
      </c>
      <c r="D458" s="14" t="n"/>
      <c r="E458" s="15" t="n"/>
      <c r="F458" s="16" t="n"/>
      <c r="G458" s="17" t="n"/>
      <c r="H458" s="18">
        <f>IF(OR(F458="",G458=""),"",ROUND(F458*G458,2))</f>
        <v/>
      </c>
      <c r="I458" s="19">
        <f>IF(ISNUMBER(SEARCH("ستاند",D458)),"أثاث وستاندات","")</f>
        <v/>
      </c>
      <c r="J458" s="20">
        <f>IF(E458="","",IF(I458="","⚠ عبّي الغرض",IF(AND(D458&lt;&gt;"",OR(ISNUMBER(SEARCH("صيانة",D458)),ISNUMBER(SEARCH("تعزيل",D458)),ISNUMBER(SEARCH("تنظيف",D458)),ISNUMBER(SEARCH("تصليح",D458)))),"⚠ الصيانة بلا ورشة",IF(H458="","⚠ ناقص",IF(D458&lt;&gt;"",IF(SUMIF($D$7:$D$806,D458,$H$7:$H$806)&gt;=20,"أصل","مصروف"),IFERROR(IF(VLOOKUP(I458,'القوائم'!$A$2:$D$14,4,0)="زكاة وصدقة","زكاة وصدقة",IF(AND(VLOOKUP(I458,'القوائم'!$A$2:$D$14,3,0)&lt;&gt;"",H458&gt;=20),"أصل","مصروف")),"مصروف"))))))</f>
        <v/>
      </c>
      <c r="K458" s="21" t="n"/>
      <c r="L458" s="22" t="n"/>
      <c r="N458">
        <f>IF(B458="","",MONTH(B458))</f>
        <v/>
      </c>
      <c r="O458">
        <f>IF(B458="","",YEAR(B458))</f>
        <v/>
      </c>
      <c r="P458">
        <f>IF(AND(D458&lt;&gt;"",COUNTIF(D$7:D458,D458)=1),MAX(P$6:P457)+1,"")</f>
        <v/>
      </c>
      <c r="Q458">
        <f>IF(E458="","",IF(I458="أجور عمال","أجرة","مادة"))</f>
        <v/>
      </c>
    </row>
    <row r="459">
      <c r="A459" s="12">
        <f>IF(E459="","",ROW()-6)</f>
        <v/>
      </c>
      <c r="B459" s="13" t="n"/>
      <c r="C459" s="12">
        <f>IF(B459="","",CHOOSE(WEEKDAY(B459,1),"الأحد","الاثنين","الثلاثاء","الأربعاء","الخميس","الجمعة","السبت"))</f>
        <v/>
      </c>
      <c r="D459" s="14" t="n"/>
      <c r="E459" s="15" t="n"/>
      <c r="F459" s="16" t="n"/>
      <c r="G459" s="17" t="n"/>
      <c r="H459" s="18">
        <f>IF(OR(F459="",G459=""),"",ROUND(F459*G459,2))</f>
        <v/>
      </c>
      <c r="I459" s="19">
        <f>IF(ISNUMBER(SEARCH("ستاند",D459)),"أثاث وستاندات","")</f>
        <v/>
      </c>
      <c r="J459" s="20">
        <f>IF(E459="","",IF(I459="","⚠ عبّي الغرض",IF(AND(D459&lt;&gt;"",OR(ISNUMBER(SEARCH("صيانة",D459)),ISNUMBER(SEARCH("تعزيل",D459)),ISNUMBER(SEARCH("تنظيف",D459)),ISNUMBER(SEARCH("تصليح",D459)))),"⚠ الصيانة بلا ورشة",IF(H459="","⚠ ناقص",IF(D459&lt;&gt;"",IF(SUMIF($D$7:$D$806,D459,$H$7:$H$806)&gt;=20,"أصل","مصروف"),IFERROR(IF(VLOOKUP(I459,'القوائم'!$A$2:$D$14,4,0)="زكاة وصدقة","زكاة وصدقة",IF(AND(VLOOKUP(I459,'القوائم'!$A$2:$D$14,3,0)&lt;&gt;"",H459&gt;=20),"أصل","مصروف")),"مصروف"))))))</f>
        <v/>
      </c>
      <c r="K459" s="21" t="n"/>
      <c r="L459" s="22" t="n"/>
      <c r="N459">
        <f>IF(B459="","",MONTH(B459))</f>
        <v/>
      </c>
      <c r="O459">
        <f>IF(B459="","",YEAR(B459))</f>
        <v/>
      </c>
      <c r="P459">
        <f>IF(AND(D459&lt;&gt;"",COUNTIF(D$7:D459,D459)=1),MAX(P$6:P458)+1,"")</f>
        <v/>
      </c>
      <c r="Q459">
        <f>IF(E459="","",IF(I459="أجور عمال","أجرة","مادة"))</f>
        <v/>
      </c>
    </row>
    <row r="460">
      <c r="A460" s="12">
        <f>IF(E460="","",ROW()-6)</f>
        <v/>
      </c>
      <c r="B460" s="13" t="n"/>
      <c r="C460" s="12">
        <f>IF(B460="","",CHOOSE(WEEKDAY(B460,1),"الأحد","الاثنين","الثلاثاء","الأربعاء","الخميس","الجمعة","السبت"))</f>
        <v/>
      </c>
      <c r="D460" s="14" t="n"/>
      <c r="E460" s="15" t="n"/>
      <c r="F460" s="16" t="n"/>
      <c r="G460" s="17" t="n"/>
      <c r="H460" s="18">
        <f>IF(OR(F460="",G460=""),"",ROUND(F460*G460,2))</f>
        <v/>
      </c>
      <c r="I460" s="19">
        <f>IF(ISNUMBER(SEARCH("ستاند",D460)),"أثاث وستاندات","")</f>
        <v/>
      </c>
      <c r="J460" s="20">
        <f>IF(E460="","",IF(I460="","⚠ عبّي الغرض",IF(AND(D460&lt;&gt;"",OR(ISNUMBER(SEARCH("صيانة",D460)),ISNUMBER(SEARCH("تعزيل",D460)),ISNUMBER(SEARCH("تنظيف",D460)),ISNUMBER(SEARCH("تصليح",D460)))),"⚠ الصيانة بلا ورشة",IF(H460="","⚠ ناقص",IF(D460&lt;&gt;"",IF(SUMIF($D$7:$D$806,D460,$H$7:$H$806)&gt;=20,"أصل","مصروف"),IFERROR(IF(VLOOKUP(I460,'القوائم'!$A$2:$D$14,4,0)="زكاة وصدقة","زكاة وصدقة",IF(AND(VLOOKUP(I460,'القوائم'!$A$2:$D$14,3,0)&lt;&gt;"",H460&gt;=20),"أصل","مصروف")),"مصروف"))))))</f>
        <v/>
      </c>
      <c r="K460" s="21" t="n"/>
      <c r="L460" s="22" t="n"/>
      <c r="N460">
        <f>IF(B460="","",MONTH(B460))</f>
        <v/>
      </c>
      <c r="O460">
        <f>IF(B460="","",YEAR(B460))</f>
        <v/>
      </c>
      <c r="P460">
        <f>IF(AND(D460&lt;&gt;"",COUNTIF(D$7:D460,D460)=1),MAX(P$6:P459)+1,"")</f>
        <v/>
      </c>
      <c r="Q460">
        <f>IF(E460="","",IF(I460="أجور عمال","أجرة","مادة"))</f>
        <v/>
      </c>
    </row>
    <row r="461">
      <c r="A461" s="12">
        <f>IF(E461="","",ROW()-6)</f>
        <v/>
      </c>
      <c r="B461" s="13" t="n"/>
      <c r="C461" s="12">
        <f>IF(B461="","",CHOOSE(WEEKDAY(B461,1),"الأحد","الاثنين","الثلاثاء","الأربعاء","الخميس","الجمعة","السبت"))</f>
        <v/>
      </c>
      <c r="D461" s="14" t="n"/>
      <c r="E461" s="15" t="n"/>
      <c r="F461" s="16" t="n"/>
      <c r="G461" s="17" t="n"/>
      <c r="H461" s="18">
        <f>IF(OR(F461="",G461=""),"",ROUND(F461*G461,2))</f>
        <v/>
      </c>
      <c r="I461" s="19">
        <f>IF(ISNUMBER(SEARCH("ستاند",D461)),"أثاث وستاندات","")</f>
        <v/>
      </c>
      <c r="J461" s="20">
        <f>IF(E461="","",IF(I461="","⚠ عبّي الغرض",IF(AND(D461&lt;&gt;"",OR(ISNUMBER(SEARCH("صيانة",D461)),ISNUMBER(SEARCH("تعزيل",D461)),ISNUMBER(SEARCH("تنظيف",D461)),ISNUMBER(SEARCH("تصليح",D461)))),"⚠ الصيانة بلا ورشة",IF(H461="","⚠ ناقص",IF(D461&lt;&gt;"",IF(SUMIF($D$7:$D$806,D461,$H$7:$H$806)&gt;=20,"أصل","مصروف"),IFERROR(IF(VLOOKUP(I461,'القوائم'!$A$2:$D$14,4,0)="زكاة وصدقة","زكاة وصدقة",IF(AND(VLOOKUP(I461,'القوائم'!$A$2:$D$14,3,0)&lt;&gt;"",H461&gt;=20),"أصل","مصروف")),"مصروف"))))))</f>
        <v/>
      </c>
      <c r="K461" s="21" t="n"/>
      <c r="L461" s="22" t="n"/>
      <c r="N461">
        <f>IF(B461="","",MONTH(B461))</f>
        <v/>
      </c>
      <c r="O461">
        <f>IF(B461="","",YEAR(B461))</f>
        <v/>
      </c>
      <c r="P461">
        <f>IF(AND(D461&lt;&gt;"",COUNTIF(D$7:D461,D461)=1),MAX(P$6:P460)+1,"")</f>
        <v/>
      </c>
      <c r="Q461">
        <f>IF(E461="","",IF(I461="أجور عمال","أجرة","مادة"))</f>
        <v/>
      </c>
    </row>
    <row r="462">
      <c r="A462" s="12">
        <f>IF(E462="","",ROW()-6)</f>
        <v/>
      </c>
      <c r="B462" s="13" t="n"/>
      <c r="C462" s="12">
        <f>IF(B462="","",CHOOSE(WEEKDAY(B462,1),"الأحد","الاثنين","الثلاثاء","الأربعاء","الخميس","الجمعة","السبت"))</f>
        <v/>
      </c>
      <c r="D462" s="14" t="n"/>
      <c r="E462" s="15" t="n"/>
      <c r="F462" s="16" t="n"/>
      <c r="G462" s="17" t="n"/>
      <c r="H462" s="18">
        <f>IF(OR(F462="",G462=""),"",ROUND(F462*G462,2))</f>
        <v/>
      </c>
      <c r="I462" s="19">
        <f>IF(ISNUMBER(SEARCH("ستاند",D462)),"أثاث وستاندات","")</f>
        <v/>
      </c>
      <c r="J462" s="20">
        <f>IF(E462="","",IF(I462="","⚠ عبّي الغرض",IF(AND(D462&lt;&gt;"",OR(ISNUMBER(SEARCH("صيانة",D462)),ISNUMBER(SEARCH("تعزيل",D462)),ISNUMBER(SEARCH("تنظيف",D462)),ISNUMBER(SEARCH("تصليح",D462)))),"⚠ الصيانة بلا ورشة",IF(H462="","⚠ ناقص",IF(D462&lt;&gt;"",IF(SUMIF($D$7:$D$806,D462,$H$7:$H$806)&gt;=20,"أصل","مصروف"),IFERROR(IF(VLOOKUP(I462,'القوائم'!$A$2:$D$14,4,0)="زكاة وصدقة","زكاة وصدقة",IF(AND(VLOOKUP(I462,'القوائم'!$A$2:$D$14,3,0)&lt;&gt;"",H462&gt;=20),"أصل","مصروف")),"مصروف"))))))</f>
        <v/>
      </c>
      <c r="K462" s="21" t="n"/>
      <c r="L462" s="22" t="n"/>
      <c r="N462">
        <f>IF(B462="","",MONTH(B462))</f>
        <v/>
      </c>
      <c r="O462">
        <f>IF(B462="","",YEAR(B462))</f>
        <v/>
      </c>
      <c r="P462">
        <f>IF(AND(D462&lt;&gt;"",COUNTIF(D$7:D462,D462)=1),MAX(P$6:P461)+1,"")</f>
        <v/>
      </c>
      <c r="Q462">
        <f>IF(E462="","",IF(I462="أجور عمال","أجرة","مادة"))</f>
        <v/>
      </c>
    </row>
    <row r="463">
      <c r="A463" s="12">
        <f>IF(E463="","",ROW()-6)</f>
        <v/>
      </c>
      <c r="B463" s="13" t="n"/>
      <c r="C463" s="12">
        <f>IF(B463="","",CHOOSE(WEEKDAY(B463,1),"الأحد","الاثنين","الثلاثاء","الأربعاء","الخميس","الجمعة","السبت"))</f>
        <v/>
      </c>
      <c r="D463" s="14" t="n"/>
      <c r="E463" s="15" t="n"/>
      <c r="F463" s="16" t="n"/>
      <c r="G463" s="17" t="n"/>
      <c r="H463" s="18">
        <f>IF(OR(F463="",G463=""),"",ROUND(F463*G463,2))</f>
        <v/>
      </c>
      <c r="I463" s="19">
        <f>IF(ISNUMBER(SEARCH("ستاند",D463)),"أثاث وستاندات","")</f>
        <v/>
      </c>
      <c r="J463" s="20">
        <f>IF(E463="","",IF(I463="","⚠ عبّي الغرض",IF(AND(D463&lt;&gt;"",OR(ISNUMBER(SEARCH("صيانة",D463)),ISNUMBER(SEARCH("تعزيل",D463)),ISNUMBER(SEARCH("تنظيف",D463)),ISNUMBER(SEARCH("تصليح",D463)))),"⚠ الصيانة بلا ورشة",IF(H463="","⚠ ناقص",IF(D463&lt;&gt;"",IF(SUMIF($D$7:$D$806,D463,$H$7:$H$806)&gt;=20,"أصل","مصروف"),IFERROR(IF(VLOOKUP(I463,'القوائم'!$A$2:$D$14,4,0)="زكاة وصدقة","زكاة وصدقة",IF(AND(VLOOKUP(I463,'القوائم'!$A$2:$D$14,3,0)&lt;&gt;"",H463&gt;=20),"أصل","مصروف")),"مصروف"))))))</f>
        <v/>
      </c>
      <c r="K463" s="21" t="n"/>
      <c r="L463" s="22" t="n"/>
      <c r="N463">
        <f>IF(B463="","",MONTH(B463))</f>
        <v/>
      </c>
      <c r="O463">
        <f>IF(B463="","",YEAR(B463))</f>
        <v/>
      </c>
      <c r="P463">
        <f>IF(AND(D463&lt;&gt;"",COUNTIF(D$7:D463,D463)=1),MAX(P$6:P462)+1,"")</f>
        <v/>
      </c>
      <c r="Q463">
        <f>IF(E463="","",IF(I463="أجور عمال","أجرة","مادة"))</f>
        <v/>
      </c>
    </row>
    <row r="464">
      <c r="A464" s="12">
        <f>IF(E464="","",ROW()-6)</f>
        <v/>
      </c>
      <c r="B464" s="13" t="n"/>
      <c r="C464" s="12">
        <f>IF(B464="","",CHOOSE(WEEKDAY(B464,1),"الأحد","الاثنين","الثلاثاء","الأربعاء","الخميس","الجمعة","السبت"))</f>
        <v/>
      </c>
      <c r="D464" s="14" t="n"/>
      <c r="E464" s="15" t="n"/>
      <c r="F464" s="16" t="n"/>
      <c r="G464" s="17" t="n"/>
      <c r="H464" s="18">
        <f>IF(OR(F464="",G464=""),"",ROUND(F464*G464,2))</f>
        <v/>
      </c>
      <c r="I464" s="19">
        <f>IF(ISNUMBER(SEARCH("ستاند",D464)),"أثاث وستاندات","")</f>
        <v/>
      </c>
      <c r="J464" s="20">
        <f>IF(E464="","",IF(I464="","⚠ عبّي الغرض",IF(AND(D464&lt;&gt;"",OR(ISNUMBER(SEARCH("صيانة",D464)),ISNUMBER(SEARCH("تعزيل",D464)),ISNUMBER(SEARCH("تنظيف",D464)),ISNUMBER(SEARCH("تصليح",D464)))),"⚠ الصيانة بلا ورشة",IF(H464="","⚠ ناقص",IF(D464&lt;&gt;"",IF(SUMIF($D$7:$D$806,D464,$H$7:$H$806)&gt;=20,"أصل","مصروف"),IFERROR(IF(VLOOKUP(I464,'القوائم'!$A$2:$D$14,4,0)="زكاة وصدقة","زكاة وصدقة",IF(AND(VLOOKUP(I464,'القوائم'!$A$2:$D$14,3,0)&lt;&gt;"",H464&gt;=20),"أصل","مصروف")),"مصروف"))))))</f>
        <v/>
      </c>
      <c r="K464" s="21" t="n"/>
      <c r="L464" s="22" t="n"/>
      <c r="N464">
        <f>IF(B464="","",MONTH(B464))</f>
        <v/>
      </c>
      <c r="O464">
        <f>IF(B464="","",YEAR(B464))</f>
        <v/>
      </c>
      <c r="P464">
        <f>IF(AND(D464&lt;&gt;"",COUNTIF(D$7:D464,D464)=1),MAX(P$6:P463)+1,"")</f>
        <v/>
      </c>
      <c r="Q464">
        <f>IF(E464="","",IF(I464="أجور عمال","أجرة","مادة"))</f>
        <v/>
      </c>
    </row>
    <row r="465">
      <c r="A465" s="12">
        <f>IF(E465="","",ROW()-6)</f>
        <v/>
      </c>
      <c r="B465" s="13" t="n"/>
      <c r="C465" s="12">
        <f>IF(B465="","",CHOOSE(WEEKDAY(B465,1),"الأحد","الاثنين","الثلاثاء","الأربعاء","الخميس","الجمعة","السبت"))</f>
        <v/>
      </c>
      <c r="D465" s="14" t="n"/>
      <c r="E465" s="15" t="n"/>
      <c r="F465" s="16" t="n"/>
      <c r="G465" s="17" t="n"/>
      <c r="H465" s="18">
        <f>IF(OR(F465="",G465=""),"",ROUND(F465*G465,2))</f>
        <v/>
      </c>
      <c r="I465" s="19">
        <f>IF(ISNUMBER(SEARCH("ستاند",D465)),"أثاث وستاندات","")</f>
        <v/>
      </c>
      <c r="J465" s="20">
        <f>IF(E465="","",IF(I465="","⚠ عبّي الغرض",IF(AND(D465&lt;&gt;"",OR(ISNUMBER(SEARCH("صيانة",D465)),ISNUMBER(SEARCH("تعزيل",D465)),ISNUMBER(SEARCH("تنظيف",D465)),ISNUMBER(SEARCH("تصليح",D465)))),"⚠ الصيانة بلا ورشة",IF(H465="","⚠ ناقص",IF(D465&lt;&gt;"",IF(SUMIF($D$7:$D$806,D465,$H$7:$H$806)&gt;=20,"أصل","مصروف"),IFERROR(IF(VLOOKUP(I465,'القوائم'!$A$2:$D$14,4,0)="زكاة وصدقة","زكاة وصدقة",IF(AND(VLOOKUP(I465,'القوائم'!$A$2:$D$14,3,0)&lt;&gt;"",H465&gt;=20),"أصل","مصروف")),"مصروف"))))))</f>
        <v/>
      </c>
      <c r="K465" s="21" t="n"/>
      <c r="L465" s="22" t="n"/>
      <c r="N465">
        <f>IF(B465="","",MONTH(B465))</f>
        <v/>
      </c>
      <c r="O465">
        <f>IF(B465="","",YEAR(B465))</f>
        <v/>
      </c>
      <c r="P465">
        <f>IF(AND(D465&lt;&gt;"",COUNTIF(D$7:D465,D465)=1),MAX(P$6:P464)+1,"")</f>
        <v/>
      </c>
      <c r="Q465">
        <f>IF(E465="","",IF(I465="أجور عمال","أجرة","مادة"))</f>
        <v/>
      </c>
    </row>
    <row r="466">
      <c r="A466" s="12">
        <f>IF(E466="","",ROW()-6)</f>
        <v/>
      </c>
      <c r="B466" s="13" t="n"/>
      <c r="C466" s="12">
        <f>IF(B466="","",CHOOSE(WEEKDAY(B466,1),"الأحد","الاثنين","الثلاثاء","الأربعاء","الخميس","الجمعة","السبت"))</f>
        <v/>
      </c>
      <c r="D466" s="14" t="n"/>
      <c r="E466" s="15" t="n"/>
      <c r="F466" s="16" t="n"/>
      <c r="G466" s="17" t="n"/>
      <c r="H466" s="18">
        <f>IF(OR(F466="",G466=""),"",ROUND(F466*G466,2))</f>
        <v/>
      </c>
      <c r="I466" s="19">
        <f>IF(ISNUMBER(SEARCH("ستاند",D466)),"أثاث وستاندات","")</f>
        <v/>
      </c>
      <c r="J466" s="20">
        <f>IF(E466="","",IF(I466="","⚠ عبّي الغرض",IF(AND(D466&lt;&gt;"",OR(ISNUMBER(SEARCH("صيانة",D466)),ISNUMBER(SEARCH("تعزيل",D466)),ISNUMBER(SEARCH("تنظيف",D466)),ISNUMBER(SEARCH("تصليح",D466)))),"⚠ الصيانة بلا ورشة",IF(H466="","⚠ ناقص",IF(D466&lt;&gt;"",IF(SUMIF($D$7:$D$806,D466,$H$7:$H$806)&gt;=20,"أصل","مصروف"),IFERROR(IF(VLOOKUP(I466,'القوائم'!$A$2:$D$14,4,0)="زكاة وصدقة","زكاة وصدقة",IF(AND(VLOOKUP(I466,'القوائم'!$A$2:$D$14,3,0)&lt;&gt;"",H466&gt;=20),"أصل","مصروف")),"مصروف"))))))</f>
        <v/>
      </c>
      <c r="K466" s="21" t="n"/>
      <c r="L466" s="22" t="n"/>
      <c r="N466">
        <f>IF(B466="","",MONTH(B466))</f>
        <v/>
      </c>
      <c r="O466">
        <f>IF(B466="","",YEAR(B466))</f>
        <v/>
      </c>
      <c r="P466">
        <f>IF(AND(D466&lt;&gt;"",COUNTIF(D$7:D466,D466)=1),MAX(P$6:P465)+1,"")</f>
        <v/>
      </c>
      <c r="Q466">
        <f>IF(E466="","",IF(I466="أجور عمال","أجرة","مادة"))</f>
        <v/>
      </c>
    </row>
    <row r="467">
      <c r="A467" s="12">
        <f>IF(E467="","",ROW()-6)</f>
        <v/>
      </c>
      <c r="B467" s="13" t="n"/>
      <c r="C467" s="12">
        <f>IF(B467="","",CHOOSE(WEEKDAY(B467,1),"الأحد","الاثنين","الثلاثاء","الأربعاء","الخميس","الجمعة","السبت"))</f>
        <v/>
      </c>
      <c r="D467" s="14" t="n"/>
      <c r="E467" s="15" t="n"/>
      <c r="F467" s="16" t="n"/>
      <c r="G467" s="17" t="n"/>
      <c r="H467" s="18">
        <f>IF(OR(F467="",G467=""),"",ROUND(F467*G467,2))</f>
        <v/>
      </c>
      <c r="I467" s="19">
        <f>IF(ISNUMBER(SEARCH("ستاند",D467)),"أثاث وستاندات","")</f>
        <v/>
      </c>
      <c r="J467" s="20">
        <f>IF(E467="","",IF(I467="","⚠ عبّي الغرض",IF(AND(D467&lt;&gt;"",OR(ISNUMBER(SEARCH("صيانة",D467)),ISNUMBER(SEARCH("تعزيل",D467)),ISNUMBER(SEARCH("تنظيف",D467)),ISNUMBER(SEARCH("تصليح",D467)))),"⚠ الصيانة بلا ورشة",IF(H467="","⚠ ناقص",IF(D467&lt;&gt;"",IF(SUMIF($D$7:$D$806,D467,$H$7:$H$806)&gt;=20,"أصل","مصروف"),IFERROR(IF(VLOOKUP(I467,'القوائم'!$A$2:$D$14,4,0)="زكاة وصدقة","زكاة وصدقة",IF(AND(VLOOKUP(I467,'القوائم'!$A$2:$D$14,3,0)&lt;&gt;"",H467&gt;=20),"أصل","مصروف")),"مصروف"))))))</f>
        <v/>
      </c>
      <c r="K467" s="21" t="n"/>
      <c r="L467" s="22" t="n"/>
      <c r="N467">
        <f>IF(B467="","",MONTH(B467))</f>
        <v/>
      </c>
      <c r="O467">
        <f>IF(B467="","",YEAR(B467))</f>
        <v/>
      </c>
      <c r="P467">
        <f>IF(AND(D467&lt;&gt;"",COUNTIF(D$7:D467,D467)=1),MAX(P$6:P466)+1,"")</f>
        <v/>
      </c>
      <c r="Q467">
        <f>IF(E467="","",IF(I467="أجور عمال","أجرة","مادة"))</f>
        <v/>
      </c>
    </row>
    <row r="468">
      <c r="A468" s="12">
        <f>IF(E468="","",ROW()-6)</f>
        <v/>
      </c>
      <c r="B468" s="13" t="n"/>
      <c r="C468" s="12">
        <f>IF(B468="","",CHOOSE(WEEKDAY(B468,1),"الأحد","الاثنين","الثلاثاء","الأربعاء","الخميس","الجمعة","السبت"))</f>
        <v/>
      </c>
      <c r="D468" s="14" t="n"/>
      <c r="E468" s="15" t="n"/>
      <c r="F468" s="16" t="n"/>
      <c r="G468" s="17" t="n"/>
      <c r="H468" s="18">
        <f>IF(OR(F468="",G468=""),"",ROUND(F468*G468,2))</f>
        <v/>
      </c>
      <c r="I468" s="19">
        <f>IF(ISNUMBER(SEARCH("ستاند",D468)),"أثاث وستاندات","")</f>
        <v/>
      </c>
      <c r="J468" s="20">
        <f>IF(E468="","",IF(I468="","⚠ عبّي الغرض",IF(AND(D468&lt;&gt;"",OR(ISNUMBER(SEARCH("صيانة",D468)),ISNUMBER(SEARCH("تعزيل",D468)),ISNUMBER(SEARCH("تنظيف",D468)),ISNUMBER(SEARCH("تصليح",D468)))),"⚠ الصيانة بلا ورشة",IF(H468="","⚠ ناقص",IF(D468&lt;&gt;"",IF(SUMIF($D$7:$D$806,D468,$H$7:$H$806)&gt;=20,"أصل","مصروف"),IFERROR(IF(VLOOKUP(I468,'القوائم'!$A$2:$D$14,4,0)="زكاة وصدقة","زكاة وصدقة",IF(AND(VLOOKUP(I468,'القوائم'!$A$2:$D$14,3,0)&lt;&gt;"",H468&gt;=20),"أصل","مصروف")),"مصروف"))))))</f>
        <v/>
      </c>
      <c r="K468" s="21" t="n"/>
      <c r="L468" s="22" t="n"/>
      <c r="N468">
        <f>IF(B468="","",MONTH(B468))</f>
        <v/>
      </c>
      <c r="O468">
        <f>IF(B468="","",YEAR(B468))</f>
        <v/>
      </c>
      <c r="P468">
        <f>IF(AND(D468&lt;&gt;"",COUNTIF(D$7:D468,D468)=1),MAX(P$6:P467)+1,"")</f>
        <v/>
      </c>
      <c r="Q468">
        <f>IF(E468="","",IF(I468="أجور عمال","أجرة","مادة"))</f>
        <v/>
      </c>
    </row>
    <row r="469">
      <c r="A469" s="12">
        <f>IF(E469="","",ROW()-6)</f>
        <v/>
      </c>
      <c r="B469" s="13" t="n"/>
      <c r="C469" s="12">
        <f>IF(B469="","",CHOOSE(WEEKDAY(B469,1),"الأحد","الاثنين","الثلاثاء","الأربعاء","الخميس","الجمعة","السبت"))</f>
        <v/>
      </c>
      <c r="D469" s="14" t="n"/>
      <c r="E469" s="15" t="n"/>
      <c r="F469" s="16" t="n"/>
      <c r="G469" s="17" t="n"/>
      <c r="H469" s="18">
        <f>IF(OR(F469="",G469=""),"",ROUND(F469*G469,2))</f>
        <v/>
      </c>
      <c r="I469" s="19">
        <f>IF(ISNUMBER(SEARCH("ستاند",D469)),"أثاث وستاندات","")</f>
        <v/>
      </c>
      <c r="J469" s="20">
        <f>IF(E469="","",IF(I469="","⚠ عبّي الغرض",IF(AND(D469&lt;&gt;"",OR(ISNUMBER(SEARCH("صيانة",D469)),ISNUMBER(SEARCH("تعزيل",D469)),ISNUMBER(SEARCH("تنظيف",D469)),ISNUMBER(SEARCH("تصليح",D469)))),"⚠ الصيانة بلا ورشة",IF(H469="","⚠ ناقص",IF(D469&lt;&gt;"",IF(SUMIF($D$7:$D$806,D469,$H$7:$H$806)&gt;=20,"أصل","مصروف"),IFERROR(IF(VLOOKUP(I469,'القوائم'!$A$2:$D$14,4,0)="زكاة وصدقة","زكاة وصدقة",IF(AND(VLOOKUP(I469,'القوائم'!$A$2:$D$14,3,0)&lt;&gt;"",H469&gt;=20),"أصل","مصروف")),"مصروف"))))))</f>
        <v/>
      </c>
      <c r="K469" s="21" t="n"/>
      <c r="L469" s="22" t="n"/>
      <c r="N469">
        <f>IF(B469="","",MONTH(B469))</f>
        <v/>
      </c>
      <c r="O469">
        <f>IF(B469="","",YEAR(B469))</f>
        <v/>
      </c>
      <c r="P469">
        <f>IF(AND(D469&lt;&gt;"",COUNTIF(D$7:D469,D469)=1),MAX(P$6:P468)+1,"")</f>
        <v/>
      </c>
      <c r="Q469">
        <f>IF(E469="","",IF(I469="أجور عمال","أجرة","مادة"))</f>
        <v/>
      </c>
    </row>
    <row r="470">
      <c r="A470" s="12">
        <f>IF(E470="","",ROW()-6)</f>
        <v/>
      </c>
      <c r="B470" s="13" t="n"/>
      <c r="C470" s="12">
        <f>IF(B470="","",CHOOSE(WEEKDAY(B470,1),"الأحد","الاثنين","الثلاثاء","الأربعاء","الخميس","الجمعة","السبت"))</f>
        <v/>
      </c>
      <c r="D470" s="14" t="n"/>
      <c r="E470" s="15" t="n"/>
      <c r="F470" s="16" t="n"/>
      <c r="G470" s="17" t="n"/>
      <c r="H470" s="18">
        <f>IF(OR(F470="",G470=""),"",ROUND(F470*G470,2))</f>
        <v/>
      </c>
      <c r="I470" s="19">
        <f>IF(ISNUMBER(SEARCH("ستاند",D470)),"أثاث وستاندات","")</f>
        <v/>
      </c>
      <c r="J470" s="20">
        <f>IF(E470="","",IF(I470="","⚠ عبّي الغرض",IF(AND(D470&lt;&gt;"",OR(ISNUMBER(SEARCH("صيانة",D470)),ISNUMBER(SEARCH("تعزيل",D470)),ISNUMBER(SEARCH("تنظيف",D470)),ISNUMBER(SEARCH("تصليح",D470)))),"⚠ الصيانة بلا ورشة",IF(H470="","⚠ ناقص",IF(D470&lt;&gt;"",IF(SUMIF($D$7:$D$806,D470,$H$7:$H$806)&gt;=20,"أصل","مصروف"),IFERROR(IF(VLOOKUP(I470,'القوائم'!$A$2:$D$14,4,0)="زكاة وصدقة","زكاة وصدقة",IF(AND(VLOOKUP(I470,'القوائم'!$A$2:$D$14,3,0)&lt;&gt;"",H470&gt;=20),"أصل","مصروف")),"مصروف"))))))</f>
        <v/>
      </c>
      <c r="K470" s="21" t="n"/>
      <c r="L470" s="22" t="n"/>
      <c r="N470">
        <f>IF(B470="","",MONTH(B470))</f>
        <v/>
      </c>
      <c r="O470">
        <f>IF(B470="","",YEAR(B470))</f>
        <v/>
      </c>
      <c r="P470">
        <f>IF(AND(D470&lt;&gt;"",COUNTIF(D$7:D470,D470)=1),MAX(P$6:P469)+1,"")</f>
        <v/>
      </c>
      <c r="Q470">
        <f>IF(E470="","",IF(I470="أجور عمال","أجرة","مادة"))</f>
        <v/>
      </c>
    </row>
    <row r="471">
      <c r="A471" s="12">
        <f>IF(E471="","",ROW()-6)</f>
        <v/>
      </c>
      <c r="B471" s="13" t="n"/>
      <c r="C471" s="12">
        <f>IF(B471="","",CHOOSE(WEEKDAY(B471,1),"الأحد","الاثنين","الثلاثاء","الأربعاء","الخميس","الجمعة","السبت"))</f>
        <v/>
      </c>
      <c r="D471" s="14" t="n"/>
      <c r="E471" s="15" t="n"/>
      <c r="F471" s="16" t="n"/>
      <c r="G471" s="17" t="n"/>
      <c r="H471" s="18">
        <f>IF(OR(F471="",G471=""),"",ROUND(F471*G471,2))</f>
        <v/>
      </c>
      <c r="I471" s="19">
        <f>IF(ISNUMBER(SEARCH("ستاند",D471)),"أثاث وستاندات","")</f>
        <v/>
      </c>
      <c r="J471" s="20">
        <f>IF(E471="","",IF(I471="","⚠ عبّي الغرض",IF(AND(D471&lt;&gt;"",OR(ISNUMBER(SEARCH("صيانة",D471)),ISNUMBER(SEARCH("تعزيل",D471)),ISNUMBER(SEARCH("تنظيف",D471)),ISNUMBER(SEARCH("تصليح",D471)))),"⚠ الصيانة بلا ورشة",IF(H471="","⚠ ناقص",IF(D471&lt;&gt;"",IF(SUMIF($D$7:$D$806,D471,$H$7:$H$806)&gt;=20,"أصل","مصروف"),IFERROR(IF(VLOOKUP(I471,'القوائم'!$A$2:$D$14,4,0)="زكاة وصدقة","زكاة وصدقة",IF(AND(VLOOKUP(I471,'القوائم'!$A$2:$D$14,3,0)&lt;&gt;"",H471&gt;=20),"أصل","مصروف")),"مصروف"))))))</f>
        <v/>
      </c>
      <c r="K471" s="21" t="n"/>
      <c r="L471" s="22" t="n"/>
      <c r="N471">
        <f>IF(B471="","",MONTH(B471))</f>
        <v/>
      </c>
      <c r="O471">
        <f>IF(B471="","",YEAR(B471))</f>
        <v/>
      </c>
      <c r="P471">
        <f>IF(AND(D471&lt;&gt;"",COUNTIF(D$7:D471,D471)=1),MAX(P$6:P470)+1,"")</f>
        <v/>
      </c>
      <c r="Q471">
        <f>IF(E471="","",IF(I471="أجور عمال","أجرة","مادة"))</f>
        <v/>
      </c>
    </row>
    <row r="472">
      <c r="A472" s="12">
        <f>IF(E472="","",ROW()-6)</f>
        <v/>
      </c>
      <c r="B472" s="13" t="n"/>
      <c r="C472" s="12">
        <f>IF(B472="","",CHOOSE(WEEKDAY(B472,1),"الأحد","الاثنين","الثلاثاء","الأربعاء","الخميس","الجمعة","السبت"))</f>
        <v/>
      </c>
      <c r="D472" s="14" t="n"/>
      <c r="E472" s="15" t="n"/>
      <c r="F472" s="16" t="n"/>
      <c r="G472" s="17" t="n"/>
      <c r="H472" s="18">
        <f>IF(OR(F472="",G472=""),"",ROUND(F472*G472,2))</f>
        <v/>
      </c>
      <c r="I472" s="19">
        <f>IF(ISNUMBER(SEARCH("ستاند",D472)),"أثاث وستاندات","")</f>
        <v/>
      </c>
      <c r="J472" s="20">
        <f>IF(E472="","",IF(I472="","⚠ عبّي الغرض",IF(AND(D472&lt;&gt;"",OR(ISNUMBER(SEARCH("صيانة",D472)),ISNUMBER(SEARCH("تعزيل",D472)),ISNUMBER(SEARCH("تنظيف",D472)),ISNUMBER(SEARCH("تصليح",D472)))),"⚠ الصيانة بلا ورشة",IF(H472="","⚠ ناقص",IF(D472&lt;&gt;"",IF(SUMIF($D$7:$D$806,D472,$H$7:$H$806)&gt;=20,"أصل","مصروف"),IFERROR(IF(VLOOKUP(I472,'القوائم'!$A$2:$D$14,4,0)="زكاة وصدقة","زكاة وصدقة",IF(AND(VLOOKUP(I472,'القوائم'!$A$2:$D$14,3,0)&lt;&gt;"",H472&gt;=20),"أصل","مصروف")),"مصروف"))))))</f>
        <v/>
      </c>
      <c r="K472" s="21" t="n"/>
      <c r="L472" s="22" t="n"/>
      <c r="N472">
        <f>IF(B472="","",MONTH(B472))</f>
        <v/>
      </c>
      <c r="O472">
        <f>IF(B472="","",YEAR(B472))</f>
        <v/>
      </c>
      <c r="P472">
        <f>IF(AND(D472&lt;&gt;"",COUNTIF(D$7:D472,D472)=1),MAX(P$6:P471)+1,"")</f>
        <v/>
      </c>
      <c r="Q472">
        <f>IF(E472="","",IF(I472="أجور عمال","أجرة","مادة"))</f>
        <v/>
      </c>
    </row>
    <row r="473">
      <c r="A473" s="12">
        <f>IF(E473="","",ROW()-6)</f>
        <v/>
      </c>
      <c r="B473" s="13" t="n"/>
      <c r="C473" s="12">
        <f>IF(B473="","",CHOOSE(WEEKDAY(B473,1),"الأحد","الاثنين","الثلاثاء","الأربعاء","الخميس","الجمعة","السبت"))</f>
        <v/>
      </c>
      <c r="D473" s="14" t="n"/>
      <c r="E473" s="15" t="n"/>
      <c r="F473" s="16" t="n"/>
      <c r="G473" s="17" t="n"/>
      <c r="H473" s="18">
        <f>IF(OR(F473="",G473=""),"",ROUND(F473*G473,2))</f>
        <v/>
      </c>
      <c r="I473" s="19">
        <f>IF(ISNUMBER(SEARCH("ستاند",D473)),"أثاث وستاندات","")</f>
        <v/>
      </c>
      <c r="J473" s="20">
        <f>IF(E473="","",IF(I473="","⚠ عبّي الغرض",IF(AND(D473&lt;&gt;"",OR(ISNUMBER(SEARCH("صيانة",D473)),ISNUMBER(SEARCH("تعزيل",D473)),ISNUMBER(SEARCH("تنظيف",D473)),ISNUMBER(SEARCH("تصليح",D473)))),"⚠ الصيانة بلا ورشة",IF(H473="","⚠ ناقص",IF(D473&lt;&gt;"",IF(SUMIF($D$7:$D$806,D473,$H$7:$H$806)&gt;=20,"أصل","مصروف"),IFERROR(IF(VLOOKUP(I473,'القوائم'!$A$2:$D$14,4,0)="زكاة وصدقة","زكاة وصدقة",IF(AND(VLOOKUP(I473,'القوائم'!$A$2:$D$14,3,0)&lt;&gt;"",H473&gt;=20),"أصل","مصروف")),"مصروف"))))))</f>
        <v/>
      </c>
      <c r="K473" s="21" t="n"/>
      <c r="L473" s="22" t="n"/>
      <c r="N473">
        <f>IF(B473="","",MONTH(B473))</f>
        <v/>
      </c>
      <c r="O473">
        <f>IF(B473="","",YEAR(B473))</f>
        <v/>
      </c>
      <c r="P473">
        <f>IF(AND(D473&lt;&gt;"",COUNTIF(D$7:D473,D473)=1),MAX(P$6:P472)+1,"")</f>
        <v/>
      </c>
      <c r="Q473">
        <f>IF(E473="","",IF(I473="أجور عمال","أجرة","مادة"))</f>
        <v/>
      </c>
    </row>
    <row r="474">
      <c r="A474" s="12">
        <f>IF(E474="","",ROW()-6)</f>
        <v/>
      </c>
      <c r="B474" s="13" t="n"/>
      <c r="C474" s="12">
        <f>IF(B474="","",CHOOSE(WEEKDAY(B474,1),"الأحد","الاثنين","الثلاثاء","الأربعاء","الخميس","الجمعة","السبت"))</f>
        <v/>
      </c>
      <c r="D474" s="14" t="n"/>
      <c r="E474" s="15" t="n"/>
      <c r="F474" s="16" t="n"/>
      <c r="G474" s="17" t="n"/>
      <c r="H474" s="18">
        <f>IF(OR(F474="",G474=""),"",ROUND(F474*G474,2))</f>
        <v/>
      </c>
      <c r="I474" s="19">
        <f>IF(ISNUMBER(SEARCH("ستاند",D474)),"أثاث وستاندات","")</f>
        <v/>
      </c>
      <c r="J474" s="20">
        <f>IF(E474="","",IF(I474="","⚠ عبّي الغرض",IF(AND(D474&lt;&gt;"",OR(ISNUMBER(SEARCH("صيانة",D474)),ISNUMBER(SEARCH("تعزيل",D474)),ISNUMBER(SEARCH("تنظيف",D474)),ISNUMBER(SEARCH("تصليح",D474)))),"⚠ الصيانة بلا ورشة",IF(H474="","⚠ ناقص",IF(D474&lt;&gt;"",IF(SUMIF($D$7:$D$806,D474,$H$7:$H$806)&gt;=20,"أصل","مصروف"),IFERROR(IF(VLOOKUP(I474,'القوائم'!$A$2:$D$14,4,0)="زكاة وصدقة","زكاة وصدقة",IF(AND(VLOOKUP(I474,'القوائم'!$A$2:$D$14,3,0)&lt;&gt;"",H474&gt;=20),"أصل","مصروف")),"مصروف"))))))</f>
        <v/>
      </c>
      <c r="K474" s="21" t="n"/>
      <c r="L474" s="22" t="n"/>
      <c r="N474">
        <f>IF(B474="","",MONTH(B474))</f>
        <v/>
      </c>
      <c r="O474">
        <f>IF(B474="","",YEAR(B474))</f>
        <v/>
      </c>
      <c r="P474">
        <f>IF(AND(D474&lt;&gt;"",COUNTIF(D$7:D474,D474)=1),MAX(P$6:P473)+1,"")</f>
        <v/>
      </c>
      <c r="Q474">
        <f>IF(E474="","",IF(I474="أجور عمال","أجرة","مادة"))</f>
        <v/>
      </c>
    </row>
    <row r="475">
      <c r="A475" s="12">
        <f>IF(E475="","",ROW()-6)</f>
        <v/>
      </c>
      <c r="B475" s="13" t="n"/>
      <c r="C475" s="12">
        <f>IF(B475="","",CHOOSE(WEEKDAY(B475,1),"الأحد","الاثنين","الثلاثاء","الأربعاء","الخميس","الجمعة","السبت"))</f>
        <v/>
      </c>
      <c r="D475" s="14" t="n"/>
      <c r="E475" s="15" t="n"/>
      <c r="F475" s="16" t="n"/>
      <c r="G475" s="17" t="n"/>
      <c r="H475" s="18">
        <f>IF(OR(F475="",G475=""),"",ROUND(F475*G475,2))</f>
        <v/>
      </c>
      <c r="I475" s="19">
        <f>IF(ISNUMBER(SEARCH("ستاند",D475)),"أثاث وستاندات","")</f>
        <v/>
      </c>
      <c r="J475" s="20">
        <f>IF(E475="","",IF(I475="","⚠ عبّي الغرض",IF(AND(D475&lt;&gt;"",OR(ISNUMBER(SEARCH("صيانة",D475)),ISNUMBER(SEARCH("تعزيل",D475)),ISNUMBER(SEARCH("تنظيف",D475)),ISNUMBER(SEARCH("تصليح",D475)))),"⚠ الصيانة بلا ورشة",IF(H475="","⚠ ناقص",IF(D475&lt;&gt;"",IF(SUMIF($D$7:$D$806,D475,$H$7:$H$806)&gt;=20,"أصل","مصروف"),IFERROR(IF(VLOOKUP(I475,'القوائم'!$A$2:$D$14,4,0)="زكاة وصدقة","زكاة وصدقة",IF(AND(VLOOKUP(I475,'القوائم'!$A$2:$D$14,3,0)&lt;&gt;"",H475&gt;=20),"أصل","مصروف")),"مصروف"))))))</f>
        <v/>
      </c>
      <c r="K475" s="21" t="n"/>
      <c r="L475" s="22" t="n"/>
      <c r="N475">
        <f>IF(B475="","",MONTH(B475))</f>
        <v/>
      </c>
      <c r="O475">
        <f>IF(B475="","",YEAR(B475))</f>
        <v/>
      </c>
      <c r="P475">
        <f>IF(AND(D475&lt;&gt;"",COUNTIF(D$7:D475,D475)=1),MAX(P$6:P474)+1,"")</f>
        <v/>
      </c>
      <c r="Q475">
        <f>IF(E475="","",IF(I475="أجور عمال","أجرة","مادة"))</f>
        <v/>
      </c>
    </row>
    <row r="476">
      <c r="A476" s="12">
        <f>IF(E476="","",ROW()-6)</f>
        <v/>
      </c>
      <c r="B476" s="13" t="n"/>
      <c r="C476" s="12">
        <f>IF(B476="","",CHOOSE(WEEKDAY(B476,1),"الأحد","الاثنين","الثلاثاء","الأربعاء","الخميس","الجمعة","السبت"))</f>
        <v/>
      </c>
      <c r="D476" s="14" t="n"/>
      <c r="E476" s="15" t="n"/>
      <c r="F476" s="16" t="n"/>
      <c r="G476" s="17" t="n"/>
      <c r="H476" s="18">
        <f>IF(OR(F476="",G476=""),"",ROUND(F476*G476,2))</f>
        <v/>
      </c>
      <c r="I476" s="19">
        <f>IF(ISNUMBER(SEARCH("ستاند",D476)),"أثاث وستاندات","")</f>
        <v/>
      </c>
      <c r="J476" s="20">
        <f>IF(E476="","",IF(I476="","⚠ عبّي الغرض",IF(AND(D476&lt;&gt;"",OR(ISNUMBER(SEARCH("صيانة",D476)),ISNUMBER(SEARCH("تعزيل",D476)),ISNUMBER(SEARCH("تنظيف",D476)),ISNUMBER(SEARCH("تصليح",D476)))),"⚠ الصيانة بلا ورشة",IF(H476="","⚠ ناقص",IF(D476&lt;&gt;"",IF(SUMIF($D$7:$D$806,D476,$H$7:$H$806)&gt;=20,"أصل","مصروف"),IFERROR(IF(VLOOKUP(I476,'القوائم'!$A$2:$D$14,4,0)="زكاة وصدقة","زكاة وصدقة",IF(AND(VLOOKUP(I476,'القوائم'!$A$2:$D$14,3,0)&lt;&gt;"",H476&gt;=20),"أصل","مصروف")),"مصروف"))))))</f>
        <v/>
      </c>
      <c r="K476" s="21" t="n"/>
      <c r="L476" s="22" t="n"/>
      <c r="N476">
        <f>IF(B476="","",MONTH(B476))</f>
        <v/>
      </c>
      <c r="O476">
        <f>IF(B476="","",YEAR(B476))</f>
        <v/>
      </c>
      <c r="P476">
        <f>IF(AND(D476&lt;&gt;"",COUNTIF(D$7:D476,D476)=1),MAX(P$6:P475)+1,"")</f>
        <v/>
      </c>
      <c r="Q476">
        <f>IF(E476="","",IF(I476="أجور عمال","أجرة","مادة"))</f>
        <v/>
      </c>
    </row>
    <row r="477">
      <c r="A477" s="12">
        <f>IF(E477="","",ROW()-6)</f>
        <v/>
      </c>
      <c r="B477" s="13" t="n"/>
      <c r="C477" s="12">
        <f>IF(B477="","",CHOOSE(WEEKDAY(B477,1),"الأحد","الاثنين","الثلاثاء","الأربعاء","الخميس","الجمعة","السبت"))</f>
        <v/>
      </c>
      <c r="D477" s="14" t="n"/>
      <c r="E477" s="15" t="n"/>
      <c r="F477" s="16" t="n"/>
      <c r="G477" s="17" t="n"/>
      <c r="H477" s="18">
        <f>IF(OR(F477="",G477=""),"",ROUND(F477*G477,2))</f>
        <v/>
      </c>
      <c r="I477" s="19">
        <f>IF(ISNUMBER(SEARCH("ستاند",D477)),"أثاث وستاندات","")</f>
        <v/>
      </c>
      <c r="J477" s="20">
        <f>IF(E477="","",IF(I477="","⚠ عبّي الغرض",IF(AND(D477&lt;&gt;"",OR(ISNUMBER(SEARCH("صيانة",D477)),ISNUMBER(SEARCH("تعزيل",D477)),ISNUMBER(SEARCH("تنظيف",D477)),ISNUMBER(SEARCH("تصليح",D477)))),"⚠ الصيانة بلا ورشة",IF(H477="","⚠ ناقص",IF(D477&lt;&gt;"",IF(SUMIF($D$7:$D$806,D477,$H$7:$H$806)&gt;=20,"أصل","مصروف"),IFERROR(IF(VLOOKUP(I477,'القوائم'!$A$2:$D$14,4,0)="زكاة وصدقة","زكاة وصدقة",IF(AND(VLOOKUP(I477,'القوائم'!$A$2:$D$14,3,0)&lt;&gt;"",H477&gt;=20),"أصل","مصروف")),"مصروف"))))))</f>
        <v/>
      </c>
      <c r="K477" s="21" t="n"/>
      <c r="L477" s="22" t="n"/>
      <c r="N477">
        <f>IF(B477="","",MONTH(B477))</f>
        <v/>
      </c>
      <c r="O477">
        <f>IF(B477="","",YEAR(B477))</f>
        <v/>
      </c>
      <c r="P477">
        <f>IF(AND(D477&lt;&gt;"",COUNTIF(D$7:D477,D477)=1),MAX(P$6:P476)+1,"")</f>
        <v/>
      </c>
      <c r="Q477">
        <f>IF(E477="","",IF(I477="أجور عمال","أجرة","مادة"))</f>
        <v/>
      </c>
    </row>
    <row r="478">
      <c r="A478" s="12">
        <f>IF(E478="","",ROW()-6)</f>
        <v/>
      </c>
      <c r="B478" s="13" t="n"/>
      <c r="C478" s="12">
        <f>IF(B478="","",CHOOSE(WEEKDAY(B478,1),"الأحد","الاثنين","الثلاثاء","الأربعاء","الخميس","الجمعة","السبت"))</f>
        <v/>
      </c>
      <c r="D478" s="14" t="n"/>
      <c r="E478" s="15" t="n"/>
      <c r="F478" s="16" t="n"/>
      <c r="G478" s="17" t="n"/>
      <c r="H478" s="18">
        <f>IF(OR(F478="",G478=""),"",ROUND(F478*G478,2))</f>
        <v/>
      </c>
      <c r="I478" s="19">
        <f>IF(ISNUMBER(SEARCH("ستاند",D478)),"أثاث وستاندات","")</f>
        <v/>
      </c>
      <c r="J478" s="20">
        <f>IF(E478="","",IF(I478="","⚠ عبّي الغرض",IF(AND(D478&lt;&gt;"",OR(ISNUMBER(SEARCH("صيانة",D478)),ISNUMBER(SEARCH("تعزيل",D478)),ISNUMBER(SEARCH("تنظيف",D478)),ISNUMBER(SEARCH("تصليح",D478)))),"⚠ الصيانة بلا ورشة",IF(H478="","⚠ ناقص",IF(D478&lt;&gt;"",IF(SUMIF($D$7:$D$806,D478,$H$7:$H$806)&gt;=20,"أصل","مصروف"),IFERROR(IF(VLOOKUP(I478,'القوائم'!$A$2:$D$14,4,0)="زكاة وصدقة","زكاة وصدقة",IF(AND(VLOOKUP(I478,'القوائم'!$A$2:$D$14,3,0)&lt;&gt;"",H478&gt;=20),"أصل","مصروف")),"مصروف"))))))</f>
        <v/>
      </c>
      <c r="K478" s="21" t="n"/>
      <c r="L478" s="22" t="n"/>
      <c r="N478">
        <f>IF(B478="","",MONTH(B478))</f>
        <v/>
      </c>
      <c r="O478">
        <f>IF(B478="","",YEAR(B478))</f>
        <v/>
      </c>
      <c r="P478">
        <f>IF(AND(D478&lt;&gt;"",COUNTIF(D$7:D478,D478)=1),MAX(P$6:P477)+1,"")</f>
        <v/>
      </c>
      <c r="Q478">
        <f>IF(E478="","",IF(I478="أجور عمال","أجرة","مادة"))</f>
        <v/>
      </c>
    </row>
    <row r="479">
      <c r="A479" s="12">
        <f>IF(E479="","",ROW()-6)</f>
        <v/>
      </c>
      <c r="B479" s="13" t="n"/>
      <c r="C479" s="12">
        <f>IF(B479="","",CHOOSE(WEEKDAY(B479,1),"الأحد","الاثنين","الثلاثاء","الأربعاء","الخميس","الجمعة","السبت"))</f>
        <v/>
      </c>
      <c r="D479" s="14" t="n"/>
      <c r="E479" s="15" t="n"/>
      <c r="F479" s="16" t="n"/>
      <c r="G479" s="17" t="n"/>
      <c r="H479" s="18">
        <f>IF(OR(F479="",G479=""),"",ROUND(F479*G479,2))</f>
        <v/>
      </c>
      <c r="I479" s="19">
        <f>IF(ISNUMBER(SEARCH("ستاند",D479)),"أثاث وستاندات","")</f>
        <v/>
      </c>
      <c r="J479" s="20">
        <f>IF(E479="","",IF(I479="","⚠ عبّي الغرض",IF(AND(D479&lt;&gt;"",OR(ISNUMBER(SEARCH("صيانة",D479)),ISNUMBER(SEARCH("تعزيل",D479)),ISNUMBER(SEARCH("تنظيف",D479)),ISNUMBER(SEARCH("تصليح",D479)))),"⚠ الصيانة بلا ورشة",IF(H479="","⚠ ناقص",IF(D479&lt;&gt;"",IF(SUMIF($D$7:$D$806,D479,$H$7:$H$806)&gt;=20,"أصل","مصروف"),IFERROR(IF(VLOOKUP(I479,'القوائم'!$A$2:$D$14,4,0)="زكاة وصدقة","زكاة وصدقة",IF(AND(VLOOKUP(I479,'القوائم'!$A$2:$D$14,3,0)&lt;&gt;"",H479&gt;=20),"أصل","مصروف")),"مصروف"))))))</f>
        <v/>
      </c>
      <c r="K479" s="21" t="n"/>
      <c r="L479" s="22" t="n"/>
      <c r="N479">
        <f>IF(B479="","",MONTH(B479))</f>
        <v/>
      </c>
      <c r="O479">
        <f>IF(B479="","",YEAR(B479))</f>
        <v/>
      </c>
      <c r="P479">
        <f>IF(AND(D479&lt;&gt;"",COUNTIF(D$7:D479,D479)=1),MAX(P$6:P478)+1,"")</f>
        <v/>
      </c>
      <c r="Q479">
        <f>IF(E479="","",IF(I479="أجور عمال","أجرة","مادة"))</f>
        <v/>
      </c>
    </row>
    <row r="480">
      <c r="A480" s="12">
        <f>IF(E480="","",ROW()-6)</f>
        <v/>
      </c>
      <c r="B480" s="13" t="n"/>
      <c r="C480" s="12">
        <f>IF(B480="","",CHOOSE(WEEKDAY(B480,1),"الأحد","الاثنين","الثلاثاء","الأربعاء","الخميس","الجمعة","السبت"))</f>
        <v/>
      </c>
      <c r="D480" s="14" t="n"/>
      <c r="E480" s="15" t="n"/>
      <c r="F480" s="16" t="n"/>
      <c r="G480" s="17" t="n"/>
      <c r="H480" s="18">
        <f>IF(OR(F480="",G480=""),"",ROUND(F480*G480,2))</f>
        <v/>
      </c>
      <c r="I480" s="19">
        <f>IF(ISNUMBER(SEARCH("ستاند",D480)),"أثاث وستاندات","")</f>
        <v/>
      </c>
      <c r="J480" s="20">
        <f>IF(E480="","",IF(I480="","⚠ عبّي الغرض",IF(AND(D480&lt;&gt;"",OR(ISNUMBER(SEARCH("صيانة",D480)),ISNUMBER(SEARCH("تعزيل",D480)),ISNUMBER(SEARCH("تنظيف",D480)),ISNUMBER(SEARCH("تصليح",D480)))),"⚠ الصيانة بلا ورشة",IF(H480="","⚠ ناقص",IF(D480&lt;&gt;"",IF(SUMIF($D$7:$D$806,D480,$H$7:$H$806)&gt;=20,"أصل","مصروف"),IFERROR(IF(VLOOKUP(I480,'القوائم'!$A$2:$D$14,4,0)="زكاة وصدقة","زكاة وصدقة",IF(AND(VLOOKUP(I480,'القوائم'!$A$2:$D$14,3,0)&lt;&gt;"",H480&gt;=20),"أصل","مصروف")),"مصروف"))))))</f>
        <v/>
      </c>
      <c r="K480" s="21" t="n"/>
      <c r="L480" s="22" t="n"/>
      <c r="N480">
        <f>IF(B480="","",MONTH(B480))</f>
        <v/>
      </c>
      <c r="O480">
        <f>IF(B480="","",YEAR(B480))</f>
        <v/>
      </c>
      <c r="P480">
        <f>IF(AND(D480&lt;&gt;"",COUNTIF(D$7:D480,D480)=1),MAX(P$6:P479)+1,"")</f>
        <v/>
      </c>
      <c r="Q480">
        <f>IF(E480="","",IF(I480="أجور عمال","أجرة","مادة"))</f>
        <v/>
      </c>
    </row>
    <row r="481">
      <c r="A481" s="12">
        <f>IF(E481="","",ROW()-6)</f>
        <v/>
      </c>
      <c r="B481" s="13" t="n"/>
      <c r="C481" s="12">
        <f>IF(B481="","",CHOOSE(WEEKDAY(B481,1),"الأحد","الاثنين","الثلاثاء","الأربعاء","الخميس","الجمعة","السبت"))</f>
        <v/>
      </c>
      <c r="D481" s="14" t="n"/>
      <c r="E481" s="15" t="n"/>
      <c r="F481" s="16" t="n"/>
      <c r="G481" s="17" t="n"/>
      <c r="H481" s="18">
        <f>IF(OR(F481="",G481=""),"",ROUND(F481*G481,2))</f>
        <v/>
      </c>
      <c r="I481" s="19">
        <f>IF(ISNUMBER(SEARCH("ستاند",D481)),"أثاث وستاندات","")</f>
        <v/>
      </c>
      <c r="J481" s="20">
        <f>IF(E481="","",IF(I481="","⚠ عبّي الغرض",IF(AND(D481&lt;&gt;"",OR(ISNUMBER(SEARCH("صيانة",D481)),ISNUMBER(SEARCH("تعزيل",D481)),ISNUMBER(SEARCH("تنظيف",D481)),ISNUMBER(SEARCH("تصليح",D481)))),"⚠ الصيانة بلا ورشة",IF(H481="","⚠ ناقص",IF(D481&lt;&gt;"",IF(SUMIF($D$7:$D$806,D481,$H$7:$H$806)&gt;=20,"أصل","مصروف"),IFERROR(IF(VLOOKUP(I481,'القوائم'!$A$2:$D$14,4,0)="زكاة وصدقة","زكاة وصدقة",IF(AND(VLOOKUP(I481,'القوائم'!$A$2:$D$14,3,0)&lt;&gt;"",H481&gt;=20),"أصل","مصروف")),"مصروف"))))))</f>
        <v/>
      </c>
      <c r="K481" s="21" t="n"/>
      <c r="L481" s="22" t="n"/>
      <c r="N481">
        <f>IF(B481="","",MONTH(B481))</f>
        <v/>
      </c>
      <c r="O481">
        <f>IF(B481="","",YEAR(B481))</f>
        <v/>
      </c>
      <c r="P481">
        <f>IF(AND(D481&lt;&gt;"",COUNTIF(D$7:D481,D481)=1),MAX(P$6:P480)+1,"")</f>
        <v/>
      </c>
      <c r="Q481">
        <f>IF(E481="","",IF(I481="أجور عمال","أجرة","مادة"))</f>
        <v/>
      </c>
    </row>
    <row r="482">
      <c r="A482" s="12">
        <f>IF(E482="","",ROW()-6)</f>
        <v/>
      </c>
      <c r="B482" s="13" t="n"/>
      <c r="C482" s="12">
        <f>IF(B482="","",CHOOSE(WEEKDAY(B482,1),"الأحد","الاثنين","الثلاثاء","الأربعاء","الخميس","الجمعة","السبت"))</f>
        <v/>
      </c>
      <c r="D482" s="14" t="n"/>
      <c r="E482" s="15" t="n"/>
      <c r="F482" s="16" t="n"/>
      <c r="G482" s="17" t="n"/>
      <c r="H482" s="18">
        <f>IF(OR(F482="",G482=""),"",ROUND(F482*G482,2))</f>
        <v/>
      </c>
      <c r="I482" s="19">
        <f>IF(ISNUMBER(SEARCH("ستاند",D482)),"أثاث وستاندات","")</f>
        <v/>
      </c>
      <c r="J482" s="20">
        <f>IF(E482="","",IF(I482="","⚠ عبّي الغرض",IF(AND(D482&lt;&gt;"",OR(ISNUMBER(SEARCH("صيانة",D482)),ISNUMBER(SEARCH("تعزيل",D482)),ISNUMBER(SEARCH("تنظيف",D482)),ISNUMBER(SEARCH("تصليح",D482)))),"⚠ الصيانة بلا ورشة",IF(H482="","⚠ ناقص",IF(D482&lt;&gt;"",IF(SUMIF($D$7:$D$806,D482,$H$7:$H$806)&gt;=20,"أصل","مصروف"),IFERROR(IF(VLOOKUP(I482,'القوائم'!$A$2:$D$14,4,0)="زكاة وصدقة","زكاة وصدقة",IF(AND(VLOOKUP(I482,'القوائم'!$A$2:$D$14,3,0)&lt;&gt;"",H482&gt;=20),"أصل","مصروف")),"مصروف"))))))</f>
        <v/>
      </c>
      <c r="K482" s="21" t="n"/>
      <c r="L482" s="22" t="n"/>
      <c r="N482">
        <f>IF(B482="","",MONTH(B482))</f>
        <v/>
      </c>
      <c r="O482">
        <f>IF(B482="","",YEAR(B482))</f>
        <v/>
      </c>
      <c r="P482">
        <f>IF(AND(D482&lt;&gt;"",COUNTIF(D$7:D482,D482)=1),MAX(P$6:P481)+1,"")</f>
        <v/>
      </c>
      <c r="Q482">
        <f>IF(E482="","",IF(I482="أجور عمال","أجرة","مادة"))</f>
        <v/>
      </c>
    </row>
    <row r="483">
      <c r="A483" s="12">
        <f>IF(E483="","",ROW()-6)</f>
        <v/>
      </c>
      <c r="B483" s="13" t="n"/>
      <c r="C483" s="12">
        <f>IF(B483="","",CHOOSE(WEEKDAY(B483,1),"الأحد","الاثنين","الثلاثاء","الأربعاء","الخميس","الجمعة","السبت"))</f>
        <v/>
      </c>
      <c r="D483" s="14" t="n"/>
      <c r="E483" s="15" t="n"/>
      <c r="F483" s="16" t="n"/>
      <c r="G483" s="17" t="n"/>
      <c r="H483" s="18">
        <f>IF(OR(F483="",G483=""),"",ROUND(F483*G483,2))</f>
        <v/>
      </c>
      <c r="I483" s="19">
        <f>IF(ISNUMBER(SEARCH("ستاند",D483)),"أثاث وستاندات","")</f>
        <v/>
      </c>
      <c r="J483" s="20">
        <f>IF(E483="","",IF(I483="","⚠ عبّي الغرض",IF(AND(D483&lt;&gt;"",OR(ISNUMBER(SEARCH("صيانة",D483)),ISNUMBER(SEARCH("تعزيل",D483)),ISNUMBER(SEARCH("تنظيف",D483)),ISNUMBER(SEARCH("تصليح",D483)))),"⚠ الصيانة بلا ورشة",IF(H483="","⚠ ناقص",IF(D483&lt;&gt;"",IF(SUMIF($D$7:$D$806,D483,$H$7:$H$806)&gt;=20,"أصل","مصروف"),IFERROR(IF(VLOOKUP(I483,'القوائم'!$A$2:$D$14,4,0)="زكاة وصدقة","زكاة وصدقة",IF(AND(VLOOKUP(I483,'القوائم'!$A$2:$D$14,3,0)&lt;&gt;"",H483&gt;=20),"أصل","مصروف")),"مصروف"))))))</f>
        <v/>
      </c>
      <c r="K483" s="21" t="n"/>
      <c r="L483" s="22" t="n"/>
      <c r="N483">
        <f>IF(B483="","",MONTH(B483))</f>
        <v/>
      </c>
      <c r="O483">
        <f>IF(B483="","",YEAR(B483))</f>
        <v/>
      </c>
      <c r="P483">
        <f>IF(AND(D483&lt;&gt;"",COUNTIF(D$7:D483,D483)=1),MAX(P$6:P482)+1,"")</f>
        <v/>
      </c>
      <c r="Q483">
        <f>IF(E483="","",IF(I483="أجور عمال","أجرة","مادة"))</f>
        <v/>
      </c>
    </row>
    <row r="484">
      <c r="A484" s="12">
        <f>IF(E484="","",ROW()-6)</f>
        <v/>
      </c>
      <c r="B484" s="13" t="n"/>
      <c r="C484" s="12">
        <f>IF(B484="","",CHOOSE(WEEKDAY(B484,1),"الأحد","الاثنين","الثلاثاء","الأربعاء","الخميس","الجمعة","السبت"))</f>
        <v/>
      </c>
      <c r="D484" s="14" t="n"/>
      <c r="E484" s="15" t="n"/>
      <c r="F484" s="16" t="n"/>
      <c r="G484" s="17" t="n"/>
      <c r="H484" s="18">
        <f>IF(OR(F484="",G484=""),"",ROUND(F484*G484,2))</f>
        <v/>
      </c>
      <c r="I484" s="19">
        <f>IF(ISNUMBER(SEARCH("ستاند",D484)),"أثاث وستاندات","")</f>
        <v/>
      </c>
      <c r="J484" s="20">
        <f>IF(E484="","",IF(I484="","⚠ عبّي الغرض",IF(AND(D484&lt;&gt;"",OR(ISNUMBER(SEARCH("صيانة",D484)),ISNUMBER(SEARCH("تعزيل",D484)),ISNUMBER(SEARCH("تنظيف",D484)),ISNUMBER(SEARCH("تصليح",D484)))),"⚠ الصيانة بلا ورشة",IF(H484="","⚠ ناقص",IF(D484&lt;&gt;"",IF(SUMIF($D$7:$D$806,D484,$H$7:$H$806)&gt;=20,"أصل","مصروف"),IFERROR(IF(VLOOKUP(I484,'القوائم'!$A$2:$D$14,4,0)="زكاة وصدقة","زكاة وصدقة",IF(AND(VLOOKUP(I484,'القوائم'!$A$2:$D$14,3,0)&lt;&gt;"",H484&gt;=20),"أصل","مصروف")),"مصروف"))))))</f>
        <v/>
      </c>
      <c r="K484" s="21" t="n"/>
      <c r="L484" s="22" t="n"/>
      <c r="N484">
        <f>IF(B484="","",MONTH(B484))</f>
        <v/>
      </c>
      <c r="O484">
        <f>IF(B484="","",YEAR(B484))</f>
        <v/>
      </c>
      <c r="P484">
        <f>IF(AND(D484&lt;&gt;"",COUNTIF(D$7:D484,D484)=1),MAX(P$6:P483)+1,"")</f>
        <v/>
      </c>
      <c r="Q484">
        <f>IF(E484="","",IF(I484="أجور عمال","أجرة","مادة"))</f>
        <v/>
      </c>
    </row>
    <row r="485">
      <c r="A485" s="12">
        <f>IF(E485="","",ROW()-6)</f>
        <v/>
      </c>
      <c r="B485" s="13" t="n"/>
      <c r="C485" s="12">
        <f>IF(B485="","",CHOOSE(WEEKDAY(B485,1),"الأحد","الاثنين","الثلاثاء","الأربعاء","الخميس","الجمعة","السبت"))</f>
        <v/>
      </c>
      <c r="D485" s="14" t="n"/>
      <c r="E485" s="15" t="n"/>
      <c r="F485" s="16" t="n"/>
      <c r="G485" s="17" t="n"/>
      <c r="H485" s="18">
        <f>IF(OR(F485="",G485=""),"",ROUND(F485*G485,2))</f>
        <v/>
      </c>
      <c r="I485" s="19">
        <f>IF(ISNUMBER(SEARCH("ستاند",D485)),"أثاث وستاندات","")</f>
        <v/>
      </c>
      <c r="J485" s="20">
        <f>IF(E485="","",IF(I485="","⚠ عبّي الغرض",IF(AND(D485&lt;&gt;"",OR(ISNUMBER(SEARCH("صيانة",D485)),ISNUMBER(SEARCH("تعزيل",D485)),ISNUMBER(SEARCH("تنظيف",D485)),ISNUMBER(SEARCH("تصليح",D485)))),"⚠ الصيانة بلا ورشة",IF(H485="","⚠ ناقص",IF(D485&lt;&gt;"",IF(SUMIF($D$7:$D$806,D485,$H$7:$H$806)&gt;=20,"أصل","مصروف"),IFERROR(IF(VLOOKUP(I485,'القوائم'!$A$2:$D$14,4,0)="زكاة وصدقة","زكاة وصدقة",IF(AND(VLOOKUP(I485,'القوائم'!$A$2:$D$14,3,0)&lt;&gt;"",H485&gt;=20),"أصل","مصروف")),"مصروف"))))))</f>
        <v/>
      </c>
      <c r="K485" s="21" t="n"/>
      <c r="L485" s="22" t="n"/>
      <c r="N485">
        <f>IF(B485="","",MONTH(B485))</f>
        <v/>
      </c>
      <c r="O485">
        <f>IF(B485="","",YEAR(B485))</f>
        <v/>
      </c>
      <c r="P485">
        <f>IF(AND(D485&lt;&gt;"",COUNTIF(D$7:D485,D485)=1),MAX(P$6:P484)+1,"")</f>
        <v/>
      </c>
      <c r="Q485">
        <f>IF(E485="","",IF(I485="أجور عمال","أجرة","مادة"))</f>
        <v/>
      </c>
    </row>
    <row r="486">
      <c r="A486" s="12">
        <f>IF(E486="","",ROW()-6)</f>
        <v/>
      </c>
      <c r="B486" s="13" t="n"/>
      <c r="C486" s="12">
        <f>IF(B486="","",CHOOSE(WEEKDAY(B486,1),"الأحد","الاثنين","الثلاثاء","الأربعاء","الخميس","الجمعة","السبت"))</f>
        <v/>
      </c>
      <c r="D486" s="14" t="n"/>
      <c r="E486" s="15" t="n"/>
      <c r="F486" s="16" t="n"/>
      <c r="G486" s="17" t="n"/>
      <c r="H486" s="18">
        <f>IF(OR(F486="",G486=""),"",ROUND(F486*G486,2))</f>
        <v/>
      </c>
      <c r="I486" s="19">
        <f>IF(ISNUMBER(SEARCH("ستاند",D486)),"أثاث وستاندات","")</f>
        <v/>
      </c>
      <c r="J486" s="20">
        <f>IF(E486="","",IF(I486="","⚠ عبّي الغرض",IF(AND(D486&lt;&gt;"",OR(ISNUMBER(SEARCH("صيانة",D486)),ISNUMBER(SEARCH("تعزيل",D486)),ISNUMBER(SEARCH("تنظيف",D486)),ISNUMBER(SEARCH("تصليح",D486)))),"⚠ الصيانة بلا ورشة",IF(H486="","⚠ ناقص",IF(D486&lt;&gt;"",IF(SUMIF($D$7:$D$806,D486,$H$7:$H$806)&gt;=20,"أصل","مصروف"),IFERROR(IF(VLOOKUP(I486,'القوائم'!$A$2:$D$14,4,0)="زكاة وصدقة","زكاة وصدقة",IF(AND(VLOOKUP(I486,'القوائم'!$A$2:$D$14,3,0)&lt;&gt;"",H486&gt;=20),"أصل","مصروف")),"مصروف"))))))</f>
        <v/>
      </c>
      <c r="K486" s="21" t="n"/>
      <c r="L486" s="22" t="n"/>
      <c r="N486">
        <f>IF(B486="","",MONTH(B486))</f>
        <v/>
      </c>
      <c r="O486">
        <f>IF(B486="","",YEAR(B486))</f>
        <v/>
      </c>
      <c r="P486">
        <f>IF(AND(D486&lt;&gt;"",COUNTIF(D$7:D486,D486)=1),MAX(P$6:P485)+1,"")</f>
        <v/>
      </c>
      <c r="Q486">
        <f>IF(E486="","",IF(I486="أجور عمال","أجرة","مادة"))</f>
        <v/>
      </c>
    </row>
    <row r="487">
      <c r="A487" s="12">
        <f>IF(E487="","",ROW()-6)</f>
        <v/>
      </c>
      <c r="B487" s="13" t="n"/>
      <c r="C487" s="12">
        <f>IF(B487="","",CHOOSE(WEEKDAY(B487,1),"الأحد","الاثنين","الثلاثاء","الأربعاء","الخميس","الجمعة","السبت"))</f>
        <v/>
      </c>
      <c r="D487" s="14" t="n"/>
      <c r="E487" s="15" t="n"/>
      <c r="F487" s="16" t="n"/>
      <c r="G487" s="17" t="n"/>
      <c r="H487" s="18">
        <f>IF(OR(F487="",G487=""),"",ROUND(F487*G487,2))</f>
        <v/>
      </c>
      <c r="I487" s="19">
        <f>IF(ISNUMBER(SEARCH("ستاند",D487)),"أثاث وستاندات","")</f>
        <v/>
      </c>
      <c r="J487" s="20">
        <f>IF(E487="","",IF(I487="","⚠ عبّي الغرض",IF(AND(D487&lt;&gt;"",OR(ISNUMBER(SEARCH("صيانة",D487)),ISNUMBER(SEARCH("تعزيل",D487)),ISNUMBER(SEARCH("تنظيف",D487)),ISNUMBER(SEARCH("تصليح",D487)))),"⚠ الصيانة بلا ورشة",IF(H487="","⚠ ناقص",IF(D487&lt;&gt;"",IF(SUMIF($D$7:$D$806,D487,$H$7:$H$806)&gt;=20,"أصل","مصروف"),IFERROR(IF(VLOOKUP(I487,'القوائم'!$A$2:$D$14,4,0)="زكاة وصدقة","زكاة وصدقة",IF(AND(VLOOKUP(I487,'القوائم'!$A$2:$D$14,3,0)&lt;&gt;"",H487&gt;=20),"أصل","مصروف")),"مصروف"))))))</f>
        <v/>
      </c>
      <c r="K487" s="21" t="n"/>
      <c r="L487" s="22" t="n"/>
      <c r="N487">
        <f>IF(B487="","",MONTH(B487))</f>
        <v/>
      </c>
      <c r="O487">
        <f>IF(B487="","",YEAR(B487))</f>
        <v/>
      </c>
      <c r="P487">
        <f>IF(AND(D487&lt;&gt;"",COUNTIF(D$7:D487,D487)=1),MAX(P$6:P486)+1,"")</f>
        <v/>
      </c>
      <c r="Q487">
        <f>IF(E487="","",IF(I487="أجور عمال","أجرة","مادة"))</f>
        <v/>
      </c>
    </row>
    <row r="488">
      <c r="A488" s="12">
        <f>IF(E488="","",ROW()-6)</f>
        <v/>
      </c>
      <c r="B488" s="13" t="n"/>
      <c r="C488" s="12">
        <f>IF(B488="","",CHOOSE(WEEKDAY(B488,1),"الأحد","الاثنين","الثلاثاء","الأربعاء","الخميس","الجمعة","السبت"))</f>
        <v/>
      </c>
      <c r="D488" s="14" t="n"/>
      <c r="E488" s="15" t="n"/>
      <c r="F488" s="16" t="n"/>
      <c r="G488" s="17" t="n"/>
      <c r="H488" s="18">
        <f>IF(OR(F488="",G488=""),"",ROUND(F488*G488,2))</f>
        <v/>
      </c>
      <c r="I488" s="19">
        <f>IF(ISNUMBER(SEARCH("ستاند",D488)),"أثاث وستاندات","")</f>
        <v/>
      </c>
      <c r="J488" s="20">
        <f>IF(E488="","",IF(I488="","⚠ عبّي الغرض",IF(AND(D488&lt;&gt;"",OR(ISNUMBER(SEARCH("صيانة",D488)),ISNUMBER(SEARCH("تعزيل",D488)),ISNUMBER(SEARCH("تنظيف",D488)),ISNUMBER(SEARCH("تصليح",D488)))),"⚠ الصيانة بلا ورشة",IF(H488="","⚠ ناقص",IF(D488&lt;&gt;"",IF(SUMIF($D$7:$D$806,D488,$H$7:$H$806)&gt;=20,"أصل","مصروف"),IFERROR(IF(VLOOKUP(I488,'القوائم'!$A$2:$D$14,4,0)="زكاة وصدقة","زكاة وصدقة",IF(AND(VLOOKUP(I488,'القوائم'!$A$2:$D$14,3,0)&lt;&gt;"",H488&gt;=20),"أصل","مصروف")),"مصروف"))))))</f>
        <v/>
      </c>
      <c r="K488" s="21" t="n"/>
      <c r="L488" s="22" t="n"/>
      <c r="N488">
        <f>IF(B488="","",MONTH(B488))</f>
        <v/>
      </c>
      <c r="O488">
        <f>IF(B488="","",YEAR(B488))</f>
        <v/>
      </c>
      <c r="P488">
        <f>IF(AND(D488&lt;&gt;"",COUNTIF(D$7:D488,D488)=1),MAX(P$6:P487)+1,"")</f>
        <v/>
      </c>
      <c r="Q488">
        <f>IF(E488="","",IF(I488="أجور عمال","أجرة","مادة"))</f>
        <v/>
      </c>
    </row>
    <row r="489">
      <c r="A489" s="12">
        <f>IF(E489="","",ROW()-6)</f>
        <v/>
      </c>
      <c r="B489" s="13" t="n"/>
      <c r="C489" s="12">
        <f>IF(B489="","",CHOOSE(WEEKDAY(B489,1),"الأحد","الاثنين","الثلاثاء","الأربعاء","الخميس","الجمعة","السبت"))</f>
        <v/>
      </c>
      <c r="D489" s="14" t="n"/>
      <c r="E489" s="15" t="n"/>
      <c r="F489" s="16" t="n"/>
      <c r="G489" s="17" t="n"/>
      <c r="H489" s="18">
        <f>IF(OR(F489="",G489=""),"",ROUND(F489*G489,2))</f>
        <v/>
      </c>
      <c r="I489" s="19">
        <f>IF(ISNUMBER(SEARCH("ستاند",D489)),"أثاث وستاندات","")</f>
        <v/>
      </c>
      <c r="J489" s="20">
        <f>IF(E489="","",IF(I489="","⚠ عبّي الغرض",IF(AND(D489&lt;&gt;"",OR(ISNUMBER(SEARCH("صيانة",D489)),ISNUMBER(SEARCH("تعزيل",D489)),ISNUMBER(SEARCH("تنظيف",D489)),ISNUMBER(SEARCH("تصليح",D489)))),"⚠ الصيانة بلا ورشة",IF(H489="","⚠ ناقص",IF(D489&lt;&gt;"",IF(SUMIF($D$7:$D$806,D489,$H$7:$H$806)&gt;=20,"أصل","مصروف"),IFERROR(IF(VLOOKUP(I489,'القوائم'!$A$2:$D$14,4,0)="زكاة وصدقة","زكاة وصدقة",IF(AND(VLOOKUP(I489,'القوائم'!$A$2:$D$14,3,0)&lt;&gt;"",H489&gt;=20),"أصل","مصروف")),"مصروف"))))))</f>
        <v/>
      </c>
      <c r="K489" s="21" t="n"/>
      <c r="L489" s="22" t="n"/>
      <c r="N489">
        <f>IF(B489="","",MONTH(B489))</f>
        <v/>
      </c>
      <c r="O489">
        <f>IF(B489="","",YEAR(B489))</f>
        <v/>
      </c>
      <c r="P489">
        <f>IF(AND(D489&lt;&gt;"",COUNTIF(D$7:D489,D489)=1),MAX(P$6:P488)+1,"")</f>
        <v/>
      </c>
      <c r="Q489">
        <f>IF(E489="","",IF(I489="أجور عمال","أجرة","مادة"))</f>
        <v/>
      </c>
    </row>
    <row r="490">
      <c r="A490" s="12">
        <f>IF(E490="","",ROW()-6)</f>
        <v/>
      </c>
      <c r="B490" s="13" t="n"/>
      <c r="C490" s="12">
        <f>IF(B490="","",CHOOSE(WEEKDAY(B490,1),"الأحد","الاثنين","الثلاثاء","الأربعاء","الخميس","الجمعة","السبت"))</f>
        <v/>
      </c>
      <c r="D490" s="14" t="n"/>
      <c r="E490" s="15" t="n"/>
      <c r="F490" s="16" t="n"/>
      <c r="G490" s="17" t="n"/>
      <c r="H490" s="18">
        <f>IF(OR(F490="",G490=""),"",ROUND(F490*G490,2))</f>
        <v/>
      </c>
      <c r="I490" s="19">
        <f>IF(ISNUMBER(SEARCH("ستاند",D490)),"أثاث وستاندات","")</f>
        <v/>
      </c>
      <c r="J490" s="20">
        <f>IF(E490="","",IF(I490="","⚠ عبّي الغرض",IF(AND(D490&lt;&gt;"",OR(ISNUMBER(SEARCH("صيانة",D490)),ISNUMBER(SEARCH("تعزيل",D490)),ISNUMBER(SEARCH("تنظيف",D490)),ISNUMBER(SEARCH("تصليح",D490)))),"⚠ الصيانة بلا ورشة",IF(H490="","⚠ ناقص",IF(D490&lt;&gt;"",IF(SUMIF($D$7:$D$806,D490,$H$7:$H$806)&gt;=20,"أصل","مصروف"),IFERROR(IF(VLOOKUP(I490,'القوائم'!$A$2:$D$14,4,0)="زكاة وصدقة","زكاة وصدقة",IF(AND(VLOOKUP(I490,'القوائم'!$A$2:$D$14,3,0)&lt;&gt;"",H490&gt;=20),"أصل","مصروف")),"مصروف"))))))</f>
        <v/>
      </c>
      <c r="K490" s="21" t="n"/>
      <c r="L490" s="22" t="n"/>
      <c r="N490">
        <f>IF(B490="","",MONTH(B490))</f>
        <v/>
      </c>
      <c r="O490">
        <f>IF(B490="","",YEAR(B490))</f>
        <v/>
      </c>
      <c r="P490">
        <f>IF(AND(D490&lt;&gt;"",COUNTIF(D$7:D490,D490)=1),MAX(P$6:P489)+1,"")</f>
        <v/>
      </c>
      <c r="Q490">
        <f>IF(E490="","",IF(I490="أجور عمال","أجرة","مادة"))</f>
        <v/>
      </c>
    </row>
    <row r="491">
      <c r="A491" s="12">
        <f>IF(E491="","",ROW()-6)</f>
        <v/>
      </c>
      <c r="B491" s="13" t="n"/>
      <c r="C491" s="12">
        <f>IF(B491="","",CHOOSE(WEEKDAY(B491,1),"الأحد","الاثنين","الثلاثاء","الأربعاء","الخميس","الجمعة","السبت"))</f>
        <v/>
      </c>
      <c r="D491" s="14" t="n"/>
      <c r="E491" s="15" t="n"/>
      <c r="F491" s="16" t="n"/>
      <c r="G491" s="17" t="n"/>
      <c r="H491" s="18">
        <f>IF(OR(F491="",G491=""),"",ROUND(F491*G491,2))</f>
        <v/>
      </c>
      <c r="I491" s="19">
        <f>IF(ISNUMBER(SEARCH("ستاند",D491)),"أثاث وستاندات","")</f>
        <v/>
      </c>
      <c r="J491" s="20">
        <f>IF(E491="","",IF(I491="","⚠ عبّي الغرض",IF(AND(D491&lt;&gt;"",OR(ISNUMBER(SEARCH("صيانة",D491)),ISNUMBER(SEARCH("تعزيل",D491)),ISNUMBER(SEARCH("تنظيف",D491)),ISNUMBER(SEARCH("تصليح",D491)))),"⚠ الصيانة بلا ورشة",IF(H491="","⚠ ناقص",IF(D491&lt;&gt;"",IF(SUMIF($D$7:$D$806,D491,$H$7:$H$806)&gt;=20,"أصل","مصروف"),IFERROR(IF(VLOOKUP(I491,'القوائم'!$A$2:$D$14,4,0)="زكاة وصدقة","زكاة وصدقة",IF(AND(VLOOKUP(I491,'القوائم'!$A$2:$D$14,3,0)&lt;&gt;"",H491&gt;=20),"أصل","مصروف")),"مصروف"))))))</f>
        <v/>
      </c>
      <c r="K491" s="21" t="n"/>
      <c r="L491" s="22" t="n"/>
      <c r="N491">
        <f>IF(B491="","",MONTH(B491))</f>
        <v/>
      </c>
      <c r="O491">
        <f>IF(B491="","",YEAR(B491))</f>
        <v/>
      </c>
      <c r="P491">
        <f>IF(AND(D491&lt;&gt;"",COUNTIF(D$7:D491,D491)=1),MAX(P$6:P490)+1,"")</f>
        <v/>
      </c>
      <c r="Q491">
        <f>IF(E491="","",IF(I491="أجور عمال","أجرة","مادة"))</f>
        <v/>
      </c>
    </row>
    <row r="492">
      <c r="A492" s="12">
        <f>IF(E492="","",ROW()-6)</f>
        <v/>
      </c>
      <c r="B492" s="13" t="n"/>
      <c r="C492" s="12">
        <f>IF(B492="","",CHOOSE(WEEKDAY(B492,1),"الأحد","الاثنين","الثلاثاء","الأربعاء","الخميس","الجمعة","السبت"))</f>
        <v/>
      </c>
      <c r="D492" s="14" t="n"/>
      <c r="E492" s="15" t="n"/>
      <c r="F492" s="16" t="n"/>
      <c r="G492" s="17" t="n"/>
      <c r="H492" s="18">
        <f>IF(OR(F492="",G492=""),"",ROUND(F492*G492,2))</f>
        <v/>
      </c>
      <c r="I492" s="19">
        <f>IF(ISNUMBER(SEARCH("ستاند",D492)),"أثاث وستاندات","")</f>
        <v/>
      </c>
      <c r="J492" s="20">
        <f>IF(E492="","",IF(I492="","⚠ عبّي الغرض",IF(AND(D492&lt;&gt;"",OR(ISNUMBER(SEARCH("صيانة",D492)),ISNUMBER(SEARCH("تعزيل",D492)),ISNUMBER(SEARCH("تنظيف",D492)),ISNUMBER(SEARCH("تصليح",D492)))),"⚠ الصيانة بلا ورشة",IF(H492="","⚠ ناقص",IF(D492&lt;&gt;"",IF(SUMIF($D$7:$D$806,D492,$H$7:$H$806)&gt;=20,"أصل","مصروف"),IFERROR(IF(VLOOKUP(I492,'القوائم'!$A$2:$D$14,4,0)="زكاة وصدقة","زكاة وصدقة",IF(AND(VLOOKUP(I492,'القوائم'!$A$2:$D$14,3,0)&lt;&gt;"",H492&gt;=20),"أصل","مصروف")),"مصروف"))))))</f>
        <v/>
      </c>
      <c r="K492" s="21" t="n"/>
      <c r="L492" s="22" t="n"/>
      <c r="N492">
        <f>IF(B492="","",MONTH(B492))</f>
        <v/>
      </c>
      <c r="O492">
        <f>IF(B492="","",YEAR(B492))</f>
        <v/>
      </c>
      <c r="P492">
        <f>IF(AND(D492&lt;&gt;"",COUNTIF(D$7:D492,D492)=1),MAX(P$6:P491)+1,"")</f>
        <v/>
      </c>
      <c r="Q492">
        <f>IF(E492="","",IF(I492="أجور عمال","أجرة","مادة"))</f>
        <v/>
      </c>
    </row>
    <row r="493">
      <c r="A493" s="12">
        <f>IF(E493="","",ROW()-6)</f>
        <v/>
      </c>
      <c r="B493" s="13" t="n"/>
      <c r="C493" s="12">
        <f>IF(B493="","",CHOOSE(WEEKDAY(B493,1),"الأحد","الاثنين","الثلاثاء","الأربعاء","الخميس","الجمعة","السبت"))</f>
        <v/>
      </c>
      <c r="D493" s="14" t="n"/>
      <c r="E493" s="15" t="n"/>
      <c r="F493" s="16" t="n"/>
      <c r="G493" s="17" t="n"/>
      <c r="H493" s="18">
        <f>IF(OR(F493="",G493=""),"",ROUND(F493*G493,2))</f>
        <v/>
      </c>
      <c r="I493" s="19">
        <f>IF(ISNUMBER(SEARCH("ستاند",D493)),"أثاث وستاندات","")</f>
        <v/>
      </c>
      <c r="J493" s="20">
        <f>IF(E493="","",IF(I493="","⚠ عبّي الغرض",IF(AND(D493&lt;&gt;"",OR(ISNUMBER(SEARCH("صيانة",D493)),ISNUMBER(SEARCH("تعزيل",D493)),ISNUMBER(SEARCH("تنظيف",D493)),ISNUMBER(SEARCH("تصليح",D493)))),"⚠ الصيانة بلا ورشة",IF(H493="","⚠ ناقص",IF(D493&lt;&gt;"",IF(SUMIF($D$7:$D$806,D493,$H$7:$H$806)&gt;=20,"أصل","مصروف"),IFERROR(IF(VLOOKUP(I493,'القوائم'!$A$2:$D$14,4,0)="زكاة وصدقة","زكاة وصدقة",IF(AND(VLOOKUP(I493,'القوائم'!$A$2:$D$14,3,0)&lt;&gt;"",H493&gt;=20),"أصل","مصروف")),"مصروف"))))))</f>
        <v/>
      </c>
      <c r="K493" s="21" t="n"/>
      <c r="L493" s="22" t="n"/>
      <c r="N493">
        <f>IF(B493="","",MONTH(B493))</f>
        <v/>
      </c>
      <c r="O493">
        <f>IF(B493="","",YEAR(B493))</f>
        <v/>
      </c>
      <c r="P493">
        <f>IF(AND(D493&lt;&gt;"",COUNTIF(D$7:D493,D493)=1),MAX(P$6:P492)+1,"")</f>
        <v/>
      </c>
      <c r="Q493">
        <f>IF(E493="","",IF(I493="أجور عمال","أجرة","مادة"))</f>
        <v/>
      </c>
    </row>
    <row r="494">
      <c r="A494" s="12">
        <f>IF(E494="","",ROW()-6)</f>
        <v/>
      </c>
      <c r="B494" s="13" t="n"/>
      <c r="C494" s="12">
        <f>IF(B494="","",CHOOSE(WEEKDAY(B494,1),"الأحد","الاثنين","الثلاثاء","الأربعاء","الخميس","الجمعة","السبت"))</f>
        <v/>
      </c>
      <c r="D494" s="14" t="n"/>
      <c r="E494" s="15" t="n"/>
      <c r="F494" s="16" t="n"/>
      <c r="G494" s="17" t="n"/>
      <c r="H494" s="18">
        <f>IF(OR(F494="",G494=""),"",ROUND(F494*G494,2))</f>
        <v/>
      </c>
      <c r="I494" s="19">
        <f>IF(ISNUMBER(SEARCH("ستاند",D494)),"أثاث وستاندات","")</f>
        <v/>
      </c>
      <c r="J494" s="20">
        <f>IF(E494="","",IF(I494="","⚠ عبّي الغرض",IF(AND(D494&lt;&gt;"",OR(ISNUMBER(SEARCH("صيانة",D494)),ISNUMBER(SEARCH("تعزيل",D494)),ISNUMBER(SEARCH("تنظيف",D494)),ISNUMBER(SEARCH("تصليح",D494)))),"⚠ الصيانة بلا ورشة",IF(H494="","⚠ ناقص",IF(D494&lt;&gt;"",IF(SUMIF($D$7:$D$806,D494,$H$7:$H$806)&gt;=20,"أصل","مصروف"),IFERROR(IF(VLOOKUP(I494,'القوائم'!$A$2:$D$14,4,0)="زكاة وصدقة","زكاة وصدقة",IF(AND(VLOOKUP(I494,'القوائم'!$A$2:$D$14,3,0)&lt;&gt;"",H494&gt;=20),"أصل","مصروف")),"مصروف"))))))</f>
        <v/>
      </c>
      <c r="K494" s="21" t="n"/>
      <c r="L494" s="22" t="n"/>
      <c r="N494">
        <f>IF(B494="","",MONTH(B494))</f>
        <v/>
      </c>
      <c r="O494">
        <f>IF(B494="","",YEAR(B494))</f>
        <v/>
      </c>
      <c r="P494">
        <f>IF(AND(D494&lt;&gt;"",COUNTIF(D$7:D494,D494)=1),MAX(P$6:P493)+1,"")</f>
        <v/>
      </c>
      <c r="Q494">
        <f>IF(E494="","",IF(I494="أجور عمال","أجرة","مادة"))</f>
        <v/>
      </c>
    </row>
    <row r="495">
      <c r="A495" s="12">
        <f>IF(E495="","",ROW()-6)</f>
        <v/>
      </c>
      <c r="B495" s="13" t="n"/>
      <c r="C495" s="12">
        <f>IF(B495="","",CHOOSE(WEEKDAY(B495,1),"الأحد","الاثنين","الثلاثاء","الأربعاء","الخميس","الجمعة","السبت"))</f>
        <v/>
      </c>
      <c r="D495" s="14" t="n"/>
      <c r="E495" s="15" t="n"/>
      <c r="F495" s="16" t="n"/>
      <c r="G495" s="17" t="n"/>
      <c r="H495" s="18">
        <f>IF(OR(F495="",G495=""),"",ROUND(F495*G495,2))</f>
        <v/>
      </c>
      <c r="I495" s="19">
        <f>IF(ISNUMBER(SEARCH("ستاند",D495)),"أثاث وستاندات","")</f>
        <v/>
      </c>
      <c r="J495" s="20">
        <f>IF(E495="","",IF(I495="","⚠ عبّي الغرض",IF(AND(D495&lt;&gt;"",OR(ISNUMBER(SEARCH("صيانة",D495)),ISNUMBER(SEARCH("تعزيل",D495)),ISNUMBER(SEARCH("تنظيف",D495)),ISNUMBER(SEARCH("تصليح",D495)))),"⚠ الصيانة بلا ورشة",IF(H495="","⚠ ناقص",IF(D495&lt;&gt;"",IF(SUMIF($D$7:$D$806,D495,$H$7:$H$806)&gt;=20,"أصل","مصروف"),IFERROR(IF(VLOOKUP(I495,'القوائم'!$A$2:$D$14,4,0)="زكاة وصدقة","زكاة وصدقة",IF(AND(VLOOKUP(I495,'القوائم'!$A$2:$D$14,3,0)&lt;&gt;"",H495&gt;=20),"أصل","مصروف")),"مصروف"))))))</f>
        <v/>
      </c>
      <c r="K495" s="21" t="n"/>
      <c r="L495" s="22" t="n"/>
      <c r="N495">
        <f>IF(B495="","",MONTH(B495))</f>
        <v/>
      </c>
      <c r="O495">
        <f>IF(B495="","",YEAR(B495))</f>
        <v/>
      </c>
      <c r="P495">
        <f>IF(AND(D495&lt;&gt;"",COUNTIF(D$7:D495,D495)=1),MAX(P$6:P494)+1,"")</f>
        <v/>
      </c>
      <c r="Q495">
        <f>IF(E495="","",IF(I495="أجور عمال","أجرة","مادة"))</f>
        <v/>
      </c>
    </row>
    <row r="496">
      <c r="A496" s="12">
        <f>IF(E496="","",ROW()-6)</f>
        <v/>
      </c>
      <c r="B496" s="13" t="n"/>
      <c r="C496" s="12">
        <f>IF(B496="","",CHOOSE(WEEKDAY(B496,1),"الأحد","الاثنين","الثلاثاء","الأربعاء","الخميس","الجمعة","السبت"))</f>
        <v/>
      </c>
      <c r="D496" s="14" t="n"/>
      <c r="E496" s="15" t="n"/>
      <c r="F496" s="16" t="n"/>
      <c r="G496" s="17" t="n"/>
      <c r="H496" s="18">
        <f>IF(OR(F496="",G496=""),"",ROUND(F496*G496,2))</f>
        <v/>
      </c>
      <c r="I496" s="19">
        <f>IF(ISNUMBER(SEARCH("ستاند",D496)),"أثاث وستاندات","")</f>
        <v/>
      </c>
      <c r="J496" s="20">
        <f>IF(E496="","",IF(I496="","⚠ عبّي الغرض",IF(AND(D496&lt;&gt;"",OR(ISNUMBER(SEARCH("صيانة",D496)),ISNUMBER(SEARCH("تعزيل",D496)),ISNUMBER(SEARCH("تنظيف",D496)),ISNUMBER(SEARCH("تصليح",D496)))),"⚠ الصيانة بلا ورشة",IF(H496="","⚠ ناقص",IF(D496&lt;&gt;"",IF(SUMIF($D$7:$D$806,D496,$H$7:$H$806)&gt;=20,"أصل","مصروف"),IFERROR(IF(VLOOKUP(I496,'القوائم'!$A$2:$D$14,4,0)="زكاة وصدقة","زكاة وصدقة",IF(AND(VLOOKUP(I496,'القوائم'!$A$2:$D$14,3,0)&lt;&gt;"",H496&gt;=20),"أصل","مصروف")),"مصروف"))))))</f>
        <v/>
      </c>
      <c r="K496" s="21" t="n"/>
      <c r="L496" s="22" t="n"/>
      <c r="N496">
        <f>IF(B496="","",MONTH(B496))</f>
        <v/>
      </c>
      <c r="O496">
        <f>IF(B496="","",YEAR(B496))</f>
        <v/>
      </c>
      <c r="P496">
        <f>IF(AND(D496&lt;&gt;"",COUNTIF(D$7:D496,D496)=1),MAX(P$6:P495)+1,"")</f>
        <v/>
      </c>
      <c r="Q496">
        <f>IF(E496="","",IF(I496="أجور عمال","أجرة","مادة"))</f>
        <v/>
      </c>
    </row>
    <row r="497">
      <c r="A497" s="12">
        <f>IF(E497="","",ROW()-6)</f>
        <v/>
      </c>
      <c r="B497" s="13" t="n"/>
      <c r="C497" s="12">
        <f>IF(B497="","",CHOOSE(WEEKDAY(B497,1),"الأحد","الاثنين","الثلاثاء","الأربعاء","الخميس","الجمعة","السبت"))</f>
        <v/>
      </c>
      <c r="D497" s="14" t="n"/>
      <c r="E497" s="15" t="n"/>
      <c r="F497" s="16" t="n"/>
      <c r="G497" s="17" t="n"/>
      <c r="H497" s="18">
        <f>IF(OR(F497="",G497=""),"",ROUND(F497*G497,2))</f>
        <v/>
      </c>
      <c r="I497" s="19">
        <f>IF(ISNUMBER(SEARCH("ستاند",D497)),"أثاث وستاندات","")</f>
        <v/>
      </c>
      <c r="J497" s="20">
        <f>IF(E497="","",IF(I497="","⚠ عبّي الغرض",IF(AND(D497&lt;&gt;"",OR(ISNUMBER(SEARCH("صيانة",D497)),ISNUMBER(SEARCH("تعزيل",D497)),ISNUMBER(SEARCH("تنظيف",D497)),ISNUMBER(SEARCH("تصليح",D497)))),"⚠ الصيانة بلا ورشة",IF(H497="","⚠ ناقص",IF(D497&lt;&gt;"",IF(SUMIF($D$7:$D$806,D497,$H$7:$H$806)&gt;=20,"أصل","مصروف"),IFERROR(IF(VLOOKUP(I497,'القوائم'!$A$2:$D$14,4,0)="زكاة وصدقة","زكاة وصدقة",IF(AND(VLOOKUP(I497,'القوائم'!$A$2:$D$14,3,0)&lt;&gt;"",H497&gt;=20),"أصل","مصروف")),"مصروف"))))))</f>
        <v/>
      </c>
      <c r="K497" s="21" t="n"/>
      <c r="L497" s="22" t="n"/>
      <c r="N497">
        <f>IF(B497="","",MONTH(B497))</f>
        <v/>
      </c>
      <c r="O497">
        <f>IF(B497="","",YEAR(B497))</f>
        <v/>
      </c>
      <c r="P497">
        <f>IF(AND(D497&lt;&gt;"",COUNTIF(D$7:D497,D497)=1),MAX(P$6:P496)+1,"")</f>
        <v/>
      </c>
      <c r="Q497">
        <f>IF(E497="","",IF(I497="أجور عمال","أجرة","مادة"))</f>
        <v/>
      </c>
    </row>
    <row r="498">
      <c r="A498" s="12">
        <f>IF(E498="","",ROW()-6)</f>
        <v/>
      </c>
      <c r="B498" s="13" t="n"/>
      <c r="C498" s="12">
        <f>IF(B498="","",CHOOSE(WEEKDAY(B498,1),"الأحد","الاثنين","الثلاثاء","الأربعاء","الخميس","الجمعة","السبت"))</f>
        <v/>
      </c>
      <c r="D498" s="14" t="n"/>
      <c r="E498" s="15" t="n"/>
      <c r="F498" s="16" t="n"/>
      <c r="G498" s="17" t="n"/>
      <c r="H498" s="18">
        <f>IF(OR(F498="",G498=""),"",ROUND(F498*G498,2))</f>
        <v/>
      </c>
      <c r="I498" s="19">
        <f>IF(ISNUMBER(SEARCH("ستاند",D498)),"أثاث وستاندات","")</f>
        <v/>
      </c>
      <c r="J498" s="20">
        <f>IF(E498="","",IF(I498="","⚠ عبّي الغرض",IF(AND(D498&lt;&gt;"",OR(ISNUMBER(SEARCH("صيانة",D498)),ISNUMBER(SEARCH("تعزيل",D498)),ISNUMBER(SEARCH("تنظيف",D498)),ISNUMBER(SEARCH("تصليح",D498)))),"⚠ الصيانة بلا ورشة",IF(H498="","⚠ ناقص",IF(D498&lt;&gt;"",IF(SUMIF($D$7:$D$806,D498,$H$7:$H$806)&gt;=20,"أصل","مصروف"),IFERROR(IF(VLOOKUP(I498,'القوائم'!$A$2:$D$14,4,0)="زكاة وصدقة","زكاة وصدقة",IF(AND(VLOOKUP(I498,'القوائم'!$A$2:$D$14,3,0)&lt;&gt;"",H498&gt;=20),"أصل","مصروف")),"مصروف"))))))</f>
        <v/>
      </c>
      <c r="K498" s="21" t="n"/>
      <c r="L498" s="22" t="n"/>
      <c r="N498">
        <f>IF(B498="","",MONTH(B498))</f>
        <v/>
      </c>
      <c r="O498">
        <f>IF(B498="","",YEAR(B498))</f>
        <v/>
      </c>
      <c r="P498">
        <f>IF(AND(D498&lt;&gt;"",COUNTIF(D$7:D498,D498)=1),MAX(P$6:P497)+1,"")</f>
        <v/>
      </c>
      <c r="Q498">
        <f>IF(E498="","",IF(I498="أجور عمال","أجرة","مادة"))</f>
        <v/>
      </c>
    </row>
    <row r="499">
      <c r="A499" s="12">
        <f>IF(E499="","",ROW()-6)</f>
        <v/>
      </c>
      <c r="B499" s="13" t="n"/>
      <c r="C499" s="12">
        <f>IF(B499="","",CHOOSE(WEEKDAY(B499,1),"الأحد","الاثنين","الثلاثاء","الأربعاء","الخميس","الجمعة","السبت"))</f>
        <v/>
      </c>
      <c r="D499" s="14" t="n"/>
      <c r="E499" s="15" t="n"/>
      <c r="F499" s="16" t="n"/>
      <c r="G499" s="17" t="n"/>
      <c r="H499" s="18">
        <f>IF(OR(F499="",G499=""),"",ROUND(F499*G499,2))</f>
        <v/>
      </c>
      <c r="I499" s="19">
        <f>IF(ISNUMBER(SEARCH("ستاند",D499)),"أثاث وستاندات","")</f>
        <v/>
      </c>
      <c r="J499" s="20">
        <f>IF(E499="","",IF(I499="","⚠ عبّي الغرض",IF(AND(D499&lt;&gt;"",OR(ISNUMBER(SEARCH("صيانة",D499)),ISNUMBER(SEARCH("تعزيل",D499)),ISNUMBER(SEARCH("تنظيف",D499)),ISNUMBER(SEARCH("تصليح",D499)))),"⚠ الصيانة بلا ورشة",IF(H499="","⚠ ناقص",IF(D499&lt;&gt;"",IF(SUMIF($D$7:$D$806,D499,$H$7:$H$806)&gt;=20,"أصل","مصروف"),IFERROR(IF(VLOOKUP(I499,'القوائم'!$A$2:$D$14,4,0)="زكاة وصدقة","زكاة وصدقة",IF(AND(VLOOKUP(I499,'القوائم'!$A$2:$D$14,3,0)&lt;&gt;"",H499&gt;=20),"أصل","مصروف")),"مصروف"))))))</f>
        <v/>
      </c>
      <c r="K499" s="21" t="n"/>
      <c r="L499" s="22" t="n"/>
      <c r="N499">
        <f>IF(B499="","",MONTH(B499))</f>
        <v/>
      </c>
      <c r="O499">
        <f>IF(B499="","",YEAR(B499))</f>
        <v/>
      </c>
      <c r="P499">
        <f>IF(AND(D499&lt;&gt;"",COUNTIF(D$7:D499,D499)=1),MAX(P$6:P498)+1,"")</f>
        <v/>
      </c>
      <c r="Q499">
        <f>IF(E499="","",IF(I499="أجور عمال","أجرة","مادة"))</f>
        <v/>
      </c>
    </row>
    <row r="500">
      <c r="A500" s="12">
        <f>IF(E500="","",ROW()-6)</f>
        <v/>
      </c>
      <c r="B500" s="13" t="n"/>
      <c r="C500" s="12">
        <f>IF(B500="","",CHOOSE(WEEKDAY(B500,1),"الأحد","الاثنين","الثلاثاء","الأربعاء","الخميس","الجمعة","السبت"))</f>
        <v/>
      </c>
      <c r="D500" s="14" t="n"/>
      <c r="E500" s="15" t="n"/>
      <c r="F500" s="16" t="n"/>
      <c r="G500" s="17" t="n"/>
      <c r="H500" s="18">
        <f>IF(OR(F500="",G500=""),"",ROUND(F500*G500,2))</f>
        <v/>
      </c>
      <c r="I500" s="19">
        <f>IF(ISNUMBER(SEARCH("ستاند",D500)),"أثاث وستاندات","")</f>
        <v/>
      </c>
      <c r="J500" s="20">
        <f>IF(E500="","",IF(I500="","⚠ عبّي الغرض",IF(AND(D500&lt;&gt;"",OR(ISNUMBER(SEARCH("صيانة",D500)),ISNUMBER(SEARCH("تعزيل",D500)),ISNUMBER(SEARCH("تنظيف",D500)),ISNUMBER(SEARCH("تصليح",D500)))),"⚠ الصيانة بلا ورشة",IF(H500="","⚠ ناقص",IF(D500&lt;&gt;"",IF(SUMIF($D$7:$D$806,D500,$H$7:$H$806)&gt;=20,"أصل","مصروف"),IFERROR(IF(VLOOKUP(I500,'القوائم'!$A$2:$D$14,4,0)="زكاة وصدقة","زكاة وصدقة",IF(AND(VLOOKUP(I500,'القوائم'!$A$2:$D$14,3,0)&lt;&gt;"",H500&gt;=20),"أصل","مصروف")),"مصروف"))))))</f>
        <v/>
      </c>
      <c r="K500" s="21" t="n"/>
      <c r="L500" s="22" t="n"/>
      <c r="N500">
        <f>IF(B500="","",MONTH(B500))</f>
        <v/>
      </c>
      <c r="O500">
        <f>IF(B500="","",YEAR(B500))</f>
        <v/>
      </c>
      <c r="P500">
        <f>IF(AND(D500&lt;&gt;"",COUNTIF(D$7:D500,D500)=1),MAX(P$6:P499)+1,"")</f>
        <v/>
      </c>
      <c r="Q500">
        <f>IF(E500="","",IF(I500="أجور عمال","أجرة","مادة"))</f>
        <v/>
      </c>
    </row>
    <row r="501">
      <c r="A501" s="12">
        <f>IF(E501="","",ROW()-6)</f>
        <v/>
      </c>
      <c r="B501" s="13" t="n"/>
      <c r="C501" s="12">
        <f>IF(B501="","",CHOOSE(WEEKDAY(B501,1),"الأحد","الاثنين","الثلاثاء","الأربعاء","الخميس","الجمعة","السبت"))</f>
        <v/>
      </c>
      <c r="D501" s="14" t="n"/>
      <c r="E501" s="15" t="n"/>
      <c r="F501" s="16" t="n"/>
      <c r="G501" s="17" t="n"/>
      <c r="H501" s="18">
        <f>IF(OR(F501="",G501=""),"",ROUND(F501*G501,2))</f>
        <v/>
      </c>
      <c r="I501" s="19">
        <f>IF(ISNUMBER(SEARCH("ستاند",D501)),"أثاث وستاندات","")</f>
        <v/>
      </c>
      <c r="J501" s="20">
        <f>IF(E501="","",IF(I501="","⚠ عبّي الغرض",IF(AND(D501&lt;&gt;"",OR(ISNUMBER(SEARCH("صيانة",D501)),ISNUMBER(SEARCH("تعزيل",D501)),ISNUMBER(SEARCH("تنظيف",D501)),ISNUMBER(SEARCH("تصليح",D501)))),"⚠ الصيانة بلا ورشة",IF(H501="","⚠ ناقص",IF(D501&lt;&gt;"",IF(SUMIF($D$7:$D$806,D501,$H$7:$H$806)&gt;=20,"أصل","مصروف"),IFERROR(IF(VLOOKUP(I501,'القوائم'!$A$2:$D$14,4,0)="زكاة وصدقة","زكاة وصدقة",IF(AND(VLOOKUP(I501,'القوائم'!$A$2:$D$14,3,0)&lt;&gt;"",H501&gt;=20),"أصل","مصروف")),"مصروف"))))))</f>
        <v/>
      </c>
      <c r="K501" s="21" t="n"/>
      <c r="L501" s="22" t="n"/>
      <c r="N501">
        <f>IF(B501="","",MONTH(B501))</f>
        <v/>
      </c>
      <c r="O501">
        <f>IF(B501="","",YEAR(B501))</f>
        <v/>
      </c>
      <c r="P501">
        <f>IF(AND(D501&lt;&gt;"",COUNTIF(D$7:D501,D501)=1),MAX(P$6:P500)+1,"")</f>
        <v/>
      </c>
      <c r="Q501">
        <f>IF(E501="","",IF(I501="أجور عمال","أجرة","مادة"))</f>
        <v/>
      </c>
    </row>
    <row r="502">
      <c r="A502" s="12">
        <f>IF(E502="","",ROW()-6)</f>
        <v/>
      </c>
      <c r="B502" s="13" t="n"/>
      <c r="C502" s="12">
        <f>IF(B502="","",CHOOSE(WEEKDAY(B502,1),"الأحد","الاثنين","الثلاثاء","الأربعاء","الخميس","الجمعة","السبت"))</f>
        <v/>
      </c>
      <c r="D502" s="14" t="n"/>
      <c r="E502" s="15" t="n"/>
      <c r="F502" s="16" t="n"/>
      <c r="G502" s="17" t="n"/>
      <c r="H502" s="18">
        <f>IF(OR(F502="",G502=""),"",ROUND(F502*G502,2))</f>
        <v/>
      </c>
      <c r="I502" s="19">
        <f>IF(ISNUMBER(SEARCH("ستاند",D502)),"أثاث وستاندات","")</f>
        <v/>
      </c>
      <c r="J502" s="20">
        <f>IF(E502="","",IF(I502="","⚠ عبّي الغرض",IF(AND(D502&lt;&gt;"",OR(ISNUMBER(SEARCH("صيانة",D502)),ISNUMBER(SEARCH("تعزيل",D502)),ISNUMBER(SEARCH("تنظيف",D502)),ISNUMBER(SEARCH("تصليح",D502)))),"⚠ الصيانة بلا ورشة",IF(H502="","⚠ ناقص",IF(D502&lt;&gt;"",IF(SUMIF($D$7:$D$806,D502,$H$7:$H$806)&gt;=20,"أصل","مصروف"),IFERROR(IF(VLOOKUP(I502,'القوائم'!$A$2:$D$14,4,0)="زكاة وصدقة","زكاة وصدقة",IF(AND(VLOOKUP(I502,'القوائم'!$A$2:$D$14,3,0)&lt;&gt;"",H502&gt;=20),"أصل","مصروف")),"مصروف"))))))</f>
        <v/>
      </c>
      <c r="K502" s="21" t="n"/>
      <c r="L502" s="22" t="n"/>
      <c r="N502">
        <f>IF(B502="","",MONTH(B502))</f>
        <v/>
      </c>
      <c r="O502">
        <f>IF(B502="","",YEAR(B502))</f>
        <v/>
      </c>
      <c r="P502">
        <f>IF(AND(D502&lt;&gt;"",COUNTIF(D$7:D502,D502)=1),MAX(P$6:P501)+1,"")</f>
        <v/>
      </c>
      <c r="Q502">
        <f>IF(E502="","",IF(I502="أجور عمال","أجرة","مادة"))</f>
        <v/>
      </c>
    </row>
    <row r="503">
      <c r="A503" s="12">
        <f>IF(E503="","",ROW()-6)</f>
        <v/>
      </c>
      <c r="B503" s="13" t="n"/>
      <c r="C503" s="12">
        <f>IF(B503="","",CHOOSE(WEEKDAY(B503,1),"الأحد","الاثنين","الثلاثاء","الأربعاء","الخميس","الجمعة","السبت"))</f>
        <v/>
      </c>
      <c r="D503" s="14" t="n"/>
      <c r="E503" s="15" t="n"/>
      <c r="F503" s="16" t="n"/>
      <c r="G503" s="17" t="n"/>
      <c r="H503" s="18">
        <f>IF(OR(F503="",G503=""),"",ROUND(F503*G503,2))</f>
        <v/>
      </c>
      <c r="I503" s="19">
        <f>IF(ISNUMBER(SEARCH("ستاند",D503)),"أثاث وستاندات","")</f>
        <v/>
      </c>
      <c r="J503" s="20">
        <f>IF(E503="","",IF(I503="","⚠ عبّي الغرض",IF(AND(D503&lt;&gt;"",OR(ISNUMBER(SEARCH("صيانة",D503)),ISNUMBER(SEARCH("تعزيل",D503)),ISNUMBER(SEARCH("تنظيف",D503)),ISNUMBER(SEARCH("تصليح",D503)))),"⚠ الصيانة بلا ورشة",IF(H503="","⚠ ناقص",IF(D503&lt;&gt;"",IF(SUMIF($D$7:$D$806,D503,$H$7:$H$806)&gt;=20,"أصل","مصروف"),IFERROR(IF(VLOOKUP(I503,'القوائم'!$A$2:$D$14,4,0)="زكاة وصدقة","زكاة وصدقة",IF(AND(VLOOKUP(I503,'القوائم'!$A$2:$D$14,3,0)&lt;&gt;"",H503&gt;=20),"أصل","مصروف")),"مصروف"))))))</f>
        <v/>
      </c>
      <c r="K503" s="21" t="n"/>
      <c r="L503" s="22" t="n"/>
      <c r="N503">
        <f>IF(B503="","",MONTH(B503))</f>
        <v/>
      </c>
      <c r="O503">
        <f>IF(B503="","",YEAR(B503))</f>
        <v/>
      </c>
      <c r="P503">
        <f>IF(AND(D503&lt;&gt;"",COUNTIF(D$7:D503,D503)=1),MAX(P$6:P502)+1,"")</f>
        <v/>
      </c>
      <c r="Q503">
        <f>IF(E503="","",IF(I503="أجور عمال","أجرة","مادة"))</f>
        <v/>
      </c>
    </row>
    <row r="504">
      <c r="A504" s="12">
        <f>IF(E504="","",ROW()-6)</f>
        <v/>
      </c>
      <c r="B504" s="13" t="n"/>
      <c r="C504" s="12">
        <f>IF(B504="","",CHOOSE(WEEKDAY(B504,1),"الأحد","الاثنين","الثلاثاء","الأربعاء","الخميس","الجمعة","السبت"))</f>
        <v/>
      </c>
      <c r="D504" s="14" t="n"/>
      <c r="E504" s="15" t="n"/>
      <c r="F504" s="16" t="n"/>
      <c r="G504" s="17" t="n"/>
      <c r="H504" s="18">
        <f>IF(OR(F504="",G504=""),"",ROUND(F504*G504,2))</f>
        <v/>
      </c>
      <c r="I504" s="19">
        <f>IF(ISNUMBER(SEARCH("ستاند",D504)),"أثاث وستاندات","")</f>
        <v/>
      </c>
      <c r="J504" s="20">
        <f>IF(E504="","",IF(I504="","⚠ عبّي الغرض",IF(AND(D504&lt;&gt;"",OR(ISNUMBER(SEARCH("صيانة",D504)),ISNUMBER(SEARCH("تعزيل",D504)),ISNUMBER(SEARCH("تنظيف",D504)),ISNUMBER(SEARCH("تصليح",D504)))),"⚠ الصيانة بلا ورشة",IF(H504="","⚠ ناقص",IF(D504&lt;&gt;"",IF(SUMIF($D$7:$D$806,D504,$H$7:$H$806)&gt;=20,"أصل","مصروف"),IFERROR(IF(VLOOKUP(I504,'القوائم'!$A$2:$D$14,4,0)="زكاة وصدقة","زكاة وصدقة",IF(AND(VLOOKUP(I504,'القوائم'!$A$2:$D$14,3,0)&lt;&gt;"",H504&gt;=20),"أصل","مصروف")),"مصروف"))))))</f>
        <v/>
      </c>
      <c r="K504" s="21" t="n"/>
      <c r="L504" s="22" t="n"/>
      <c r="N504">
        <f>IF(B504="","",MONTH(B504))</f>
        <v/>
      </c>
      <c r="O504">
        <f>IF(B504="","",YEAR(B504))</f>
        <v/>
      </c>
      <c r="P504">
        <f>IF(AND(D504&lt;&gt;"",COUNTIF(D$7:D504,D504)=1),MAX(P$6:P503)+1,"")</f>
        <v/>
      </c>
      <c r="Q504">
        <f>IF(E504="","",IF(I504="أجور عمال","أجرة","مادة"))</f>
        <v/>
      </c>
    </row>
    <row r="505">
      <c r="A505" s="12">
        <f>IF(E505="","",ROW()-6)</f>
        <v/>
      </c>
      <c r="B505" s="13" t="n"/>
      <c r="C505" s="12">
        <f>IF(B505="","",CHOOSE(WEEKDAY(B505,1),"الأحد","الاثنين","الثلاثاء","الأربعاء","الخميس","الجمعة","السبت"))</f>
        <v/>
      </c>
      <c r="D505" s="14" t="n"/>
      <c r="E505" s="15" t="n"/>
      <c r="F505" s="16" t="n"/>
      <c r="G505" s="17" t="n"/>
      <c r="H505" s="18">
        <f>IF(OR(F505="",G505=""),"",ROUND(F505*G505,2))</f>
        <v/>
      </c>
      <c r="I505" s="19">
        <f>IF(ISNUMBER(SEARCH("ستاند",D505)),"أثاث وستاندات","")</f>
        <v/>
      </c>
      <c r="J505" s="20">
        <f>IF(E505="","",IF(I505="","⚠ عبّي الغرض",IF(AND(D505&lt;&gt;"",OR(ISNUMBER(SEARCH("صيانة",D505)),ISNUMBER(SEARCH("تعزيل",D505)),ISNUMBER(SEARCH("تنظيف",D505)),ISNUMBER(SEARCH("تصليح",D505)))),"⚠ الصيانة بلا ورشة",IF(H505="","⚠ ناقص",IF(D505&lt;&gt;"",IF(SUMIF($D$7:$D$806,D505,$H$7:$H$806)&gt;=20,"أصل","مصروف"),IFERROR(IF(VLOOKUP(I505,'القوائم'!$A$2:$D$14,4,0)="زكاة وصدقة","زكاة وصدقة",IF(AND(VLOOKUP(I505,'القوائم'!$A$2:$D$14,3,0)&lt;&gt;"",H505&gt;=20),"أصل","مصروف")),"مصروف"))))))</f>
        <v/>
      </c>
      <c r="K505" s="21" t="n"/>
      <c r="L505" s="22" t="n"/>
      <c r="N505">
        <f>IF(B505="","",MONTH(B505))</f>
        <v/>
      </c>
      <c r="O505">
        <f>IF(B505="","",YEAR(B505))</f>
        <v/>
      </c>
      <c r="P505">
        <f>IF(AND(D505&lt;&gt;"",COUNTIF(D$7:D505,D505)=1),MAX(P$6:P504)+1,"")</f>
        <v/>
      </c>
      <c r="Q505">
        <f>IF(E505="","",IF(I505="أجور عمال","أجرة","مادة"))</f>
        <v/>
      </c>
    </row>
    <row r="506">
      <c r="A506" s="12">
        <f>IF(E506="","",ROW()-6)</f>
        <v/>
      </c>
      <c r="B506" s="13" t="n"/>
      <c r="C506" s="12">
        <f>IF(B506="","",CHOOSE(WEEKDAY(B506,1),"الأحد","الاثنين","الثلاثاء","الأربعاء","الخميس","الجمعة","السبت"))</f>
        <v/>
      </c>
      <c r="D506" s="14" t="n"/>
      <c r="E506" s="15" t="n"/>
      <c r="F506" s="16" t="n"/>
      <c r="G506" s="17" t="n"/>
      <c r="H506" s="18">
        <f>IF(OR(F506="",G506=""),"",ROUND(F506*G506,2))</f>
        <v/>
      </c>
      <c r="I506" s="19">
        <f>IF(ISNUMBER(SEARCH("ستاند",D506)),"أثاث وستاندات","")</f>
        <v/>
      </c>
      <c r="J506" s="20">
        <f>IF(E506="","",IF(I506="","⚠ عبّي الغرض",IF(AND(D506&lt;&gt;"",OR(ISNUMBER(SEARCH("صيانة",D506)),ISNUMBER(SEARCH("تعزيل",D506)),ISNUMBER(SEARCH("تنظيف",D506)),ISNUMBER(SEARCH("تصليح",D506)))),"⚠ الصيانة بلا ورشة",IF(H506="","⚠ ناقص",IF(D506&lt;&gt;"",IF(SUMIF($D$7:$D$806,D506,$H$7:$H$806)&gt;=20,"أصل","مصروف"),IFERROR(IF(VLOOKUP(I506,'القوائم'!$A$2:$D$14,4,0)="زكاة وصدقة","زكاة وصدقة",IF(AND(VLOOKUP(I506,'القوائم'!$A$2:$D$14,3,0)&lt;&gt;"",H506&gt;=20),"أصل","مصروف")),"مصروف"))))))</f>
        <v/>
      </c>
      <c r="K506" s="21" t="n"/>
      <c r="L506" s="22" t="n"/>
      <c r="N506">
        <f>IF(B506="","",MONTH(B506))</f>
        <v/>
      </c>
      <c r="O506">
        <f>IF(B506="","",YEAR(B506))</f>
        <v/>
      </c>
      <c r="P506">
        <f>IF(AND(D506&lt;&gt;"",COUNTIF(D$7:D506,D506)=1),MAX(P$6:P505)+1,"")</f>
        <v/>
      </c>
      <c r="Q506">
        <f>IF(E506="","",IF(I506="أجور عمال","أجرة","مادة"))</f>
        <v/>
      </c>
    </row>
    <row r="507">
      <c r="A507" s="12">
        <f>IF(E507="","",ROW()-6)</f>
        <v/>
      </c>
      <c r="B507" s="13" t="n"/>
      <c r="C507" s="12">
        <f>IF(B507="","",CHOOSE(WEEKDAY(B507,1),"الأحد","الاثنين","الثلاثاء","الأربعاء","الخميس","الجمعة","السبت"))</f>
        <v/>
      </c>
      <c r="D507" s="14" t="n"/>
      <c r="E507" s="15" t="n"/>
      <c r="F507" s="16" t="n"/>
      <c r="G507" s="17" t="n"/>
      <c r="H507" s="18">
        <f>IF(OR(F507="",G507=""),"",ROUND(F507*G507,2))</f>
        <v/>
      </c>
      <c r="I507" s="19">
        <f>IF(ISNUMBER(SEARCH("ستاند",D507)),"أثاث وستاندات","")</f>
        <v/>
      </c>
      <c r="J507" s="20">
        <f>IF(E507="","",IF(I507="","⚠ عبّي الغرض",IF(AND(D507&lt;&gt;"",OR(ISNUMBER(SEARCH("صيانة",D507)),ISNUMBER(SEARCH("تعزيل",D507)),ISNUMBER(SEARCH("تنظيف",D507)),ISNUMBER(SEARCH("تصليح",D507)))),"⚠ الصيانة بلا ورشة",IF(H507="","⚠ ناقص",IF(D507&lt;&gt;"",IF(SUMIF($D$7:$D$806,D507,$H$7:$H$806)&gt;=20,"أصل","مصروف"),IFERROR(IF(VLOOKUP(I507,'القوائم'!$A$2:$D$14,4,0)="زكاة وصدقة","زكاة وصدقة",IF(AND(VLOOKUP(I507,'القوائم'!$A$2:$D$14,3,0)&lt;&gt;"",H507&gt;=20),"أصل","مصروف")),"مصروف"))))))</f>
        <v/>
      </c>
      <c r="K507" s="21" t="n"/>
      <c r="L507" s="22" t="n"/>
      <c r="N507">
        <f>IF(B507="","",MONTH(B507))</f>
        <v/>
      </c>
      <c r="O507">
        <f>IF(B507="","",YEAR(B507))</f>
        <v/>
      </c>
      <c r="P507">
        <f>IF(AND(D507&lt;&gt;"",COUNTIF(D$7:D507,D507)=1),MAX(P$6:P506)+1,"")</f>
        <v/>
      </c>
      <c r="Q507">
        <f>IF(E507="","",IF(I507="أجور عمال","أجرة","مادة"))</f>
        <v/>
      </c>
    </row>
    <row r="508">
      <c r="A508" s="12">
        <f>IF(E508="","",ROW()-6)</f>
        <v/>
      </c>
      <c r="B508" s="13" t="n"/>
      <c r="C508" s="12">
        <f>IF(B508="","",CHOOSE(WEEKDAY(B508,1),"الأحد","الاثنين","الثلاثاء","الأربعاء","الخميس","الجمعة","السبت"))</f>
        <v/>
      </c>
      <c r="D508" s="14" t="n"/>
      <c r="E508" s="15" t="n"/>
      <c r="F508" s="16" t="n"/>
      <c r="G508" s="17" t="n"/>
      <c r="H508" s="18">
        <f>IF(OR(F508="",G508=""),"",ROUND(F508*G508,2))</f>
        <v/>
      </c>
      <c r="I508" s="19">
        <f>IF(ISNUMBER(SEARCH("ستاند",D508)),"أثاث وستاندات","")</f>
        <v/>
      </c>
      <c r="J508" s="20">
        <f>IF(E508="","",IF(I508="","⚠ عبّي الغرض",IF(AND(D508&lt;&gt;"",OR(ISNUMBER(SEARCH("صيانة",D508)),ISNUMBER(SEARCH("تعزيل",D508)),ISNUMBER(SEARCH("تنظيف",D508)),ISNUMBER(SEARCH("تصليح",D508)))),"⚠ الصيانة بلا ورشة",IF(H508="","⚠ ناقص",IF(D508&lt;&gt;"",IF(SUMIF($D$7:$D$806,D508,$H$7:$H$806)&gt;=20,"أصل","مصروف"),IFERROR(IF(VLOOKUP(I508,'القوائم'!$A$2:$D$14,4,0)="زكاة وصدقة","زكاة وصدقة",IF(AND(VLOOKUP(I508,'القوائم'!$A$2:$D$14,3,0)&lt;&gt;"",H508&gt;=20),"أصل","مصروف")),"مصروف"))))))</f>
        <v/>
      </c>
      <c r="K508" s="21" t="n"/>
      <c r="L508" s="22" t="n"/>
      <c r="N508">
        <f>IF(B508="","",MONTH(B508))</f>
        <v/>
      </c>
      <c r="O508">
        <f>IF(B508="","",YEAR(B508))</f>
        <v/>
      </c>
      <c r="P508">
        <f>IF(AND(D508&lt;&gt;"",COUNTIF(D$7:D508,D508)=1),MAX(P$6:P507)+1,"")</f>
        <v/>
      </c>
      <c r="Q508">
        <f>IF(E508="","",IF(I508="أجور عمال","أجرة","مادة"))</f>
        <v/>
      </c>
    </row>
    <row r="509">
      <c r="A509" s="12">
        <f>IF(E509="","",ROW()-6)</f>
        <v/>
      </c>
      <c r="B509" s="13" t="n"/>
      <c r="C509" s="12">
        <f>IF(B509="","",CHOOSE(WEEKDAY(B509,1),"الأحد","الاثنين","الثلاثاء","الأربعاء","الخميس","الجمعة","السبت"))</f>
        <v/>
      </c>
      <c r="D509" s="14" t="n"/>
      <c r="E509" s="15" t="n"/>
      <c r="F509" s="16" t="n"/>
      <c r="G509" s="17" t="n"/>
      <c r="H509" s="18">
        <f>IF(OR(F509="",G509=""),"",ROUND(F509*G509,2))</f>
        <v/>
      </c>
      <c r="I509" s="19">
        <f>IF(ISNUMBER(SEARCH("ستاند",D509)),"أثاث وستاندات","")</f>
        <v/>
      </c>
      <c r="J509" s="20">
        <f>IF(E509="","",IF(I509="","⚠ عبّي الغرض",IF(AND(D509&lt;&gt;"",OR(ISNUMBER(SEARCH("صيانة",D509)),ISNUMBER(SEARCH("تعزيل",D509)),ISNUMBER(SEARCH("تنظيف",D509)),ISNUMBER(SEARCH("تصليح",D509)))),"⚠ الصيانة بلا ورشة",IF(H509="","⚠ ناقص",IF(D509&lt;&gt;"",IF(SUMIF($D$7:$D$806,D509,$H$7:$H$806)&gt;=20,"أصل","مصروف"),IFERROR(IF(VLOOKUP(I509,'القوائم'!$A$2:$D$14,4,0)="زكاة وصدقة","زكاة وصدقة",IF(AND(VLOOKUP(I509,'القوائم'!$A$2:$D$14,3,0)&lt;&gt;"",H509&gt;=20),"أصل","مصروف")),"مصروف"))))))</f>
        <v/>
      </c>
      <c r="K509" s="21" t="n"/>
      <c r="L509" s="22" t="n"/>
      <c r="N509">
        <f>IF(B509="","",MONTH(B509))</f>
        <v/>
      </c>
      <c r="O509">
        <f>IF(B509="","",YEAR(B509))</f>
        <v/>
      </c>
      <c r="P509">
        <f>IF(AND(D509&lt;&gt;"",COUNTIF(D$7:D509,D509)=1),MAX(P$6:P508)+1,"")</f>
        <v/>
      </c>
      <c r="Q509">
        <f>IF(E509="","",IF(I509="أجور عمال","أجرة","مادة"))</f>
        <v/>
      </c>
    </row>
    <row r="510">
      <c r="A510" s="12">
        <f>IF(E510="","",ROW()-6)</f>
        <v/>
      </c>
      <c r="B510" s="13" t="n"/>
      <c r="C510" s="12">
        <f>IF(B510="","",CHOOSE(WEEKDAY(B510,1),"الأحد","الاثنين","الثلاثاء","الأربعاء","الخميس","الجمعة","السبت"))</f>
        <v/>
      </c>
      <c r="D510" s="14" t="n"/>
      <c r="E510" s="15" t="n"/>
      <c r="F510" s="16" t="n"/>
      <c r="G510" s="17" t="n"/>
      <c r="H510" s="18">
        <f>IF(OR(F510="",G510=""),"",ROUND(F510*G510,2))</f>
        <v/>
      </c>
      <c r="I510" s="19">
        <f>IF(ISNUMBER(SEARCH("ستاند",D510)),"أثاث وستاندات","")</f>
        <v/>
      </c>
      <c r="J510" s="20">
        <f>IF(E510="","",IF(I510="","⚠ عبّي الغرض",IF(AND(D510&lt;&gt;"",OR(ISNUMBER(SEARCH("صيانة",D510)),ISNUMBER(SEARCH("تعزيل",D510)),ISNUMBER(SEARCH("تنظيف",D510)),ISNUMBER(SEARCH("تصليح",D510)))),"⚠ الصيانة بلا ورشة",IF(H510="","⚠ ناقص",IF(D510&lt;&gt;"",IF(SUMIF($D$7:$D$806,D510,$H$7:$H$806)&gt;=20,"أصل","مصروف"),IFERROR(IF(VLOOKUP(I510,'القوائم'!$A$2:$D$14,4,0)="زكاة وصدقة","زكاة وصدقة",IF(AND(VLOOKUP(I510,'القوائم'!$A$2:$D$14,3,0)&lt;&gt;"",H510&gt;=20),"أصل","مصروف")),"مصروف"))))))</f>
        <v/>
      </c>
      <c r="K510" s="21" t="n"/>
      <c r="L510" s="22" t="n"/>
      <c r="N510">
        <f>IF(B510="","",MONTH(B510))</f>
        <v/>
      </c>
      <c r="O510">
        <f>IF(B510="","",YEAR(B510))</f>
        <v/>
      </c>
      <c r="P510">
        <f>IF(AND(D510&lt;&gt;"",COUNTIF(D$7:D510,D510)=1),MAX(P$6:P509)+1,"")</f>
        <v/>
      </c>
      <c r="Q510">
        <f>IF(E510="","",IF(I510="أجور عمال","أجرة","مادة"))</f>
        <v/>
      </c>
    </row>
    <row r="511">
      <c r="A511" s="12">
        <f>IF(E511="","",ROW()-6)</f>
        <v/>
      </c>
      <c r="B511" s="13" t="n"/>
      <c r="C511" s="12">
        <f>IF(B511="","",CHOOSE(WEEKDAY(B511,1),"الأحد","الاثنين","الثلاثاء","الأربعاء","الخميس","الجمعة","السبت"))</f>
        <v/>
      </c>
      <c r="D511" s="14" t="n"/>
      <c r="E511" s="15" t="n"/>
      <c r="F511" s="16" t="n"/>
      <c r="G511" s="17" t="n"/>
      <c r="H511" s="18">
        <f>IF(OR(F511="",G511=""),"",ROUND(F511*G511,2))</f>
        <v/>
      </c>
      <c r="I511" s="19">
        <f>IF(ISNUMBER(SEARCH("ستاند",D511)),"أثاث وستاندات","")</f>
        <v/>
      </c>
      <c r="J511" s="20">
        <f>IF(E511="","",IF(I511="","⚠ عبّي الغرض",IF(AND(D511&lt;&gt;"",OR(ISNUMBER(SEARCH("صيانة",D511)),ISNUMBER(SEARCH("تعزيل",D511)),ISNUMBER(SEARCH("تنظيف",D511)),ISNUMBER(SEARCH("تصليح",D511)))),"⚠ الصيانة بلا ورشة",IF(H511="","⚠ ناقص",IF(D511&lt;&gt;"",IF(SUMIF($D$7:$D$806,D511,$H$7:$H$806)&gt;=20,"أصل","مصروف"),IFERROR(IF(VLOOKUP(I511,'القوائم'!$A$2:$D$14,4,0)="زكاة وصدقة","زكاة وصدقة",IF(AND(VLOOKUP(I511,'القوائم'!$A$2:$D$14,3,0)&lt;&gt;"",H511&gt;=20),"أصل","مصروف")),"مصروف"))))))</f>
        <v/>
      </c>
      <c r="K511" s="21" t="n"/>
      <c r="L511" s="22" t="n"/>
      <c r="N511">
        <f>IF(B511="","",MONTH(B511))</f>
        <v/>
      </c>
      <c r="O511">
        <f>IF(B511="","",YEAR(B511))</f>
        <v/>
      </c>
      <c r="P511">
        <f>IF(AND(D511&lt;&gt;"",COUNTIF(D$7:D511,D511)=1),MAX(P$6:P510)+1,"")</f>
        <v/>
      </c>
      <c r="Q511">
        <f>IF(E511="","",IF(I511="أجور عمال","أجرة","مادة"))</f>
        <v/>
      </c>
    </row>
    <row r="512">
      <c r="A512" s="12">
        <f>IF(E512="","",ROW()-6)</f>
        <v/>
      </c>
      <c r="B512" s="13" t="n"/>
      <c r="C512" s="12">
        <f>IF(B512="","",CHOOSE(WEEKDAY(B512,1),"الأحد","الاثنين","الثلاثاء","الأربعاء","الخميس","الجمعة","السبت"))</f>
        <v/>
      </c>
      <c r="D512" s="14" t="n"/>
      <c r="E512" s="15" t="n"/>
      <c r="F512" s="16" t="n"/>
      <c r="G512" s="17" t="n"/>
      <c r="H512" s="18">
        <f>IF(OR(F512="",G512=""),"",ROUND(F512*G512,2))</f>
        <v/>
      </c>
      <c r="I512" s="19">
        <f>IF(ISNUMBER(SEARCH("ستاند",D512)),"أثاث وستاندات","")</f>
        <v/>
      </c>
      <c r="J512" s="20">
        <f>IF(E512="","",IF(I512="","⚠ عبّي الغرض",IF(AND(D512&lt;&gt;"",OR(ISNUMBER(SEARCH("صيانة",D512)),ISNUMBER(SEARCH("تعزيل",D512)),ISNUMBER(SEARCH("تنظيف",D512)),ISNUMBER(SEARCH("تصليح",D512)))),"⚠ الصيانة بلا ورشة",IF(H512="","⚠ ناقص",IF(D512&lt;&gt;"",IF(SUMIF($D$7:$D$806,D512,$H$7:$H$806)&gt;=20,"أصل","مصروف"),IFERROR(IF(VLOOKUP(I512,'القوائم'!$A$2:$D$14,4,0)="زكاة وصدقة","زكاة وصدقة",IF(AND(VLOOKUP(I512,'القوائم'!$A$2:$D$14,3,0)&lt;&gt;"",H512&gt;=20),"أصل","مصروف")),"مصروف"))))))</f>
        <v/>
      </c>
      <c r="K512" s="21" t="n"/>
      <c r="L512" s="22" t="n"/>
      <c r="N512">
        <f>IF(B512="","",MONTH(B512))</f>
        <v/>
      </c>
      <c r="O512">
        <f>IF(B512="","",YEAR(B512))</f>
        <v/>
      </c>
      <c r="P512">
        <f>IF(AND(D512&lt;&gt;"",COUNTIF(D$7:D512,D512)=1),MAX(P$6:P511)+1,"")</f>
        <v/>
      </c>
      <c r="Q512">
        <f>IF(E512="","",IF(I512="أجور عمال","أجرة","مادة"))</f>
        <v/>
      </c>
    </row>
    <row r="513">
      <c r="A513" s="12">
        <f>IF(E513="","",ROW()-6)</f>
        <v/>
      </c>
      <c r="B513" s="13" t="n"/>
      <c r="C513" s="12">
        <f>IF(B513="","",CHOOSE(WEEKDAY(B513,1),"الأحد","الاثنين","الثلاثاء","الأربعاء","الخميس","الجمعة","السبت"))</f>
        <v/>
      </c>
      <c r="D513" s="14" t="n"/>
      <c r="E513" s="15" t="n"/>
      <c r="F513" s="16" t="n"/>
      <c r="G513" s="17" t="n"/>
      <c r="H513" s="18">
        <f>IF(OR(F513="",G513=""),"",ROUND(F513*G513,2))</f>
        <v/>
      </c>
      <c r="I513" s="19">
        <f>IF(ISNUMBER(SEARCH("ستاند",D513)),"أثاث وستاندات","")</f>
        <v/>
      </c>
      <c r="J513" s="20">
        <f>IF(E513="","",IF(I513="","⚠ عبّي الغرض",IF(AND(D513&lt;&gt;"",OR(ISNUMBER(SEARCH("صيانة",D513)),ISNUMBER(SEARCH("تعزيل",D513)),ISNUMBER(SEARCH("تنظيف",D513)),ISNUMBER(SEARCH("تصليح",D513)))),"⚠ الصيانة بلا ورشة",IF(H513="","⚠ ناقص",IF(D513&lt;&gt;"",IF(SUMIF($D$7:$D$806,D513,$H$7:$H$806)&gt;=20,"أصل","مصروف"),IFERROR(IF(VLOOKUP(I513,'القوائم'!$A$2:$D$14,4,0)="زكاة وصدقة","زكاة وصدقة",IF(AND(VLOOKUP(I513,'القوائم'!$A$2:$D$14,3,0)&lt;&gt;"",H513&gt;=20),"أصل","مصروف")),"مصروف"))))))</f>
        <v/>
      </c>
      <c r="K513" s="21" t="n"/>
      <c r="L513" s="22" t="n"/>
      <c r="N513">
        <f>IF(B513="","",MONTH(B513))</f>
        <v/>
      </c>
      <c r="O513">
        <f>IF(B513="","",YEAR(B513))</f>
        <v/>
      </c>
      <c r="P513">
        <f>IF(AND(D513&lt;&gt;"",COUNTIF(D$7:D513,D513)=1),MAX(P$6:P512)+1,"")</f>
        <v/>
      </c>
      <c r="Q513">
        <f>IF(E513="","",IF(I513="أجور عمال","أجرة","مادة"))</f>
        <v/>
      </c>
    </row>
    <row r="514">
      <c r="A514" s="12">
        <f>IF(E514="","",ROW()-6)</f>
        <v/>
      </c>
      <c r="B514" s="13" t="n"/>
      <c r="C514" s="12">
        <f>IF(B514="","",CHOOSE(WEEKDAY(B514,1),"الأحد","الاثنين","الثلاثاء","الأربعاء","الخميس","الجمعة","السبت"))</f>
        <v/>
      </c>
      <c r="D514" s="14" t="n"/>
      <c r="E514" s="15" t="n"/>
      <c r="F514" s="16" t="n"/>
      <c r="G514" s="17" t="n"/>
      <c r="H514" s="18">
        <f>IF(OR(F514="",G514=""),"",ROUND(F514*G514,2))</f>
        <v/>
      </c>
      <c r="I514" s="19">
        <f>IF(ISNUMBER(SEARCH("ستاند",D514)),"أثاث وستاندات","")</f>
        <v/>
      </c>
      <c r="J514" s="20">
        <f>IF(E514="","",IF(I514="","⚠ عبّي الغرض",IF(AND(D514&lt;&gt;"",OR(ISNUMBER(SEARCH("صيانة",D514)),ISNUMBER(SEARCH("تعزيل",D514)),ISNUMBER(SEARCH("تنظيف",D514)),ISNUMBER(SEARCH("تصليح",D514)))),"⚠ الصيانة بلا ورشة",IF(H514="","⚠ ناقص",IF(D514&lt;&gt;"",IF(SUMIF($D$7:$D$806,D514,$H$7:$H$806)&gt;=20,"أصل","مصروف"),IFERROR(IF(VLOOKUP(I514,'القوائم'!$A$2:$D$14,4,0)="زكاة وصدقة","زكاة وصدقة",IF(AND(VLOOKUP(I514,'القوائم'!$A$2:$D$14,3,0)&lt;&gt;"",H514&gt;=20),"أصل","مصروف")),"مصروف"))))))</f>
        <v/>
      </c>
      <c r="K514" s="21" t="n"/>
      <c r="L514" s="22" t="n"/>
      <c r="N514">
        <f>IF(B514="","",MONTH(B514))</f>
        <v/>
      </c>
      <c r="O514">
        <f>IF(B514="","",YEAR(B514))</f>
        <v/>
      </c>
      <c r="P514">
        <f>IF(AND(D514&lt;&gt;"",COUNTIF(D$7:D514,D514)=1),MAX(P$6:P513)+1,"")</f>
        <v/>
      </c>
      <c r="Q514">
        <f>IF(E514="","",IF(I514="أجور عمال","أجرة","مادة"))</f>
        <v/>
      </c>
    </row>
    <row r="515">
      <c r="A515" s="12">
        <f>IF(E515="","",ROW()-6)</f>
        <v/>
      </c>
      <c r="B515" s="13" t="n"/>
      <c r="C515" s="12">
        <f>IF(B515="","",CHOOSE(WEEKDAY(B515,1),"الأحد","الاثنين","الثلاثاء","الأربعاء","الخميس","الجمعة","السبت"))</f>
        <v/>
      </c>
      <c r="D515" s="14" t="n"/>
      <c r="E515" s="15" t="n"/>
      <c r="F515" s="16" t="n"/>
      <c r="G515" s="17" t="n"/>
      <c r="H515" s="18">
        <f>IF(OR(F515="",G515=""),"",ROUND(F515*G515,2))</f>
        <v/>
      </c>
      <c r="I515" s="19">
        <f>IF(ISNUMBER(SEARCH("ستاند",D515)),"أثاث وستاندات","")</f>
        <v/>
      </c>
      <c r="J515" s="20">
        <f>IF(E515="","",IF(I515="","⚠ عبّي الغرض",IF(AND(D515&lt;&gt;"",OR(ISNUMBER(SEARCH("صيانة",D515)),ISNUMBER(SEARCH("تعزيل",D515)),ISNUMBER(SEARCH("تنظيف",D515)),ISNUMBER(SEARCH("تصليح",D515)))),"⚠ الصيانة بلا ورشة",IF(H515="","⚠ ناقص",IF(D515&lt;&gt;"",IF(SUMIF($D$7:$D$806,D515,$H$7:$H$806)&gt;=20,"أصل","مصروف"),IFERROR(IF(VLOOKUP(I515,'القوائم'!$A$2:$D$14,4,0)="زكاة وصدقة","زكاة وصدقة",IF(AND(VLOOKUP(I515,'القوائم'!$A$2:$D$14,3,0)&lt;&gt;"",H515&gt;=20),"أصل","مصروف")),"مصروف"))))))</f>
        <v/>
      </c>
      <c r="K515" s="21" t="n"/>
      <c r="L515" s="22" t="n"/>
      <c r="N515">
        <f>IF(B515="","",MONTH(B515))</f>
        <v/>
      </c>
      <c r="O515">
        <f>IF(B515="","",YEAR(B515))</f>
        <v/>
      </c>
      <c r="P515">
        <f>IF(AND(D515&lt;&gt;"",COUNTIF(D$7:D515,D515)=1),MAX(P$6:P514)+1,"")</f>
        <v/>
      </c>
      <c r="Q515">
        <f>IF(E515="","",IF(I515="أجور عمال","أجرة","مادة"))</f>
        <v/>
      </c>
    </row>
    <row r="516">
      <c r="A516" s="12">
        <f>IF(E516="","",ROW()-6)</f>
        <v/>
      </c>
      <c r="B516" s="13" t="n"/>
      <c r="C516" s="12">
        <f>IF(B516="","",CHOOSE(WEEKDAY(B516,1),"الأحد","الاثنين","الثلاثاء","الأربعاء","الخميس","الجمعة","السبت"))</f>
        <v/>
      </c>
      <c r="D516" s="14" t="n"/>
      <c r="E516" s="15" t="n"/>
      <c r="F516" s="16" t="n"/>
      <c r="G516" s="17" t="n"/>
      <c r="H516" s="18">
        <f>IF(OR(F516="",G516=""),"",ROUND(F516*G516,2))</f>
        <v/>
      </c>
      <c r="I516" s="19">
        <f>IF(ISNUMBER(SEARCH("ستاند",D516)),"أثاث وستاندات","")</f>
        <v/>
      </c>
      <c r="J516" s="20">
        <f>IF(E516="","",IF(I516="","⚠ عبّي الغرض",IF(AND(D516&lt;&gt;"",OR(ISNUMBER(SEARCH("صيانة",D516)),ISNUMBER(SEARCH("تعزيل",D516)),ISNUMBER(SEARCH("تنظيف",D516)),ISNUMBER(SEARCH("تصليح",D516)))),"⚠ الصيانة بلا ورشة",IF(H516="","⚠ ناقص",IF(D516&lt;&gt;"",IF(SUMIF($D$7:$D$806,D516,$H$7:$H$806)&gt;=20,"أصل","مصروف"),IFERROR(IF(VLOOKUP(I516,'القوائم'!$A$2:$D$14,4,0)="زكاة وصدقة","زكاة وصدقة",IF(AND(VLOOKUP(I516,'القوائم'!$A$2:$D$14,3,0)&lt;&gt;"",H516&gt;=20),"أصل","مصروف")),"مصروف"))))))</f>
        <v/>
      </c>
      <c r="K516" s="21" t="n"/>
      <c r="L516" s="22" t="n"/>
      <c r="N516">
        <f>IF(B516="","",MONTH(B516))</f>
        <v/>
      </c>
      <c r="O516">
        <f>IF(B516="","",YEAR(B516))</f>
        <v/>
      </c>
      <c r="P516">
        <f>IF(AND(D516&lt;&gt;"",COUNTIF(D$7:D516,D516)=1),MAX(P$6:P515)+1,"")</f>
        <v/>
      </c>
      <c r="Q516">
        <f>IF(E516="","",IF(I516="أجور عمال","أجرة","مادة"))</f>
        <v/>
      </c>
    </row>
    <row r="517">
      <c r="A517" s="12">
        <f>IF(E517="","",ROW()-6)</f>
        <v/>
      </c>
      <c r="B517" s="13" t="n"/>
      <c r="C517" s="12">
        <f>IF(B517="","",CHOOSE(WEEKDAY(B517,1),"الأحد","الاثنين","الثلاثاء","الأربعاء","الخميس","الجمعة","السبت"))</f>
        <v/>
      </c>
      <c r="D517" s="14" t="n"/>
      <c r="E517" s="15" t="n"/>
      <c r="F517" s="16" t="n"/>
      <c r="G517" s="17" t="n"/>
      <c r="H517" s="18">
        <f>IF(OR(F517="",G517=""),"",ROUND(F517*G517,2))</f>
        <v/>
      </c>
      <c r="I517" s="19">
        <f>IF(ISNUMBER(SEARCH("ستاند",D517)),"أثاث وستاندات","")</f>
        <v/>
      </c>
      <c r="J517" s="20">
        <f>IF(E517="","",IF(I517="","⚠ عبّي الغرض",IF(AND(D517&lt;&gt;"",OR(ISNUMBER(SEARCH("صيانة",D517)),ISNUMBER(SEARCH("تعزيل",D517)),ISNUMBER(SEARCH("تنظيف",D517)),ISNUMBER(SEARCH("تصليح",D517)))),"⚠ الصيانة بلا ورشة",IF(H517="","⚠ ناقص",IF(D517&lt;&gt;"",IF(SUMIF($D$7:$D$806,D517,$H$7:$H$806)&gt;=20,"أصل","مصروف"),IFERROR(IF(VLOOKUP(I517,'القوائم'!$A$2:$D$14,4,0)="زكاة وصدقة","زكاة وصدقة",IF(AND(VLOOKUP(I517,'القوائم'!$A$2:$D$14,3,0)&lt;&gt;"",H517&gt;=20),"أصل","مصروف")),"مصروف"))))))</f>
        <v/>
      </c>
      <c r="K517" s="21" t="n"/>
      <c r="L517" s="22" t="n"/>
      <c r="N517">
        <f>IF(B517="","",MONTH(B517))</f>
        <v/>
      </c>
      <c r="O517">
        <f>IF(B517="","",YEAR(B517))</f>
        <v/>
      </c>
      <c r="P517">
        <f>IF(AND(D517&lt;&gt;"",COUNTIF(D$7:D517,D517)=1),MAX(P$6:P516)+1,"")</f>
        <v/>
      </c>
      <c r="Q517">
        <f>IF(E517="","",IF(I517="أجور عمال","أجرة","مادة"))</f>
        <v/>
      </c>
    </row>
    <row r="518">
      <c r="A518" s="12">
        <f>IF(E518="","",ROW()-6)</f>
        <v/>
      </c>
      <c r="B518" s="13" t="n"/>
      <c r="C518" s="12">
        <f>IF(B518="","",CHOOSE(WEEKDAY(B518,1),"الأحد","الاثنين","الثلاثاء","الأربعاء","الخميس","الجمعة","السبت"))</f>
        <v/>
      </c>
      <c r="D518" s="14" t="n"/>
      <c r="E518" s="15" t="n"/>
      <c r="F518" s="16" t="n"/>
      <c r="G518" s="17" t="n"/>
      <c r="H518" s="18">
        <f>IF(OR(F518="",G518=""),"",ROUND(F518*G518,2))</f>
        <v/>
      </c>
      <c r="I518" s="19">
        <f>IF(ISNUMBER(SEARCH("ستاند",D518)),"أثاث وستاندات","")</f>
        <v/>
      </c>
      <c r="J518" s="20">
        <f>IF(E518="","",IF(I518="","⚠ عبّي الغرض",IF(AND(D518&lt;&gt;"",OR(ISNUMBER(SEARCH("صيانة",D518)),ISNUMBER(SEARCH("تعزيل",D518)),ISNUMBER(SEARCH("تنظيف",D518)),ISNUMBER(SEARCH("تصليح",D518)))),"⚠ الصيانة بلا ورشة",IF(H518="","⚠ ناقص",IF(D518&lt;&gt;"",IF(SUMIF($D$7:$D$806,D518,$H$7:$H$806)&gt;=20,"أصل","مصروف"),IFERROR(IF(VLOOKUP(I518,'القوائم'!$A$2:$D$14,4,0)="زكاة وصدقة","زكاة وصدقة",IF(AND(VLOOKUP(I518,'القوائم'!$A$2:$D$14,3,0)&lt;&gt;"",H518&gt;=20),"أصل","مصروف")),"مصروف"))))))</f>
        <v/>
      </c>
      <c r="K518" s="21" t="n"/>
      <c r="L518" s="22" t="n"/>
      <c r="N518">
        <f>IF(B518="","",MONTH(B518))</f>
        <v/>
      </c>
      <c r="O518">
        <f>IF(B518="","",YEAR(B518))</f>
        <v/>
      </c>
      <c r="P518">
        <f>IF(AND(D518&lt;&gt;"",COUNTIF(D$7:D518,D518)=1),MAX(P$6:P517)+1,"")</f>
        <v/>
      </c>
      <c r="Q518">
        <f>IF(E518="","",IF(I518="أجور عمال","أجرة","مادة"))</f>
        <v/>
      </c>
    </row>
    <row r="519">
      <c r="A519" s="12">
        <f>IF(E519="","",ROW()-6)</f>
        <v/>
      </c>
      <c r="B519" s="13" t="n"/>
      <c r="C519" s="12">
        <f>IF(B519="","",CHOOSE(WEEKDAY(B519,1),"الأحد","الاثنين","الثلاثاء","الأربعاء","الخميس","الجمعة","السبت"))</f>
        <v/>
      </c>
      <c r="D519" s="14" t="n"/>
      <c r="E519" s="15" t="n"/>
      <c r="F519" s="16" t="n"/>
      <c r="G519" s="17" t="n"/>
      <c r="H519" s="18">
        <f>IF(OR(F519="",G519=""),"",ROUND(F519*G519,2))</f>
        <v/>
      </c>
      <c r="I519" s="19">
        <f>IF(ISNUMBER(SEARCH("ستاند",D519)),"أثاث وستاندات","")</f>
        <v/>
      </c>
      <c r="J519" s="20">
        <f>IF(E519="","",IF(I519="","⚠ عبّي الغرض",IF(AND(D519&lt;&gt;"",OR(ISNUMBER(SEARCH("صيانة",D519)),ISNUMBER(SEARCH("تعزيل",D519)),ISNUMBER(SEARCH("تنظيف",D519)),ISNUMBER(SEARCH("تصليح",D519)))),"⚠ الصيانة بلا ورشة",IF(H519="","⚠ ناقص",IF(D519&lt;&gt;"",IF(SUMIF($D$7:$D$806,D519,$H$7:$H$806)&gt;=20,"أصل","مصروف"),IFERROR(IF(VLOOKUP(I519,'القوائم'!$A$2:$D$14,4,0)="زكاة وصدقة","زكاة وصدقة",IF(AND(VLOOKUP(I519,'القوائم'!$A$2:$D$14,3,0)&lt;&gt;"",H519&gt;=20),"أصل","مصروف")),"مصروف"))))))</f>
        <v/>
      </c>
      <c r="K519" s="21" t="n"/>
      <c r="L519" s="22" t="n"/>
      <c r="N519">
        <f>IF(B519="","",MONTH(B519))</f>
        <v/>
      </c>
      <c r="O519">
        <f>IF(B519="","",YEAR(B519))</f>
        <v/>
      </c>
      <c r="P519">
        <f>IF(AND(D519&lt;&gt;"",COUNTIF(D$7:D519,D519)=1),MAX(P$6:P518)+1,"")</f>
        <v/>
      </c>
      <c r="Q519">
        <f>IF(E519="","",IF(I519="أجور عمال","أجرة","مادة"))</f>
        <v/>
      </c>
    </row>
    <row r="520">
      <c r="A520" s="12">
        <f>IF(E520="","",ROW()-6)</f>
        <v/>
      </c>
      <c r="B520" s="13" t="n"/>
      <c r="C520" s="12">
        <f>IF(B520="","",CHOOSE(WEEKDAY(B520,1),"الأحد","الاثنين","الثلاثاء","الأربعاء","الخميس","الجمعة","السبت"))</f>
        <v/>
      </c>
      <c r="D520" s="14" t="n"/>
      <c r="E520" s="15" t="n"/>
      <c r="F520" s="16" t="n"/>
      <c r="G520" s="17" t="n"/>
      <c r="H520" s="18">
        <f>IF(OR(F520="",G520=""),"",ROUND(F520*G520,2))</f>
        <v/>
      </c>
      <c r="I520" s="19">
        <f>IF(ISNUMBER(SEARCH("ستاند",D520)),"أثاث وستاندات","")</f>
        <v/>
      </c>
      <c r="J520" s="20">
        <f>IF(E520="","",IF(I520="","⚠ عبّي الغرض",IF(AND(D520&lt;&gt;"",OR(ISNUMBER(SEARCH("صيانة",D520)),ISNUMBER(SEARCH("تعزيل",D520)),ISNUMBER(SEARCH("تنظيف",D520)),ISNUMBER(SEARCH("تصليح",D520)))),"⚠ الصيانة بلا ورشة",IF(H520="","⚠ ناقص",IF(D520&lt;&gt;"",IF(SUMIF($D$7:$D$806,D520,$H$7:$H$806)&gt;=20,"أصل","مصروف"),IFERROR(IF(VLOOKUP(I520,'القوائم'!$A$2:$D$14,4,0)="زكاة وصدقة","زكاة وصدقة",IF(AND(VLOOKUP(I520,'القوائم'!$A$2:$D$14,3,0)&lt;&gt;"",H520&gt;=20),"أصل","مصروف")),"مصروف"))))))</f>
        <v/>
      </c>
      <c r="K520" s="21" t="n"/>
      <c r="L520" s="22" t="n"/>
      <c r="N520">
        <f>IF(B520="","",MONTH(B520))</f>
        <v/>
      </c>
      <c r="O520">
        <f>IF(B520="","",YEAR(B520))</f>
        <v/>
      </c>
      <c r="P520">
        <f>IF(AND(D520&lt;&gt;"",COUNTIF(D$7:D520,D520)=1),MAX(P$6:P519)+1,"")</f>
        <v/>
      </c>
      <c r="Q520">
        <f>IF(E520="","",IF(I520="أجور عمال","أجرة","مادة"))</f>
        <v/>
      </c>
    </row>
    <row r="521">
      <c r="A521" s="12">
        <f>IF(E521="","",ROW()-6)</f>
        <v/>
      </c>
      <c r="B521" s="13" t="n"/>
      <c r="C521" s="12">
        <f>IF(B521="","",CHOOSE(WEEKDAY(B521,1),"الأحد","الاثنين","الثلاثاء","الأربعاء","الخميس","الجمعة","السبت"))</f>
        <v/>
      </c>
      <c r="D521" s="14" t="n"/>
      <c r="E521" s="15" t="n"/>
      <c r="F521" s="16" t="n"/>
      <c r="G521" s="17" t="n"/>
      <c r="H521" s="18">
        <f>IF(OR(F521="",G521=""),"",ROUND(F521*G521,2))</f>
        <v/>
      </c>
      <c r="I521" s="19">
        <f>IF(ISNUMBER(SEARCH("ستاند",D521)),"أثاث وستاندات","")</f>
        <v/>
      </c>
      <c r="J521" s="20">
        <f>IF(E521="","",IF(I521="","⚠ عبّي الغرض",IF(AND(D521&lt;&gt;"",OR(ISNUMBER(SEARCH("صيانة",D521)),ISNUMBER(SEARCH("تعزيل",D521)),ISNUMBER(SEARCH("تنظيف",D521)),ISNUMBER(SEARCH("تصليح",D521)))),"⚠ الصيانة بلا ورشة",IF(H521="","⚠ ناقص",IF(D521&lt;&gt;"",IF(SUMIF($D$7:$D$806,D521,$H$7:$H$806)&gt;=20,"أصل","مصروف"),IFERROR(IF(VLOOKUP(I521,'القوائم'!$A$2:$D$14,4,0)="زكاة وصدقة","زكاة وصدقة",IF(AND(VLOOKUP(I521,'القوائم'!$A$2:$D$14,3,0)&lt;&gt;"",H521&gt;=20),"أصل","مصروف")),"مصروف"))))))</f>
        <v/>
      </c>
      <c r="K521" s="21" t="n"/>
      <c r="L521" s="22" t="n"/>
      <c r="N521">
        <f>IF(B521="","",MONTH(B521))</f>
        <v/>
      </c>
      <c r="O521">
        <f>IF(B521="","",YEAR(B521))</f>
        <v/>
      </c>
      <c r="P521">
        <f>IF(AND(D521&lt;&gt;"",COUNTIF(D$7:D521,D521)=1),MAX(P$6:P520)+1,"")</f>
        <v/>
      </c>
      <c r="Q521">
        <f>IF(E521="","",IF(I521="أجور عمال","أجرة","مادة"))</f>
        <v/>
      </c>
    </row>
    <row r="522">
      <c r="A522" s="12">
        <f>IF(E522="","",ROW()-6)</f>
        <v/>
      </c>
      <c r="B522" s="13" t="n"/>
      <c r="C522" s="12">
        <f>IF(B522="","",CHOOSE(WEEKDAY(B522,1),"الأحد","الاثنين","الثلاثاء","الأربعاء","الخميس","الجمعة","السبت"))</f>
        <v/>
      </c>
      <c r="D522" s="14" t="n"/>
      <c r="E522" s="15" t="n"/>
      <c r="F522" s="16" t="n"/>
      <c r="G522" s="17" t="n"/>
      <c r="H522" s="18">
        <f>IF(OR(F522="",G522=""),"",ROUND(F522*G522,2))</f>
        <v/>
      </c>
      <c r="I522" s="19">
        <f>IF(ISNUMBER(SEARCH("ستاند",D522)),"أثاث وستاندات","")</f>
        <v/>
      </c>
      <c r="J522" s="20">
        <f>IF(E522="","",IF(I522="","⚠ عبّي الغرض",IF(AND(D522&lt;&gt;"",OR(ISNUMBER(SEARCH("صيانة",D522)),ISNUMBER(SEARCH("تعزيل",D522)),ISNUMBER(SEARCH("تنظيف",D522)),ISNUMBER(SEARCH("تصليح",D522)))),"⚠ الصيانة بلا ورشة",IF(H522="","⚠ ناقص",IF(D522&lt;&gt;"",IF(SUMIF($D$7:$D$806,D522,$H$7:$H$806)&gt;=20,"أصل","مصروف"),IFERROR(IF(VLOOKUP(I522,'القوائم'!$A$2:$D$14,4,0)="زكاة وصدقة","زكاة وصدقة",IF(AND(VLOOKUP(I522,'القوائم'!$A$2:$D$14,3,0)&lt;&gt;"",H522&gt;=20),"أصل","مصروف")),"مصروف"))))))</f>
        <v/>
      </c>
      <c r="K522" s="21" t="n"/>
      <c r="L522" s="22" t="n"/>
      <c r="N522">
        <f>IF(B522="","",MONTH(B522))</f>
        <v/>
      </c>
      <c r="O522">
        <f>IF(B522="","",YEAR(B522))</f>
        <v/>
      </c>
      <c r="P522">
        <f>IF(AND(D522&lt;&gt;"",COUNTIF(D$7:D522,D522)=1),MAX(P$6:P521)+1,"")</f>
        <v/>
      </c>
      <c r="Q522">
        <f>IF(E522="","",IF(I522="أجور عمال","أجرة","مادة"))</f>
        <v/>
      </c>
    </row>
    <row r="523">
      <c r="A523" s="12">
        <f>IF(E523="","",ROW()-6)</f>
        <v/>
      </c>
      <c r="B523" s="13" t="n"/>
      <c r="C523" s="12">
        <f>IF(B523="","",CHOOSE(WEEKDAY(B523,1),"الأحد","الاثنين","الثلاثاء","الأربعاء","الخميس","الجمعة","السبت"))</f>
        <v/>
      </c>
      <c r="D523" s="14" t="n"/>
      <c r="E523" s="15" t="n"/>
      <c r="F523" s="16" t="n"/>
      <c r="G523" s="17" t="n"/>
      <c r="H523" s="18">
        <f>IF(OR(F523="",G523=""),"",ROUND(F523*G523,2))</f>
        <v/>
      </c>
      <c r="I523" s="19">
        <f>IF(ISNUMBER(SEARCH("ستاند",D523)),"أثاث وستاندات","")</f>
        <v/>
      </c>
      <c r="J523" s="20">
        <f>IF(E523="","",IF(I523="","⚠ عبّي الغرض",IF(AND(D523&lt;&gt;"",OR(ISNUMBER(SEARCH("صيانة",D523)),ISNUMBER(SEARCH("تعزيل",D523)),ISNUMBER(SEARCH("تنظيف",D523)),ISNUMBER(SEARCH("تصليح",D523)))),"⚠ الصيانة بلا ورشة",IF(H523="","⚠ ناقص",IF(D523&lt;&gt;"",IF(SUMIF($D$7:$D$806,D523,$H$7:$H$806)&gt;=20,"أصل","مصروف"),IFERROR(IF(VLOOKUP(I523,'القوائم'!$A$2:$D$14,4,0)="زكاة وصدقة","زكاة وصدقة",IF(AND(VLOOKUP(I523,'القوائم'!$A$2:$D$14,3,0)&lt;&gt;"",H523&gt;=20),"أصل","مصروف")),"مصروف"))))))</f>
        <v/>
      </c>
      <c r="K523" s="21" t="n"/>
      <c r="L523" s="22" t="n"/>
      <c r="N523">
        <f>IF(B523="","",MONTH(B523))</f>
        <v/>
      </c>
      <c r="O523">
        <f>IF(B523="","",YEAR(B523))</f>
        <v/>
      </c>
      <c r="P523">
        <f>IF(AND(D523&lt;&gt;"",COUNTIF(D$7:D523,D523)=1),MAX(P$6:P522)+1,"")</f>
        <v/>
      </c>
      <c r="Q523">
        <f>IF(E523="","",IF(I523="أجور عمال","أجرة","مادة"))</f>
        <v/>
      </c>
    </row>
    <row r="524">
      <c r="A524" s="12">
        <f>IF(E524="","",ROW()-6)</f>
        <v/>
      </c>
      <c r="B524" s="13" t="n"/>
      <c r="C524" s="12">
        <f>IF(B524="","",CHOOSE(WEEKDAY(B524,1),"الأحد","الاثنين","الثلاثاء","الأربعاء","الخميس","الجمعة","السبت"))</f>
        <v/>
      </c>
      <c r="D524" s="14" t="n"/>
      <c r="E524" s="15" t="n"/>
      <c r="F524" s="16" t="n"/>
      <c r="G524" s="17" t="n"/>
      <c r="H524" s="18">
        <f>IF(OR(F524="",G524=""),"",ROUND(F524*G524,2))</f>
        <v/>
      </c>
      <c r="I524" s="19">
        <f>IF(ISNUMBER(SEARCH("ستاند",D524)),"أثاث وستاندات","")</f>
        <v/>
      </c>
      <c r="J524" s="20">
        <f>IF(E524="","",IF(I524="","⚠ عبّي الغرض",IF(AND(D524&lt;&gt;"",OR(ISNUMBER(SEARCH("صيانة",D524)),ISNUMBER(SEARCH("تعزيل",D524)),ISNUMBER(SEARCH("تنظيف",D524)),ISNUMBER(SEARCH("تصليح",D524)))),"⚠ الصيانة بلا ورشة",IF(H524="","⚠ ناقص",IF(D524&lt;&gt;"",IF(SUMIF($D$7:$D$806,D524,$H$7:$H$806)&gt;=20,"أصل","مصروف"),IFERROR(IF(VLOOKUP(I524,'القوائم'!$A$2:$D$14,4,0)="زكاة وصدقة","زكاة وصدقة",IF(AND(VLOOKUP(I524,'القوائم'!$A$2:$D$14,3,0)&lt;&gt;"",H524&gt;=20),"أصل","مصروف")),"مصروف"))))))</f>
        <v/>
      </c>
      <c r="K524" s="21" t="n"/>
      <c r="L524" s="22" t="n"/>
      <c r="N524">
        <f>IF(B524="","",MONTH(B524))</f>
        <v/>
      </c>
      <c r="O524">
        <f>IF(B524="","",YEAR(B524))</f>
        <v/>
      </c>
      <c r="P524">
        <f>IF(AND(D524&lt;&gt;"",COUNTIF(D$7:D524,D524)=1),MAX(P$6:P523)+1,"")</f>
        <v/>
      </c>
      <c r="Q524">
        <f>IF(E524="","",IF(I524="أجور عمال","أجرة","مادة"))</f>
        <v/>
      </c>
    </row>
    <row r="525">
      <c r="A525" s="12">
        <f>IF(E525="","",ROW()-6)</f>
        <v/>
      </c>
      <c r="B525" s="13" t="n"/>
      <c r="C525" s="12">
        <f>IF(B525="","",CHOOSE(WEEKDAY(B525,1),"الأحد","الاثنين","الثلاثاء","الأربعاء","الخميس","الجمعة","السبت"))</f>
        <v/>
      </c>
      <c r="D525" s="14" t="n"/>
      <c r="E525" s="15" t="n"/>
      <c r="F525" s="16" t="n"/>
      <c r="G525" s="17" t="n"/>
      <c r="H525" s="18">
        <f>IF(OR(F525="",G525=""),"",ROUND(F525*G525,2))</f>
        <v/>
      </c>
      <c r="I525" s="19">
        <f>IF(ISNUMBER(SEARCH("ستاند",D525)),"أثاث وستاندات","")</f>
        <v/>
      </c>
      <c r="J525" s="20">
        <f>IF(E525="","",IF(I525="","⚠ عبّي الغرض",IF(AND(D525&lt;&gt;"",OR(ISNUMBER(SEARCH("صيانة",D525)),ISNUMBER(SEARCH("تعزيل",D525)),ISNUMBER(SEARCH("تنظيف",D525)),ISNUMBER(SEARCH("تصليح",D525)))),"⚠ الصيانة بلا ورشة",IF(H525="","⚠ ناقص",IF(D525&lt;&gt;"",IF(SUMIF($D$7:$D$806,D525,$H$7:$H$806)&gt;=20,"أصل","مصروف"),IFERROR(IF(VLOOKUP(I525,'القوائم'!$A$2:$D$14,4,0)="زكاة وصدقة","زكاة وصدقة",IF(AND(VLOOKUP(I525,'القوائم'!$A$2:$D$14,3,0)&lt;&gt;"",H525&gt;=20),"أصل","مصروف")),"مصروف"))))))</f>
        <v/>
      </c>
      <c r="K525" s="21" t="n"/>
      <c r="L525" s="22" t="n"/>
      <c r="N525">
        <f>IF(B525="","",MONTH(B525))</f>
        <v/>
      </c>
      <c r="O525">
        <f>IF(B525="","",YEAR(B525))</f>
        <v/>
      </c>
      <c r="P525">
        <f>IF(AND(D525&lt;&gt;"",COUNTIF(D$7:D525,D525)=1),MAX(P$6:P524)+1,"")</f>
        <v/>
      </c>
      <c r="Q525">
        <f>IF(E525="","",IF(I525="أجور عمال","أجرة","مادة"))</f>
        <v/>
      </c>
    </row>
    <row r="526">
      <c r="A526" s="12">
        <f>IF(E526="","",ROW()-6)</f>
        <v/>
      </c>
      <c r="B526" s="13" t="n"/>
      <c r="C526" s="12">
        <f>IF(B526="","",CHOOSE(WEEKDAY(B526,1),"الأحد","الاثنين","الثلاثاء","الأربعاء","الخميس","الجمعة","السبت"))</f>
        <v/>
      </c>
      <c r="D526" s="14" t="n"/>
      <c r="E526" s="15" t="n"/>
      <c r="F526" s="16" t="n"/>
      <c r="G526" s="17" t="n"/>
      <c r="H526" s="18">
        <f>IF(OR(F526="",G526=""),"",ROUND(F526*G526,2))</f>
        <v/>
      </c>
      <c r="I526" s="19">
        <f>IF(ISNUMBER(SEARCH("ستاند",D526)),"أثاث وستاندات","")</f>
        <v/>
      </c>
      <c r="J526" s="20">
        <f>IF(E526="","",IF(I526="","⚠ عبّي الغرض",IF(AND(D526&lt;&gt;"",OR(ISNUMBER(SEARCH("صيانة",D526)),ISNUMBER(SEARCH("تعزيل",D526)),ISNUMBER(SEARCH("تنظيف",D526)),ISNUMBER(SEARCH("تصليح",D526)))),"⚠ الصيانة بلا ورشة",IF(H526="","⚠ ناقص",IF(D526&lt;&gt;"",IF(SUMIF($D$7:$D$806,D526,$H$7:$H$806)&gt;=20,"أصل","مصروف"),IFERROR(IF(VLOOKUP(I526,'القوائم'!$A$2:$D$14,4,0)="زكاة وصدقة","زكاة وصدقة",IF(AND(VLOOKUP(I526,'القوائم'!$A$2:$D$14,3,0)&lt;&gt;"",H526&gt;=20),"أصل","مصروف")),"مصروف"))))))</f>
        <v/>
      </c>
      <c r="K526" s="21" t="n"/>
      <c r="L526" s="22" t="n"/>
      <c r="N526">
        <f>IF(B526="","",MONTH(B526))</f>
        <v/>
      </c>
      <c r="O526">
        <f>IF(B526="","",YEAR(B526))</f>
        <v/>
      </c>
      <c r="P526">
        <f>IF(AND(D526&lt;&gt;"",COUNTIF(D$7:D526,D526)=1),MAX(P$6:P525)+1,"")</f>
        <v/>
      </c>
      <c r="Q526">
        <f>IF(E526="","",IF(I526="أجور عمال","أجرة","مادة"))</f>
        <v/>
      </c>
    </row>
    <row r="527">
      <c r="A527" s="12">
        <f>IF(E527="","",ROW()-6)</f>
        <v/>
      </c>
      <c r="B527" s="13" t="n"/>
      <c r="C527" s="12">
        <f>IF(B527="","",CHOOSE(WEEKDAY(B527,1),"الأحد","الاثنين","الثلاثاء","الأربعاء","الخميس","الجمعة","السبت"))</f>
        <v/>
      </c>
      <c r="D527" s="14" t="n"/>
      <c r="E527" s="15" t="n"/>
      <c r="F527" s="16" t="n"/>
      <c r="G527" s="17" t="n"/>
      <c r="H527" s="18">
        <f>IF(OR(F527="",G527=""),"",ROUND(F527*G527,2))</f>
        <v/>
      </c>
      <c r="I527" s="19">
        <f>IF(ISNUMBER(SEARCH("ستاند",D527)),"أثاث وستاندات","")</f>
        <v/>
      </c>
      <c r="J527" s="20">
        <f>IF(E527="","",IF(I527="","⚠ عبّي الغرض",IF(AND(D527&lt;&gt;"",OR(ISNUMBER(SEARCH("صيانة",D527)),ISNUMBER(SEARCH("تعزيل",D527)),ISNUMBER(SEARCH("تنظيف",D527)),ISNUMBER(SEARCH("تصليح",D527)))),"⚠ الصيانة بلا ورشة",IF(H527="","⚠ ناقص",IF(D527&lt;&gt;"",IF(SUMIF($D$7:$D$806,D527,$H$7:$H$806)&gt;=20,"أصل","مصروف"),IFERROR(IF(VLOOKUP(I527,'القوائم'!$A$2:$D$14,4,0)="زكاة وصدقة","زكاة وصدقة",IF(AND(VLOOKUP(I527,'القوائم'!$A$2:$D$14,3,0)&lt;&gt;"",H527&gt;=20),"أصل","مصروف")),"مصروف"))))))</f>
        <v/>
      </c>
      <c r="K527" s="21" t="n"/>
      <c r="L527" s="22" t="n"/>
      <c r="N527">
        <f>IF(B527="","",MONTH(B527))</f>
        <v/>
      </c>
      <c r="O527">
        <f>IF(B527="","",YEAR(B527))</f>
        <v/>
      </c>
      <c r="P527">
        <f>IF(AND(D527&lt;&gt;"",COUNTIF(D$7:D527,D527)=1),MAX(P$6:P526)+1,"")</f>
        <v/>
      </c>
      <c r="Q527">
        <f>IF(E527="","",IF(I527="أجور عمال","أجرة","مادة"))</f>
        <v/>
      </c>
    </row>
    <row r="528">
      <c r="A528" s="12">
        <f>IF(E528="","",ROW()-6)</f>
        <v/>
      </c>
      <c r="B528" s="13" t="n"/>
      <c r="C528" s="12">
        <f>IF(B528="","",CHOOSE(WEEKDAY(B528,1),"الأحد","الاثنين","الثلاثاء","الأربعاء","الخميس","الجمعة","السبت"))</f>
        <v/>
      </c>
      <c r="D528" s="14" t="n"/>
      <c r="E528" s="15" t="n"/>
      <c r="F528" s="16" t="n"/>
      <c r="G528" s="17" t="n"/>
      <c r="H528" s="18">
        <f>IF(OR(F528="",G528=""),"",ROUND(F528*G528,2))</f>
        <v/>
      </c>
      <c r="I528" s="19">
        <f>IF(ISNUMBER(SEARCH("ستاند",D528)),"أثاث وستاندات","")</f>
        <v/>
      </c>
      <c r="J528" s="20">
        <f>IF(E528="","",IF(I528="","⚠ عبّي الغرض",IF(AND(D528&lt;&gt;"",OR(ISNUMBER(SEARCH("صيانة",D528)),ISNUMBER(SEARCH("تعزيل",D528)),ISNUMBER(SEARCH("تنظيف",D528)),ISNUMBER(SEARCH("تصليح",D528)))),"⚠ الصيانة بلا ورشة",IF(H528="","⚠ ناقص",IF(D528&lt;&gt;"",IF(SUMIF($D$7:$D$806,D528,$H$7:$H$806)&gt;=20,"أصل","مصروف"),IFERROR(IF(VLOOKUP(I528,'القوائم'!$A$2:$D$14,4,0)="زكاة وصدقة","زكاة وصدقة",IF(AND(VLOOKUP(I528,'القوائم'!$A$2:$D$14,3,0)&lt;&gt;"",H528&gt;=20),"أصل","مصروف")),"مصروف"))))))</f>
        <v/>
      </c>
      <c r="K528" s="21" t="n"/>
      <c r="L528" s="22" t="n"/>
      <c r="N528">
        <f>IF(B528="","",MONTH(B528))</f>
        <v/>
      </c>
      <c r="O528">
        <f>IF(B528="","",YEAR(B528))</f>
        <v/>
      </c>
      <c r="P528">
        <f>IF(AND(D528&lt;&gt;"",COUNTIF(D$7:D528,D528)=1),MAX(P$6:P527)+1,"")</f>
        <v/>
      </c>
      <c r="Q528">
        <f>IF(E528="","",IF(I528="أجور عمال","أجرة","مادة"))</f>
        <v/>
      </c>
    </row>
    <row r="529">
      <c r="A529" s="12">
        <f>IF(E529="","",ROW()-6)</f>
        <v/>
      </c>
      <c r="B529" s="13" t="n"/>
      <c r="C529" s="12">
        <f>IF(B529="","",CHOOSE(WEEKDAY(B529,1),"الأحد","الاثنين","الثلاثاء","الأربعاء","الخميس","الجمعة","السبت"))</f>
        <v/>
      </c>
      <c r="D529" s="14" t="n"/>
      <c r="E529" s="15" t="n"/>
      <c r="F529" s="16" t="n"/>
      <c r="G529" s="17" t="n"/>
      <c r="H529" s="18">
        <f>IF(OR(F529="",G529=""),"",ROUND(F529*G529,2))</f>
        <v/>
      </c>
      <c r="I529" s="19">
        <f>IF(ISNUMBER(SEARCH("ستاند",D529)),"أثاث وستاندات","")</f>
        <v/>
      </c>
      <c r="J529" s="20">
        <f>IF(E529="","",IF(I529="","⚠ عبّي الغرض",IF(AND(D529&lt;&gt;"",OR(ISNUMBER(SEARCH("صيانة",D529)),ISNUMBER(SEARCH("تعزيل",D529)),ISNUMBER(SEARCH("تنظيف",D529)),ISNUMBER(SEARCH("تصليح",D529)))),"⚠ الصيانة بلا ورشة",IF(H529="","⚠ ناقص",IF(D529&lt;&gt;"",IF(SUMIF($D$7:$D$806,D529,$H$7:$H$806)&gt;=20,"أصل","مصروف"),IFERROR(IF(VLOOKUP(I529,'القوائم'!$A$2:$D$14,4,0)="زكاة وصدقة","زكاة وصدقة",IF(AND(VLOOKUP(I529,'القوائم'!$A$2:$D$14,3,0)&lt;&gt;"",H529&gt;=20),"أصل","مصروف")),"مصروف"))))))</f>
        <v/>
      </c>
      <c r="K529" s="21" t="n"/>
      <c r="L529" s="22" t="n"/>
      <c r="N529">
        <f>IF(B529="","",MONTH(B529))</f>
        <v/>
      </c>
      <c r="O529">
        <f>IF(B529="","",YEAR(B529))</f>
        <v/>
      </c>
      <c r="P529">
        <f>IF(AND(D529&lt;&gt;"",COUNTIF(D$7:D529,D529)=1),MAX(P$6:P528)+1,"")</f>
        <v/>
      </c>
      <c r="Q529">
        <f>IF(E529="","",IF(I529="أجور عمال","أجرة","مادة"))</f>
        <v/>
      </c>
    </row>
    <row r="530">
      <c r="A530" s="12">
        <f>IF(E530="","",ROW()-6)</f>
        <v/>
      </c>
      <c r="B530" s="13" t="n"/>
      <c r="C530" s="12">
        <f>IF(B530="","",CHOOSE(WEEKDAY(B530,1),"الأحد","الاثنين","الثلاثاء","الأربعاء","الخميس","الجمعة","السبت"))</f>
        <v/>
      </c>
      <c r="D530" s="14" t="n"/>
      <c r="E530" s="15" t="n"/>
      <c r="F530" s="16" t="n"/>
      <c r="G530" s="17" t="n"/>
      <c r="H530" s="18">
        <f>IF(OR(F530="",G530=""),"",ROUND(F530*G530,2))</f>
        <v/>
      </c>
      <c r="I530" s="19">
        <f>IF(ISNUMBER(SEARCH("ستاند",D530)),"أثاث وستاندات","")</f>
        <v/>
      </c>
      <c r="J530" s="20">
        <f>IF(E530="","",IF(I530="","⚠ عبّي الغرض",IF(AND(D530&lt;&gt;"",OR(ISNUMBER(SEARCH("صيانة",D530)),ISNUMBER(SEARCH("تعزيل",D530)),ISNUMBER(SEARCH("تنظيف",D530)),ISNUMBER(SEARCH("تصليح",D530)))),"⚠ الصيانة بلا ورشة",IF(H530="","⚠ ناقص",IF(D530&lt;&gt;"",IF(SUMIF($D$7:$D$806,D530,$H$7:$H$806)&gt;=20,"أصل","مصروف"),IFERROR(IF(VLOOKUP(I530,'القوائم'!$A$2:$D$14,4,0)="زكاة وصدقة","زكاة وصدقة",IF(AND(VLOOKUP(I530,'القوائم'!$A$2:$D$14,3,0)&lt;&gt;"",H530&gt;=20),"أصل","مصروف")),"مصروف"))))))</f>
        <v/>
      </c>
      <c r="K530" s="21" t="n"/>
      <c r="L530" s="22" t="n"/>
      <c r="N530">
        <f>IF(B530="","",MONTH(B530))</f>
        <v/>
      </c>
      <c r="O530">
        <f>IF(B530="","",YEAR(B530))</f>
        <v/>
      </c>
      <c r="P530">
        <f>IF(AND(D530&lt;&gt;"",COUNTIF(D$7:D530,D530)=1),MAX(P$6:P529)+1,"")</f>
        <v/>
      </c>
      <c r="Q530">
        <f>IF(E530="","",IF(I530="أجور عمال","أجرة","مادة"))</f>
        <v/>
      </c>
    </row>
    <row r="531">
      <c r="A531" s="12">
        <f>IF(E531="","",ROW()-6)</f>
        <v/>
      </c>
      <c r="B531" s="13" t="n"/>
      <c r="C531" s="12">
        <f>IF(B531="","",CHOOSE(WEEKDAY(B531,1),"الأحد","الاثنين","الثلاثاء","الأربعاء","الخميس","الجمعة","السبت"))</f>
        <v/>
      </c>
      <c r="D531" s="14" t="n"/>
      <c r="E531" s="15" t="n"/>
      <c r="F531" s="16" t="n"/>
      <c r="G531" s="17" t="n"/>
      <c r="H531" s="18">
        <f>IF(OR(F531="",G531=""),"",ROUND(F531*G531,2))</f>
        <v/>
      </c>
      <c r="I531" s="19">
        <f>IF(ISNUMBER(SEARCH("ستاند",D531)),"أثاث وستاندات","")</f>
        <v/>
      </c>
      <c r="J531" s="20">
        <f>IF(E531="","",IF(I531="","⚠ عبّي الغرض",IF(AND(D531&lt;&gt;"",OR(ISNUMBER(SEARCH("صيانة",D531)),ISNUMBER(SEARCH("تعزيل",D531)),ISNUMBER(SEARCH("تنظيف",D531)),ISNUMBER(SEARCH("تصليح",D531)))),"⚠ الصيانة بلا ورشة",IF(H531="","⚠ ناقص",IF(D531&lt;&gt;"",IF(SUMIF($D$7:$D$806,D531,$H$7:$H$806)&gt;=20,"أصل","مصروف"),IFERROR(IF(VLOOKUP(I531,'القوائم'!$A$2:$D$14,4,0)="زكاة وصدقة","زكاة وصدقة",IF(AND(VLOOKUP(I531,'القوائم'!$A$2:$D$14,3,0)&lt;&gt;"",H531&gt;=20),"أصل","مصروف")),"مصروف"))))))</f>
        <v/>
      </c>
      <c r="K531" s="21" t="n"/>
      <c r="L531" s="22" t="n"/>
      <c r="N531">
        <f>IF(B531="","",MONTH(B531))</f>
        <v/>
      </c>
      <c r="O531">
        <f>IF(B531="","",YEAR(B531))</f>
        <v/>
      </c>
      <c r="P531">
        <f>IF(AND(D531&lt;&gt;"",COUNTIF(D$7:D531,D531)=1),MAX(P$6:P530)+1,"")</f>
        <v/>
      </c>
      <c r="Q531">
        <f>IF(E531="","",IF(I531="أجور عمال","أجرة","مادة"))</f>
        <v/>
      </c>
    </row>
    <row r="532">
      <c r="A532" s="12">
        <f>IF(E532="","",ROW()-6)</f>
        <v/>
      </c>
      <c r="B532" s="13" t="n"/>
      <c r="C532" s="12">
        <f>IF(B532="","",CHOOSE(WEEKDAY(B532,1),"الأحد","الاثنين","الثلاثاء","الأربعاء","الخميس","الجمعة","السبت"))</f>
        <v/>
      </c>
      <c r="D532" s="14" t="n"/>
      <c r="E532" s="15" t="n"/>
      <c r="F532" s="16" t="n"/>
      <c r="G532" s="17" t="n"/>
      <c r="H532" s="18">
        <f>IF(OR(F532="",G532=""),"",ROUND(F532*G532,2))</f>
        <v/>
      </c>
      <c r="I532" s="19">
        <f>IF(ISNUMBER(SEARCH("ستاند",D532)),"أثاث وستاندات","")</f>
        <v/>
      </c>
      <c r="J532" s="20">
        <f>IF(E532="","",IF(I532="","⚠ عبّي الغرض",IF(AND(D532&lt;&gt;"",OR(ISNUMBER(SEARCH("صيانة",D532)),ISNUMBER(SEARCH("تعزيل",D532)),ISNUMBER(SEARCH("تنظيف",D532)),ISNUMBER(SEARCH("تصليح",D532)))),"⚠ الصيانة بلا ورشة",IF(H532="","⚠ ناقص",IF(D532&lt;&gt;"",IF(SUMIF($D$7:$D$806,D532,$H$7:$H$806)&gt;=20,"أصل","مصروف"),IFERROR(IF(VLOOKUP(I532,'القوائم'!$A$2:$D$14,4,0)="زكاة وصدقة","زكاة وصدقة",IF(AND(VLOOKUP(I532,'القوائم'!$A$2:$D$14,3,0)&lt;&gt;"",H532&gt;=20),"أصل","مصروف")),"مصروف"))))))</f>
        <v/>
      </c>
      <c r="K532" s="21" t="n"/>
      <c r="L532" s="22" t="n"/>
      <c r="N532">
        <f>IF(B532="","",MONTH(B532))</f>
        <v/>
      </c>
      <c r="O532">
        <f>IF(B532="","",YEAR(B532))</f>
        <v/>
      </c>
      <c r="P532">
        <f>IF(AND(D532&lt;&gt;"",COUNTIF(D$7:D532,D532)=1),MAX(P$6:P531)+1,"")</f>
        <v/>
      </c>
      <c r="Q532">
        <f>IF(E532="","",IF(I532="أجور عمال","أجرة","مادة"))</f>
        <v/>
      </c>
    </row>
    <row r="533">
      <c r="A533" s="12">
        <f>IF(E533="","",ROW()-6)</f>
        <v/>
      </c>
      <c r="B533" s="13" t="n"/>
      <c r="C533" s="12">
        <f>IF(B533="","",CHOOSE(WEEKDAY(B533,1),"الأحد","الاثنين","الثلاثاء","الأربعاء","الخميس","الجمعة","السبت"))</f>
        <v/>
      </c>
      <c r="D533" s="14" t="n"/>
      <c r="E533" s="15" t="n"/>
      <c r="F533" s="16" t="n"/>
      <c r="G533" s="17" t="n"/>
      <c r="H533" s="18">
        <f>IF(OR(F533="",G533=""),"",ROUND(F533*G533,2))</f>
        <v/>
      </c>
      <c r="I533" s="19">
        <f>IF(ISNUMBER(SEARCH("ستاند",D533)),"أثاث وستاندات","")</f>
        <v/>
      </c>
      <c r="J533" s="20">
        <f>IF(E533="","",IF(I533="","⚠ عبّي الغرض",IF(AND(D533&lt;&gt;"",OR(ISNUMBER(SEARCH("صيانة",D533)),ISNUMBER(SEARCH("تعزيل",D533)),ISNUMBER(SEARCH("تنظيف",D533)),ISNUMBER(SEARCH("تصليح",D533)))),"⚠ الصيانة بلا ورشة",IF(H533="","⚠ ناقص",IF(D533&lt;&gt;"",IF(SUMIF($D$7:$D$806,D533,$H$7:$H$806)&gt;=20,"أصل","مصروف"),IFERROR(IF(VLOOKUP(I533,'القوائم'!$A$2:$D$14,4,0)="زكاة وصدقة","زكاة وصدقة",IF(AND(VLOOKUP(I533,'القوائم'!$A$2:$D$14,3,0)&lt;&gt;"",H533&gt;=20),"أصل","مصروف")),"مصروف"))))))</f>
        <v/>
      </c>
      <c r="K533" s="21" t="n"/>
      <c r="L533" s="22" t="n"/>
      <c r="N533">
        <f>IF(B533="","",MONTH(B533))</f>
        <v/>
      </c>
      <c r="O533">
        <f>IF(B533="","",YEAR(B533))</f>
        <v/>
      </c>
      <c r="P533">
        <f>IF(AND(D533&lt;&gt;"",COUNTIF(D$7:D533,D533)=1),MAX(P$6:P532)+1,"")</f>
        <v/>
      </c>
      <c r="Q533">
        <f>IF(E533="","",IF(I533="أجور عمال","أجرة","مادة"))</f>
        <v/>
      </c>
    </row>
    <row r="534">
      <c r="A534" s="12">
        <f>IF(E534="","",ROW()-6)</f>
        <v/>
      </c>
      <c r="B534" s="13" t="n"/>
      <c r="C534" s="12">
        <f>IF(B534="","",CHOOSE(WEEKDAY(B534,1),"الأحد","الاثنين","الثلاثاء","الأربعاء","الخميس","الجمعة","السبت"))</f>
        <v/>
      </c>
      <c r="D534" s="14" t="n"/>
      <c r="E534" s="15" t="n"/>
      <c r="F534" s="16" t="n"/>
      <c r="G534" s="17" t="n"/>
      <c r="H534" s="18">
        <f>IF(OR(F534="",G534=""),"",ROUND(F534*G534,2))</f>
        <v/>
      </c>
      <c r="I534" s="19">
        <f>IF(ISNUMBER(SEARCH("ستاند",D534)),"أثاث وستاندات","")</f>
        <v/>
      </c>
      <c r="J534" s="20">
        <f>IF(E534="","",IF(I534="","⚠ عبّي الغرض",IF(AND(D534&lt;&gt;"",OR(ISNUMBER(SEARCH("صيانة",D534)),ISNUMBER(SEARCH("تعزيل",D534)),ISNUMBER(SEARCH("تنظيف",D534)),ISNUMBER(SEARCH("تصليح",D534)))),"⚠ الصيانة بلا ورشة",IF(H534="","⚠ ناقص",IF(D534&lt;&gt;"",IF(SUMIF($D$7:$D$806,D534,$H$7:$H$806)&gt;=20,"أصل","مصروف"),IFERROR(IF(VLOOKUP(I534,'القوائم'!$A$2:$D$14,4,0)="زكاة وصدقة","زكاة وصدقة",IF(AND(VLOOKUP(I534,'القوائم'!$A$2:$D$14,3,0)&lt;&gt;"",H534&gt;=20),"أصل","مصروف")),"مصروف"))))))</f>
        <v/>
      </c>
      <c r="K534" s="21" t="n"/>
      <c r="L534" s="22" t="n"/>
      <c r="N534">
        <f>IF(B534="","",MONTH(B534))</f>
        <v/>
      </c>
      <c r="O534">
        <f>IF(B534="","",YEAR(B534))</f>
        <v/>
      </c>
      <c r="P534">
        <f>IF(AND(D534&lt;&gt;"",COUNTIF(D$7:D534,D534)=1),MAX(P$6:P533)+1,"")</f>
        <v/>
      </c>
      <c r="Q534">
        <f>IF(E534="","",IF(I534="أجور عمال","أجرة","مادة"))</f>
        <v/>
      </c>
    </row>
    <row r="535">
      <c r="A535" s="12">
        <f>IF(E535="","",ROW()-6)</f>
        <v/>
      </c>
      <c r="B535" s="13" t="n"/>
      <c r="C535" s="12">
        <f>IF(B535="","",CHOOSE(WEEKDAY(B535,1),"الأحد","الاثنين","الثلاثاء","الأربعاء","الخميس","الجمعة","السبت"))</f>
        <v/>
      </c>
      <c r="D535" s="14" t="n"/>
      <c r="E535" s="15" t="n"/>
      <c r="F535" s="16" t="n"/>
      <c r="G535" s="17" t="n"/>
      <c r="H535" s="18">
        <f>IF(OR(F535="",G535=""),"",ROUND(F535*G535,2))</f>
        <v/>
      </c>
      <c r="I535" s="19">
        <f>IF(ISNUMBER(SEARCH("ستاند",D535)),"أثاث وستاندات","")</f>
        <v/>
      </c>
      <c r="J535" s="20">
        <f>IF(E535="","",IF(I535="","⚠ عبّي الغرض",IF(AND(D535&lt;&gt;"",OR(ISNUMBER(SEARCH("صيانة",D535)),ISNUMBER(SEARCH("تعزيل",D535)),ISNUMBER(SEARCH("تنظيف",D535)),ISNUMBER(SEARCH("تصليح",D535)))),"⚠ الصيانة بلا ورشة",IF(H535="","⚠ ناقص",IF(D535&lt;&gt;"",IF(SUMIF($D$7:$D$806,D535,$H$7:$H$806)&gt;=20,"أصل","مصروف"),IFERROR(IF(VLOOKUP(I535,'القوائم'!$A$2:$D$14,4,0)="زكاة وصدقة","زكاة وصدقة",IF(AND(VLOOKUP(I535,'القوائم'!$A$2:$D$14,3,0)&lt;&gt;"",H535&gt;=20),"أصل","مصروف")),"مصروف"))))))</f>
        <v/>
      </c>
      <c r="K535" s="21" t="n"/>
      <c r="L535" s="22" t="n"/>
      <c r="N535">
        <f>IF(B535="","",MONTH(B535))</f>
        <v/>
      </c>
      <c r="O535">
        <f>IF(B535="","",YEAR(B535))</f>
        <v/>
      </c>
      <c r="P535">
        <f>IF(AND(D535&lt;&gt;"",COUNTIF(D$7:D535,D535)=1),MAX(P$6:P534)+1,"")</f>
        <v/>
      </c>
      <c r="Q535">
        <f>IF(E535="","",IF(I535="أجور عمال","أجرة","مادة"))</f>
        <v/>
      </c>
    </row>
    <row r="536">
      <c r="A536" s="12">
        <f>IF(E536="","",ROW()-6)</f>
        <v/>
      </c>
      <c r="B536" s="13" t="n"/>
      <c r="C536" s="12">
        <f>IF(B536="","",CHOOSE(WEEKDAY(B536,1),"الأحد","الاثنين","الثلاثاء","الأربعاء","الخميس","الجمعة","السبت"))</f>
        <v/>
      </c>
      <c r="D536" s="14" t="n"/>
      <c r="E536" s="15" t="n"/>
      <c r="F536" s="16" t="n"/>
      <c r="G536" s="17" t="n"/>
      <c r="H536" s="18">
        <f>IF(OR(F536="",G536=""),"",ROUND(F536*G536,2))</f>
        <v/>
      </c>
      <c r="I536" s="19">
        <f>IF(ISNUMBER(SEARCH("ستاند",D536)),"أثاث وستاندات","")</f>
        <v/>
      </c>
      <c r="J536" s="20">
        <f>IF(E536="","",IF(I536="","⚠ عبّي الغرض",IF(AND(D536&lt;&gt;"",OR(ISNUMBER(SEARCH("صيانة",D536)),ISNUMBER(SEARCH("تعزيل",D536)),ISNUMBER(SEARCH("تنظيف",D536)),ISNUMBER(SEARCH("تصليح",D536)))),"⚠ الصيانة بلا ورشة",IF(H536="","⚠ ناقص",IF(D536&lt;&gt;"",IF(SUMIF($D$7:$D$806,D536,$H$7:$H$806)&gt;=20,"أصل","مصروف"),IFERROR(IF(VLOOKUP(I536,'القوائم'!$A$2:$D$14,4,0)="زكاة وصدقة","زكاة وصدقة",IF(AND(VLOOKUP(I536,'القوائم'!$A$2:$D$14,3,0)&lt;&gt;"",H536&gt;=20),"أصل","مصروف")),"مصروف"))))))</f>
        <v/>
      </c>
      <c r="K536" s="21" t="n"/>
      <c r="L536" s="22" t="n"/>
      <c r="N536">
        <f>IF(B536="","",MONTH(B536))</f>
        <v/>
      </c>
      <c r="O536">
        <f>IF(B536="","",YEAR(B536))</f>
        <v/>
      </c>
      <c r="P536">
        <f>IF(AND(D536&lt;&gt;"",COUNTIF(D$7:D536,D536)=1),MAX(P$6:P535)+1,"")</f>
        <v/>
      </c>
      <c r="Q536">
        <f>IF(E536="","",IF(I536="أجور عمال","أجرة","مادة"))</f>
        <v/>
      </c>
    </row>
    <row r="537">
      <c r="A537" s="12">
        <f>IF(E537="","",ROW()-6)</f>
        <v/>
      </c>
      <c r="B537" s="13" t="n"/>
      <c r="C537" s="12">
        <f>IF(B537="","",CHOOSE(WEEKDAY(B537,1),"الأحد","الاثنين","الثلاثاء","الأربعاء","الخميس","الجمعة","السبت"))</f>
        <v/>
      </c>
      <c r="D537" s="14" t="n"/>
      <c r="E537" s="15" t="n"/>
      <c r="F537" s="16" t="n"/>
      <c r="G537" s="17" t="n"/>
      <c r="H537" s="18">
        <f>IF(OR(F537="",G537=""),"",ROUND(F537*G537,2))</f>
        <v/>
      </c>
      <c r="I537" s="19">
        <f>IF(ISNUMBER(SEARCH("ستاند",D537)),"أثاث وستاندات","")</f>
        <v/>
      </c>
      <c r="J537" s="20">
        <f>IF(E537="","",IF(I537="","⚠ عبّي الغرض",IF(AND(D537&lt;&gt;"",OR(ISNUMBER(SEARCH("صيانة",D537)),ISNUMBER(SEARCH("تعزيل",D537)),ISNUMBER(SEARCH("تنظيف",D537)),ISNUMBER(SEARCH("تصليح",D537)))),"⚠ الصيانة بلا ورشة",IF(H537="","⚠ ناقص",IF(D537&lt;&gt;"",IF(SUMIF($D$7:$D$806,D537,$H$7:$H$806)&gt;=20,"أصل","مصروف"),IFERROR(IF(VLOOKUP(I537,'القوائم'!$A$2:$D$14,4,0)="زكاة وصدقة","زكاة وصدقة",IF(AND(VLOOKUP(I537,'القوائم'!$A$2:$D$14,3,0)&lt;&gt;"",H537&gt;=20),"أصل","مصروف")),"مصروف"))))))</f>
        <v/>
      </c>
      <c r="K537" s="21" t="n"/>
      <c r="L537" s="22" t="n"/>
      <c r="N537">
        <f>IF(B537="","",MONTH(B537))</f>
        <v/>
      </c>
      <c r="O537">
        <f>IF(B537="","",YEAR(B537))</f>
        <v/>
      </c>
      <c r="P537">
        <f>IF(AND(D537&lt;&gt;"",COUNTIF(D$7:D537,D537)=1),MAX(P$6:P536)+1,"")</f>
        <v/>
      </c>
      <c r="Q537">
        <f>IF(E537="","",IF(I537="أجور عمال","أجرة","مادة"))</f>
        <v/>
      </c>
    </row>
    <row r="538">
      <c r="A538" s="12">
        <f>IF(E538="","",ROW()-6)</f>
        <v/>
      </c>
      <c r="B538" s="13" t="n"/>
      <c r="C538" s="12">
        <f>IF(B538="","",CHOOSE(WEEKDAY(B538,1),"الأحد","الاثنين","الثلاثاء","الأربعاء","الخميس","الجمعة","السبت"))</f>
        <v/>
      </c>
      <c r="D538" s="14" t="n"/>
      <c r="E538" s="15" t="n"/>
      <c r="F538" s="16" t="n"/>
      <c r="G538" s="17" t="n"/>
      <c r="H538" s="18">
        <f>IF(OR(F538="",G538=""),"",ROUND(F538*G538,2))</f>
        <v/>
      </c>
      <c r="I538" s="19">
        <f>IF(ISNUMBER(SEARCH("ستاند",D538)),"أثاث وستاندات","")</f>
        <v/>
      </c>
      <c r="J538" s="20">
        <f>IF(E538="","",IF(I538="","⚠ عبّي الغرض",IF(AND(D538&lt;&gt;"",OR(ISNUMBER(SEARCH("صيانة",D538)),ISNUMBER(SEARCH("تعزيل",D538)),ISNUMBER(SEARCH("تنظيف",D538)),ISNUMBER(SEARCH("تصليح",D538)))),"⚠ الصيانة بلا ورشة",IF(H538="","⚠ ناقص",IF(D538&lt;&gt;"",IF(SUMIF($D$7:$D$806,D538,$H$7:$H$806)&gt;=20,"أصل","مصروف"),IFERROR(IF(VLOOKUP(I538,'القوائم'!$A$2:$D$14,4,0)="زكاة وصدقة","زكاة وصدقة",IF(AND(VLOOKUP(I538,'القوائم'!$A$2:$D$14,3,0)&lt;&gt;"",H538&gt;=20),"أصل","مصروف")),"مصروف"))))))</f>
        <v/>
      </c>
      <c r="K538" s="21" t="n"/>
      <c r="L538" s="22" t="n"/>
      <c r="N538">
        <f>IF(B538="","",MONTH(B538))</f>
        <v/>
      </c>
      <c r="O538">
        <f>IF(B538="","",YEAR(B538))</f>
        <v/>
      </c>
      <c r="P538">
        <f>IF(AND(D538&lt;&gt;"",COUNTIF(D$7:D538,D538)=1),MAX(P$6:P537)+1,"")</f>
        <v/>
      </c>
      <c r="Q538">
        <f>IF(E538="","",IF(I538="أجور عمال","أجرة","مادة"))</f>
        <v/>
      </c>
    </row>
    <row r="539">
      <c r="A539" s="12">
        <f>IF(E539="","",ROW()-6)</f>
        <v/>
      </c>
      <c r="B539" s="13" t="n"/>
      <c r="C539" s="12">
        <f>IF(B539="","",CHOOSE(WEEKDAY(B539,1),"الأحد","الاثنين","الثلاثاء","الأربعاء","الخميس","الجمعة","السبت"))</f>
        <v/>
      </c>
      <c r="D539" s="14" t="n"/>
      <c r="E539" s="15" t="n"/>
      <c r="F539" s="16" t="n"/>
      <c r="G539" s="17" t="n"/>
      <c r="H539" s="18">
        <f>IF(OR(F539="",G539=""),"",ROUND(F539*G539,2))</f>
        <v/>
      </c>
      <c r="I539" s="19">
        <f>IF(ISNUMBER(SEARCH("ستاند",D539)),"أثاث وستاندات","")</f>
        <v/>
      </c>
      <c r="J539" s="20">
        <f>IF(E539="","",IF(I539="","⚠ عبّي الغرض",IF(AND(D539&lt;&gt;"",OR(ISNUMBER(SEARCH("صيانة",D539)),ISNUMBER(SEARCH("تعزيل",D539)),ISNUMBER(SEARCH("تنظيف",D539)),ISNUMBER(SEARCH("تصليح",D539)))),"⚠ الصيانة بلا ورشة",IF(H539="","⚠ ناقص",IF(D539&lt;&gt;"",IF(SUMIF($D$7:$D$806,D539,$H$7:$H$806)&gt;=20,"أصل","مصروف"),IFERROR(IF(VLOOKUP(I539,'القوائم'!$A$2:$D$14,4,0)="زكاة وصدقة","زكاة وصدقة",IF(AND(VLOOKUP(I539,'القوائم'!$A$2:$D$14,3,0)&lt;&gt;"",H539&gt;=20),"أصل","مصروف")),"مصروف"))))))</f>
        <v/>
      </c>
      <c r="K539" s="21" t="n"/>
      <c r="L539" s="22" t="n"/>
      <c r="N539">
        <f>IF(B539="","",MONTH(B539))</f>
        <v/>
      </c>
      <c r="O539">
        <f>IF(B539="","",YEAR(B539))</f>
        <v/>
      </c>
      <c r="P539">
        <f>IF(AND(D539&lt;&gt;"",COUNTIF(D$7:D539,D539)=1),MAX(P$6:P538)+1,"")</f>
        <v/>
      </c>
      <c r="Q539">
        <f>IF(E539="","",IF(I539="أجور عمال","أجرة","مادة"))</f>
        <v/>
      </c>
    </row>
    <row r="540">
      <c r="A540" s="12">
        <f>IF(E540="","",ROW()-6)</f>
        <v/>
      </c>
      <c r="B540" s="13" t="n"/>
      <c r="C540" s="12">
        <f>IF(B540="","",CHOOSE(WEEKDAY(B540,1),"الأحد","الاثنين","الثلاثاء","الأربعاء","الخميس","الجمعة","السبت"))</f>
        <v/>
      </c>
      <c r="D540" s="14" t="n"/>
      <c r="E540" s="15" t="n"/>
      <c r="F540" s="16" t="n"/>
      <c r="G540" s="17" t="n"/>
      <c r="H540" s="18">
        <f>IF(OR(F540="",G540=""),"",ROUND(F540*G540,2))</f>
        <v/>
      </c>
      <c r="I540" s="19">
        <f>IF(ISNUMBER(SEARCH("ستاند",D540)),"أثاث وستاندات","")</f>
        <v/>
      </c>
      <c r="J540" s="20">
        <f>IF(E540="","",IF(I540="","⚠ عبّي الغرض",IF(AND(D540&lt;&gt;"",OR(ISNUMBER(SEARCH("صيانة",D540)),ISNUMBER(SEARCH("تعزيل",D540)),ISNUMBER(SEARCH("تنظيف",D540)),ISNUMBER(SEARCH("تصليح",D540)))),"⚠ الصيانة بلا ورشة",IF(H540="","⚠ ناقص",IF(D540&lt;&gt;"",IF(SUMIF($D$7:$D$806,D540,$H$7:$H$806)&gt;=20,"أصل","مصروف"),IFERROR(IF(VLOOKUP(I540,'القوائم'!$A$2:$D$14,4,0)="زكاة وصدقة","زكاة وصدقة",IF(AND(VLOOKUP(I540,'القوائم'!$A$2:$D$14,3,0)&lt;&gt;"",H540&gt;=20),"أصل","مصروف")),"مصروف"))))))</f>
        <v/>
      </c>
      <c r="K540" s="21" t="n"/>
      <c r="L540" s="22" t="n"/>
      <c r="N540">
        <f>IF(B540="","",MONTH(B540))</f>
        <v/>
      </c>
      <c r="O540">
        <f>IF(B540="","",YEAR(B540))</f>
        <v/>
      </c>
      <c r="P540">
        <f>IF(AND(D540&lt;&gt;"",COUNTIF(D$7:D540,D540)=1),MAX(P$6:P539)+1,"")</f>
        <v/>
      </c>
      <c r="Q540">
        <f>IF(E540="","",IF(I540="أجور عمال","أجرة","مادة"))</f>
        <v/>
      </c>
    </row>
    <row r="541">
      <c r="A541" s="12">
        <f>IF(E541="","",ROW()-6)</f>
        <v/>
      </c>
      <c r="B541" s="13" t="n"/>
      <c r="C541" s="12">
        <f>IF(B541="","",CHOOSE(WEEKDAY(B541,1),"الأحد","الاثنين","الثلاثاء","الأربعاء","الخميس","الجمعة","السبت"))</f>
        <v/>
      </c>
      <c r="D541" s="14" t="n"/>
      <c r="E541" s="15" t="n"/>
      <c r="F541" s="16" t="n"/>
      <c r="G541" s="17" t="n"/>
      <c r="H541" s="18">
        <f>IF(OR(F541="",G541=""),"",ROUND(F541*G541,2))</f>
        <v/>
      </c>
      <c r="I541" s="19">
        <f>IF(ISNUMBER(SEARCH("ستاند",D541)),"أثاث وستاندات","")</f>
        <v/>
      </c>
      <c r="J541" s="20">
        <f>IF(E541="","",IF(I541="","⚠ عبّي الغرض",IF(AND(D541&lt;&gt;"",OR(ISNUMBER(SEARCH("صيانة",D541)),ISNUMBER(SEARCH("تعزيل",D541)),ISNUMBER(SEARCH("تنظيف",D541)),ISNUMBER(SEARCH("تصليح",D541)))),"⚠ الصيانة بلا ورشة",IF(H541="","⚠ ناقص",IF(D541&lt;&gt;"",IF(SUMIF($D$7:$D$806,D541,$H$7:$H$806)&gt;=20,"أصل","مصروف"),IFERROR(IF(VLOOKUP(I541,'القوائم'!$A$2:$D$14,4,0)="زكاة وصدقة","زكاة وصدقة",IF(AND(VLOOKUP(I541,'القوائم'!$A$2:$D$14,3,0)&lt;&gt;"",H541&gt;=20),"أصل","مصروف")),"مصروف"))))))</f>
        <v/>
      </c>
      <c r="K541" s="21" t="n"/>
      <c r="L541" s="22" t="n"/>
      <c r="N541">
        <f>IF(B541="","",MONTH(B541))</f>
        <v/>
      </c>
      <c r="O541">
        <f>IF(B541="","",YEAR(B541))</f>
        <v/>
      </c>
      <c r="P541">
        <f>IF(AND(D541&lt;&gt;"",COUNTIF(D$7:D541,D541)=1),MAX(P$6:P540)+1,"")</f>
        <v/>
      </c>
      <c r="Q541">
        <f>IF(E541="","",IF(I541="أجور عمال","أجرة","مادة"))</f>
        <v/>
      </c>
    </row>
    <row r="542">
      <c r="A542" s="12">
        <f>IF(E542="","",ROW()-6)</f>
        <v/>
      </c>
      <c r="B542" s="13" t="n"/>
      <c r="C542" s="12">
        <f>IF(B542="","",CHOOSE(WEEKDAY(B542,1),"الأحد","الاثنين","الثلاثاء","الأربعاء","الخميس","الجمعة","السبت"))</f>
        <v/>
      </c>
      <c r="D542" s="14" t="n"/>
      <c r="E542" s="15" t="n"/>
      <c r="F542" s="16" t="n"/>
      <c r="G542" s="17" t="n"/>
      <c r="H542" s="18">
        <f>IF(OR(F542="",G542=""),"",ROUND(F542*G542,2))</f>
        <v/>
      </c>
      <c r="I542" s="19">
        <f>IF(ISNUMBER(SEARCH("ستاند",D542)),"أثاث وستاندات","")</f>
        <v/>
      </c>
      <c r="J542" s="20">
        <f>IF(E542="","",IF(I542="","⚠ عبّي الغرض",IF(AND(D542&lt;&gt;"",OR(ISNUMBER(SEARCH("صيانة",D542)),ISNUMBER(SEARCH("تعزيل",D542)),ISNUMBER(SEARCH("تنظيف",D542)),ISNUMBER(SEARCH("تصليح",D542)))),"⚠ الصيانة بلا ورشة",IF(H542="","⚠ ناقص",IF(D542&lt;&gt;"",IF(SUMIF($D$7:$D$806,D542,$H$7:$H$806)&gt;=20,"أصل","مصروف"),IFERROR(IF(VLOOKUP(I542,'القوائم'!$A$2:$D$14,4,0)="زكاة وصدقة","زكاة وصدقة",IF(AND(VLOOKUP(I542,'القوائم'!$A$2:$D$14,3,0)&lt;&gt;"",H542&gt;=20),"أصل","مصروف")),"مصروف"))))))</f>
        <v/>
      </c>
      <c r="K542" s="21" t="n"/>
      <c r="L542" s="22" t="n"/>
      <c r="N542">
        <f>IF(B542="","",MONTH(B542))</f>
        <v/>
      </c>
      <c r="O542">
        <f>IF(B542="","",YEAR(B542))</f>
        <v/>
      </c>
      <c r="P542">
        <f>IF(AND(D542&lt;&gt;"",COUNTIF(D$7:D542,D542)=1),MAX(P$6:P541)+1,"")</f>
        <v/>
      </c>
      <c r="Q542">
        <f>IF(E542="","",IF(I542="أجور عمال","أجرة","مادة"))</f>
        <v/>
      </c>
    </row>
    <row r="543">
      <c r="A543" s="12">
        <f>IF(E543="","",ROW()-6)</f>
        <v/>
      </c>
      <c r="B543" s="13" t="n"/>
      <c r="C543" s="12">
        <f>IF(B543="","",CHOOSE(WEEKDAY(B543,1),"الأحد","الاثنين","الثلاثاء","الأربعاء","الخميس","الجمعة","السبت"))</f>
        <v/>
      </c>
      <c r="D543" s="14" t="n"/>
      <c r="E543" s="15" t="n"/>
      <c r="F543" s="16" t="n"/>
      <c r="G543" s="17" t="n"/>
      <c r="H543" s="18">
        <f>IF(OR(F543="",G543=""),"",ROUND(F543*G543,2))</f>
        <v/>
      </c>
      <c r="I543" s="19">
        <f>IF(ISNUMBER(SEARCH("ستاند",D543)),"أثاث وستاندات","")</f>
        <v/>
      </c>
      <c r="J543" s="20">
        <f>IF(E543="","",IF(I543="","⚠ عبّي الغرض",IF(AND(D543&lt;&gt;"",OR(ISNUMBER(SEARCH("صيانة",D543)),ISNUMBER(SEARCH("تعزيل",D543)),ISNUMBER(SEARCH("تنظيف",D543)),ISNUMBER(SEARCH("تصليح",D543)))),"⚠ الصيانة بلا ورشة",IF(H543="","⚠ ناقص",IF(D543&lt;&gt;"",IF(SUMIF($D$7:$D$806,D543,$H$7:$H$806)&gt;=20,"أصل","مصروف"),IFERROR(IF(VLOOKUP(I543,'القوائم'!$A$2:$D$14,4,0)="زكاة وصدقة","زكاة وصدقة",IF(AND(VLOOKUP(I543,'القوائم'!$A$2:$D$14,3,0)&lt;&gt;"",H543&gt;=20),"أصل","مصروف")),"مصروف"))))))</f>
        <v/>
      </c>
      <c r="K543" s="21" t="n"/>
      <c r="L543" s="22" t="n"/>
      <c r="N543">
        <f>IF(B543="","",MONTH(B543))</f>
        <v/>
      </c>
      <c r="O543">
        <f>IF(B543="","",YEAR(B543))</f>
        <v/>
      </c>
      <c r="P543">
        <f>IF(AND(D543&lt;&gt;"",COUNTIF(D$7:D543,D543)=1),MAX(P$6:P542)+1,"")</f>
        <v/>
      </c>
      <c r="Q543">
        <f>IF(E543="","",IF(I543="أجور عمال","أجرة","مادة"))</f>
        <v/>
      </c>
    </row>
    <row r="544">
      <c r="A544" s="12">
        <f>IF(E544="","",ROW()-6)</f>
        <v/>
      </c>
      <c r="B544" s="13" t="n"/>
      <c r="C544" s="12">
        <f>IF(B544="","",CHOOSE(WEEKDAY(B544,1),"الأحد","الاثنين","الثلاثاء","الأربعاء","الخميس","الجمعة","السبت"))</f>
        <v/>
      </c>
      <c r="D544" s="14" t="n"/>
      <c r="E544" s="15" t="n"/>
      <c r="F544" s="16" t="n"/>
      <c r="G544" s="17" t="n"/>
      <c r="H544" s="18">
        <f>IF(OR(F544="",G544=""),"",ROUND(F544*G544,2))</f>
        <v/>
      </c>
      <c r="I544" s="19">
        <f>IF(ISNUMBER(SEARCH("ستاند",D544)),"أثاث وستاندات","")</f>
        <v/>
      </c>
      <c r="J544" s="20">
        <f>IF(E544="","",IF(I544="","⚠ عبّي الغرض",IF(AND(D544&lt;&gt;"",OR(ISNUMBER(SEARCH("صيانة",D544)),ISNUMBER(SEARCH("تعزيل",D544)),ISNUMBER(SEARCH("تنظيف",D544)),ISNUMBER(SEARCH("تصليح",D544)))),"⚠ الصيانة بلا ورشة",IF(H544="","⚠ ناقص",IF(D544&lt;&gt;"",IF(SUMIF($D$7:$D$806,D544,$H$7:$H$806)&gt;=20,"أصل","مصروف"),IFERROR(IF(VLOOKUP(I544,'القوائم'!$A$2:$D$14,4,0)="زكاة وصدقة","زكاة وصدقة",IF(AND(VLOOKUP(I544,'القوائم'!$A$2:$D$14,3,0)&lt;&gt;"",H544&gt;=20),"أصل","مصروف")),"مصروف"))))))</f>
        <v/>
      </c>
      <c r="K544" s="21" t="n"/>
      <c r="L544" s="22" t="n"/>
      <c r="N544">
        <f>IF(B544="","",MONTH(B544))</f>
        <v/>
      </c>
      <c r="O544">
        <f>IF(B544="","",YEAR(B544))</f>
        <v/>
      </c>
      <c r="P544">
        <f>IF(AND(D544&lt;&gt;"",COUNTIF(D$7:D544,D544)=1),MAX(P$6:P543)+1,"")</f>
        <v/>
      </c>
      <c r="Q544">
        <f>IF(E544="","",IF(I544="أجور عمال","أجرة","مادة"))</f>
        <v/>
      </c>
    </row>
    <row r="545">
      <c r="A545" s="12">
        <f>IF(E545="","",ROW()-6)</f>
        <v/>
      </c>
      <c r="B545" s="13" t="n"/>
      <c r="C545" s="12">
        <f>IF(B545="","",CHOOSE(WEEKDAY(B545,1),"الأحد","الاثنين","الثلاثاء","الأربعاء","الخميس","الجمعة","السبت"))</f>
        <v/>
      </c>
      <c r="D545" s="14" t="n"/>
      <c r="E545" s="15" t="n"/>
      <c r="F545" s="16" t="n"/>
      <c r="G545" s="17" t="n"/>
      <c r="H545" s="18">
        <f>IF(OR(F545="",G545=""),"",ROUND(F545*G545,2))</f>
        <v/>
      </c>
      <c r="I545" s="19">
        <f>IF(ISNUMBER(SEARCH("ستاند",D545)),"أثاث وستاندات","")</f>
        <v/>
      </c>
      <c r="J545" s="20">
        <f>IF(E545="","",IF(I545="","⚠ عبّي الغرض",IF(AND(D545&lt;&gt;"",OR(ISNUMBER(SEARCH("صيانة",D545)),ISNUMBER(SEARCH("تعزيل",D545)),ISNUMBER(SEARCH("تنظيف",D545)),ISNUMBER(SEARCH("تصليح",D545)))),"⚠ الصيانة بلا ورشة",IF(H545="","⚠ ناقص",IF(D545&lt;&gt;"",IF(SUMIF($D$7:$D$806,D545,$H$7:$H$806)&gt;=20,"أصل","مصروف"),IFERROR(IF(VLOOKUP(I545,'القوائم'!$A$2:$D$14,4,0)="زكاة وصدقة","زكاة وصدقة",IF(AND(VLOOKUP(I545,'القوائم'!$A$2:$D$14,3,0)&lt;&gt;"",H545&gt;=20),"أصل","مصروف")),"مصروف"))))))</f>
        <v/>
      </c>
      <c r="K545" s="21" t="n"/>
      <c r="L545" s="22" t="n"/>
      <c r="N545">
        <f>IF(B545="","",MONTH(B545))</f>
        <v/>
      </c>
      <c r="O545">
        <f>IF(B545="","",YEAR(B545))</f>
        <v/>
      </c>
      <c r="P545">
        <f>IF(AND(D545&lt;&gt;"",COUNTIF(D$7:D545,D545)=1),MAX(P$6:P544)+1,"")</f>
        <v/>
      </c>
      <c r="Q545">
        <f>IF(E545="","",IF(I545="أجور عمال","أجرة","مادة"))</f>
        <v/>
      </c>
    </row>
    <row r="546">
      <c r="A546" s="12">
        <f>IF(E546="","",ROW()-6)</f>
        <v/>
      </c>
      <c r="B546" s="13" t="n"/>
      <c r="C546" s="12">
        <f>IF(B546="","",CHOOSE(WEEKDAY(B546,1),"الأحد","الاثنين","الثلاثاء","الأربعاء","الخميس","الجمعة","السبت"))</f>
        <v/>
      </c>
      <c r="D546" s="14" t="n"/>
      <c r="E546" s="15" t="n"/>
      <c r="F546" s="16" t="n"/>
      <c r="G546" s="17" t="n"/>
      <c r="H546" s="18">
        <f>IF(OR(F546="",G546=""),"",ROUND(F546*G546,2))</f>
        <v/>
      </c>
      <c r="I546" s="19">
        <f>IF(ISNUMBER(SEARCH("ستاند",D546)),"أثاث وستاندات","")</f>
        <v/>
      </c>
      <c r="J546" s="20">
        <f>IF(E546="","",IF(I546="","⚠ عبّي الغرض",IF(AND(D546&lt;&gt;"",OR(ISNUMBER(SEARCH("صيانة",D546)),ISNUMBER(SEARCH("تعزيل",D546)),ISNUMBER(SEARCH("تنظيف",D546)),ISNUMBER(SEARCH("تصليح",D546)))),"⚠ الصيانة بلا ورشة",IF(H546="","⚠ ناقص",IF(D546&lt;&gt;"",IF(SUMIF($D$7:$D$806,D546,$H$7:$H$806)&gt;=20,"أصل","مصروف"),IFERROR(IF(VLOOKUP(I546,'القوائم'!$A$2:$D$14,4,0)="زكاة وصدقة","زكاة وصدقة",IF(AND(VLOOKUP(I546,'القوائم'!$A$2:$D$14,3,0)&lt;&gt;"",H546&gt;=20),"أصل","مصروف")),"مصروف"))))))</f>
        <v/>
      </c>
      <c r="K546" s="21" t="n"/>
      <c r="L546" s="22" t="n"/>
      <c r="N546">
        <f>IF(B546="","",MONTH(B546))</f>
        <v/>
      </c>
      <c r="O546">
        <f>IF(B546="","",YEAR(B546))</f>
        <v/>
      </c>
      <c r="P546">
        <f>IF(AND(D546&lt;&gt;"",COUNTIF(D$7:D546,D546)=1),MAX(P$6:P545)+1,"")</f>
        <v/>
      </c>
      <c r="Q546">
        <f>IF(E546="","",IF(I546="أجور عمال","أجرة","مادة"))</f>
        <v/>
      </c>
    </row>
    <row r="547">
      <c r="A547" s="12">
        <f>IF(E547="","",ROW()-6)</f>
        <v/>
      </c>
      <c r="B547" s="13" t="n"/>
      <c r="C547" s="12">
        <f>IF(B547="","",CHOOSE(WEEKDAY(B547,1),"الأحد","الاثنين","الثلاثاء","الأربعاء","الخميس","الجمعة","السبت"))</f>
        <v/>
      </c>
      <c r="D547" s="14" t="n"/>
      <c r="E547" s="15" t="n"/>
      <c r="F547" s="16" t="n"/>
      <c r="G547" s="17" t="n"/>
      <c r="H547" s="18">
        <f>IF(OR(F547="",G547=""),"",ROUND(F547*G547,2))</f>
        <v/>
      </c>
      <c r="I547" s="19">
        <f>IF(ISNUMBER(SEARCH("ستاند",D547)),"أثاث وستاندات","")</f>
        <v/>
      </c>
      <c r="J547" s="20">
        <f>IF(E547="","",IF(I547="","⚠ عبّي الغرض",IF(AND(D547&lt;&gt;"",OR(ISNUMBER(SEARCH("صيانة",D547)),ISNUMBER(SEARCH("تعزيل",D547)),ISNUMBER(SEARCH("تنظيف",D547)),ISNUMBER(SEARCH("تصليح",D547)))),"⚠ الصيانة بلا ورشة",IF(H547="","⚠ ناقص",IF(D547&lt;&gt;"",IF(SUMIF($D$7:$D$806,D547,$H$7:$H$806)&gt;=20,"أصل","مصروف"),IFERROR(IF(VLOOKUP(I547,'القوائم'!$A$2:$D$14,4,0)="زكاة وصدقة","زكاة وصدقة",IF(AND(VLOOKUP(I547,'القوائم'!$A$2:$D$14,3,0)&lt;&gt;"",H547&gt;=20),"أصل","مصروف")),"مصروف"))))))</f>
        <v/>
      </c>
      <c r="K547" s="21" t="n"/>
      <c r="L547" s="22" t="n"/>
      <c r="N547">
        <f>IF(B547="","",MONTH(B547))</f>
        <v/>
      </c>
      <c r="O547">
        <f>IF(B547="","",YEAR(B547))</f>
        <v/>
      </c>
      <c r="P547">
        <f>IF(AND(D547&lt;&gt;"",COUNTIF(D$7:D547,D547)=1),MAX(P$6:P546)+1,"")</f>
        <v/>
      </c>
      <c r="Q547">
        <f>IF(E547="","",IF(I547="أجور عمال","أجرة","مادة"))</f>
        <v/>
      </c>
    </row>
    <row r="548">
      <c r="A548" s="12">
        <f>IF(E548="","",ROW()-6)</f>
        <v/>
      </c>
      <c r="B548" s="13" t="n"/>
      <c r="C548" s="12">
        <f>IF(B548="","",CHOOSE(WEEKDAY(B548,1),"الأحد","الاثنين","الثلاثاء","الأربعاء","الخميس","الجمعة","السبت"))</f>
        <v/>
      </c>
      <c r="D548" s="14" t="n"/>
      <c r="E548" s="15" t="n"/>
      <c r="F548" s="16" t="n"/>
      <c r="G548" s="17" t="n"/>
      <c r="H548" s="18">
        <f>IF(OR(F548="",G548=""),"",ROUND(F548*G548,2))</f>
        <v/>
      </c>
      <c r="I548" s="19">
        <f>IF(ISNUMBER(SEARCH("ستاند",D548)),"أثاث وستاندات","")</f>
        <v/>
      </c>
      <c r="J548" s="20">
        <f>IF(E548="","",IF(I548="","⚠ عبّي الغرض",IF(AND(D548&lt;&gt;"",OR(ISNUMBER(SEARCH("صيانة",D548)),ISNUMBER(SEARCH("تعزيل",D548)),ISNUMBER(SEARCH("تنظيف",D548)),ISNUMBER(SEARCH("تصليح",D548)))),"⚠ الصيانة بلا ورشة",IF(H548="","⚠ ناقص",IF(D548&lt;&gt;"",IF(SUMIF($D$7:$D$806,D548,$H$7:$H$806)&gt;=20,"أصل","مصروف"),IFERROR(IF(VLOOKUP(I548,'القوائم'!$A$2:$D$14,4,0)="زكاة وصدقة","زكاة وصدقة",IF(AND(VLOOKUP(I548,'القوائم'!$A$2:$D$14,3,0)&lt;&gt;"",H548&gt;=20),"أصل","مصروف")),"مصروف"))))))</f>
        <v/>
      </c>
      <c r="K548" s="21" t="n"/>
      <c r="L548" s="22" t="n"/>
      <c r="N548">
        <f>IF(B548="","",MONTH(B548))</f>
        <v/>
      </c>
      <c r="O548">
        <f>IF(B548="","",YEAR(B548))</f>
        <v/>
      </c>
      <c r="P548">
        <f>IF(AND(D548&lt;&gt;"",COUNTIF(D$7:D548,D548)=1),MAX(P$6:P547)+1,"")</f>
        <v/>
      </c>
      <c r="Q548">
        <f>IF(E548="","",IF(I548="أجور عمال","أجرة","مادة"))</f>
        <v/>
      </c>
    </row>
    <row r="549">
      <c r="A549" s="12">
        <f>IF(E549="","",ROW()-6)</f>
        <v/>
      </c>
      <c r="B549" s="13" t="n"/>
      <c r="C549" s="12">
        <f>IF(B549="","",CHOOSE(WEEKDAY(B549,1),"الأحد","الاثنين","الثلاثاء","الأربعاء","الخميس","الجمعة","السبت"))</f>
        <v/>
      </c>
      <c r="D549" s="14" t="n"/>
      <c r="E549" s="15" t="n"/>
      <c r="F549" s="16" t="n"/>
      <c r="G549" s="17" t="n"/>
      <c r="H549" s="18">
        <f>IF(OR(F549="",G549=""),"",ROUND(F549*G549,2))</f>
        <v/>
      </c>
      <c r="I549" s="19">
        <f>IF(ISNUMBER(SEARCH("ستاند",D549)),"أثاث وستاندات","")</f>
        <v/>
      </c>
      <c r="J549" s="20">
        <f>IF(E549="","",IF(I549="","⚠ عبّي الغرض",IF(AND(D549&lt;&gt;"",OR(ISNUMBER(SEARCH("صيانة",D549)),ISNUMBER(SEARCH("تعزيل",D549)),ISNUMBER(SEARCH("تنظيف",D549)),ISNUMBER(SEARCH("تصليح",D549)))),"⚠ الصيانة بلا ورشة",IF(H549="","⚠ ناقص",IF(D549&lt;&gt;"",IF(SUMIF($D$7:$D$806,D549,$H$7:$H$806)&gt;=20,"أصل","مصروف"),IFERROR(IF(VLOOKUP(I549,'القوائم'!$A$2:$D$14,4,0)="زكاة وصدقة","زكاة وصدقة",IF(AND(VLOOKUP(I549,'القوائم'!$A$2:$D$14,3,0)&lt;&gt;"",H549&gt;=20),"أصل","مصروف")),"مصروف"))))))</f>
        <v/>
      </c>
      <c r="K549" s="21" t="n"/>
      <c r="L549" s="22" t="n"/>
      <c r="N549">
        <f>IF(B549="","",MONTH(B549))</f>
        <v/>
      </c>
      <c r="O549">
        <f>IF(B549="","",YEAR(B549))</f>
        <v/>
      </c>
      <c r="P549">
        <f>IF(AND(D549&lt;&gt;"",COUNTIF(D$7:D549,D549)=1),MAX(P$6:P548)+1,"")</f>
        <v/>
      </c>
      <c r="Q549">
        <f>IF(E549="","",IF(I549="أجور عمال","أجرة","مادة"))</f>
        <v/>
      </c>
    </row>
    <row r="550">
      <c r="A550" s="12">
        <f>IF(E550="","",ROW()-6)</f>
        <v/>
      </c>
      <c r="B550" s="13" t="n"/>
      <c r="C550" s="12">
        <f>IF(B550="","",CHOOSE(WEEKDAY(B550,1),"الأحد","الاثنين","الثلاثاء","الأربعاء","الخميس","الجمعة","السبت"))</f>
        <v/>
      </c>
      <c r="D550" s="14" t="n"/>
      <c r="E550" s="15" t="n"/>
      <c r="F550" s="16" t="n"/>
      <c r="G550" s="17" t="n"/>
      <c r="H550" s="18">
        <f>IF(OR(F550="",G550=""),"",ROUND(F550*G550,2))</f>
        <v/>
      </c>
      <c r="I550" s="19">
        <f>IF(ISNUMBER(SEARCH("ستاند",D550)),"أثاث وستاندات","")</f>
        <v/>
      </c>
      <c r="J550" s="20">
        <f>IF(E550="","",IF(I550="","⚠ عبّي الغرض",IF(AND(D550&lt;&gt;"",OR(ISNUMBER(SEARCH("صيانة",D550)),ISNUMBER(SEARCH("تعزيل",D550)),ISNUMBER(SEARCH("تنظيف",D550)),ISNUMBER(SEARCH("تصليح",D550)))),"⚠ الصيانة بلا ورشة",IF(H550="","⚠ ناقص",IF(D550&lt;&gt;"",IF(SUMIF($D$7:$D$806,D550,$H$7:$H$806)&gt;=20,"أصل","مصروف"),IFERROR(IF(VLOOKUP(I550,'القوائم'!$A$2:$D$14,4,0)="زكاة وصدقة","زكاة وصدقة",IF(AND(VLOOKUP(I550,'القوائم'!$A$2:$D$14,3,0)&lt;&gt;"",H550&gt;=20),"أصل","مصروف")),"مصروف"))))))</f>
        <v/>
      </c>
      <c r="K550" s="21" t="n"/>
      <c r="L550" s="22" t="n"/>
      <c r="N550">
        <f>IF(B550="","",MONTH(B550))</f>
        <v/>
      </c>
      <c r="O550">
        <f>IF(B550="","",YEAR(B550))</f>
        <v/>
      </c>
      <c r="P550">
        <f>IF(AND(D550&lt;&gt;"",COUNTIF(D$7:D550,D550)=1),MAX(P$6:P549)+1,"")</f>
        <v/>
      </c>
      <c r="Q550">
        <f>IF(E550="","",IF(I550="أجور عمال","أجرة","مادة"))</f>
        <v/>
      </c>
    </row>
    <row r="551">
      <c r="A551" s="12">
        <f>IF(E551="","",ROW()-6)</f>
        <v/>
      </c>
      <c r="B551" s="13" t="n"/>
      <c r="C551" s="12">
        <f>IF(B551="","",CHOOSE(WEEKDAY(B551,1),"الأحد","الاثنين","الثلاثاء","الأربعاء","الخميس","الجمعة","السبت"))</f>
        <v/>
      </c>
      <c r="D551" s="14" t="n"/>
      <c r="E551" s="15" t="n"/>
      <c r="F551" s="16" t="n"/>
      <c r="G551" s="17" t="n"/>
      <c r="H551" s="18">
        <f>IF(OR(F551="",G551=""),"",ROUND(F551*G551,2))</f>
        <v/>
      </c>
      <c r="I551" s="19">
        <f>IF(ISNUMBER(SEARCH("ستاند",D551)),"أثاث وستاندات","")</f>
        <v/>
      </c>
      <c r="J551" s="20">
        <f>IF(E551="","",IF(I551="","⚠ عبّي الغرض",IF(AND(D551&lt;&gt;"",OR(ISNUMBER(SEARCH("صيانة",D551)),ISNUMBER(SEARCH("تعزيل",D551)),ISNUMBER(SEARCH("تنظيف",D551)),ISNUMBER(SEARCH("تصليح",D551)))),"⚠ الصيانة بلا ورشة",IF(H551="","⚠ ناقص",IF(D551&lt;&gt;"",IF(SUMIF($D$7:$D$806,D551,$H$7:$H$806)&gt;=20,"أصل","مصروف"),IFERROR(IF(VLOOKUP(I551,'القوائم'!$A$2:$D$14,4,0)="زكاة وصدقة","زكاة وصدقة",IF(AND(VLOOKUP(I551,'القوائم'!$A$2:$D$14,3,0)&lt;&gt;"",H551&gt;=20),"أصل","مصروف")),"مصروف"))))))</f>
        <v/>
      </c>
      <c r="K551" s="21" t="n"/>
      <c r="L551" s="22" t="n"/>
      <c r="N551">
        <f>IF(B551="","",MONTH(B551))</f>
        <v/>
      </c>
      <c r="O551">
        <f>IF(B551="","",YEAR(B551))</f>
        <v/>
      </c>
      <c r="P551">
        <f>IF(AND(D551&lt;&gt;"",COUNTIF(D$7:D551,D551)=1),MAX(P$6:P550)+1,"")</f>
        <v/>
      </c>
      <c r="Q551">
        <f>IF(E551="","",IF(I551="أجور عمال","أجرة","مادة"))</f>
        <v/>
      </c>
    </row>
    <row r="552">
      <c r="A552" s="12">
        <f>IF(E552="","",ROW()-6)</f>
        <v/>
      </c>
      <c r="B552" s="13" t="n"/>
      <c r="C552" s="12">
        <f>IF(B552="","",CHOOSE(WEEKDAY(B552,1),"الأحد","الاثنين","الثلاثاء","الأربعاء","الخميس","الجمعة","السبت"))</f>
        <v/>
      </c>
      <c r="D552" s="14" t="n"/>
      <c r="E552" s="15" t="n"/>
      <c r="F552" s="16" t="n"/>
      <c r="G552" s="17" t="n"/>
      <c r="H552" s="18">
        <f>IF(OR(F552="",G552=""),"",ROUND(F552*G552,2))</f>
        <v/>
      </c>
      <c r="I552" s="19">
        <f>IF(ISNUMBER(SEARCH("ستاند",D552)),"أثاث وستاندات","")</f>
        <v/>
      </c>
      <c r="J552" s="20">
        <f>IF(E552="","",IF(I552="","⚠ عبّي الغرض",IF(AND(D552&lt;&gt;"",OR(ISNUMBER(SEARCH("صيانة",D552)),ISNUMBER(SEARCH("تعزيل",D552)),ISNUMBER(SEARCH("تنظيف",D552)),ISNUMBER(SEARCH("تصليح",D552)))),"⚠ الصيانة بلا ورشة",IF(H552="","⚠ ناقص",IF(D552&lt;&gt;"",IF(SUMIF($D$7:$D$806,D552,$H$7:$H$806)&gt;=20,"أصل","مصروف"),IFERROR(IF(VLOOKUP(I552,'القوائم'!$A$2:$D$14,4,0)="زكاة وصدقة","زكاة وصدقة",IF(AND(VLOOKUP(I552,'القوائم'!$A$2:$D$14,3,0)&lt;&gt;"",H552&gt;=20),"أصل","مصروف")),"مصروف"))))))</f>
        <v/>
      </c>
      <c r="K552" s="21" t="n"/>
      <c r="L552" s="22" t="n"/>
      <c r="N552">
        <f>IF(B552="","",MONTH(B552))</f>
        <v/>
      </c>
      <c r="O552">
        <f>IF(B552="","",YEAR(B552))</f>
        <v/>
      </c>
      <c r="P552">
        <f>IF(AND(D552&lt;&gt;"",COUNTIF(D$7:D552,D552)=1),MAX(P$6:P551)+1,"")</f>
        <v/>
      </c>
      <c r="Q552">
        <f>IF(E552="","",IF(I552="أجور عمال","أجرة","مادة"))</f>
        <v/>
      </c>
    </row>
    <row r="553">
      <c r="A553" s="12">
        <f>IF(E553="","",ROW()-6)</f>
        <v/>
      </c>
      <c r="B553" s="13" t="n"/>
      <c r="C553" s="12">
        <f>IF(B553="","",CHOOSE(WEEKDAY(B553,1),"الأحد","الاثنين","الثلاثاء","الأربعاء","الخميس","الجمعة","السبت"))</f>
        <v/>
      </c>
      <c r="D553" s="14" t="n"/>
      <c r="E553" s="15" t="n"/>
      <c r="F553" s="16" t="n"/>
      <c r="G553" s="17" t="n"/>
      <c r="H553" s="18">
        <f>IF(OR(F553="",G553=""),"",ROUND(F553*G553,2))</f>
        <v/>
      </c>
      <c r="I553" s="19">
        <f>IF(ISNUMBER(SEARCH("ستاند",D553)),"أثاث وستاندات","")</f>
        <v/>
      </c>
      <c r="J553" s="20">
        <f>IF(E553="","",IF(I553="","⚠ عبّي الغرض",IF(AND(D553&lt;&gt;"",OR(ISNUMBER(SEARCH("صيانة",D553)),ISNUMBER(SEARCH("تعزيل",D553)),ISNUMBER(SEARCH("تنظيف",D553)),ISNUMBER(SEARCH("تصليح",D553)))),"⚠ الصيانة بلا ورشة",IF(H553="","⚠ ناقص",IF(D553&lt;&gt;"",IF(SUMIF($D$7:$D$806,D553,$H$7:$H$806)&gt;=20,"أصل","مصروف"),IFERROR(IF(VLOOKUP(I553,'القوائم'!$A$2:$D$14,4,0)="زكاة وصدقة","زكاة وصدقة",IF(AND(VLOOKUP(I553,'القوائم'!$A$2:$D$14,3,0)&lt;&gt;"",H553&gt;=20),"أصل","مصروف")),"مصروف"))))))</f>
        <v/>
      </c>
      <c r="K553" s="21" t="n"/>
      <c r="L553" s="22" t="n"/>
      <c r="N553">
        <f>IF(B553="","",MONTH(B553))</f>
        <v/>
      </c>
      <c r="O553">
        <f>IF(B553="","",YEAR(B553))</f>
        <v/>
      </c>
      <c r="P553">
        <f>IF(AND(D553&lt;&gt;"",COUNTIF(D$7:D553,D553)=1),MAX(P$6:P552)+1,"")</f>
        <v/>
      </c>
      <c r="Q553">
        <f>IF(E553="","",IF(I553="أجور عمال","أجرة","مادة"))</f>
        <v/>
      </c>
    </row>
    <row r="554">
      <c r="A554" s="12">
        <f>IF(E554="","",ROW()-6)</f>
        <v/>
      </c>
      <c r="B554" s="13" t="n"/>
      <c r="C554" s="12">
        <f>IF(B554="","",CHOOSE(WEEKDAY(B554,1),"الأحد","الاثنين","الثلاثاء","الأربعاء","الخميس","الجمعة","السبت"))</f>
        <v/>
      </c>
      <c r="D554" s="14" t="n"/>
      <c r="E554" s="15" t="n"/>
      <c r="F554" s="16" t="n"/>
      <c r="G554" s="17" t="n"/>
      <c r="H554" s="18">
        <f>IF(OR(F554="",G554=""),"",ROUND(F554*G554,2))</f>
        <v/>
      </c>
      <c r="I554" s="19">
        <f>IF(ISNUMBER(SEARCH("ستاند",D554)),"أثاث وستاندات","")</f>
        <v/>
      </c>
      <c r="J554" s="20">
        <f>IF(E554="","",IF(I554="","⚠ عبّي الغرض",IF(AND(D554&lt;&gt;"",OR(ISNUMBER(SEARCH("صيانة",D554)),ISNUMBER(SEARCH("تعزيل",D554)),ISNUMBER(SEARCH("تنظيف",D554)),ISNUMBER(SEARCH("تصليح",D554)))),"⚠ الصيانة بلا ورشة",IF(H554="","⚠ ناقص",IF(D554&lt;&gt;"",IF(SUMIF($D$7:$D$806,D554,$H$7:$H$806)&gt;=20,"أصل","مصروف"),IFERROR(IF(VLOOKUP(I554,'القوائم'!$A$2:$D$14,4,0)="زكاة وصدقة","زكاة وصدقة",IF(AND(VLOOKUP(I554,'القوائم'!$A$2:$D$14,3,0)&lt;&gt;"",H554&gt;=20),"أصل","مصروف")),"مصروف"))))))</f>
        <v/>
      </c>
      <c r="K554" s="21" t="n"/>
      <c r="L554" s="22" t="n"/>
      <c r="N554">
        <f>IF(B554="","",MONTH(B554))</f>
        <v/>
      </c>
      <c r="O554">
        <f>IF(B554="","",YEAR(B554))</f>
        <v/>
      </c>
      <c r="P554">
        <f>IF(AND(D554&lt;&gt;"",COUNTIF(D$7:D554,D554)=1),MAX(P$6:P553)+1,"")</f>
        <v/>
      </c>
      <c r="Q554">
        <f>IF(E554="","",IF(I554="أجور عمال","أجرة","مادة"))</f>
        <v/>
      </c>
    </row>
    <row r="555">
      <c r="A555" s="12">
        <f>IF(E555="","",ROW()-6)</f>
        <v/>
      </c>
      <c r="B555" s="13" t="n"/>
      <c r="C555" s="12">
        <f>IF(B555="","",CHOOSE(WEEKDAY(B555,1),"الأحد","الاثنين","الثلاثاء","الأربعاء","الخميس","الجمعة","السبت"))</f>
        <v/>
      </c>
      <c r="D555" s="14" t="n"/>
      <c r="E555" s="15" t="n"/>
      <c r="F555" s="16" t="n"/>
      <c r="G555" s="17" t="n"/>
      <c r="H555" s="18">
        <f>IF(OR(F555="",G555=""),"",ROUND(F555*G555,2))</f>
        <v/>
      </c>
      <c r="I555" s="19">
        <f>IF(ISNUMBER(SEARCH("ستاند",D555)),"أثاث وستاندات","")</f>
        <v/>
      </c>
      <c r="J555" s="20">
        <f>IF(E555="","",IF(I555="","⚠ عبّي الغرض",IF(AND(D555&lt;&gt;"",OR(ISNUMBER(SEARCH("صيانة",D555)),ISNUMBER(SEARCH("تعزيل",D555)),ISNUMBER(SEARCH("تنظيف",D555)),ISNUMBER(SEARCH("تصليح",D555)))),"⚠ الصيانة بلا ورشة",IF(H555="","⚠ ناقص",IF(D555&lt;&gt;"",IF(SUMIF($D$7:$D$806,D555,$H$7:$H$806)&gt;=20,"أصل","مصروف"),IFERROR(IF(VLOOKUP(I555,'القوائم'!$A$2:$D$14,4,0)="زكاة وصدقة","زكاة وصدقة",IF(AND(VLOOKUP(I555,'القوائم'!$A$2:$D$14,3,0)&lt;&gt;"",H555&gt;=20),"أصل","مصروف")),"مصروف"))))))</f>
        <v/>
      </c>
      <c r="K555" s="21" t="n"/>
      <c r="L555" s="22" t="n"/>
      <c r="N555">
        <f>IF(B555="","",MONTH(B555))</f>
        <v/>
      </c>
      <c r="O555">
        <f>IF(B555="","",YEAR(B555))</f>
        <v/>
      </c>
      <c r="P555">
        <f>IF(AND(D555&lt;&gt;"",COUNTIF(D$7:D555,D555)=1),MAX(P$6:P554)+1,"")</f>
        <v/>
      </c>
      <c r="Q555">
        <f>IF(E555="","",IF(I555="أجور عمال","أجرة","مادة"))</f>
        <v/>
      </c>
    </row>
    <row r="556">
      <c r="A556" s="12">
        <f>IF(E556="","",ROW()-6)</f>
        <v/>
      </c>
      <c r="B556" s="13" t="n"/>
      <c r="C556" s="12">
        <f>IF(B556="","",CHOOSE(WEEKDAY(B556,1),"الأحد","الاثنين","الثلاثاء","الأربعاء","الخميس","الجمعة","السبت"))</f>
        <v/>
      </c>
      <c r="D556" s="14" t="n"/>
      <c r="E556" s="15" t="n"/>
      <c r="F556" s="16" t="n"/>
      <c r="G556" s="17" t="n"/>
      <c r="H556" s="18">
        <f>IF(OR(F556="",G556=""),"",ROUND(F556*G556,2))</f>
        <v/>
      </c>
      <c r="I556" s="19">
        <f>IF(ISNUMBER(SEARCH("ستاند",D556)),"أثاث وستاندات","")</f>
        <v/>
      </c>
      <c r="J556" s="20">
        <f>IF(E556="","",IF(I556="","⚠ عبّي الغرض",IF(AND(D556&lt;&gt;"",OR(ISNUMBER(SEARCH("صيانة",D556)),ISNUMBER(SEARCH("تعزيل",D556)),ISNUMBER(SEARCH("تنظيف",D556)),ISNUMBER(SEARCH("تصليح",D556)))),"⚠ الصيانة بلا ورشة",IF(H556="","⚠ ناقص",IF(D556&lt;&gt;"",IF(SUMIF($D$7:$D$806,D556,$H$7:$H$806)&gt;=20,"أصل","مصروف"),IFERROR(IF(VLOOKUP(I556,'القوائم'!$A$2:$D$14,4,0)="زكاة وصدقة","زكاة وصدقة",IF(AND(VLOOKUP(I556,'القوائم'!$A$2:$D$14,3,0)&lt;&gt;"",H556&gt;=20),"أصل","مصروف")),"مصروف"))))))</f>
        <v/>
      </c>
      <c r="K556" s="21" t="n"/>
      <c r="L556" s="22" t="n"/>
      <c r="N556">
        <f>IF(B556="","",MONTH(B556))</f>
        <v/>
      </c>
      <c r="O556">
        <f>IF(B556="","",YEAR(B556))</f>
        <v/>
      </c>
      <c r="P556">
        <f>IF(AND(D556&lt;&gt;"",COUNTIF(D$7:D556,D556)=1),MAX(P$6:P555)+1,"")</f>
        <v/>
      </c>
      <c r="Q556">
        <f>IF(E556="","",IF(I556="أجور عمال","أجرة","مادة"))</f>
        <v/>
      </c>
    </row>
    <row r="557">
      <c r="A557" s="12">
        <f>IF(E557="","",ROW()-6)</f>
        <v/>
      </c>
      <c r="B557" s="13" t="n"/>
      <c r="C557" s="12">
        <f>IF(B557="","",CHOOSE(WEEKDAY(B557,1),"الأحد","الاثنين","الثلاثاء","الأربعاء","الخميس","الجمعة","السبت"))</f>
        <v/>
      </c>
      <c r="D557" s="14" t="n"/>
      <c r="E557" s="15" t="n"/>
      <c r="F557" s="16" t="n"/>
      <c r="G557" s="17" t="n"/>
      <c r="H557" s="18">
        <f>IF(OR(F557="",G557=""),"",ROUND(F557*G557,2))</f>
        <v/>
      </c>
      <c r="I557" s="19">
        <f>IF(ISNUMBER(SEARCH("ستاند",D557)),"أثاث وستاندات","")</f>
        <v/>
      </c>
      <c r="J557" s="20">
        <f>IF(E557="","",IF(I557="","⚠ عبّي الغرض",IF(AND(D557&lt;&gt;"",OR(ISNUMBER(SEARCH("صيانة",D557)),ISNUMBER(SEARCH("تعزيل",D557)),ISNUMBER(SEARCH("تنظيف",D557)),ISNUMBER(SEARCH("تصليح",D557)))),"⚠ الصيانة بلا ورشة",IF(H557="","⚠ ناقص",IF(D557&lt;&gt;"",IF(SUMIF($D$7:$D$806,D557,$H$7:$H$806)&gt;=20,"أصل","مصروف"),IFERROR(IF(VLOOKUP(I557,'القوائم'!$A$2:$D$14,4,0)="زكاة وصدقة","زكاة وصدقة",IF(AND(VLOOKUP(I557,'القوائم'!$A$2:$D$14,3,0)&lt;&gt;"",H557&gt;=20),"أصل","مصروف")),"مصروف"))))))</f>
        <v/>
      </c>
      <c r="K557" s="21" t="n"/>
      <c r="L557" s="22" t="n"/>
      <c r="N557">
        <f>IF(B557="","",MONTH(B557))</f>
        <v/>
      </c>
      <c r="O557">
        <f>IF(B557="","",YEAR(B557))</f>
        <v/>
      </c>
      <c r="P557">
        <f>IF(AND(D557&lt;&gt;"",COUNTIF(D$7:D557,D557)=1),MAX(P$6:P556)+1,"")</f>
        <v/>
      </c>
      <c r="Q557">
        <f>IF(E557="","",IF(I557="أجور عمال","أجرة","مادة"))</f>
        <v/>
      </c>
    </row>
    <row r="558">
      <c r="A558" s="12">
        <f>IF(E558="","",ROW()-6)</f>
        <v/>
      </c>
      <c r="B558" s="13" t="n"/>
      <c r="C558" s="12">
        <f>IF(B558="","",CHOOSE(WEEKDAY(B558,1),"الأحد","الاثنين","الثلاثاء","الأربعاء","الخميس","الجمعة","السبت"))</f>
        <v/>
      </c>
      <c r="D558" s="14" t="n"/>
      <c r="E558" s="15" t="n"/>
      <c r="F558" s="16" t="n"/>
      <c r="G558" s="17" t="n"/>
      <c r="H558" s="18">
        <f>IF(OR(F558="",G558=""),"",ROUND(F558*G558,2))</f>
        <v/>
      </c>
      <c r="I558" s="19">
        <f>IF(ISNUMBER(SEARCH("ستاند",D558)),"أثاث وستاندات","")</f>
        <v/>
      </c>
      <c r="J558" s="20">
        <f>IF(E558="","",IF(I558="","⚠ عبّي الغرض",IF(AND(D558&lt;&gt;"",OR(ISNUMBER(SEARCH("صيانة",D558)),ISNUMBER(SEARCH("تعزيل",D558)),ISNUMBER(SEARCH("تنظيف",D558)),ISNUMBER(SEARCH("تصليح",D558)))),"⚠ الصيانة بلا ورشة",IF(H558="","⚠ ناقص",IF(D558&lt;&gt;"",IF(SUMIF($D$7:$D$806,D558,$H$7:$H$806)&gt;=20,"أصل","مصروف"),IFERROR(IF(VLOOKUP(I558,'القوائم'!$A$2:$D$14,4,0)="زكاة وصدقة","زكاة وصدقة",IF(AND(VLOOKUP(I558,'القوائم'!$A$2:$D$14,3,0)&lt;&gt;"",H558&gt;=20),"أصل","مصروف")),"مصروف"))))))</f>
        <v/>
      </c>
      <c r="K558" s="21" t="n"/>
      <c r="L558" s="22" t="n"/>
      <c r="N558">
        <f>IF(B558="","",MONTH(B558))</f>
        <v/>
      </c>
      <c r="O558">
        <f>IF(B558="","",YEAR(B558))</f>
        <v/>
      </c>
      <c r="P558">
        <f>IF(AND(D558&lt;&gt;"",COUNTIF(D$7:D558,D558)=1),MAX(P$6:P557)+1,"")</f>
        <v/>
      </c>
      <c r="Q558">
        <f>IF(E558="","",IF(I558="أجور عمال","أجرة","مادة"))</f>
        <v/>
      </c>
    </row>
    <row r="559">
      <c r="A559" s="12">
        <f>IF(E559="","",ROW()-6)</f>
        <v/>
      </c>
      <c r="B559" s="13" t="n"/>
      <c r="C559" s="12">
        <f>IF(B559="","",CHOOSE(WEEKDAY(B559,1),"الأحد","الاثنين","الثلاثاء","الأربعاء","الخميس","الجمعة","السبت"))</f>
        <v/>
      </c>
      <c r="D559" s="14" t="n"/>
      <c r="E559" s="15" t="n"/>
      <c r="F559" s="16" t="n"/>
      <c r="G559" s="17" t="n"/>
      <c r="H559" s="18">
        <f>IF(OR(F559="",G559=""),"",ROUND(F559*G559,2))</f>
        <v/>
      </c>
      <c r="I559" s="19">
        <f>IF(ISNUMBER(SEARCH("ستاند",D559)),"أثاث وستاندات","")</f>
        <v/>
      </c>
      <c r="J559" s="20">
        <f>IF(E559="","",IF(I559="","⚠ عبّي الغرض",IF(AND(D559&lt;&gt;"",OR(ISNUMBER(SEARCH("صيانة",D559)),ISNUMBER(SEARCH("تعزيل",D559)),ISNUMBER(SEARCH("تنظيف",D559)),ISNUMBER(SEARCH("تصليح",D559)))),"⚠ الصيانة بلا ورشة",IF(H559="","⚠ ناقص",IF(D559&lt;&gt;"",IF(SUMIF($D$7:$D$806,D559,$H$7:$H$806)&gt;=20,"أصل","مصروف"),IFERROR(IF(VLOOKUP(I559,'القوائم'!$A$2:$D$14,4,0)="زكاة وصدقة","زكاة وصدقة",IF(AND(VLOOKUP(I559,'القوائم'!$A$2:$D$14,3,0)&lt;&gt;"",H559&gt;=20),"أصل","مصروف")),"مصروف"))))))</f>
        <v/>
      </c>
      <c r="K559" s="21" t="n"/>
      <c r="L559" s="22" t="n"/>
      <c r="N559">
        <f>IF(B559="","",MONTH(B559))</f>
        <v/>
      </c>
      <c r="O559">
        <f>IF(B559="","",YEAR(B559))</f>
        <v/>
      </c>
      <c r="P559">
        <f>IF(AND(D559&lt;&gt;"",COUNTIF(D$7:D559,D559)=1),MAX(P$6:P558)+1,"")</f>
        <v/>
      </c>
      <c r="Q559">
        <f>IF(E559="","",IF(I559="أجور عمال","أجرة","مادة"))</f>
        <v/>
      </c>
    </row>
    <row r="560">
      <c r="A560" s="12">
        <f>IF(E560="","",ROW()-6)</f>
        <v/>
      </c>
      <c r="B560" s="13" t="n"/>
      <c r="C560" s="12">
        <f>IF(B560="","",CHOOSE(WEEKDAY(B560,1),"الأحد","الاثنين","الثلاثاء","الأربعاء","الخميس","الجمعة","السبت"))</f>
        <v/>
      </c>
      <c r="D560" s="14" t="n"/>
      <c r="E560" s="15" t="n"/>
      <c r="F560" s="16" t="n"/>
      <c r="G560" s="17" t="n"/>
      <c r="H560" s="18">
        <f>IF(OR(F560="",G560=""),"",ROUND(F560*G560,2))</f>
        <v/>
      </c>
      <c r="I560" s="19">
        <f>IF(ISNUMBER(SEARCH("ستاند",D560)),"أثاث وستاندات","")</f>
        <v/>
      </c>
      <c r="J560" s="20">
        <f>IF(E560="","",IF(I560="","⚠ عبّي الغرض",IF(AND(D560&lt;&gt;"",OR(ISNUMBER(SEARCH("صيانة",D560)),ISNUMBER(SEARCH("تعزيل",D560)),ISNUMBER(SEARCH("تنظيف",D560)),ISNUMBER(SEARCH("تصليح",D560)))),"⚠ الصيانة بلا ورشة",IF(H560="","⚠ ناقص",IF(D560&lt;&gt;"",IF(SUMIF($D$7:$D$806,D560,$H$7:$H$806)&gt;=20,"أصل","مصروف"),IFERROR(IF(VLOOKUP(I560,'القوائم'!$A$2:$D$14,4,0)="زكاة وصدقة","زكاة وصدقة",IF(AND(VLOOKUP(I560,'القوائم'!$A$2:$D$14,3,0)&lt;&gt;"",H560&gt;=20),"أصل","مصروف")),"مصروف"))))))</f>
        <v/>
      </c>
      <c r="K560" s="21" t="n"/>
      <c r="L560" s="22" t="n"/>
      <c r="N560">
        <f>IF(B560="","",MONTH(B560))</f>
        <v/>
      </c>
      <c r="O560">
        <f>IF(B560="","",YEAR(B560))</f>
        <v/>
      </c>
      <c r="P560">
        <f>IF(AND(D560&lt;&gt;"",COUNTIF(D$7:D560,D560)=1),MAX(P$6:P559)+1,"")</f>
        <v/>
      </c>
      <c r="Q560">
        <f>IF(E560="","",IF(I560="أجور عمال","أجرة","مادة"))</f>
        <v/>
      </c>
    </row>
    <row r="561">
      <c r="A561" s="12">
        <f>IF(E561="","",ROW()-6)</f>
        <v/>
      </c>
      <c r="B561" s="13" t="n"/>
      <c r="C561" s="12">
        <f>IF(B561="","",CHOOSE(WEEKDAY(B561,1),"الأحد","الاثنين","الثلاثاء","الأربعاء","الخميس","الجمعة","السبت"))</f>
        <v/>
      </c>
      <c r="D561" s="14" t="n"/>
      <c r="E561" s="15" t="n"/>
      <c r="F561" s="16" t="n"/>
      <c r="G561" s="17" t="n"/>
      <c r="H561" s="18">
        <f>IF(OR(F561="",G561=""),"",ROUND(F561*G561,2))</f>
        <v/>
      </c>
      <c r="I561" s="19">
        <f>IF(ISNUMBER(SEARCH("ستاند",D561)),"أثاث وستاندات","")</f>
        <v/>
      </c>
      <c r="J561" s="20">
        <f>IF(E561="","",IF(I561="","⚠ عبّي الغرض",IF(AND(D561&lt;&gt;"",OR(ISNUMBER(SEARCH("صيانة",D561)),ISNUMBER(SEARCH("تعزيل",D561)),ISNUMBER(SEARCH("تنظيف",D561)),ISNUMBER(SEARCH("تصليح",D561)))),"⚠ الصيانة بلا ورشة",IF(H561="","⚠ ناقص",IF(D561&lt;&gt;"",IF(SUMIF($D$7:$D$806,D561,$H$7:$H$806)&gt;=20,"أصل","مصروف"),IFERROR(IF(VLOOKUP(I561,'القوائم'!$A$2:$D$14,4,0)="زكاة وصدقة","زكاة وصدقة",IF(AND(VLOOKUP(I561,'القوائم'!$A$2:$D$14,3,0)&lt;&gt;"",H561&gt;=20),"أصل","مصروف")),"مصروف"))))))</f>
        <v/>
      </c>
      <c r="K561" s="21" t="n"/>
      <c r="L561" s="22" t="n"/>
      <c r="N561">
        <f>IF(B561="","",MONTH(B561))</f>
        <v/>
      </c>
      <c r="O561">
        <f>IF(B561="","",YEAR(B561))</f>
        <v/>
      </c>
      <c r="P561">
        <f>IF(AND(D561&lt;&gt;"",COUNTIF(D$7:D561,D561)=1),MAX(P$6:P560)+1,"")</f>
        <v/>
      </c>
      <c r="Q561">
        <f>IF(E561="","",IF(I561="أجور عمال","أجرة","مادة"))</f>
        <v/>
      </c>
    </row>
    <row r="562">
      <c r="A562" s="12">
        <f>IF(E562="","",ROW()-6)</f>
        <v/>
      </c>
      <c r="B562" s="13" t="n"/>
      <c r="C562" s="12">
        <f>IF(B562="","",CHOOSE(WEEKDAY(B562,1),"الأحد","الاثنين","الثلاثاء","الأربعاء","الخميس","الجمعة","السبت"))</f>
        <v/>
      </c>
      <c r="D562" s="14" t="n"/>
      <c r="E562" s="15" t="n"/>
      <c r="F562" s="16" t="n"/>
      <c r="G562" s="17" t="n"/>
      <c r="H562" s="18">
        <f>IF(OR(F562="",G562=""),"",ROUND(F562*G562,2))</f>
        <v/>
      </c>
      <c r="I562" s="19">
        <f>IF(ISNUMBER(SEARCH("ستاند",D562)),"أثاث وستاندات","")</f>
        <v/>
      </c>
      <c r="J562" s="20">
        <f>IF(E562="","",IF(I562="","⚠ عبّي الغرض",IF(AND(D562&lt;&gt;"",OR(ISNUMBER(SEARCH("صيانة",D562)),ISNUMBER(SEARCH("تعزيل",D562)),ISNUMBER(SEARCH("تنظيف",D562)),ISNUMBER(SEARCH("تصليح",D562)))),"⚠ الصيانة بلا ورشة",IF(H562="","⚠ ناقص",IF(D562&lt;&gt;"",IF(SUMIF($D$7:$D$806,D562,$H$7:$H$806)&gt;=20,"أصل","مصروف"),IFERROR(IF(VLOOKUP(I562,'القوائم'!$A$2:$D$14,4,0)="زكاة وصدقة","زكاة وصدقة",IF(AND(VLOOKUP(I562,'القوائم'!$A$2:$D$14,3,0)&lt;&gt;"",H562&gt;=20),"أصل","مصروف")),"مصروف"))))))</f>
        <v/>
      </c>
      <c r="K562" s="21" t="n"/>
      <c r="L562" s="22" t="n"/>
      <c r="N562">
        <f>IF(B562="","",MONTH(B562))</f>
        <v/>
      </c>
      <c r="O562">
        <f>IF(B562="","",YEAR(B562))</f>
        <v/>
      </c>
      <c r="P562">
        <f>IF(AND(D562&lt;&gt;"",COUNTIF(D$7:D562,D562)=1),MAX(P$6:P561)+1,"")</f>
        <v/>
      </c>
      <c r="Q562">
        <f>IF(E562="","",IF(I562="أجور عمال","أجرة","مادة"))</f>
        <v/>
      </c>
    </row>
    <row r="563">
      <c r="A563" s="12">
        <f>IF(E563="","",ROW()-6)</f>
        <v/>
      </c>
      <c r="B563" s="13" t="n"/>
      <c r="C563" s="12">
        <f>IF(B563="","",CHOOSE(WEEKDAY(B563,1),"الأحد","الاثنين","الثلاثاء","الأربعاء","الخميس","الجمعة","السبت"))</f>
        <v/>
      </c>
      <c r="D563" s="14" t="n"/>
      <c r="E563" s="15" t="n"/>
      <c r="F563" s="16" t="n"/>
      <c r="G563" s="17" t="n"/>
      <c r="H563" s="18">
        <f>IF(OR(F563="",G563=""),"",ROUND(F563*G563,2))</f>
        <v/>
      </c>
      <c r="I563" s="19">
        <f>IF(ISNUMBER(SEARCH("ستاند",D563)),"أثاث وستاندات","")</f>
        <v/>
      </c>
      <c r="J563" s="20">
        <f>IF(E563="","",IF(I563="","⚠ عبّي الغرض",IF(AND(D563&lt;&gt;"",OR(ISNUMBER(SEARCH("صيانة",D563)),ISNUMBER(SEARCH("تعزيل",D563)),ISNUMBER(SEARCH("تنظيف",D563)),ISNUMBER(SEARCH("تصليح",D563)))),"⚠ الصيانة بلا ورشة",IF(H563="","⚠ ناقص",IF(D563&lt;&gt;"",IF(SUMIF($D$7:$D$806,D563,$H$7:$H$806)&gt;=20,"أصل","مصروف"),IFERROR(IF(VLOOKUP(I563,'القوائم'!$A$2:$D$14,4,0)="زكاة وصدقة","زكاة وصدقة",IF(AND(VLOOKUP(I563,'القوائم'!$A$2:$D$14,3,0)&lt;&gt;"",H563&gt;=20),"أصل","مصروف")),"مصروف"))))))</f>
        <v/>
      </c>
      <c r="K563" s="21" t="n"/>
      <c r="L563" s="22" t="n"/>
      <c r="N563">
        <f>IF(B563="","",MONTH(B563))</f>
        <v/>
      </c>
      <c r="O563">
        <f>IF(B563="","",YEAR(B563))</f>
        <v/>
      </c>
      <c r="P563">
        <f>IF(AND(D563&lt;&gt;"",COUNTIF(D$7:D563,D563)=1),MAX(P$6:P562)+1,"")</f>
        <v/>
      </c>
      <c r="Q563">
        <f>IF(E563="","",IF(I563="أجور عمال","أجرة","مادة"))</f>
        <v/>
      </c>
    </row>
    <row r="564">
      <c r="A564" s="12">
        <f>IF(E564="","",ROW()-6)</f>
        <v/>
      </c>
      <c r="B564" s="13" t="n"/>
      <c r="C564" s="12">
        <f>IF(B564="","",CHOOSE(WEEKDAY(B564,1),"الأحد","الاثنين","الثلاثاء","الأربعاء","الخميس","الجمعة","السبت"))</f>
        <v/>
      </c>
      <c r="D564" s="14" t="n"/>
      <c r="E564" s="15" t="n"/>
      <c r="F564" s="16" t="n"/>
      <c r="G564" s="17" t="n"/>
      <c r="H564" s="18">
        <f>IF(OR(F564="",G564=""),"",ROUND(F564*G564,2))</f>
        <v/>
      </c>
      <c r="I564" s="19">
        <f>IF(ISNUMBER(SEARCH("ستاند",D564)),"أثاث وستاندات","")</f>
        <v/>
      </c>
      <c r="J564" s="20">
        <f>IF(E564="","",IF(I564="","⚠ عبّي الغرض",IF(AND(D564&lt;&gt;"",OR(ISNUMBER(SEARCH("صيانة",D564)),ISNUMBER(SEARCH("تعزيل",D564)),ISNUMBER(SEARCH("تنظيف",D564)),ISNUMBER(SEARCH("تصليح",D564)))),"⚠ الصيانة بلا ورشة",IF(H564="","⚠ ناقص",IF(D564&lt;&gt;"",IF(SUMIF($D$7:$D$806,D564,$H$7:$H$806)&gt;=20,"أصل","مصروف"),IFERROR(IF(VLOOKUP(I564,'القوائم'!$A$2:$D$14,4,0)="زكاة وصدقة","زكاة وصدقة",IF(AND(VLOOKUP(I564,'القوائم'!$A$2:$D$14,3,0)&lt;&gt;"",H564&gt;=20),"أصل","مصروف")),"مصروف"))))))</f>
        <v/>
      </c>
      <c r="K564" s="21" t="n"/>
      <c r="L564" s="22" t="n"/>
      <c r="N564">
        <f>IF(B564="","",MONTH(B564))</f>
        <v/>
      </c>
      <c r="O564">
        <f>IF(B564="","",YEAR(B564))</f>
        <v/>
      </c>
      <c r="P564">
        <f>IF(AND(D564&lt;&gt;"",COUNTIF(D$7:D564,D564)=1),MAX(P$6:P563)+1,"")</f>
        <v/>
      </c>
      <c r="Q564">
        <f>IF(E564="","",IF(I564="أجور عمال","أجرة","مادة"))</f>
        <v/>
      </c>
    </row>
    <row r="565">
      <c r="A565" s="12">
        <f>IF(E565="","",ROW()-6)</f>
        <v/>
      </c>
      <c r="B565" s="13" t="n"/>
      <c r="C565" s="12">
        <f>IF(B565="","",CHOOSE(WEEKDAY(B565,1),"الأحد","الاثنين","الثلاثاء","الأربعاء","الخميس","الجمعة","السبت"))</f>
        <v/>
      </c>
      <c r="D565" s="14" t="n"/>
      <c r="E565" s="15" t="n"/>
      <c r="F565" s="16" t="n"/>
      <c r="G565" s="17" t="n"/>
      <c r="H565" s="18">
        <f>IF(OR(F565="",G565=""),"",ROUND(F565*G565,2))</f>
        <v/>
      </c>
      <c r="I565" s="19">
        <f>IF(ISNUMBER(SEARCH("ستاند",D565)),"أثاث وستاندات","")</f>
        <v/>
      </c>
      <c r="J565" s="20">
        <f>IF(E565="","",IF(I565="","⚠ عبّي الغرض",IF(AND(D565&lt;&gt;"",OR(ISNUMBER(SEARCH("صيانة",D565)),ISNUMBER(SEARCH("تعزيل",D565)),ISNUMBER(SEARCH("تنظيف",D565)),ISNUMBER(SEARCH("تصليح",D565)))),"⚠ الصيانة بلا ورشة",IF(H565="","⚠ ناقص",IF(D565&lt;&gt;"",IF(SUMIF($D$7:$D$806,D565,$H$7:$H$806)&gt;=20,"أصل","مصروف"),IFERROR(IF(VLOOKUP(I565,'القوائم'!$A$2:$D$14,4,0)="زكاة وصدقة","زكاة وصدقة",IF(AND(VLOOKUP(I565,'القوائم'!$A$2:$D$14,3,0)&lt;&gt;"",H565&gt;=20),"أصل","مصروف")),"مصروف"))))))</f>
        <v/>
      </c>
      <c r="K565" s="21" t="n"/>
      <c r="L565" s="22" t="n"/>
      <c r="N565">
        <f>IF(B565="","",MONTH(B565))</f>
        <v/>
      </c>
      <c r="O565">
        <f>IF(B565="","",YEAR(B565))</f>
        <v/>
      </c>
      <c r="P565">
        <f>IF(AND(D565&lt;&gt;"",COUNTIF(D$7:D565,D565)=1),MAX(P$6:P564)+1,"")</f>
        <v/>
      </c>
      <c r="Q565">
        <f>IF(E565="","",IF(I565="أجور عمال","أجرة","مادة"))</f>
        <v/>
      </c>
    </row>
    <row r="566">
      <c r="A566" s="12">
        <f>IF(E566="","",ROW()-6)</f>
        <v/>
      </c>
      <c r="B566" s="13" t="n"/>
      <c r="C566" s="12">
        <f>IF(B566="","",CHOOSE(WEEKDAY(B566,1),"الأحد","الاثنين","الثلاثاء","الأربعاء","الخميس","الجمعة","السبت"))</f>
        <v/>
      </c>
      <c r="D566" s="14" t="n"/>
      <c r="E566" s="15" t="n"/>
      <c r="F566" s="16" t="n"/>
      <c r="G566" s="17" t="n"/>
      <c r="H566" s="18">
        <f>IF(OR(F566="",G566=""),"",ROUND(F566*G566,2))</f>
        <v/>
      </c>
      <c r="I566" s="19">
        <f>IF(ISNUMBER(SEARCH("ستاند",D566)),"أثاث وستاندات","")</f>
        <v/>
      </c>
      <c r="J566" s="20">
        <f>IF(E566="","",IF(I566="","⚠ عبّي الغرض",IF(AND(D566&lt;&gt;"",OR(ISNUMBER(SEARCH("صيانة",D566)),ISNUMBER(SEARCH("تعزيل",D566)),ISNUMBER(SEARCH("تنظيف",D566)),ISNUMBER(SEARCH("تصليح",D566)))),"⚠ الصيانة بلا ورشة",IF(H566="","⚠ ناقص",IF(D566&lt;&gt;"",IF(SUMIF($D$7:$D$806,D566,$H$7:$H$806)&gt;=20,"أصل","مصروف"),IFERROR(IF(VLOOKUP(I566,'القوائم'!$A$2:$D$14,4,0)="زكاة وصدقة","زكاة وصدقة",IF(AND(VLOOKUP(I566,'القوائم'!$A$2:$D$14,3,0)&lt;&gt;"",H566&gt;=20),"أصل","مصروف")),"مصروف"))))))</f>
        <v/>
      </c>
      <c r="K566" s="21" t="n"/>
      <c r="L566" s="22" t="n"/>
      <c r="N566">
        <f>IF(B566="","",MONTH(B566))</f>
        <v/>
      </c>
      <c r="O566">
        <f>IF(B566="","",YEAR(B566))</f>
        <v/>
      </c>
      <c r="P566">
        <f>IF(AND(D566&lt;&gt;"",COUNTIF(D$7:D566,D566)=1),MAX(P$6:P565)+1,"")</f>
        <v/>
      </c>
      <c r="Q566">
        <f>IF(E566="","",IF(I566="أجور عمال","أجرة","مادة"))</f>
        <v/>
      </c>
    </row>
    <row r="567">
      <c r="A567" s="12">
        <f>IF(E567="","",ROW()-6)</f>
        <v/>
      </c>
      <c r="B567" s="13" t="n"/>
      <c r="C567" s="12">
        <f>IF(B567="","",CHOOSE(WEEKDAY(B567,1),"الأحد","الاثنين","الثلاثاء","الأربعاء","الخميس","الجمعة","السبت"))</f>
        <v/>
      </c>
      <c r="D567" s="14" t="n"/>
      <c r="E567" s="15" t="n"/>
      <c r="F567" s="16" t="n"/>
      <c r="G567" s="17" t="n"/>
      <c r="H567" s="18">
        <f>IF(OR(F567="",G567=""),"",ROUND(F567*G567,2))</f>
        <v/>
      </c>
      <c r="I567" s="19">
        <f>IF(ISNUMBER(SEARCH("ستاند",D567)),"أثاث وستاندات","")</f>
        <v/>
      </c>
      <c r="J567" s="20">
        <f>IF(E567="","",IF(I567="","⚠ عبّي الغرض",IF(AND(D567&lt;&gt;"",OR(ISNUMBER(SEARCH("صيانة",D567)),ISNUMBER(SEARCH("تعزيل",D567)),ISNUMBER(SEARCH("تنظيف",D567)),ISNUMBER(SEARCH("تصليح",D567)))),"⚠ الصيانة بلا ورشة",IF(H567="","⚠ ناقص",IF(D567&lt;&gt;"",IF(SUMIF($D$7:$D$806,D567,$H$7:$H$806)&gt;=20,"أصل","مصروف"),IFERROR(IF(VLOOKUP(I567,'القوائم'!$A$2:$D$14,4,0)="زكاة وصدقة","زكاة وصدقة",IF(AND(VLOOKUP(I567,'القوائم'!$A$2:$D$14,3,0)&lt;&gt;"",H567&gt;=20),"أصل","مصروف")),"مصروف"))))))</f>
        <v/>
      </c>
      <c r="K567" s="21" t="n"/>
      <c r="L567" s="22" t="n"/>
      <c r="N567">
        <f>IF(B567="","",MONTH(B567))</f>
        <v/>
      </c>
      <c r="O567">
        <f>IF(B567="","",YEAR(B567))</f>
        <v/>
      </c>
      <c r="P567">
        <f>IF(AND(D567&lt;&gt;"",COUNTIF(D$7:D567,D567)=1),MAX(P$6:P566)+1,"")</f>
        <v/>
      </c>
      <c r="Q567">
        <f>IF(E567="","",IF(I567="أجور عمال","أجرة","مادة"))</f>
        <v/>
      </c>
    </row>
    <row r="568">
      <c r="A568" s="12">
        <f>IF(E568="","",ROW()-6)</f>
        <v/>
      </c>
      <c r="B568" s="13" t="n"/>
      <c r="C568" s="12">
        <f>IF(B568="","",CHOOSE(WEEKDAY(B568,1),"الأحد","الاثنين","الثلاثاء","الأربعاء","الخميس","الجمعة","السبت"))</f>
        <v/>
      </c>
      <c r="D568" s="14" t="n"/>
      <c r="E568" s="15" t="n"/>
      <c r="F568" s="16" t="n"/>
      <c r="G568" s="17" t="n"/>
      <c r="H568" s="18">
        <f>IF(OR(F568="",G568=""),"",ROUND(F568*G568,2))</f>
        <v/>
      </c>
      <c r="I568" s="19">
        <f>IF(ISNUMBER(SEARCH("ستاند",D568)),"أثاث وستاندات","")</f>
        <v/>
      </c>
      <c r="J568" s="20">
        <f>IF(E568="","",IF(I568="","⚠ عبّي الغرض",IF(AND(D568&lt;&gt;"",OR(ISNUMBER(SEARCH("صيانة",D568)),ISNUMBER(SEARCH("تعزيل",D568)),ISNUMBER(SEARCH("تنظيف",D568)),ISNUMBER(SEARCH("تصليح",D568)))),"⚠ الصيانة بلا ورشة",IF(H568="","⚠ ناقص",IF(D568&lt;&gt;"",IF(SUMIF($D$7:$D$806,D568,$H$7:$H$806)&gt;=20,"أصل","مصروف"),IFERROR(IF(VLOOKUP(I568,'القوائم'!$A$2:$D$14,4,0)="زكاة وصدقة","زكاة وصدقة",IF(AND(VLOOKUP(I568,'القوائم'!$A$2:$D$14,3,0)&lt;&gt;"",H568&gt;=20),"أصل","مصروف")),"مصروف"))))))</f>
        <v/>
      </c>
      <c r="K568" s="21" t="n"/>
      <c r="L568" s="22" t="n"/>
      <c r="N568">
        <f>IF(B568="","",MONTH(B568))</f>
        <v/>
      </c>
      <c r="O568">
        <f>IF(B568="","",YEAR(B568))</f>
        <v/>
      </c>
      <c r="P568">
        <f>IF(AND(D568&lt;&gt;"",COUNTIF(D$7:D568,D568)=1),MAX(P$6:P567)+1,"")</f>
        <v/>
      </c>
      <c r="Q568">
        <f>IF(E568="","",IF(I568="أجور عمال","أجرة","مادة"))</f>
        <v/>
      </c>
    </row>
    <row r="569">
      <c r="A569" s="12">
        <f>IF(E569="","",ROW()-6)</f>
        <v/>
      </c>
      <c r="B569" s="13" t="n"/>
      <c r="C569" s="12">
        <f>IF(B569="","",CHOOSE(WEEKDAY(B569,1),"الأحد","الاثنين","الثلاثاء","الأربعاء","الخميس","الجمعة","السبت"))</f>
        <v/>
      </c>
      <c r="D569" s="14" t="n"/>
      <c r="E569" s="15" t="n"/>
      <c r="F569" s="16" t="n"/>
      <c r="G569" s="17" t="n"/>
      <c r="H569" s="18">
        <f>IF(OR(F569="",G569=""),"",ROUND(F569*G569,2))</f>
        <v/>
      </c>
      <c r="I569" s="19">
        <f>IF(ISNUMBER(SEARCH("ستاند",D569)),"أثاث وستاندات","")</f>
        <v/>
      </c>
      <c r="J569" s="20">
        <f>IF(E569="","",IF(I569="","⚠ عبّي الغرض",IF(AND(D569&lt;&gt;"",OR(ISNUMBER(SEARCH("صيانة",D569)),ISNUMBER(SEARCH("تعزيل",D569)),ISNUMBER(SEARCH("تنظيف",D569)),ISNUMBER(SEARCH("تصليح",D569)))),"⚠ الصيانة بلا ورشة",IF(H569="","⚠ ناقص",IF(D569&lt;&gt;"",IF(SUMIF($D$7:$D$806,D569,$H$7:$H$806)&gt;=20,"أصل","مصروف"),IFERROR(IF(VLOOKUP(I569,'القوائم'!$A$2:$D$14,4,0)="زكاة وصدقة","زكاة وصدقة",IF(AND(VLOOKUP(I569,'القوائم'!$A$2:$D$14,3,0)&lt;&gt;"",H569&gt;=20),"أصل","مصروف")),"مصروف"))))))</f>
        <v/>
      </c>
      <c r="K569" s="21" t="n"/>
      <c r="L569" s="22" t="n"/>
      <c r="N569">
        <f>IF(B569="","",MONTH(B569))</f>
        <v/>
      </c>
      <c r="O569">
        <f>IF(B569="","",YEAR(B569))</f>
        <v/>
      </c>
      <c r="P569">
        <f>IF(AND(D569&lt;&gt;"",COUNTIF(D$7:D569,D569)=1),MAX(P$6:P568)+1,"")</f>
        <v/>
      </c>
      <c r="Q569">
        <f>IF(E569="","",IF(I569="أجور عمال","أجرة","مادة"))</f>
        <v/>
      </c>
    </row>
    <row r="570">
      <c r="A570" s="12">
        <f>IF(E570="","",ROW()-6)</f>
        <v/>
      </c>
      <c r="B570" s="13" t="n"/>
      <c r="C570" s="12">
        <f>IF(B570="","",CHOOSE(WEEKDAY(B570,1),"الأحد","الاثنين","الثلاثاء","الأربعاء","الخميس","الجمعة","السبت"))</f>
        <v/>
      </c>
      <c r="D570" s="14" t="n"/>
      <c r="E570" s="15" t="n"/>
      <c r="F570" s="16" t="n"/>
      <c r="G570" s="17" t="n"/>
      <c r="H570" s="18">
        <f>IF(OR(F570="",G570=""),"",ROUND(F570*G570,2))</f>
        <v/>
      </c>
      <c r="I570" s="19">
        <f>IF(ISNUMBER(SEARCH("ستاند",D570)),"أثاث وستاندات","")</f>
        <v/>
      </c>
      <c r="J570" s="20">
        <f>IF(E570="","",IF(I570="","⚠ عبّي الغرض",IF(AND(D570&lt;&gt;"",OR(ISNUMBER(SEARCH("صيانة",D570)),ISNUMBER(SEARCH("تعزيل",D570)),ISNUMBER(SEARCH("تنظيف",D570)),ISNUMBER(SEARCH("تصليح",D570)))),"⚠ الصيانة بلا ورشة",IF(H570="","⚠ ناقص",IF(D570&lt;&gt;"",IF(SUMIF($D$7:$D$806,D570,$H$7:$H$806)&gt;=20,"أصل","مصروف"),IFERROR(IF(VLOOKUP(I570,'القوائم'!$A$2:$D$14,4,0)="زكاة وصدقة","زكاة وصدقة",IF(AND(VLOOKUP(I570,'القوائم'!$A$2:$D$14,3,0)&lt;&gt;"",H570&gt;=20),"أصل","مصروف")),"مصروف"))))))</f>
        <v/>
      </c>
      <c r="K570" s="21" t="n"/>
      <c r="L570" s="22" t="n"/>
      <c r="N570">
        <f>IF(B570="","",MONTH(B570))</f>
        <v/>
      </c>
      <c r="O570">
        <f>IF(B570="","",YEAR(B570))</f>
        <v/>
      </c>
      <c r="P570">
        <f>IF(AND(D570&lt;&gt;"",COUNTIF(D$7:D570,D570)=1),MAX(P$6:P569)+1,"")</f>
        <v/>
      </c>
      <c r="Q570">
        <f>IF(E570="","",IF(I570="أجور عمال","أجرة","مادة"))</f>
        <v/>
      </c>
    </row>
    <row r="571">
      <c r="A571" s="12">
        <f>IF(E571="","",ROW()-6)</f>
        <v/>
      </c>
      <c r="B571" s="13" t="n"/>
      <c r="C571" s="12">
        <f>IF(B571="","",CHOOSE(WEEKDAY(B571,1),"الأحد","الاثنين","الثلاثاء","الأربعاء","الخميس","الجمعة","السبت"))</f>
        <v/>
      </c>
      <c r="D571" s="14" t="n"/>
      <c r="E571" s="15" t="n"/>
      <c r="F571" s="16" t="n"/>
      <c r="G571" s="17" t="n"/>
      <c r="H571" s="18">
        <f>IF(OR(F571="",G571=""),"",ROUND(F571*G571,2))</f>
        <v/>
      </c>
      <c r="I571" s="19">
        <f>IF(ISNUMBER(SEARCH("ستاند",D571)),"أثاث وستاندات","")</f>
        <v/>
      </c>
      <c r="J571" s="20">
        <f>IF(E571="","",IF(I571="","⚠ عبّي الغرض",IF(AND(D571&lt;&gt;"",OR(ISNUMBER(SEARCH("صيانة",D571)),ISNUMBER(SEARCH("تعزيل",D571)),ISNUMBER(SEARCH("تنظيف",D571)),ISNUMBER(SEARCH("تصليح",D571)))),"⚠ الصيانة بلا ورشة",IF(H571="","⚠ ناقص",IF(D571&lt;&gt;"",IF(SUMIF($D$7:$D$806,D571,$H$7:$H$806)&gt;=20,"أصل","مصروف"),IFERROR(IF(VLOOKUP(I571,'القوائم'!$A$2:$D$14,4,0)="زكاة وصدقة","زكاة وصدقة",IF(AND(VLOOKUP(I571,'القوائم'!$A$2:$D$14,3,0)&lt;&gt;"",H571&gt;=20),"أصل","مصروف")),"مصروف"))))))</f>
        <v/>
      </c>
      <c r="K571" s="21" t="n"/>
      <c r="L571" s="22" t="n"/>
      <c r="N571">
        <f>IF(B571="","",MONTH(B571))</f>
        <v/>
      </c>
      <c r="O571">
        <f>IF(B571="","",YEAR(B571))</f>
        <v/>
      </c>
      <c r="P571">
        <f>IF(AND(D571&lt;&gt;"",COUNTIF(D$7:D571,D571)=1),MAX(P$6:P570)+1,"")</f>
        <v/>
      </c>
      <c r="Q571">
        <f>IF(E571="","",IF(I571="أجور عمال","أجرة","مادة"))</f>
        <v/>
      </c>
    </row>
    <row r="572">
      <c r="A572" s="12">
        <f>IF(E572="","",ROW()-6)</f>
        <v/>
      </c>
      <c r="B572" s="13" t="n"/>
      <c r="C572" s="12">
        <f>IF(B572="","",CHOOSE(WEEKDAY(B572,1),"الأحد","الاثنين","الثلاثاء","الأربعاء","الخميس","الجمعة","السبت"))</f>
        <v/>
      </c>
      <c r="D572" s="14" t="n"/>
      <c r="E572" s="15" t="n"/>
      <c r="F572" s="16" t="n"/>
      <c r="G572" s="17" t="n"/>
      <c r="H572" s="18">
        <f>IF(OR(F572="",G572=""),"",ROUND(F572*G572,2))</f>
        <v/>
      </c>
      <c r="I572" s="19">
        <f>IF(ISNUMBER(SEARCH("ستاند",D572)),"أثاث وستاندات","")</f>
        <v/>
      </c>
      <c r="J572" s="20">
        <f>IF(E572="","",IF(I572="","⚠ عبّي الغرض",IF(AND(D572&lt;&gt;"",OR(ISNUMBER(SEARCH("صيانة",D572)),ISNUMBER(SEARCH("تعزيل",D572)),ISNUMBER(SEARCH("تنظيف",D572)),ISNUMBER(SEARCH("تصليح",D572)))),"⚠ الصيانة بلا ورشة",IF(H572="","⚠ ناقص",IF(D572&lt;&gt;"",IF(SUMIF($D$7:$D$806,D572,$H$7:$H$806)&gt;=20,"أصل","مصروف"),IFERROR(IF(VLOOKUP(I572,'القوائم'!$A$2:$D$14,4,0)="زكاة وصدقة","زكاة وصدقة",IF(AND(VLOOKUP(I572,'القوائم'!$A$2:$D$14,3,0)&lt;&gt;"",H572&gt;=20),"أصل","مصروف")),"مصروف"))))))</f>
        <v/>
      </c>
      <c r="K572" s="21" t="n"/>
      <c r="L572" s="22" t="n"/>
      <c r="N572">
        <f>IF(B572="","",MONTH(B572))</f>
        <v/>
      </c>
      <c r="O572">
        <f>IF(B572="","",YEAR(B572))</f>
        <v/>
      </c>
      <c r="P572">
        <f>IF(AND(D572&lt;&gt;"",COUNTIF(D$7:D572,D572)=1),MAX(P$6:P571)+1,"")</f>
        <v/>
      </c>
      <c r="Q572">
        <f>IF(E572="","",IF(I572="أجور عمال","أجرة","مادة"))</f>
        <v/>
      </c>
    </row>
    <row r="573">
      <c r="A573" s="12">
        <f>IF(E573="","",ROW()-6)</f>
        <v/>
      </c>
      <c r="B573" s="13" t="n"/>
      <c r="C573" s="12">
        <f>IF(B573="","",CHOOSE(WEEKDAY(B573,1),"الأحد","الاثنين","الثلاثاء","الأربعاء","الخميس","الجمعة","السبت"))</f>
        <v/>
      </c>
      <c r="D573" s="14" t="n"/>
      <c r="E573" s="15" t="n"/>
      <c r="F573" s="16" t="n"/>
      <c r="G573" s="17" t="n"/>
      <c r="H573" s="18">
        <f>IF(OR(F573="",G573=""),"",ROUND(F573*G573,2))</f>
        <v/>
      </c>
      <c r="I573" s="19">
        <f>IF(ISNUMBER(SEARCH("ستاند",D573)),"أثاث وستاندات","")</f>
        <v/>
      </c>
      <c r="J573" s="20">
        <f>IF(E573="","",IF(I573="","⚠ عبّي الغرض",IF(AND(D573&lt;&gt;"",OR(ISNUMBER(SEARCH("صيانة",D573)),ISNUMBER(SEARCH("تعزيل",D573)),ISNUMBER(SEARCH("تنظيف",D573)),ISNUMBER(SEARCH("تصليح",D573)))),"⚠ الصيانة بلا ورشة",IF(H573="","⚠ ناقص",IF(D573&lt;&gt;"",IF(SUMIF($D$7:$D$806,D573,$H$7:$H$806)&gt;=20,"أصل","مصروف"),IFERROR(IF(VLOOKUP(I573,'القوائم'!$A$2:$D$14,4,0)="زكاة وصدقة","زكاة وصدقة",IF(AND(VLOOKUP(I573,'القوائم'!$A$2:$D$14,3,0)&lt;&gt;"",H573&gt;=20),"أصل","مصروف")),"مصروف"))))))</f>
        <v/>
      </c>
      <c r="K573" s="21" t="n"/>
      <c r="L573" s="22" t="n"/>
      <c r="N573">
        <f>IF(B573="","",MONTH(B573))</f>
        <v/>
      </c>
      <c r="O573">
        <f>IF(B573="","",YEAR(B573))</f>
        <v/>
      </c>
      <c r="P573">
        <f>IF(AND(D573&lt;&gt;"",COUNTIF(D$7:D573,D573)=1),MAX(P$6:P572)+1,"")</f>
        <v/>
      </c>
      <c r="Q573">
        <f>IF(E573="","",IF(I573="أجور عمال","أجرة","مادة"))</f>
        <v/>
      </c>
    </row>
    <row r="574">
      <c r="A574" s="12">
        <f>IF(E574="","",ROW()-6)</f>
        <v/>
      </c>
      <c r="B574" s="13" t="n"/>
      <c r="C574" s="12">
        <f>IF(B574="","",CHOOSE(WEEKDAY(B574,1),"الأحد","الاثنين","الثلاثاء","الأربعاء","الخميس","الجمعة","السبت"))</f>
        <v/>
      </c>
      <c r="D574" s="14" t="n"/>
      <c r="E574" s="15" t="n"/>
      <c r="F574" s="16" t="n"/>
      <c r="G574" s="17" t="n"/>
      <c r="H574" s="18">
        <f>IF(OR(F574="",G574=""),"",ROUND(F574*G574,2))</f>
        <v/>
      </c>
      <c r="I574" s="19">
        <f>IF(ISNUMBER(SEARCH("ستاند",D574)),"أثاث وستاندات","")</f>
        <v/>
      </c>
      <c r="J574" s="20">
        <f>IF(E574="","",IF(I574="","⚠ عبّي الغرض",IF(AND(D574&lt;&gt;"",OR(ISNUMBER(SEARCH("صيانة",D574)),ISNUMBER(SEARCH("تعزيل",D574)),ISNUMBER(SEARCH("تنظيف",D574)),ISNUMBER(SEARCH("تصليح",D574)))),"⚠ الصيانة بلا ورشة",IF(H574="","⚠ ناقص",IF(D574&lt;&gt;"",IF(SUMIF($D$7:$D$806,D574,$H$7:$H$806)&gt;=20,"أصل","مصروف"),IFERROR(IF(VLOOKUP(I574,'القوائم'!$A$2:$D$14,4,0)="زكاة وصدقة","زكاة وصدقة",IF(AND(VLOOKUP(I574,'القوائم'!$A$2:$D$14,3,0)&lt;&gt;"",H574&gt;=20),"أصل","مصروف")),"مصروف"))))))</f>
        <v/>
      </c>
      <c r="K574" s="21" t="n"/>
      <c r="L574" s="22" t="n"/>
      <c r="N574">
        <f>IF(B574="","",MONTH(B574))</f>
        <v/>
      </c>
      <c r="O574">
        <f>IF(B574="","",YEAR(B574))</f>
        <v/>
      </c>
      <c r="P574">
        <f>IF(AND(D574&lt;&gt;"",COUNTIF(D$7:D574,D574)=1),MAX(P$6:P573)+1,"")</f>
        <v/>
      </c>
      <c r="Q574">
        <f>IF(E574="","",IF(I574="أجور عمال","أجرة","مادة"))</f>
        <v/>
      </c>
    </row>
    <row r="575">
      <c r="A575" s="12">
        <f>IF(E575="","",ROW()-6)</f>
        <v/>
      </c>
      <c r="B575" s="13" t="n"/>
      <c r="C575" s="12">
        <f>IF(B575="","",CHOOSE(WEEKDAY(B575,1),"الأحد","الاثنين","الثلاثاء","الأربعاء","الخميس","الجمعة","السبت"))</f>
        <v/>
      </c>
      <c r="D575" s="14" t="n"/>
      <c r="E575" s="15" t="n"/>
      <c r="F575" s="16" t="n"/>
      <c r="G575" s="17" t="n"/>
      <c r="H575" s="18">
        <f>IF(OR(F575="",G575=""),"",ROUND(F575*G575,2))</f>
        <v/>
      </c>
      <c r="I575" s="19">
        <f>IF(ISNUMBER(SEARCH("ستاند",D575)),"أثاث وستاندات","")</f>
        <v/>
      </c>
      <c r="J575" s="20">
        <f>IF(E575="","",IF(I575="","⚠ عبّي الغرض",IF(AND(D575&lt;&gt;"",OR(ISNUMBER(SEARCH("صيانة",D575)),ISNUMBER(SEARCH("تعزيل",D575)),ISNUMBER(SEARCH("تنظيف",D575)),ISNUMBER(SEARCH("تصليح",D575)))),"⚠ الصيانة بلا ورشة",IF(H575="","⚠ ناقص",IF(D575&lt;&gt;"",IF(SUMIF($D$7:$D$806,D575,$H$7:$H$806)&gt;=20,"أصل","مصروف"),IFERROR(IF(VLOOKUP(I575,'القوائم'!$A$2:$D$14,4,0)="زكاة وصدقة","زكاة وصدقة",IF(AND(VLOOKUP(I575,'القوائم'!$A$2:$D$14,3,0)&lt;&gt;"",H575&gt;=20),"أصل","مصروف")),"مصروف"))))))</f>
        <v/>
      </c>
      <c r="K575" s="21" t="n"/>
      <c r="L575" s="22" t="n"/>
      <c r="N575">
        <f>IF(B575="","",MONTH(B575))</f>
        <v/>
      </c>
      <c r="O575">
        <f>IF(B575="","",YEAR(B575))</f>
        <v/>
      </c>
      <c r="P575">
        <f>IF(AND(D575&lt;&gt;"",COUNTIF(D$7:D575,D575)=1),MAX(P$6:P574)+1,"")</f>
        <v/>
      </c>
      <c r="Q575">
        <f>IF(E575="","",IF(I575="أجور عمال","أجرة","مادة"))</f>
        <v/>
      </c>
    </row>
    <row r="576">
      <c r="A576" s="12">
        <f>IF(E576="","",ROW()-6)</f>
        <v/>
      </c>
      <c r="B576" s="13" t="n"/>
      <c r="C576" s="12">
        <f>IF(B576="","",CHOOSE(WEEKDAY(B576,1),"الأحد","الاثنين","الثلاثاء","الأربعاء","الخميس","الجمعة","السبت"))</f>
        <v/>
      </c>
      <c r="D576" s="14" t="n"/>
      <c r="E576" s="15" t="n"/>
      <c r="F576" s="16" t="n"/>
      <c r="G576" s="17" t="n"/>
      <c r="H576" s="18">
        <f>IF(OR(F576="",G576=""),"",ROUND(F576*G576,2))</f>
        <v/>
      </c>
      <c r="I576" s="19">
        <f>IF(ISNUMBER(SEARCH("ستاند",D576)),"أثاث وستاندات","")</f>
        <v/>
      </c>
      <c r="J576" s="20">
        <f>IF(E576="","",IF(I576="","⚠ عبّي الغرض",IF(AND(D576&lt;&gt;"",OR(ISNUMBER(SEARCH("صيانة",D576)),ISNUMBER(SEARCH("تعزيل",D576)),ISNUMBER(SEARCH("تنظيف",D576)),ISNUMBER(SEARCH("تصليح",D576)))),"⚠ الصيانة بلا ورشة",IF(H576="","⚠ ناقص",IF(D576&lt;&gt;"",IF(SUMIF($D$7:$D$806,D576,$H$7:$H$806)&gt;=20,"أصل","مصروف"),IFERROR(IF(VLOOKUP(I576,'القوائم'!$A$2:$D$14,4,0)="زكاة وصدقة","زكاة وصدقة",IF(AND(VLOOKUP(I576,'القوائم'!$A$2:$D$14,3,0)&lt;&gt;"",H576&gt;=20),"أصل","مصروف")),"مصروف"))))))</f>
        <v/>
      </c>
      <c r="K576" s="21" t="n"/>
      <c r="L576" s="22" t="n"/>
      <c r="N576">
        <f>IF(B576="","",MONTH(B576))</f>
        <v/>
      </c>
      <c r="O576">
        <f>IF(B576="","",YEAR(B576))</f>
        <v/>
      </c>
      <c r="P576">
        <f>IF(AND(D576&lt;&gt;"",COUNTIF(D$7:D576,D576)=1),MAX(P$6:P575)+1,"")</f>
        <v/>
      </c>
      <c r="Q576">
        <f>IF(E576="","",IF(I576="أجور عمال","أجرة","مادة"))</f>
        <v/>
      </c>
    </row>
    <row r="577">
      <c r="A577" s="12">
        <f>IF(E577="","",ROW()-6)</f>
        <v/>
      </c>
      <c r="B577" s="13" t="n"/>
      <c r="C577" s="12">
        <f>IF(B577="","",CHOOSE(WEEKDAY(B577,1),"الأحد","الاثنين","الثلاثاء","الأربعاء","الخميس","الجمعة","السبت"))</f>
        <v/>
      </c>
      <c r="D577" s="14" t="n"/>
      <c r="E577" s="15" t="n"/>
      <c r="F577" s="16" t="n"/>
      <c r="G577" s="17" t="n"/>
      <c r="H577" s="18">
        <f>IF(OR(F577="",G577=""),"",ROUND(F577*G577,2))</f>
        <v/>
      </c>
      <c r="I577" s="19">
        <f>IF(ISNUMBER(SEARCH("ستاند",D577)),"أثاث وستاندات","")</f>
        <v/>
      </c>
      <c r="J577" s="20">
        <f>IF(E577="","",IF(I577="","⚠ عبّي الغرض",IF(AND(D577&lt;&gt;"",OR(ISNUMBER(SEARCH("صيانة",D577)),ISNUMBER(SEARCH("تعزيل",D577)),ISNUMBER(SEARCH("تنظيف",D577)),ISNUMBER(SEARCH("تصليح",D577)))),"⚠ الصيانة بلا ورشة",IF(H577="","⚠ ناقص",IF(D577&lt;&gt;"",IF(SUMIF($D$7:$D$806,D577,$H$7:$H$806)&gt;=20,"أصل","مصروف"),IFERROR(IF(VLOOKUP(I577,'القوائم'!$A$2:$D$14,4,0)="زكاة وصدقة","زكاة وصدقة",IF(AND(VLOOKUP(I577,'القوائم'!$A$2:$D$14,3,0)&lt;&gt;"",H577&gt;=20),"أصل","مصروف")),"مصروف"))))))</f>
        <v/>
      </c>
      <c r="K577" s="21" t="n"/>
      <c r="L577" s="22" t="n"/>
      <c r="N577">
        <f>IF(B577="","",MONTH(B577))</f>
        <v/>
      </c>
      <c r="O577">
        <f>IF(B577="","",YEAR(B577))</f>
        <v/>
      </c>
      <c r="P577">
        <f>IF(AND(D577&lt;&gt;"",COUNTIF(D$7:D577,D577)=1),MAX(P$6:P576)+1,"")</f>
        <v/>
      </c>
      <c r="Q577">
        <f>IF(E577="","",IF(I577="أجور عمال","أجرة","مادة"))</f>
        <v/>
      </c>
    </row>
    <row r="578">
      <c r="A578" s="12">
        <f>IF(E578="","",ROW()-6)</f>
        <v/>
      </c>
      <c r="B578" s="13" t="n"/>
      <c r="C578" s="12">
        <f>IF(B578="","",CHOOSE(WEEKDAY(B578,1),"الأحد","الاثنين","الثلاثاء","الأربعاء","الخميس","الجمعة","السبت"))</f>
        <v/>
      </c>
      <c r="D578" s="14" t="n"/>
      <c r="E578" s="15" t="n"/>
      <c r="F578" s="16" t="n"/>
      <c r="G578" s="17" t="n"/>
      <c r="H578" s="18">
        <f>IF(OR(F578="",G578=""),"",ROUND(F578*G578,2))</f>
        <v/>
      </c>
      <c r="I578" s="19">
        <f>IF(ISNUMBER(SEARCH("ستاند",D578)),"أثاث وستاندات","")</f>
        <v/>
      </c>
      <c r="J578" s="20">
        <f>IF(E578="","",IF(I578="","⚠ عبّي الغرض",IF(AND(D578&lt;&gt;"",OR(ISNUMBER(SEARCH("صيانة",D578)),ISNUMBER(SEARCH("تعزيل",D578)),ISNUMBER(SEARCH("تنظيف",D578)),ISNUMBER(SEARCH("تصليح",D578)))),"⚠ الصيانة بلا ورشة",IF(H578="","⚠ ناقص",IF(D578&lt;&gt;"",IF(SUMIF($D$7:$D$806,D578,$H$7:$H$806)&gt;=20,"أصل","مصروف"),IFERROR(IF(VLOOKUP(I578,'القوائم'!$A$2:$D$14,4,0)="زكاة وصدقة","زكاة وصدقة",IF(AND(VLOOKUP(I578,'القوائم'!$A$2:$D$14,3,0)&lt;&gt;"",H578&gt;=20),"أصل","مصروف")),"مصروف"))))))</f>
        <v/>
      </c>
      <c r="K578" s="21" t="n"/>
      <c r="L578" s="22" t="n"/>
      <c r="N578">
        <f>IF(B578="","",MONTH(B578))</f>
        <v/>
      </c>
      <c r="O578">
        <f>IF(B578="","",YEAR(B578))</f>
        <v/>
      </c>
      <c r="P578">
        <f>IF(AND(D578&lt;&gt;"",COUNTIF(D$7:D578,D578)=1),MAX(P$6:P577)+1,"")</f>
        <v/>
      </c>
      <c r="Q578">
        <f>IF(E578="","",IF(I578="أجور عمال","أجرة","مادة"))</f>
        <v/>
      </c>
    </row>
    <row r="579">
      <c r="A579" s="12">
        <f>IF(E579="","",ROW()-6)</f>
        <v/>
      </c>
      <c r="B579" s="13" t="n"/>
      <c r="C579" s="12">
        <f>IF(B579="","",CHOOSE(WEEKDAY(B579,1),"الأحد","الاثنين","الثلاثاء","الأربعاء","الخميس","الجمعة","السبت"))</f>
        <v/>
      </c>
      <c r="D579" s="14" t="n"/>
      <c r="E579" s="15" t="n"/>
      <c r="F579" s="16" t="n"/>
      <c r="G579" s="17" t="n"/>
      <c r="H579" s="18">
        <f>IF(OR(F579="",G579=""),"",ROUND(F579*G579,2))</f>
        <v/>
      </c>
      <c r="I579" s="19">
        <f>IF(ISNUMBER(SEARCH("ستاند",D579)),"أثاث وستاندات","")</f>
        <v/>
      </c>
      <c r="J579" s="20">
        <f>IF(E579="","",IF(I579="","⚠ عبّي الغرض",IF(AND(D579&lt;&gt;"",OR(ISNUMBER(SEARCH("صيانة",D579)),ISNUMBER(SEARCH("تعزيل",D579)),ISNUMBER(SEARCH("تنظيف",D579)),ISNUMBER(SEARCH("تصليح",D579)))),"⚠ الصيانة بلا ورشة",IF(H579="","⚠ ناقص",IF(D579&lt;&gt;"",IF(SUMIF($D$7:$D$806,D579,$H$7:$H$806)&gt;=20,"أصل","مصروف"),IFERROR(IF(VLOOKUP(I579,'القوائم'!$A$2:$D$14,4,0)="زكاة وصدقة","زكاة وصدقة",IF(AND(VLOOKUP(I579,'القوائم'!$A$2:$D$14,3,0)&lt;&gt;"",H579&gt;=20),"أصل","مصروف")),"مصروف"))))))</f>
        <v/>
      </c>
      <c r="K579" s="21" t="n"/>
      <c r="L579" s="22" t="n"/>
      <c r="N579">
        <f>IF(B579="","",MONTH(B579))</f>
        <v/>
      </c>
      <c r="O579">
        <f>IF(B579="","",YEAR(B579))</f>
        <v/>
      </c>
      <c r="P579">
        <f>IF(AND(D579&lt;&gt;"",COUNTIF(D$7:D579,D579)=1),MAX(P$6:P578)+1,"")</f>
        <v/>
      </c>
      <c r="Q579">
        <f>IF(E579="","",IF(I579="أجور عمال","أجرة","مادة"))</f>
        <v/>
      </c>
    </row>
    <row r="580">
      <c r="A580" s="12">
        <f>IF(E580="","",ROW()-6)</f>
        <v/>
      </c>
      <c r="B580" s="13" t="n"/>
      <c r="C580" s="12">
        <f>IF(B580="","",CHOOSE(WEEKDAY(B580,1),"الأحد","الاثنين","الثلاثاء","الأربعاء","الخميس","الجمعة","السبت"))</f>
        <v/>
      </c>
      <c r="D580" s="14" t="n"/>
      <c r="E580" s="15" t="n"/>
      <c r="F580" s="16" t="n"/>
      <c r="G580" s="17" t="n"/>
      <c r="H580" s="18">
        <f>IF(OR(F580="",G580=""),"",ROUND(F580*G580,2))</f>
        <v/>
      </c>
      <c r="I580" s="19">
        <f>IF(ISNUMBER(SEARCH("ستاند",D580)),"أثاث وستاندات","")</f>
        <v/>
      </c>
      <c r="J580" s="20">
        <f>IF(E580="","",IF(I580="","⚠ عبّي الغرض",IF(AND(D580&lt;&gt;"",OR(ISNUMBER(SEARCH("صيانة",D580)),ISNUMBER(SEARCH("تعزيل",D580)),ISNUMBER(SEARCH("تنظيف",D580)),ISNUMBER(SEARCH("تصليح",D580)))),"⚠ الصيانة بلا ورشة",IF(H580="","⚠ ناقص",IF(D580&lt;&gt;"",IF(SUMIF($D$7:$D$806,D580,$H$7:$H$806)&gt;=20,"أصل","مصروف"),IFERROR(IF(VLOOKUP(I580,'القوائم'!$A$2:$D$14,4,0)="زكاة وصدقة","زكاة وصدقة",IF(AND(VLOOKUP(I580,'القوائم'!$A$2:$D$14,3,0)&lt;&gt;"",H580&gt;=20),"أصل","مصروف")),"مصروف"))))))</f>
        <v/>
      </c>
      <c r="K580" s="21" t="n"/>
      <c r="L580" s="22" t="n"/>
      <c r="N580">
        <f>IF(B580="","",MONTH(B580))</f>
        <v/>
      </c>
      <c r="O580">
        <f>IF(B580="","",YEAR(B580))</f>
        <v/>
      </c>
      <c r="P580">
        <f>IF(AND(D580&lt;&gt;"",COUNTIF(D$7:D580,D580)=1),MAX(P$6:P579)+1,"")</f>
        <v/>
      </c>
      <c r="Q580">
        <f>IF(E580="","",IF(I580="أجور عمال","أجرة","مادة"))</f>
        <v/>
      </c>
    </row>
    <row r="581">
      <c r="A581" s="12">
        <f>IF(E581="","",ROW()-6)</f>
        <v/>
      </c>
      <c r="B581" s="13" t="n"/>
      <c r="C581" s="12">
        <f>IF(B581="","",CHOOSE(WEEKDAY(B581,1),"الأحد","الاثنين","الثلاثاء","الأربعاء","الخميس","الجمعة","السبت"))</f>
        <v/>
      </c>
      <c r="D581" s="14" t="n"/>
      <c r="E581" s="15" t="n"/>
      <c r="F581" s="16" t="n"/>
      <c r="G581" s="17" t="n"/>
      <c r="H581" s="18">
        <f>IF(OR(F581="",G581=""),"",ROUND(F581*G581,2))</f>
        <v/>
      </c>
      <c r="I581" s="19">
        <f>IF(ISNUMBER(SEARCH("ستاند",D581)),"أثاث وستاندات","")</f>
        <v/>
      </c>
      <c r="J581" s="20">
        <f>IF(E581="","",IF(I581="","⚠ عبّي الغرض",IF(AND(D581&lt;&gt;"",OR(ISNUMBER(SEARCH("صيانة",D581)),ISNUMBER(SEARCH("تعزيل",D581)),ISNUMBER(SEARCH("تنظيف",D581)),ISNUMBER(SEARCH("تصليح",D581)))),"⚠ الصيانة بلا ورشة",IF(H581="","⚠ ناقص",IF(D581&lt;&gt;"",IF(SUMIF($D$7:$D$806,D581,$H$7:$H$806)&gt;=20,"أصل","مصروف"),IFERROR(IF(VLOOKUP(I581,'القوائم'!$A$2:$D$14,4,0)="زكاة وصدقة","زكاة وصدقة",IF(AND(VLOOKUP(I581,'القوائم'!$A$2:$D$14,3,0)&lt;&gt;"",H581&gt;=20),"أصل","مصروف")),"مصروف"))))))</f>
        <v/>
      </c>
      <c r="K581" s="21" t="n"/>
      <c r="L581" s="22" t="n"/>
      <c r="N581">
        <f>IF(B581="","",MONTH(B581))</f>
        <v/>
      </c>
      <c r="O581">
        <f>IF(B581="","",YEAR(B581))</f>
        <v/>
      </c>
      <c r="P581">
        <f>IF(AND(D581&lt;&gt;"",COUNTIF(D$7:D581,D581)=1),MAX(P$6:P580)+1,"")</f>
        <v/>
      </c>
      <c r="Q581">
        <f>IF(E581="","",IF(I581="أجور عمال","أجرة","مادة"))</f>
        <v/>
      </c>
    </row>
    <row r="582">
      <c r="A582" s="12">
        <f>IF(E582="","",ROW()-6)</f>
        <v/>
      </c>
      <c r="B582" s="13" t="n"/>
      <c r="C582" s="12">
        <f>IF(B582="","",CHOOSE(WEEKDAY(B582,1),"الأحد","الاثنين","الثلاثاء","الأربعاء","الخميس","الجمعة","السبت"))</f>
        <v/>
      </c>
      <c r="D582" s="14" t="n"/>
      <c r="E582" s="15" t="n"/>
      <c r="F582" s="16" t="n"/>
      <c r="G582" s="17" t="n"/>
      <c r="H582" s="18">
        <f>IF(OR(F582="",G582=""),"",ROUND(F582*G582,2))</f>
        <v/>
      </c>
      <c r="I582" s="19">
        <f>IF(ISNUMBER(SEARCH("ستاند",D582)),"أثاث وستاندات","")</f>
        <v/>
      </c>
      <c r="J582" s="20">
        <f>IF(E582="","",IF(I582="","⚠ عبّي الغرض",IF(AND(D582&lt;&gt;"",OR(ISNUMBER(SEARCH("صيانة",D582)),ISNUMBER(SEARCH("تعزيل",D582)),ISNUMBER(SEARCH("تنظيف",D582)),ISNUMBER(SEARCH("تصليح",D582)))),"⚠ الصيانة بلا ورشة",IF(H582="","⚠ ناقص",IF(D582&lt;&gt;"",IF(SUMIF($D$7:$D$806,D582,$H$7:$H$806)&gt;=20,"أصل","مصروف"),IFERROR(IF(VLOOKUP(I582,'القوائم'!$A$2:$D$14,4,0)="زكاة وصدقة","زكاة وصدقة",IF(AND(VLOOKUP(I582,'القوائم'!$A$2:$D$14,3,0)&lt;&gt;"",H582&gt;=20),"أصل","مصروف")),"مصروف"))))))</f>
        <v/>
      </c>
      <c r="K582" s="21" t="n"/>
      <c r="L582" s="22" t="n"/>
      <c r="N582">
        <f>IF(B582="","",MONTH(B582))</f>
        <v/>
      </c>
      <c r="O582">
        <f>IF(B582="","",YEAR(B582))</f>
        <v/>
      </c>
      <c r="P582">
        <f>IF(AND(D582&lt;&gt;"",COUNTIF(D$7:D582,D582)=1),MAX(P$6:P581)+1,"")</f>
        <v/>
      </c>
      <c r="Q582">
        <f>IF(E582="","",IF(I582="أجور عمال","أجرة","مادة"))</f>
        <v/>
      </c>
    </row>
    <row r="583">
      <c r="A583" s="12">
        <f>IF(E583="","",ROW()-6)</f>
        <v/>
      </c>
      <c r="B583" s="13" t="n"/>
      <c r="C583" s="12">
        <f>IF(B583="","",CHOOSE(WEEKDAY(B583,1),"الأحد","الاثنين","الثلاثاء","الأربعاء","الخميس","الجمعة","السبت"))</f>
        <v/>
      </c>
      <c r="D583" s="14" t="n"/>
      <c r="E583" s="15" t="n"/>
      <c r="F583" s="16" t="n"/>
      <c r="G583" s="17" t="n"/>
      <c r="H583" s="18">
        <f>IF(OR(F583="",G583=""),"",ROUND(F583*G583,2))</f>
        <v/>
      </c>
      <c r="I583" s="19">
        <f>IF(ISNUMBER(SEARCH("ستاند",D583)),"أثاث وستاندات","")</f>
        <v/>
      </c>
      <c r="J583" s="20">
        <f>IF(E583="","",IF(I583="","⚠ عبّي الغرض",IF(AND(D583&lt;&gt;"",OR(ISNUMBER(SEARCH("صيانة",D583)),ISNUMBER(SEARCH("تعزيل",D583)),ISNUMBER(SEARCH("تنظيف",D583)),ISNUMBER(SEARCH("تصليح",D583)))),"⚠ الصيانة بلا ورشة",IF(H583="","⚠ ناقص",IF(D583&lt;&gt;"",IF(SUMIF($D$7:$D$806,D583,$H$7:$H$806)&gt;=20,"أصل","مصروف"),IFERROR(IF(VLOOKUP(I583,'القوائم'!$A$2:$D$14,4,0)="زكاة وصدقة","زكاة وصدقة",IF(AND(VLOOKUP(I583,'القوائم'!$A$2:$D$14,3,0)&lt;&gt;"",H583&gt;=20),"أصل","مصروف")),"مصروف"))))))</f>
        <v/>
      </c>
      <c r="K583" s="21" t="n"/>
      <c r="L583" s="22" t="n"/>
      <c r="N583">
        <f>IF(B583="","",MONTH(B583))</f>
        <v/>
      </c>
      <c r="O583">
        <f>IF(B583="","",YEAR(B583))</f>
        <v/>
      </c>
      <c r="P583">
        <f>IF(AND(D583&lt;&gt;"",COUNTIF(D$7:D583,D583)=1),MAX(P$6:P582)+1,"")</f>
        <v/>
      </c>
      <c r="Q583">
        <f>IF(E583="","",IF(I583="أجور عمال","أجرة","مادة"))</f>
        <v/>
      </c>
    </row>
    <row r="584">
      <c r="A584" s="12">
        <f>IF(E584="","",ROW()-6)</f>
        <v/>
      </c>
      <c r="B584" s="13" t="n"/>
      <c r="C584" s="12">
        <f>IF(B584="","",CHOOSE(WEEKDAY(B584,1),"الأحد","الاثنين","الثلاثاء","الأربعاء","الخميس","الجمعة","السبت"))</f>
        <v/>
      </c>
      <c r="D584" s="14" t="n"/>
      <c r="E584" s="15" t="n"/>
      <c r="F584" s="16" t="n"/>
      <c r="G584" s="17" t="n"/>
      <c r="H584" s="18">
        <f>IF(OR(F584="",G584=""),"",ROUND(F584*G584,2))</f>
        <v/>
      </c>
      <c r="I584" s="19">
        <f>IF(ISNUMBER(SEARCH("ستاند",D584)),"أثاث وستاندات","")</f>
        <v/>
      </c>
      <c r="J584" s="20">
        <f>IF(E584="","",IF(I584="","⚠ عبّي الغرض",IF(AND(D584&lt;&gt;"",OR(ISNUMBER(SEARCH("صيانة",D584)),ISNUMBER(SEARCH("تعزيل",D584)),ISNUMBER(SEARCH("تنظيف",D584)),ISNUMBER(SEARCH("تصليح",D584)))),"⚠ الصيانة بلا ورشة",IF(H584="","⚠ ناقص",IF(D584&lt;&gt;"",IF(SUMIF($D$7:$D$806,D584,$H$7:$H$806)&gt;=20,"أصل","مصروف"),IFERROR(IF(VLOOKUP(I584,'القوائم'!$A$2:$D$14,4,0)="زكاة وصدقة","زكاة وصدقة",IF(AND(VLOOKUP(I584,'القوائم'!$A$2:$D$14,3,0)&lt;&gt;"",H584&gt;=20),"أصل","مصروف")),"مصروف"))))))</f>
        <v/>
      </c>
      <c r="K584" s="21" t="n"/>
      <c r="L584" s="22" t="n"/>
      <c r="N584">
        <f>IF(B584="","",MONTH(B584))</f>
        <v/>
      </c>
      <c r="O584">
        <f>IF(B584="","",YEAR(B584))</f>
        <v/>
      </c>
      <c r="P584">
        <f>IF(AND(D584&lt;&gt;"",COUNTIF(D$7:D584,D584)=1),MAX(P$6:P583)+1,"")</f>
        <v/>
      </c>
      <c r="Q584">
        <f>IF(E584="","",IF(I584="أجور عمال","أجرة","مادة"))</f>
        <v/>
      </c>
    </row>
    <row r="585">
      <c r="A585" s="12">
        <f>IF(E585="","",ROW()-6)</f>
        <v/>
      </c>
      <c r="B585" s="13" t="n"/>
      <c r="C585" s="12">
        <f>IF(B585="","",CHOOSE(WEEKDAY(B585,1),"الأحد","الاثنين","الثلاثاء","الأربعاء","الخميس","الجمعة","السبت"))</f>
        <v/>
      </c>
      <c r="D585" s="14" t="n"/>
      <c r="E585" s="15" t="n"/>
      <c r="F585" s="16" t="n"/>
      <c r="G585" s="17" t="n"/>
      <c r="H585" s="18">
        <f>IF(OR(F585="",G585=""),"",ROUND(F585*G585,2))</f>
        <v/>
      </c>
      <c r="I585" s="19">
        <f>IF(ISNUMBER(SEARCH("ستاند",D585)),"أثاث وستاندات","")</f>
        <v/>
      </c>
      <c r="J585" s="20">
        <f>IF(E585="","",IF(I585="","⚠ عبّي الغرض",IF(AND(D585&lt;&gt;"",OR(ISNUMBER(SEARCH("صيانة",D585)),ISNUMBER(SEARCH("تعزيل",D585)),ISNUMBER(SEARCH("تنظيف",D585)),ISNUMBER(SEARCH("تصليح",D585)))),"⚠ الصيانة بلا ورشة",IF(H585="","⚠ ناقص",IF(D585&lt;&gt;"",IF(SUMIF($D$7:$D$806,D585,$H$7:$H$806)&gt;=20,"أصل","مصروف"),IFERROR(IF(VLOOKUP(I585,'القوائم'!$A$2:$D$14,4,0)="زكاة وصدقة","زكاة وصدقة",IF(AND(VLOOKUP(I585,'القوائم'!$A$2:$D$14,3,0)&lt;&gt;"",H585&gt;=20),"أصل","مصروف")),"مصروف"))))))</f>
        <v/>
      </c>
      <c r="K585" s="21" t="n"/>
      <c r="L585" s="22" t="n"/>
      <c r="N585">
        <f>IF(B585="","",MONTH(B585))</f>
        <v/>
      </c>
      <c r="O585">
        <f>IF(B585="","",YEAR(B585))</f>
        <v/>
      </c>
      <c r="P585">
        <f>IF(AND(D585&lt;&gt;"",COUNTIF(D$7:D585,D585)=1),MAX(P$6:P584)+1,"")</f>
        <v/>
      </c>
      <c r="Q585">
        <f>IF(E585="","",IF(I585="أجور عمال","أجرة","مادة"))</f>
        <v/>
      </c>
    </row>
    <row r="586">
      <c r="A586" s="12">
        <f>IF(E586="","",ROW()-6)</f>
        <v/>
      </c>
      <c r="B586" s="13" t="n"/>
      <c r="C586" s="12">
        <f>IF(B586="","",CHOOSE(WEEKDAY(B586,1),"الأحد","الاثنين","الثلاثاء","الأربعاء","الخميس","الجمعة","السبت"))</f>
        <v/>
      </c>
      <c r="D586" s="14" t="n"/>
      <c r="E586" s="15" t="n"/>
      <c r="F586" s="16" t="n"/>
      <c r="G586" s="17" t="n"/>
      <c r="H586" s="18">
        <f>IF(OR(F586="",G586=""),"",ROUND(F586*G586,2))</f>
        <v/>
      </c>
      <c r="I586" s="19">
        <f>IF(ISNUMBER(SEARCH("ستاند",D586)),"أثاث وستاندات","")</f>
        <v/>
      </c>
      <c r="J586" s="20">
        <f>IF(E586="","",IF(I586="","⚠ عبّي الغرض",IF(AND(D586&lt;&gt;"",OR(ISNUMBER(SEARCH("صيانة",D586)),ISNUMBER(SEARCH("تعزيل",D586)),ISNUMBER(SEARCH("تنظيف",D586)),ISNUMBER(SEARCH("تصليح",D586)))),"⚠ الصيانة بلا ورشة",IF(H586="","⚠ ناقص",IF(D586&lt;&gt;"",IF(SUMIF($D$7:$D$806,D586,$H$7:$H$806)&gt;=20,"أصل","مصروف"),IFERROR(IF(VLOOKUP(I586,'القوائم'!$A$2:$D$14,4,0)="زكاة وصدقة","زكاة وصدقة",IF(AND(VLOOKUP(I586,'القوائم'!$A$2:$D$14,3,0)&lt;&gt;"",H586&gt;=20),"أصل","مصروف")),"مصروف"))))))</f>
        <v/>
      </c>
      <c r="K586" s="21" t="n"/>
      <c r="L586" s="22" t="n"/>
      <c r="N586">
        <f>IF(B586="","",MONTH(B586))</f>
        <v/>
      </c>
      <c r="O586">
        <f>IF(B586="","",YEAR(B586))</f>
        <v/>
      </c>
      <c r="P586">
        <f>IF(AND(D586&lt;&gt;"",COUNTIF(D$7:D586,D586)=1),MAX(P$6:P585)+1,"")</f>
        <v/>
      </c>
      <c r="Q586">
        <f>IF(E586="","",IF(I586="أجور عمال","أجرة","مادة"))</f>
        <v/>
      </c>
    </row>
    <row r="587">
      <c r="A587" s="12">
        <f>IF(E587="","",ROW()-6)</f>
        <v/>
      </c>
      <c r="B587" s="13" t="n"/>
      <c r="C587" s="12">
        <f>IF(B587="","",CHOOSE(WEEKDAY(B587,1),"الأحد","الاثنين","الثلاثاء","الأربعاء","الخميس","الجمعة","السبت"))</f>
        <v/>
      </c>
      <c r="D587" s="14" t="n"/>
      <c r="E587" s="15" t="n"/>
      <c r="F587" s="16" t="n"/>
      <c r="G587" s="17" t="n"/>
      <c r="H587" s="18">
        <f>IF(OR(F587="",G587=""),"",ROUND(F587*G587,2))</f>
        <v/>
      </c>
      <c r="I587" s="19">
        <f>IF(ISNUMBER(SEARCH("ستاند",D587)),"أثاث وستاندات","")</f>
        <v/>
      </c>
      <c r="J587" s="20">
        <f>IF(E587="","",IF(I587="","⚠ عبّي الغرض",IF(AND(D587&lt;&gt;"",OR(ISNUMBER(SEARCH("صيانة",D587)),ISNUMBER(SEARCH("تعزيل",D587)),ISNUMBER(SEARCH("تنظيف",D587)),ISNUMBER(SEARCH("تصليح",D587)))),"⚠ الصيانة بلا ورشة",IF(H587="","⚠ ناقص",IF(D587&lt;&gt;"",IF(SUMIF($D$7:$D$806,D587,$H$7:$H$806)&gt;=20,"أصل","مصروف"),IFERROR(IF(VLOOKUP(I587,'القوائم'!$A$2:$D$14,4,0)="زكاة وصدقة","زكاة وصدقة",IF(AND(VLOOKUP(I587,'القوائم'!$A$2:$D$14,3,0)&lt;&gt;"",H587&gt;=20),"أصل","مصروف")),"مصروف"))))))</f>
        <v/>
      </c>
      <c r="K587" s="21" t="n"/>
      <c r="L587" s="22" t="n"/>
      <c r="N587">
        <f>IF(B587="","",MONTH(B587))</f>
        <v/>
      </c>
      <c r="O587">
        <f>IF(B587="","",YEAR(B587))</f>
        <v/>
      </c>
      <c r="P587">
        <f>IF(AND(D587&lt;&gt;"",COUNTIF(D$7:D587,D587)=1),MAX(P$6:P586)+1,"")</f>
        <v/>
      </c>
      <c r="Q587">
        <f>IF(E587="","",IF(I587="أجور عمال","أجرة","مادة"))</f>
        <v/>
      </c>
    </row>
    <row r="588">
      <c r="A588" s="12">
        <f>IF(E588="","",ROW()-6)</f>
        <v/>
      </c>
      <c r="B588" s="13" t="n"/>
      <c r="C588" s="12">
        <f>IF(B588="","",CHOOSE(WEEKDAY(B588,1),"الأحد","الاثنين","الثلاثاء","الأربعاء","الخميس","الجمعة","السبت"))</f>
        <v/>
      </c>
      <c r="D588" s="14" t="n"/>
      <c r="E588" s="15" t="n"/>
      <c r="F588" s="16" t="n"/>
      <c r="G588" s="17" t="n"/>
      <c r="H588" s="18">
        <f>IF(OR(F588="",G588=""),"",ROUND(F588*G588,2))</f>
        <v/>
      </c>
      <c r="I588" s="19">
        <f>IF(ISNUMBER(SEARCH("ستاند",D588)),"أثاث وستاندات","")</f>
        <v/>
      </c>
      <c r="J588" s="20">
        <f>IF(E588="","",IF(I588="","⚠ عبّي الغرض",IF(AND(D588&lt;&gt;"",OR(ISNUMBER(SEARCH("صيانة",D588)),ISNUMBER(SEARCH("تعزيل",D588)),ISNUMBER(SEARCH("تنظيف",D588)),ISNUMBER(SEARCH("تصليح",D588)))),"⚠ الصيانة بلا ورشة",IF(H588="","⚠ ناقص",IF(D588&lt;&gt;"",IF(SUMIF($D$7:$D$806,D588,$H$7:$H$806)&gt;=20,"أصل","مصروف"),IFERROR(IF(VLOOKUP(I588,'القوائم'!$A$2:$D$14,4,0)="زكاة وصدقة","زكاة وصدقة",IF(AND(VLOOKUP(I588,'القوائم'!$A$2:$D$14,3,0)&lt;&gt;"",H588&gt;=20),"أصل","مصروف")),"مصروف"))))))</f>
        <v/>
      </c>
      <c r="K588" s="21" t="n"/>
      <c r="L588" s="22" t="n"/>
      <c r="N588">
        <f>IF(B588="","",MONTH(B588))</f>
        <v/>
      </c>
      <c r="O588">
        <f>IF(B588="","",YEAR(B588))</f>
        <v/>
      </c>
      <c r="P588">
        <f>IF(AND(D588&lt;&gt;"",COUNTIF(D$7:D588,D588)=1),MAX(P$6:P587)+1,"")</f>
        <v/>
      </c>
      <c r="Q588">
        <f>IF(E588="","",IF(I588="أجور عمال","أجرة","مادة"))</f>
        <v/>
      </c>
    </row>
    <row r="589">
      <c r="A589" s="12">
        <f>IF(E589="","",ROW()-6)</f>
        <v/>
      </c>
      <c r="B589" s="13" t="n"/>
      <c r="C589" s="12">
        <f>IF(B589="","",CHOOSE(WEEKDAY(B589,1),"الأحد","الاثنين","الثلاثاء","الأربعاء","الخميس","الجمعة","السبت"))</f>
        <v/>
      </c>
      <c r="D589" s="14" t="n"/>
      <c r="E589" s="15" t="n"/>
      <c r="F589" s="16" t="n"/>
      <c r="G589" s="17" t="n"/>
      <c r="H589" s="18">
        <f>IF(OR(F589="",G589=""),"",ROUND(F589*G589,2))</f>
        <v/>
      </c>
      <c r="I589" s="19">
        <f>IF(ISNUMBER(SEARCH("ستاند",D589)),"أثاث وستاندات","")</f>
        <v/>
      </c>
      <c r="J589" s="20">
        <f>IF(E589="","",IF(I589="","⚠ عبّي الغرض",IF(AND(D589&lt;&gt;"",OR(ISNUMBER(SEARCH("صيانة",D589)),ISNUMBER(SEARCH("تعزيل",D589)),ISNUMBER(SEARCH("تنظيف",D589)),ISNUMBER(SEARCH("تصليح",D589)))),"⚠ الصيانة بلا ورشة",IF(H589="","⚠ ناقص",IF(D589&lt;&gt;"",IF(SUMIF($D$7:$D$806,D589,$H$7:$H$806)&gt;=20,"أصل","مصروف"),IFERROR(IF(VLOOKUP(I589,'القوائم'!$A$2:$D$14,4,0)="زكاة وصدقة","زكاة وصدقة",IF(AND(VLOOKUP(I589,'القوائم'!$A$2:$D$14,3,0)&lt;&gt;"",H589&gt;=20),"أصل","مصروف")),"مصروف"))))))</f>
        <v/>
      </c>
      <c r="K589" s="21" t="n"/>
      <c r="L589" s="22" t="n"/>
      <c r="N589">
        <f>IF(B589="","",MONTH(B589))</f>
        <v/>
      </c>
      <c r="O589">
        <f>IF(B589="","",YEAR(B589))</f>
        <v/>
      </c>
      <c r="P589">
        <f>IF(AND(D589&lt;&gt;"",COUNTIF(D$7:D589,D589)=1),MAX(P$6:P588)+1,"")</f>
        <v/>
      </c>
      <c r="Q589">
        <f>IF(E589="","",IF(I589="أجور عمال","أجرة","مادة"))</f>
        <v/>
      </c>
    </row>
    <row r="590">
      <c r="A590" s="12">
        <f>IF(E590="","",ROW()-6)</f>
        <v/>
      </c>
      <c r="B590" s="13" t="n"/>
      <c r="C590" s="12">
        <f>IF(B590="","",CHOOSE(WEEKDAY(B590,1),"الأحد","الاثنين","الثلاثاء","الأربعاء","الخميس","الجمعة","السبت"))</f>
        <v/>
      </c>
      <c r="D590" s="14" t="n"/>
      <c r="E590" s="15" t="n"/>
      <c r="F590" s="16" t="n"/>
      <c r="G590" s="17" t="n"/>
      <c r="H590" s="18">
        <f>IF(OR(F590="",G590=""),"",ROUND(F590*G590,2))</f>
        <v/>
      </c>
      <c r="I590" s="19">
        <f>IF(ISNUMBER(SEARCH("ستاند",D590)),"أثاث وستاندات","")</f>
        <v/>
      </c>
      <c r="J590" s="20">
        <f>IF(E590="","",IF(I590="","⚠ عبّي الغرض",IF(AND(D590&lt;&gt;"",OR(ISNUMBER(SEARCH("صيانة",D590)),ISNUMBER(SEARCH("تعزيل",D590)),ISNUMBER(SEARCH("تنظيف",D590)),ISNUMBER(SEARCH("تصليح",D590)))),"⚠ الصيانة بلا ورشة",IF(H590="","⚠ ناقص",IF(D590&lt;&gt;"",IF(SUMIF($D$7:$D$806,D590,$H$7:$H$806)&gt;=20,"أصل","مصروف"),IFERROR(IF(VLOOKUP(I590,'القوائم'!$A$2:$D$14,4,0)="زكاة وصدقة","زكاة وصدقة",IF(AND(VLOOKUP(I590,'القوائم'!$A$2:$D$14,3,0)&lt;&gt;"",H590&gt;=20),"أصل","مصروف")),"مصروف"))))))</f>
        <v/>
      </c>
      <c r="K590" s="21" t="n"/>
      <c r="L590" s="22" t="n"/>
      <c r="N590">
        <f>IF(B590="","",MONTH(B590))</f>
        <v/>
      </c>
      <c r="O590">
        <f>IF(B590="","",YEAR(B590))</f>
        <v/>
      </c>
      <c r="P590">
        <f>IF(AND(D590&lt;&gt;"",COUNTIF(D$7:D590,D590)=1),MAX(P$6:P589)+1,"")</f>
        <v/>
      </c>
      <c r="Q590">
        <f>IF(E590="","",IF(I590="أجور عمال","أجرة","مادة"))</f>
        <v/>
      </c>
    </row>
    <row r="591">
      <c r="A591" s="12">
        <f>IF(E591="","",ROW()-6)</f>
        <v/>
      </c>
      <c r="B591" s="13" t="n"/>
      <c r="C591" s="12">
        <f>IF(B591="","",CHOOSE(WEEKDAY(B591,1),"الأحد","الاثنين","الثلاثاء","الأربعاء","الخميس","الجمعة","السبت"))</f>
        <v/>
      </c>
      <c r="D591" s="14" t="n"/>
      <c r="E591" s="15" t="n"/>
      <c r="F591" s="16" t="n"/>
      <c r="G591" s="17" t="n"/>
      <c r="H591" s="18">
        <f>IF(OR(F591="",G591=""),"",ROUND(F591*G591,2))</f>
        <v/>
      </c>
      <c r="I591" s="19">
        <f>IF(ISNUMBER(SEARCH("ستاند",D591)),"أثاث وستاندات","")</f>
        <v/>
      </c>
      <c r="J591" s="20">
        <f>IF(E591="","",IF(I591="","⚠ عبّي الغرض",IF(AND(D591&lt;&gt;"",OR(ISNUMBER(SEARCH("صيانة",D591)),ISNUMBER(SEARCH("تعزيل",D591)),ISNUMBER(SEARCH("تنظيف",D591)),ISNUMBER(SEARCH("تصليح",D591)))),"⚠ الصيانة بلا ورشة",IF(H591="","⚠ ناقص",IF(D591&lt;&gt;"",IF(SUMIF($D$7:$D$806,D591,$H$7:$H$806)&gt;=20,"أصل","مصروف"),IFERROR(IF(VLOOKUP(I591,'القوائم'!$A$2:$D$14,4,0)="زكاة وصدقة","زكاة وصدقة",IF(AND(VLOOKUP(I591,'القوائم'!$A$2:$D$14,3,0)&lt;&gt;"",H591&gt;=20),"أصل","مصروف")),"مصروف"))))))</f>
        <v/>
      </c>
      <c r="K591" s="21" t="n"/>
      <c r="L591" s="22" t="n"/>
      <c r="N591">
        <f>IF(B591="","",MONTH(B591))</f>
        <v/>
      </c>
      <c r="O591">
        <f>IF(B591="","",YEAR(B591))</f>
        <v/>
      </c>
      <c r="P591">
        <f>IF(AND(D591&lt;&gt;"",COUNTIF(D$7:D591,D591)=1),MAX(P$6:P590)+1,"")</f>
        <v/>
      </c>
      <c r="Q591">
        <f>IF(E591="","",IF(I591="أجور عمال","أجرة","مادة"))</f>
        <v/>
      </c>
    </row>
    <row r="592">
      <c r="A592" s="12">
        <f>IF(E592="","",ROW()-6)</f>
        <v/>
      </c>
      <c r="B592" s="13" t="n"/>
      <c r="C592" s="12">
        <f>IF(B592="","",CHOOSE(WEEKDAY(B592,1),"الأحد","الاثنين","الثلاثاء","الأربعاء","الخميس","الجمعة","السبت"))</f>
        <v/>
      </c>
      <c r="D592" s="14" t="n"/>
      <c r="E592" s="15" t="n"/>
      <c r="F592" s="16" t="n"/>
      <c r="G592" s="17" t="n"/>
      <c r="H592" s="18">
        <f>IF(OR(F592="",G592=""),"",ROUND(F592*G592,2))</f>
        <v/>
      </c>
      <c r="I592" s="19">
        <f>IF(ISNUMBER(SEARCH("ستاند",D592)),"أثاث وستاندات","")</f>
        <v/>
      </c>
      <c r="J592" s="20">
        <f>IF(E592="","",IF(I592="","⚠ عبّي الغرض",IF(AND(D592&lt;&gt;"",OR(ISNUMBER(SEARCH("صيانة",D592)),ISNUMBER(SEARCH("تعزيل",D592)),ISNUMBER(SEARCH("تنظيف",D592)),ISNUMBER(SEARCH("تصليح",D592)))),"⚠ الصيانة بلا ورشة",IF(H592="","⚠ ناقص",IF(D592&lt;&gt;"",IF(SUMIF($D$7:$D$806,D592,$H$7:$H$806)&gt;=20,"أصل","مصروف"),IFERROR(IF(VLOOKUP(I592,'القوائم'!$A$2:$D$14,4,0)="زكاة وصدقة","زكاة وصدقة",IF(AND(VLOOKUP(I592,'القوائم'!$A$2:$D$14,3,0)&lt;&gt;"",H592&gt;=20),"أصل","مصروف")),"مصروف"))))))</f>
        <v/>
      </c>
      <c r="K592" s="21" t="n"/>
      <c r="L592" s="22" t="n"/>
      <c r="N592">
        <f>IF(B592="","",MONTH(B592))</f>
        <v/>
      </c>
      <c r="O592">
        <f>IF(B592="","",YEAR(B592))</f>
        <v/>
      </c>
      <c r="P592">
        <f>IF(AND(D592&lt;&gt;"",COUNTIF(D$7:D592,D592)=1),MAX(P$6:P591)+1,"")</f>
        <v/>
      </c>
      <c r="Q592">
        <f>IF(E592="","",IF(I592="أجور عمال","أجرة","مادة"))</f>
        <v/>
      </c>
    </row>
    <row r="593">
      <c r="A593" s="12">
        <f>IF(E593="","",ROW()-6)</f>
        <v/>
      </c>
      <c r="B593" s="13" t="n"/>
      <c r="C593" s="12">
        <f>IF(B593="","",CHOOSE(WEEKDAY(B593,1),"الأحد","الاثنين","الثلاثاء","الأربعاء","الخميس","الجمعة","السبت"))</f>
        <v/>
      </c>
      <c r="D593" s="14" t="n"/>
      <c r="E593" s="15" t="n"/>
      <c r="F593" s="16" t="n"/>
      <c r="G593" s="17" t="n"/>
      <c r="H593" s="18">
        <f>IF(OR(F593="",G593=""),"",ROUND(F593*G593,2))</f>
        <v/>
      </c>
      <c r="I593" s="19">
        <f>IF(ISNUMBER(SEARCH("ستاند",D593)),"أثاث وستاندات","")</f>
        <v/>
      </c>
      <c r="J593" s="20">
        <f>IF(E593="","",IF(I593="","⚠ عبّي الغرض",IF(AND(D593&lt;&gt;"",OR(ISNUMBER(SEARCH("صيانة",D593)),ISNUMBER(SEARCH("تعزيل",D593)),ISNUMBER(SEARCH("تنظيف",D593)),ISNUMBER(SEARCH("تصليح",D593)))),"⚠ الصيانة بلا ورشة",IF(H593="","⚠ ناقص",IF(D593&lt;&gt;"",IF(SUMIF($D$7:$D$806,D593,$H$7:$H$806)&gt;=20,"أصل","مصروف"),IFERROR(IF(VLOOKUP(I593,'القوائم'!$A$2:$D$14,4,0)="زكاة وصدقة","زكاة وصدقة",IF(AND(VLOOKUP(I593,'القوائم'!$A$2:$D$14,3,0)&lt;&gt;"",H593&gt;=20),"أصل","مصروف")),"مصروف"))))))</f>
        <v/>
      </c>
      <c r="K593" s="21" t="n"/>
      <c r="L593" s="22" t="n"/>
      <c r="N593">
        <f>IF(B593="","",MONTH(B593))</f>
        <v/>
      </c>
      <c r="O593">
        <f>IF(B593="","",YEAR(B593))</f>
        <v/>
      </c>
      <c r="P593">
        <f>IF(AND(D593&lt;&gt;"",COUNTIF(D$7:D593,D593)=1),MAX(P$6:P592)+1,"")</f>
        <v/>
      </c>
      <c r="Q593">
        <f>IF(E593="","",IF(I593="أجور عمال","أجرة","مادة"))</f>
        <v/>
      </c>
    </row>
    <row r="594">
      <c r="A594" s="12">
        <f>IF(E594="","",ROW()-6)</f>
        <v/>
      </c>
      <c r="B594" s="13" t="n"/>
      <c r="C594" s="12">
        <f>IF(B594="","",CHOOSE(WEEKDAY(B594,1),"الأحد","الاثنين","الثلاثاء","الأربعاء","الخميس","الجمعة","السبت"))</f>
        <v/>
      </c>
      <c r="D594" s="14" t="n"/>
      <c r="E594" s="15" t="n"/>
      <c r="F594" s="16" t="n"/>
      <c r="G594" s="17" t="n"/>
      <c r="H594" s="18">
        <f>IF(OR(F594="",G594=""),"",ROUND(F594*G594,2))</f>
        <v/>
      </c>
      <c r="I594" s="19">
        <f>IF(ISNUMBER(SEARCH("ستاند",D594)),"أثاث وستاندات","")</f>
        <v/>
      </c>
      <c r="J594" s="20">
        <f>IF(E594="","",IF(I594="","⚠ عبّي الغرض",IF(AND(D594&lt;&gt;"",OR(ISNUMBER(SEARCH("صيانة",D594)),ISNUMBER(SEARCH("تعزيل",D594)),ISNUMBER(SEARCH("تنظيف",D594)),ISNUMBER(SEARCH("تصليح",D594)))),"⚠ الصيانة بلا ورشة",IF(H594="","⚠ ناقص",IF(D594&lt;&gt;"",IF(SUMIF($D$7:$D$806,D594,$H$7:$H$806)&gt;=20,"أصل","مصروف"),IFERROR(IF(VLOOKUP(I594,'القوائم'!$A$2:$D$14,4,0)="زكاة وصدقة","زكاة وصدقة",IF(AND(VLOOKUP(I594,'القوائم'!$A$2:$D$14,3,0)&lt;&gt;"",H594&gt;=20),"أصل","مصروف")),"مصروف"))))))</f>
        <v/>
      </c>
      <c r="K594" s="21" t="n"/>
      <c r="L594" s="22" t="n"/>
      <c r="N594">
        <f>IF(B594="","",MONTH(B594))</f>
        <v/>
      </c>
      <c r="O594">
        <f>IF(B594="","",YEAR(B594))</f>
        <v/>
      </c>
      <c r="P594">
        <f>IF(AND(D594&lt;&gt;"",COUNTIF(D$7:D594,D594)=1),MAX(P$6:P593)+1,"")</f>
        <v/>
      </c>
      <c r="Q594">
        <f>IF(E594="","",IF(I594="أجور عمال","أجرة","مادة"))</f>
        <v/>
      </c>
    </row>
    <row r="595">
      <c r="A595" s="12">
        <f>IF(E595="","",ROW()-6)</f>
        <v/>
      </c>
      <c r="B595" s="13" t="n"/>
      <c r="C595" s="12">
        <f>IF(B595="","",CHOOSE(WEEKDAY(B595,1),"الأحد","الاثنين","الثلاثاء","الأربعاء","الخميس","الجمعة","السبت"))</f>
        <v/>
      </c>
      <c r="D595" s="14" t="n"/>
      <c r="E595" s="15" t="n"/>
      <c r="F595" s="16" t="n"/>
      <c r="G595" s="17" t="n"/>
      <c r="H595" s="18">
        <f>IF(OR(F595="",G595=""),"",ROUND(F595*G595,2))</f>
        <v/>
      </c>
      <c r="I595" s="19">
        <f>IF(ISNUMBER(SEARCH("ستاند",D595)),"أثاث وستاندات","")</f>
        <v/>
      </c>
      <c r="J595" s="20">
        <f>IF(E595="","",IF(I595="","⚠ عبّي الغرض",IF(AND(D595&lt;&gt;"",OR(ISNUMBER(SEARCH("صيانة",D595)),ISNUMBER(SEARCH("تعزيل",D595)),ISNUMBER(SEARCH("تنظيف",D595)),ISNUMBER(SEARCH("تصليح",D595)))),"⚠ الصيانة بلا ورشة",IF(H595="","⚠ ناقص",IF(D595&lt;&gt;"",IF(SUMIF($D$7:$D$806,D595,$H$7:$H$806)&gt;=20,"أصل","مصروف"),IFERROR(IF(VLOOKUP(I595,'القوائم'!$A$2:$D$14,4,0)="زكاة وصدقة","زكاة وصدقة",IF(AND(VLOOKUP(I595,'القوائم'!$A$2:$D$14,3,0)&lt;&gt;"",H595&gt;=20),"أصل","مصروف")),"مصروف"))))))</f>
        <v/>
      </c>
      <c r="K595" s="21" t="n"/>
      <c r="L595" s="22" t="n"/>
      <c r="N595">
        <f>IF(B595="","",MONTH(B595))</f>
        <v/>
      </c>
      <c r="O595">
        <f>IF(B595="","",YEAR(B595))</f>
        <v/>
      </c>
      <c r="P595">
        <f>IF(AND(D595&lt;&gt;"",COUNTIF(D$7:D595,D595)=1),MAX(P$6:P594)+1,"")</f>
        <v/>
      </c>
      <c r="Q595">
        <f>IF(E595="","",IF(I595="أجور عمال","أجرة","مادة"))</f>
        <v/>
      </c>
    </row>
    <row r="596">
      <c r="A596" s="12">
        <f>IF(E596="","",ROW()-6)</f>
        <v/>
      </c>
      <c r="B596" s="13" t="n"/>
      <c r="C596" s="12">
        <f>IF(B596="","",CHOOSE(WEEKDAY(B596,1),"الأحد","الاثنين","الثلاثاء","الأربعاء","الخميس","الجمعة","السبت"))</f>
        <v/>
      </c>
      <c r="D596" s="14" t="n"/>
      <c r="E596" s="15" t="n"/>
      <c r="F596" s="16" t="n"/>
      <c r="G596" s="17" t="n"/>
      <c r="H596" s="18">
        <f>IF(OR(F596="",G596=""),"",ROUND(F596*G596,2))</f>
        <v/>
      </c>
      <c r="I596" s="19">
        <f>IF(ISNUMBER(SEARCH("ستاند",D596)),"أثاث وستاندات","")</f>
        <v/>
      </c>
      <c r="J596" s="20">
        <f>IF(E596="","",IF(I596="","⚠ عبّي الغرض",IF(AND(D596&lt;&gt;"",OR(ISNUMBER(SEARCH("صيانة",D596)),ISNUMBER(SEARCH("تعزيل",D596)),ISNUMBER(SEARCH("تنظيف",D596)),ISNUMBER(SEARCH("تصليح",D596)))),"⚠ الصيانة بلا ورشة",IF(H596="","⚠ ناقص",IF(D596&lt;&gt;"",IF(SUMIF($D$7:$D$806,D596,$H$7:$H$806)&gt;=20,"أصل","مصروف"),IFERROR(IF(VLOOKUP(I596,'القوائم'!$A$2:$D$14,4,0)="زكاة وصدقة","زكاة وصدقة",IF(AND(VLOOKUP(I596,'القوائم'!$A$2:$D$14,3,0)&lt;&gt;"",H596&gt;=20),"أصل","مصروف")),"مصروف"))))))</f>
        <v/>
      </c>
      <c r="K596" s="21" t="n"/>
      <c r="L596" s="22" t="n"/>
      <c r="N596">
        <f>IF(B596="","",MONTH(B596))</f>
        <v/>
      </c>
      <c r="O596">
        <f>IF(B596="","",YEAR(B596))</f>
        <v/>
      </c>
      <c r="P596">
        <f>IF(AND(D596&lt;&gt;"",COUNTIF(D$7:D596,D596)=1),MAX(P$6:P595)+1,"")</f>
        <v/>
      </c>
      <c r="Q596">
        <f>IF(E596="","",IF(I596="أجور عمال","أجرة","مادة"))</f>
        <v/>
      </c>
    </row>
    <row r="597">
      <c r="A597" s="12">
        <f>IF(E597="","",ROW()-6)</f>
        <v/>
      </c>
      <c r="B597" s="13" t="n"/>
      <c r="C597" s="12">
        <f>IF(B597="","",CHOOSE(WEEKDAY(B597,1),"الأحد","الاثنين","الثلاثاء","الأربعاء","الخميس","الجمعة","السبت"))</f>
        <v/>
      </c>
      <c r="D597" s="14" t="n"/>
      <c r="E597" s="15" t="n"/>
      <c r="F597" s="16" t="n"/>
      <c r="G597" s="17" t="n"/>
      <c r="H597" s="18">
        <f>IF(OR(F597="",G597=""),"",ROUND(F597*G597,2))</f>
        <v/>
      </c>
      <c r="I597" s="19">
        <f>IF(ISNUMBER(SEARCH("ستاند",D597)),"أثاث وستاندات","")</f>
        <v/>
      </c>
      <c r="J597" s="20">
        <f>IF(E597="","",IF(I597="","⚠ عبّي الغرض",IF(AND(D597&lt;&gt;"",OR(ISNUMBER(SEARCH("صيانة",D597)),ISNUMBER(SEARCH("تعزيل",D597)),ISNUMBER(SEARCH("تنظيف",D597)),ISNUMBER(SEARCH("تصليح",D597)))),"⚠ الصيانة بلا ورشة",IF(H597="","⚠ ناقص",IF(D597&lt;&gt;"",IF(SUMIF($D$7:$D$806,D597,$H$7:$H$806)&gt;=20,"أصل","مصروف"),IFERROR(IF(VLOOKUP(I597,'القوائم'!$A$2:$D$14,4,0)="زكاة وصدقة","زكاة وصدقة",IF(AND(VLOOKUP(I597,'القوائم'!$A$2:$D$14,3,0)&lt;&gt;"",H597&gt;=20),"أصل","مصروف")),"مصروف"))))))</f>
        <v/>
      </c>
      <c r="K597" s="21" t="n"/>
      <c r="L597" s="22" t="n"/>
      <c r="N597">
        <f>IF(B597="","",MONTH(B597))</f>
        <v/>
      </c>
      <c r="O597">
        <f>IF(B597="","",YEAR(B597))</f>
        <v/>
      </c>
      <c r="P597">
        <f>IF(AND(D597&lt;&gt;"",COUNTIF(D$7:D597,D597)=1),MAX(P$6:P596)+1,"")</f>
        <v/>
      </c>
      <c r="Q597">
        <f>IF(E597="","",IF(I597="أجور عمال","أجرة","مادة"))</f>
        <v/>
      </c>
    </row>
    <row r="598">
      <c r="A598" s="12">
        <f>IF(E598="","",ROW()-6)</f>
        <v/>
      </c>
      <c r="B598" s="13" t="n"/>
      <c r="C598" s="12">
        <f>IF(B598="","",CHOOSE(WEEKDAY(B598,1),"الأحد","الاثنين","الثلاثاء","الأربعاء","الخميس","الجمعة","السبت"))</f>
        <v/>
      </c>
      <c r="D598" s="14" t="n"/>
      <c r="E598" s="15" t="n"/>
      <c r="F598" s="16" t="n"/>
      <c r="G598" s="17" t="n"/>
      <c r="H598" s="18">
        <f>IF(OR(F598="",G598=""),"",ROUND(F598*G598,2))</f>
        <v/>
      </c>
      <c r="I598" s="19">
        <f>IF(ISNUMBER(SEARCH("ستاند",D598)),"أثاث وستاندات","")</f>
        <v/>
      </c>
      <c r="J598" s="20">
        <f>IF(E598="","",IF(I598="","⚠ عبّي الغرض",IF(AND(D598&lt;&gt;"",OR(ISNUMBER(SEARCH("صيانة",D598)),ISNUMBER(SEARCH("تعزيل",D598)),ISNUMBER(SEARCH("تنظيف",D598)),ISNUMBER(SEARCH("تصليح",D598)))),"⚠ الصيانة بلا ورشة",IF(H598="","⚠ ناقص",IF(D598&lt;&gt;"",IF(SUMIF($D$7:$D$806,D598,$H$7:$H$806)&gt;=20,"أصل","مصروف"),IFERROR(IF(VLOOKUP(I598,'القوائم'!$A$2:$D$14,4,0)="زكاة وصدقة","زكاة وصدقة",IF(AND(VLOOKUP(I598,'القوائم'!$A$2:$D$14,3,0)&lt;&gt;"",H598&gt;=20),"أصل","مصروف")),"مصروف"))))))</f>
        <v/>
      </c>
      <c r="K598" s="21" t="n"/>
      <c r="L598" s="22" t="n"/>
      <c r="N598">
        <f>IF(B598="","",MONTH(B598))</f>
        <v/>
      </c>
      <c r="O598">
        <f>IF(B598="","",YEAR(B598))</f>
        <v/>
      </c>
      <c r="P598">
        <f>IF(AND(D598&lt;&gt;"",COUNTIF(D$7:D598,D598)=1),MAX(P$6:P597)+1,"")</f>
        <v/>
      </c>
      <c r="Q598">
        <f>IF(E598="","",IF(I598="أجور عمال","أجرة","مادة"))</f>
        <v/>
      </c>
    </row>
    <row r="599">
      <c r="A599" s="12">
        <f>IF(E599="","",ROW()-6)</f>
        <v/>
      </c>
      <c r="B599" s="13" t="n"/>
      <c r="C599" s="12">
        <f>IF(B599="","",CHOOSE(WEEKDAY(B599,1),"الأحد","الاثنين","الثلاثاء","الأربعاء","الخميس","الجمعة","السبت"))</f>
        <v/>
      </c>
      <c r="D599" s="14" t="n"/>
      <c r="E599" s="15" t="n"/>
      <c r="F599" s="16" t="n"/>
      <c r="G599" s="17" t="n"/>
      <c r="H599" s="18">
        <f>IF(OR(F599="",G599=""),"",ROUND(F599*G599,2))</f>
        <v/>
      </c>
      <c r="I599" s="19">
        <f>IF(ISNUMBER(SEARCH("ستاند",D599)),"أثاث وستاندات","")</f>
        <v/>
      </c>
      <c r="J599" s="20">
        <f>IF(E599="","",IF(I599="","⚠ عبّي الغرض",IF(AND(D599&lt;&gt;"",OR(ISNUMBER(SEARCH("صيانة",D599)),ISNUMBER(SEARCH("تعزيل",D599)),ISNUMBER(SEARCH("تنظيف",D599)),ISNUMBER(SEARCH("تصليح",D599)))),"⚠ الصيانة بلا ورشة",IF(H599="","⚠ ناقص",IF(D599&lt;&gt;"",IF(SUMIF($D$7:$D$806,D599,$H$7:$H$806)&gt;=20,"أصل","مصروف"),IFERROR(IF(VLOOKUP(I599,'القوائم'!$A$2:$D$14,4,0)="زكاة وصدقة","زكاة وصدقة",IF(AND(VLOOKUP(I599,'القوائم'!$A$2:$D$14,3,0)&lt;&gt;"",H599&gt;=20),"أصل","مصروف")),"مصروف"))))))</f>
        <v/>
      </c>
      <c r="K599" s="21" t="n"/>
      <c r="L599" s="22" t="n"/>
      <c r="N599">
        <f>IF(B599="","",MONTH(B599))</f>
        <v/>
      </c>
      <c r="O599">
        <f>IF(B599="","",YEAR(B599))</f>
        <v/>
      </c>
      <c r="P599">
        <f>IF(AND(D599&lt;&gt;"",COUNTIF(D$7:D599,D599)=1),MAX(P$6:P598)+1,"")</f>
        <v/>
      </c>
      <c r="Q599">
        <f>IF(E599="","",IF(I599="أجور عمال","أجرة","مادة"))</f>
        <v/>
      </c>
    </row>
    <row r="600">
      <c r="A600" s="12">
        <f>IF(E600="","",ROW()-6)</f>
        <v/>
      </c>
      <c r="B600" s="13" t="n"/>
      <c r="C600" s="12">
        <f>IF(B600="","",CHOOSE(WEEKDAY(B600,1),"الأحد","الاثنين","الثلاثاء","الأربعاء","الخميس","الجمعة","السبت"))</f>
        <v/>
      </c>
      <c r="D600" s="14" t="n"/>
      <c r="E600" s="15" t="n"/>
      <c r="F600" s="16" t="n"/>
      <c r="G600" s="17" t="n"/>
      <c r="H600" s="18">
        <f>IF(OR(F600="",G600=""),"",ROUND(F600*G600,2))</f>
        <v/>
      </c>
      <c r="I600" s="19">
        <f>IF(ISNUMBER(SEARCH("ستاند",D600)),"أثاث وستاندات","")</f>
        <v/>
      </c>
      <c r="J600" s="20">
        <f>IF(E600="","",IF(I600="","⚠ عبّي الغرض",IF(AND(D600&lt;&gt;"",OR(ISNUMBER(SEARCH("صيانة",D600)),ISNUMBER(SEARCH("تعزيل",D600)),ISNUMBER(SEARCH("تنظيف",D600)),ISNUMBER(SEARCH("تصليح",D600)))),"⚠ الصيانة بلا ورشة",IF(H600="","⚠ ناقص",IF(D600&lt;&gt;"",IF(SUMIF($D$7:$D$806,D600,$H$7:$H$806)&gt;=20,"أصل","مصروف"),IFERROR(IF(VLOOKUP(I600,'القوائم'!$A$2:$D$14,4,0)="زكاة وصدقة","زكاة وصدقة",IF(AND(VLOOKUP(I600,'القوائم'!$A$2:$D$14,3,0)&lt;&gt;"",H600&gt;=20),"أصل","مصروف")),"مصروف"))))))</f>
        <v/>
      </c>
      <c r="K600" s="21" t="n"/>
      <c r="L600" s="22" t="n"/>
      <c r="N600">
        <f>IF(B600="","",MONTH(B600))</f>
        <v/>
      </c>
      <c r="O600">
        <f>IF(B600="","",YEAR(B600))</f>
        <v/>
      </c>
      <c r="P600">
        <f>IF(AND(D600&lt;&gt;"",COUNTIF(D$7:D600,D600)=1),MAX(P$6:P599)+1,"")</f>
        <v/>
      </c>
      <c r="Q600">
        <f>IF(E600="","",IF(I600="أجور عمال","أجرة","مادة"))</f>
        <v/>
      </c>
    </row>
    <row r="601">
      <c r="A601" s="12">
        <f>IF(E601="","",ROW()-6)</f>
        <v/>
      </c>
      <c r="B601" s="13" t="n"/>
      <c r="C601" s="12">
        <f>IF(B601="","",CHOOSE(WEEKDAY(B601,1),"الأحد","الاثنين","الثلاثاء","الأربعاء","الخميس","الجمعة","السبت"))</f>
        <v/>
      </c>
      <c r="D601" s="14" t="n"/>
      <c r="E601" s="15" t="n"/>
      <c r="F601" s="16" t="n"/>
      <c r="G601" s="17" t="n"/>
      <c r="H601" s="18">
        <f>IF(OR(F601="",G601=""),"",ROUND(F601*G601,2))</f>
        <v/>
      </c>
      <c r="I601" s="19">
        <f>IF(ISNUMBER(SEARCH("ستاند",D601)),"أثاث وستاندات","")</f>
        <v/>
      </c>
      <c r="J601" s="20">
        <f>IF(E601="","",IF(I601="","⚠ عبّي الغرض",IF(AND(D601&lt;&gt;"",OR(ISNUMBER(SEARCH("صيانة",D601)),ISNUMBER(SEARCH("تعزيل",D601)),ISNUMBER(SEARCH("تنظيف",D601)),ISNUMBER(SEARCH("تصليح",D601)))),"⚠ الصيانة بلا ورشة",IF(H601="","⚠ ناقص",IF(D601&lt;&gt;"",IF(SUMIF($D$7:$D$806,D601,$H$7:$H$806)&gt;=20,"أصل","مصروف"),IFERROR(IF(VLOOKUP(I601,'القوائم'!$A$2:$D$14,4,0)="زكاة وصدقة","زكاة وصدقة",IF(AND(VLOOKUP(I601,'القوائم'!$A$2:$D$14,3,0)&lt;&gt;"",H601&gt;=20),"أصل","مصروف")),"مصروف"))))))</f>
        <v/>
      </c>
      <c r="K601" s="21" t="n"/>
      <c r="L601" s="22" t="n"/>
      <c r="N601">
        <f>IF(B601="","",MONTH(B601))</f>
        <v/>
      </c>
      <c r="O601">
        <f>IF(B601="","",YEAR(B601))</f>
        <v/>
      </c>
      <c r="P601">
        <f>IF(AND(D601&lt;&gt;"",COUNTIF(D$7:D601,D601)=1),MAX(P$6:P600)+1,"")</f>
        <v/>
      </c>
      <c r="Q601">
        <f>IF(E601="","",IF(I601="أجور عمال","أجرة","مادة"))</f>
        <v/>
      </c>
    </row>
    <row r="602">
      <c r="A602" s="12">
        <f>IF(E602="","",ROW()-6)</f>
        <v/>
      </c>
      <c r="B602" s="13" t="n"/>
      <c r="C602" s="12">
        <f>IF(B602="","",CHOOSE(WEEKDAY(B602,1),"الأحد","الاثنين","الثلاثاء","الأربعاء","الخميس","الجمعة","السبت"))</f>
        <v/>
      </c>
      <c r="D602" s="14" t="n"/>
      <c r="E602" s="15" t="n"/>
      <c r="F602" s="16" t="n"/>
      <c r="G602" s="17" t="n"/>
      <c r="H602" s="18">
        <f>IF(OR(F602="",G602=""),"",ROUND(F602*G602,2))</f>
        <v/>
      </c>
      <c r="I602" s="19">
        <f>IF(ISNUMBER(SEARCH("ستاند",D602)),"أثاث وستاندات","")</f>
        <v/>
      </c>
      <c r="J602" s="20">
        <f>IF(E602="","",IF(I602="","⚠ عبّي الغرض",IF(AND(D602&lt;&gt;"",OR(ISNUMBER(SEARCH("صيانة",D602)),ISNUMBER(SEARCH("تعزيل",D602)),ISNUMBER(SEARCH("تنظيف",D602)),ISNUMBER(SEARCH("تصليح",D602)))),"⚠ الصيانة بلا ورشة",IF(H602="","⚠ ناقص",IF(D602&lt;&gt;"",IF(SUMIF($D$7:$D$806,D602,$H$7:$H$806)&gt;=20,"أصل","مصروف"),IFERROR(IF(VLOOKUP(I602,'القوائم'!$A$2:$D$14,4,0)="زكاة وصدقة","زكاة وصدقة",IF(AND(VLOOKUP(I602,'القوائم'!$A$2:$D$14,3,0)&lt;&gt;"",H602&gt;=20),"أصل","مصروف")),"مصروف"))))))</f>
        <v/>
      </c>
      <c r="K602" s="21" t="n"/>
      <c r="L602" s="22" t="n"/>
      <c r="N602">
        <f>IF(B602="","",MONTH(B602))</f>
        <v/>
      </c>
      <c r="O602">
        <f>IF(B602="","",YEAR(B602))</f>
        <v/>
      </c>
      <c r="P602">
        <f>IF(AND(D602&lt;&gt;"",COUNTIF(D$7:D602,D602)=1),MAX(P$6:P601)+1,"")</f>
        <v/>
      </c>
      <c r="Q602">
        <f>IF(E602="","",IF(I602="أجور عمال","أجرة","مادة"))</f>
        <v/>
      </c>
    </row>
    <row r="603">
      <c r="A603" s="12">
        <f>IF(E603="","",ROW()-6)</f>
        <v/>
      </c>
      <c r="B603" s="13" t="n"/>
      <c r="C603" s="12">
        <f>IF(B603="","",CHOOSE(WEEKDAY(B603,1),"الأحد","الاثنين","الثلاثاء","الأربعاء","الخميس","الجمعة","السبت"))</f>
        <v/>
      </c>
      <c r="D603" s="14" t="n"/>
      <c r="E603" s="15" t="n"/>
      <c r="F603" s="16" t="n"/>
      <c r="G603" s="17" t="n"/>
      <c r="H603" s="18">
        <f>IF(OR(F603="",G603=""),"",ROUND(F603*G603,2))</f>
        <v/>
      </c>
      <c r="I603" s="19">
        <f>IF(ISNUMBER(SEARCH("ستاند",D603)),"أثاث وستاندات","")</f>
        <v/>
      </c>
      <c r="J603" s="20">
        <f>IF(E603="","",IF(I603="","⚠ عبّي الغرض",IF(AND(D603&lt;&gt;"",OR(ISNUMBER(SEARCH("صيانة",D603)),ISNUMBER(SEARCH("تعزيل",D603)),ISNUMBER(SEARCH("تنظيف",D603)),ISNUMBER(SEARCH("تصليح",D603)))),"⚠ الصيانة بلا ورشة",IF(H603="","⚠ ناقص",IF(D603&lt;&gt;"",IF(SUMIF($D$7:$D$806,D603,$H$7:$H$806)&gt;=20,"أصل","مصروف"),IFERROR(IF(VLOOKUP(I603,'القوائم'!$A$2:$D$14,4,0)="زكاة وصدقة","زكاة وصدقة",IF(AND(VLOOKUP(I603,'القوائم'!$A$2:$D$14,3,0)&lt;&gt;"",H603&gt;=20),"أصل","مصروف")),"مصروف"))))))</f>
        <v/>
      </c>
      <c r="K603" s="21" t="n"/>
      <c r="L603" s="22" t="n"/>
      <c r="N603">
        <f>IF(B603="","",MONTH(B603))</f>
        <v/>
      </c>
      <c r="O603">
        <f>IF(B603="","",YEAR(B603))</f>
        <v/>
      </c>
      <c r="P603">
        <f>IF(AND(D603&lt;&gt;"",COUNTIF(D$7:D603,D603)=1),MAX(P$6:P602)+1,"")</f>
        <v/>
      </c>
      <c r="Q603">
        <f>IF(E603="","",IF(I603="أجور عمال","أجرة","مادة"))</f>
        <v/>
      </c>
    </row>
    <row r="604">
      <c r="A604" s="12">
        <f>IF(E604="","",ROW()-6)</f>
        <v/>
      </c>
      <c r="B604" s="13" t="n"/>
      <c r="C604" s="12">
        <f>IF(B604="","",CHOOSE(WEEKDAY(B604,1),"الأحد","الاثنين","الثلاثاء","الأربعاء","الخميس","الجمعة","السبت"))</f>
        <v/>
      </c>
      <c r="D604" s="14" t="n"/>
      <c r="E604" s="15" t="n"/>
      <c r="F604" s="16" t="n"/>
      <c r="G604" s="17" t="n"/>
      <c r="H604" s="18">
        <f>IF(OR(F604="",G604=""),"",ROUND(F604*G604,2))</f>
        <v/>
      </c>
      <c r="I604" s="19">
        <f>IF(ISNUMBER(SEARCH("ستاند",D604)),"أثاث وستاندات","")</f>
        <v/>
      </c>
      <c r="J604" s="20">
        <f>IF(E604="","",IF(I604="","⚠ عبّي الغرض",IF(AND(D604&lt;&gt;"",OR(ISNUMBER(SEARCH("صيانة",D604)),ISNUMBER(SEARCH("تعزيل",D604)),ISNUMBER(SEARCH("تنظيف",D604)),ISNUMBER(SEARCH("تصليح",D604)))),"⚠ الصيانة بلا ورشة",IF(H604="","⚠ ناقص",IF(D604&lt;&gt;"",IF(SUMIF($D$7:$D$806,D604,$H$7:$H$806)&gt;=20,"أصل","مصروف"),IFERROR(IF(VLOOKUP(I604,'القوائم'!$A$2:$D$14,4,0)="زكاة وصدقة","زكاة وصدقة",IF(AND(VLOOKUP(I604,'القوائم'!$A$2:$D$14,3,0)&lt;&gt;"",H604&gt;=20),"أصل","مصروف")),"مصروف"))))))</f>
        <v/>
      </c>
      <c r="K604" s="21" t="n"/>
      <c r="L604" s="22" t="n"/>
      <c r="N604">
        <f>IF(B604="","",MONTH(B604))</f>
        <v/>
      </c>
      <c r="O604">
        <f>IF(B604="","",YEAR(B604))</f>
        <v/>
      </c>
      <c r="P604">
        <f>IF(AND(D604&lt;&gt;"",COUNTIF(D$7:D604,D604)=1),MAX(P$6:P603)+1,"")</f>
        <v/>
      </c>
      <c r="Q604">
        <f>IF(E604="","",IF(I604="أجور عمال","أجرة","مادة"))</f>
        <v/>
      </c>
    </row>
    <row r="605">
      <c r="A605" s="12">
        <f>IF(E605="","",ROW()-6)</f>
        <v/>
      </c>
      <c r="B605" s="13" t="n"/>
      <c r="C605" s="12">
        <f>IF(B605="","",CHOOSE(WEEKDAY(B605,1),"الأحد","الاثنين","الثلاثاء","الأربعاء","الخميس","الجمعة","السبت"))</f>
        <v/>
      </c>
      <c r="D605" s="14" t="n"/>
      <c r="E605" s="15" t="n"/>
      <c r="F605" s="16" t="n"/>
      <c r="G605" s="17" t="n"/>
      <c r="H605" s="18">
        <f>IF(OR(F605="",G605=""),"",ROUND(F605*G605,2))</f>
        <v/>
      </c>
      <c r="I605" s="19">
        <f>IF(ISNUMBER(SEARCH("ستاند",D605)),"أثاث وستاندات","")</f>
        <v/>
      </c>
      <c r="J605" s="20">
        <f>IF(E605="","",IF(I605="","⚠ عبّي الغرض",IF(AND(D605&lt;&gt;"",OR(ISNUMBER(SEARCH("صيانة",D605)),ISNUMBER(SEARCH("تعزيل",D605)),ISNUMBER(SEARCH("تنظيف",D605)),ISNUMBER(SEARCH("تصليح",D605)))),"⚠ الصيانة بلا ورشة",IF(H605="","⚠ ناقص",IF(D605&lt;&gt;"",IF(SUMIF($D$7:$D$806,D605,$H$7:$H$806)&gt;=20,"أصل","مصروف"),IFERROR(IF(VLOOKUP(I605,'القوائم'!$A$2:$D$14,4,0)="زكاة وصدقة","زكاة وصدقة",IF(AND(VLOOKUP(I605,'القوائم'!$A$2:$D$14,3,0)&lt;&gt;"",H605&gt;=20),"أصل","مصروف")),"مصروف"))))))</f>
        <v/>
      </c>
      <c r="K605" s="21" t="n"/>
      <c r="L605" s="22" t="n"/>
      <c r="N605">
        <f>IF(B605="","",MONTH(B605))</f>
        <v/>
      </c>
      <c r="O605">
        <f>IF(B605="","",YEAR(B605))</f>
        <v/>
      </c>
      <c r="P605">
        <f>IF(AND(D605&lt;&gt;"",COUNTIF(D$7:D605,D605)=1),MAX(P$6:P604)+1,"")</f>
        <v/>
      </c>
      <c r="Q605">
        <f>IF(E605="","",IF(I605="أجور عمال","أجرة","مادة"))</f>
        <v/>
      </c>
    </row>
    <row r="606">
      <c r="A606" s="12">
        <f>IF(E606="","",ROW()-6)</f>
        <v/>
      </c>
      <c r="B606" s="13" t="n"/>
      <c r="C606" s="12">
        <f>IF(B606="","",CHOOSE(WEEKDAY(B606,1),"الأحد","الاثنين","الثلاثاء","الأربعاء","الخميس","الجمعة","السبت"))</f>
        <v/>
      </c>
      <c r="D606" s="14" t="n"/>
      <c r="E606" s="15" t="n"/>
      <c r="F606" s="16" t="n"/>
      <c r="G606" s="17" t="n"/>
      <c r="H606" s="18">
        <f>IF(OR(F606="",G606=""),"",ROUND(F606*G606,2))</f>
        <v/>
      </c>
      <c r="I606" s="19">
        <f>IF(ISNUMBER(SEARCH("ستاند",D606)),"أثاث وستاندات","")</f>
        <v/>
      </c>
      <c r="J606" s="20">
        <f>IF(E606="","",IF(I606="","⚠ عبّي الغرض",IF(AND(D606&lt;&gt;"",OR(ISNUMBER(SEARCH("صيانة",D606)),ISNUMBER(SEARCH("تعزيل",D606)),ISNUMBER(SEARCH("تنظيف",D606)),ISNUMBER(SEARCH("تصليح",D606)))),"⚠ الصيانة بلا ورشة",IF(H606="","⚠ ناقص",IF(D606&lt;&gt;"",IF(SUMIF($D$7:$D$806,D606,$H$7:$H$806)&gt;=20,"أصل","مصروف"),IFERROR(IF(VLOOKUP(I606,'القوائم'!$A$2:$D$14,4,0)="زكاة وصدقة","زكاة وصدقة",IF(AND(VLOOKUP(I606,'القوائم'!$A$2:$D$14,3,0)&lt;&gt;"",H606&gt;=20),"أصل","مصروف")),"مصروف"))))))</f>
        <v/>
      </c>
      <c r="K606" s="21" t="n"/>
      <c r="L606" s="22" t="n"/>
      <c r="N606">
        <f>IF(B606="","",MONTH(B606))</f>
        <v/>
      </c>
      <c r="O606">
        <f>IF(B606="","",YEAR(B606))</f>
        <v/>
      </c>
      <c r="P606">
        <f>IF(AND(D606&lt;&gt;"",COUNTIF(D$7:D606,D606)=1),MAX(P$6:P605)+1,"")</f>
        <v/>
      </c>
      <c r="Q606">
        <f>IF(E606="","",IF(I606="أجور عمال","أجرة","مادة"))</f>
        <v/>
      </c>
    </row>
    <row r="607">
      <c r="A607" s="12">
        <f>IF(E607="","",ROW()-6)</f>
        <v/>
      </c>
      <c r="B607" s="13" t="n"/>
      <c r="C607" s="12">
        <f>IF(B607="","",CHOOSE(WEEKDAY(B607,1),"الأحد","الاثنين","الثلاثاء","الأربعاء","الخميس","الجمعة","السبت"))</f>
        <v/>
      </c>
      <c r="D607" s="14" t="n"/>
      <c r="E607" s="15" t="n"/>
      <c r="F607" s="16" t="n"/>
      <c r="G607" s="17" t="n"/>
      <c r="H607" s="18">
        <f>IF(OR(F607="",G607=""),"",ROUND(F607*G607,2))</f>
        <v/>
      </c>
      <c r="I607" s="19">
        <f>IF(ISNUMBER(SEARCH("ستاند",D607)),"أثاث وستاندات","")</f>
        <v/>
      </c>
      <c r="J607" s="20">
        <f>IF(E607="","",IF(I607="","⚠ عبّي الغرض",IF(AND(D607&lt;&gt;"",OR(ISNUMBER(SEARCH("صيانة",D607)),ISNUMBER(SEARCH("تعزيل",D607)),ISNUMBER(SEARCH("تنظيف",D607)),ISNUMBER(SEARCH("تصليح",D607)))),"⚠ الصيانة بلا ورشة",IF(H607="","⚠ ناقص",IF(D607&lt;&gt;"",IF(SUMIF($D$7:$D$806,D607,$H$7:$H$806)&gt;=20,"أصل","مصروف"),IFERROR(IF(VLOOKUP(I607,'القوائم'!$A$2:$D$14,4,0)="زكاة وصدقة","زكاة وصدقة",IF(AND(VLOOKUP(I607,'القوائم'!$A$2:$D$14,3,0)&lt;&gt;"",H607&gt;=20),"أصل","مصروف")),"مصروف"))))))</f>
        <v/>
      </c>
      <c r="K607" s="21" t="n"/>
      <c r="L607" s="22" t="n"/>
      <c r="N607">
        <f>IF(B607="","",MONTH(B607))</f>
        <v/>
      </c>
      <c r="O607">
        <f>IF(B607="","",YEAR(B607))</f>
        <v/>
      </c>
      <c r="P607">
        <f>IF(AND(D607&lt;&gt;"",COUNTIF(D$7:D607,D607)=1),MAX(P$6:P606)+1,"")</f>
        <v/>
      </c>
      <c r="Q607">
        <f>IF(E607="","",IF(I607="أجور عمال","أجرة","مادة"))</f>
        <v/>
      </c>
    </row>
    <row r="608">
      <c r="A608" s="12">
        <f>IF(E608="","",ROW()-6)</f>
        <v/>
      </c>
      <c r="B608" s="13" t="n"/>
      <c r="C608" s="12">
        <f>IF(B608="","",CHOOSE(WEEKDAY(B608,1),"الأحد","الاثنين","الثلاثاء","الأربعاء","الخميس","الجمعة","السبت"))</f>
        <v/>
      </c>
      <c r="D608" s="14" t="n"/>
      <c r="E608" s="15" t="n"/>
      <c r="F608" s="16" t="n"/>
      <c r="G608" s="17" t="n"/>
      <c r="H608" s="18">
        <f>IF(OR(F608="",G608=""),"",ROUND(F608*G608,2))</f>
        <v/>
      </c>
      <c r="I608" s="19">
        <f>IF(ISNUMBER(SEARCH("ستاند",D608)),"أثاث وستاندات","")</f>
        <v/>
      </c>
      <c r="J608" s="20">
        <f>IF(E608="","",IF(I608="","⚠ عبّي الغرض",IF(AND(D608&lt;&gt;"",OR(ISNUMBER(SEARCH("صيانة",D608)),ISNUMBER(SEARCH("تعزيل",D608)),ISNUMBER(SEARCH("تنظيف",D608)),ISNUMBER(SEARCH("تصليح",D608)))),"⚠ الصيانة بلا ورشة",IF(H608="","⚠ ناقص",IF(D608&lt;&gt;"",IF(SUMIF($D$7:$D$806,D608,$H$7:$H$806)&gt;=20,"أصل","مصروف"),IFERROR(IF(VLOOKUP(I608,'القوائم'!$A$2:$D$14,4,0)="زكاة وصدقة","زكاة وصدقة",IF(AND(VLOOKUP(I608,'القوائم'!$A$2:$D$14,3,0)&lt;&gt;"",H608&gt;=20),"أصل","مصروف")),"مصروف"))))))</f>
        <v/>
      </c>
      <c r="K608" s="21" t="n"/>
      <c r="L608" s="22" t="n"/>
      <c r="N608">
        <f>IF(B608="","",MONTH(B608))</f>
        <v/>
      </c>
      <c r="O608">
        <f>IF(B608="","",YEAR(B608))</f>
        <v/>
      </c>
      <c r="P608">
        <f>IF(AND(D608&lt;&gt;"",COUNTIF(D$7:D608,D608)=1),MAX(P$6:P607)+1,"")</f>
        <v/>
      </c>
      <c r="Q608">
        <f>IF(E608="","",IF(I608="أجور عمال","أجرة","مادة"))</f>
        <v/>
      </c>
    </row>
    <row r="609">
      <c r="A609" s="12">
        <f>IF(E609="","",ROW()-6)</f>
        <v/>
      </c>
      <c r="B609" s="13" t="n"/>
      <c r="C609" s="12">
        <f>IF(B609="","",CHOOSE(WEEKDAY(B609,1),"الأحد","الاثنين","الثلاثاء","الأربعاء","الخميس","الجمعة","السبت"))</f>
        <v/>
      </c>
      <c r="D609" s="14" t="n"/>
      <c r="E609" s="15" t="n"/>
      <c r="F609" s="16" t="n"/>
      <c r="G609" s="17" t="n"/>
      <c r="H609" s="18">
        <f>IF(OR(F609="",G609=""),"",ROUND(F609*G609,2))</f>
        <v/>
      </c>
      <c r="I609" s="19">
        <f>IF(ISNUMBER(SEARCH("ستاند",D609)),"أثاث وستاندات","")</f>
        <v/>
      </c>
      <c r="J609" s="20">
        <f>IF(E609="","",IF(I609="","⚠ عبّي الغرض",IF(AND(D609&lt;&gt;"",OR(ISNUMBER(SEARCH("صيانة",D609)),ISNUMBER(SEARCH("تعزيل",D609)),ISNUMBER(SEARCH("تنظيف",D609)),ISNUMBER(SEARCH("تصليح",D609)))),"⚠ الصيانة بلا ورشة",IF(H609="","⚠ ناقص",IF(D609&lt;&gt;"",IF(SUMIF($D$7:$D$806,D609,$H$7:$H$806)&gt;=20,"أصل","مصروف"),IFERROR(IF(VLOOKUP(I609,'القوائم'!$A$2:$D$14,4,0)="زكاة وصدقة","زكاة وصدقة",IF(AND(VLOOKUP(I609,'القوائم'!$A$2:$D$14,3,0)&lt;&gt;"",H609&gt;=20),"أصل","مصروف")),"مصروف"))))))</f>
        <v/>
      </c>
      <c r="K609" s="21" t="n"/>
      <c r="L609" s="22" t="n"/>
      <c r="N609">
        <f>IF(B609="","",MONTH(B609))</f>
        <v/>
      </c>
      <c r="O609">
        <f>IF(B609="","",YEAR(B609))</f>
        <v/>
      </c>
      <c r="P609">
        <f>IF(AND(D609&lt;&gt;"",COUNTIF(D$7:D609,D609)=1),MAX(P$6:P608)+1,"")</f>
        <v/>
      </c>
      <c r="Q609">
        <f>IF(E609="","",IF(I609="أجور عمال","أجرة","مادة"))</f>
        <v/>
      </c>
    </row>
    <row r="610">
      <c r="A610" s="12">
        <f>IF(E610="","",ROW()-6)</f>
        <v/>
      </c>
      <c r="B610" s="13" t="n"/>
      <c r="C610" s="12">
        <f>IF(B610="","",CHOOSE(WEEKDAY(B610,1),"الأحد","الاثنين","الثلاثاء","الأربعاء","الخميس","الجمعة","السبت"))</f>
        <v/>
      </c>
      <c r="D610" s="14" t="n"/>
      <c r="E610" s="15" t="n"/>
      <c r="F610" s="16" t="n"/>
      <c r="G610" s="17" t="n"/>
      <c r="H610" s="18">
        <f>IF(OR(F610="",G610=""),"",ROUND(F610*G610,2))</f>
        <v/>
      </c>
      <c r="I610" s="19">
        <f>IF(ISNUMBER(SEARCH("ستاند",D610)),"أثاث وستاندات","")</f>
        <v/>
      </c>
      <c r="J610" s="20">
        <f>IF(E610="","",IF(I610="","⚠ عبّي الغرض",IF(AND(D610&lt;&gt;"",OR(ISNUMBER(SEARCH("صيانة",D610)),ISNUMBER(SEARCH("تعزيل",D610)),ISNUMBER(SEARCH("تنظيف",D610)),ISNUMBER(SEARCH("تصليح",D610)))),"⚠ الصيانة بلا ورشة",IF(H610="","⚠ ناقص",IF(D610&lt;&gt;"",IF(SUMIF($D$7:$D$806,D610,$H$7:$H$806)&gt;=20,"أصل","مصروف"),IFERROR(IF(VLOOKUP(I610,'القوائم'!$A$2:$D$14,4,0)="زكاة وصدقة","زكاة وصدقة",IF(AND(VLOOKUP(I610,'القوائم'!$A$2:$D$14,3,0)&lt;&gt;"",H610&gt;=20),"أصل","مصروف")),"مصروف"))))))</f>
        <v/>
      </c>
      <c r="K610" s="21" t="n"/>
      <c r="L610" s="22" t="n"/>
      <c r="N610">
        <f>IF(B610="","",MONTH(B610))</f>
        <v/>
      </c>
      <c r="O610">
        <f>IF(B610="","",YEAR(B610))</f>
        <v/>
      </c>
      <c r="P610">
        <f>IF(AND(D610&lt;&gt;"",COUNTIF(D$7:D610,D610)=1),MAX(P$6:P609)+1,"")</f>
        <v/>
      </c>
      <c r="Q610">
        <f>IF(E610="","",IF(I610="أجور عمال","أجرة","مادة"))</f>
        <v/>
      </c>
    </row>
    <row r="611">
      <c r="A611" s="12">
        <f>IF(E611="","",ROW()-6)</f>
        <v/>
      </c>
      <c r="B611" s="13" t="n"/>
      <c r="C611" s="12">
        <f>IF(B611="","",CHOOSE(WEEKDAY(B611,1),"الأحد","الاثنين","الثلاثاء","الأربعاء","الخميس","الجمعة","السبت"))</f>
        <v/>
      </c>
      <c r="D611" s="14" t="n"/>
      <c r="E611" s="15" t="n"/>
      <c r="F611" s="16" t="n"/>
      <c r="G611" s="17" t="n"/>
      <c r="H611" s="18">
        <f>IF(OR(F611="",G611=""),"",ROUND(F611*G611,2))</f>
        <v/>
      </c>
      <c r="I611" s="19">
        <f>IF(ISNUMBER(SEARCH("ستاند",D611)),"أثاث وستاندات","")</f>
        <v/>
      </c>
      <c r="J611" s="20">
        <f>IF(E611="","",IF(I611="","⚠ عبّي الغرض",IF(AND(D611&lt;&gt;"",OR(ISNUMBER(SEARCH("صيانة",D611)),ISNUMBER(SEARCH("تعزيل",D611)),ISNUMBER(SEARCH("تنظيف",D611)),ISNUMBER(SEARCH("تصليح",D611)))),"⚠ الصيانة بلا ورشة",IF(H611="","⚠ ناقص",IF(D611&lt;&gt;"",IF(SUMIF($D$7:$D$806,D611,$H$7:$H$806)&gt;=20,"أصل","مصروف"),IFERROR(IF(VLOOKUP(I611,'القوائم'!$A$2:$D$14,4,0)="زكاة وصدقة","زكاة وصدقة",IF(AND(VLOOKUP(I611,'القوائم'!$A$2:$D$14,3,0)&lt;&gt;"",H611&gt;=20),"أصل","مصروف")),"مصروف"))))))</f>
        <v/>
      </c>
      <c r="K611" s="21" t="n"/>
      <c r="L611" s="22" t="n"/>
      <c r="N611">
        <f>IF(B611="","",MONTH(B611))</f>
        <v/>
      </c>
      <c r="O611">
        <f>IF(B611="","",YEAR(B611))</f>
        <v/>
      </c>
      <c r="P611">
        <f>IF(AND(D611&lt;&gt;"",COUNTIF(D$7:D611,D611)=1),MAX(P$6:P610)+1,"")</f>
        <v/>
      </c>
      <c r="Q611">
        <f>IF(E611="","",IF(I611="أجور عمال","أجرة","مادة"))</f>
        <v/>
      </c>
    </row>
    <row r="612">
      <c r="A612" s="12">
        <f>IF(E612="","",ROW()-6)</f>
        <v/>
      </c>
      <c r="B612" s="13" t="n"/>
      <c r="C612" s="12">
        <f>IF(B612="","",CHOOSE(WEEKDAY(B612,1),"الأحد","الاثنين","الثلاثاء","الأربعاء","الخميس","الجمعة","السبت"))</f>
        <v/>
      </c>
      <c r="D612" s="14" t="n"/>
      <c r="E612" s="15" t="n"/>
      <c r="F612" s="16" t="n"/>
      <c r="G612" s="17" t="n"/>
      <c r="H612" s="18">
        <f>IF(OR(F612="",G612=""),"",ROUND(F612*G612,2))</f>
        <v/>
      </c>
      <c r="I612" s="19">
        <f>IF(ISNUMBER(SEARCH("ستاند",D612)),"أثاث وستاندات","")</f>
        <v/>
      </c>
      <c r="J612" s="20">
        <f>IF(E612="","",IF(I612="","⚠ عبّي الغرض",IF(AND(D612&lt;&gt;"",OR(ISNUMBER(SEARCH("صيانة",D612)),ISNUMBER(SEARCH("تعزيل",D612)),ISNUMBER(SEARCH("تنظيف",D612)),ISNUMBER(SEARCH("تصليح",D612)))),"⚠ الصيانة بلا ورشة",IF(H612="","⚠ ناقص",IF(D612&lt;&gt;"",IF(SUMIF($D$7:$D$806,D612,$H$7:$H$806)&gt;=20,"أصل","مصروف"),IFERROR(IF(VLOOKUP(I612,'القوائم'!$A$2:$D$14,4,0)="زكاة وصدقة","زكاة وصدقة",IF(AND(VLOOKUP(I612,'القوائم'!$A$2:$D$14,3,0)&lt;&gt;"",H612&gt;=20),"أصل","مصروف")),"مصروف"))))))</f>
        <v/>
      </c>
      <c r="K612" s="21" t="n"/>
      <c r="L612" s="22" t="n"/>
      <c r="N612">
        <f>IF(B612="","",MONTH(B612))</f>
        <v/>
      </c>
      <c r="O612">
        <f>IF(B612="","",YEAR(B612))</f>
        <v/>
      </c>
      <c r="P612">
        <f>IF(AND(D612&lt;&gt;"",COUNTIF(D$7:D612,D612)=1),MAX(P$6:P611)+1,"")</f>
        <v/>
      </c>
      <c r="Q612">
        <f>IF(E612="","",IF(I612="أجور عمال","أجرة","مادة"))</f>
        <v/>
      </c>
    </row>
    <row r="613">
      <c r="A613" s="12">
        <f>IF(E613="","",ROW()-6)</f>
        <v/>
      </c>
      <c r="B613" s="13" t="n"/>
      <c r="C613" s="12">
        <f>IF(B613="","",CHOOSE(WEEKDAY(B613,1),"الأحد","الاثنين","الثلاثاء","الأربعاء","الخميس","الجمعة","السبت"))</f>
        <v/>
      </c>
      <c r="D613" s="14" t="n"/>
      <c r="E613" s="15" t="n"/>
      <c r="F613" s="16" t="n"/>
      <c r="G613" s="17" t="n"/>
      <c r="H613" s="18">
        <f>IF(OR(F613="",G613=""),"",ROUND(F613*G613,2))</f>
        <v/>
      </c>
      <c r="I613" s="19">
        <f>IF(ISNUMBER(SEARCH("ستاند",D613)),"أثاث وستاندات","")</f>
        <v/>
      </c>
      <c r="J613" s="20">
        <f>IF(E613="","",IF(I613="","⚠ عبّي الغرض",IF(AND(D613&lt;&gt;"",OR(ISNUMBER(SEARCH("صيانة",D613)),ISNUMBER(SEARCH("تعزيل",D613)),ISNUMBER(SEARCH("تنظيف",D613)),ISNUMBER(SEARCH("تصليح",D613)))),"⚠ الصيانة بلا ورشة",IF(H613="","⚠ ناقص",IF(D613&lt;&gt;"",IF(SUMIF($D$7:$D$806,D613,$H$7:$H$806)&gt;=20,"أصل","مصروف"),IFERROR(IF(VLOOKUP(I613,'القوائم'!$A$2:$D$14,4,0)="زكاة وصدقة","زكاة وصدقة",IF(AND(VLOOKUP(I613,'القوائم'!$A$2:$D$14,3,0)&lt;&gt;"",H613&gt;=20),"أصل","مصروف")),"مصروف"))))))</f>
        <v/>
      </c>
      <c r="K613" s="21" t="n"/>
      <c r="L613" s="22" t="n"/>
      <c r="N613">
        <f>IF(B613="","",MONTH(B613))</f>
        <v/>
      </c>
      <c r="O613">
        <f>IF(B613="","",YEAR(B613))</f>
        <v/>
      </c>
      <c r="P613">
        <f>IF(AND(D613&lt;&gt;"",COUNTIF(D$7:D613,D613)=1),MAX(P$6:P612)+1,"")</f>
        <v/>
      </c>
      <c r="Q613">
        <f>IF(E613="","",IF(I613="أجور عمال","أجرة","مادة"))</f>
        <v/>
      </c>
    </row>
    <row r="614">
      <c r="A614" s="12">
        <f>IF(E614="","",ROW()-6)</f>
        <v/>
      </c>
      <c r="B614" s="13" t="n"/>
      <c r="C614" s="12">
        <f>IF(B614="","",CHOOSE(WEEKDAY(B614,1),"الأحد","الاثنين","الثلاثاء","الأربعاء","الخميس","الجمعة","السبت"))</f>
        <v/>
      </c>
      <c r="D614" s="14" t="n"/>
      <c r="E614" s="15" t="n"/>
      <c r="F614" s="16" t="n"/>
      <c r="G614" s="17" t="n"/>
      <c r="H614" s="18">
        <f>IF(OR(F614="",G614=""),"",ROUND(F614*G614,2))</f>
        <v/>
      </c>
      <c r="I614" s="19">
        <f>IF(ISNUMBER(SEARCH("ستاند",D614)),"أثاث وستاندات","")</f>
        <v/>
      </c>
      <c r="J614" s="20">
        <f>IF(E614="","",IF(I614="","⚠ عبّي الغرض",IF(AND(D614&lt;&gt;"",OR(ISNUMBER(SEARCH("صيانة",D614)),ISNUMBER(SEARCH("تعزيل",D614)),ISNUMBER(SEARCH("تنظيف",D614)),ISNUMBER(SEARCH("تصليح",D614)))),"⚠ الصيانة بلا ورشة",IF(H614="","⚠ ناقص",IF(D614&lt;&gt;"",IF(SUMIF($D$7:$D$806,D614,$H$7:$H$806)&gt;=20,"أصل","مصروف"),IFERROR(IF(VLOOKUP(I614,'القوائم'!$A$2:$D$14,4,0)="زكاة وصدقة","زكاة وصدقة",IF(AND(VLOOKUP(I614,'القوائم'!$A$2:$D$14,3,0)&lt;&gt;"",H614&gt;=20),"أصل","مصروف")),"مصروف"))))))</f>
        <v/>
      </c>
      <c r="K614" s="21" t="n"/>
      <c r="L614" s="22" t="n"/>
      <c r="N614">
        <f>IF(B614="","",MONTH(B614))</f>
        <v/>
      </c>
      <c r="O614">
        <f>IF(B614="","",YEAR(B614))</f>
        <v/>
      </c>
      <c r="P614">
        <f>IF(AND(D614&lt;&gt;"",COUNTIF(D$7:D614,D614)=1),MAX(P$6:P613)+1,"")</f>
        <v/>
      </c>
      <c r="Q614">
        <f>IF(E614="","",IF(I614="أجور عمال","أجرة","مادة"))</f>
        <v/>
      </c>
    </row>
    <row r="615">
      <c r="A615" s="12">
        <f>IF(E615="","",ROW()-6)</f>
        <v/>
      </c>
      <c r="B615" s="13" t="n"/>
      <c r="C615" s="12">
        <f>IF(B615="","",CHOOSE(WEEKDAY(B615,1),"الأحد","الاثنين","الثلاثاء","الأربعاء","الخميس","الجمعة","السبت"))</f>
        <v/>
      </c>
      <c r="D615" s="14" t="n"/>
      <c r="E615" s="15" t="n"/>
      <c r="F615" s="16" t="n"/>
      <c r="G615" s="17" t="n"/>
      <c r="H615" s="18">
        <f>IF(OR(F615="",G615=""),"",ROUND(F615*G615,2))</f>
        <v/>
      </c>
      <c r="I615" s="19">
        <f>IF(ISNUMBER(SEARCH("ستاند",D615)),"أثاث وستاندات","")</f>
        <v/>
      </c>
      <c r="J615" s="20">
        <f>IF(E615="","",IF(I615="","⚠ عبّي الغرض",IF(AND(D615&lt;&gt;"",OR(ISNUMBER(SEARCH("صيانة",D615)),ISNUMBER(SEARCH("تعزيل",D615)),ISNUMBER(SEARCH("تنظيف",D615)),ISNUMBER(SEARCH("تصليح",D615)))),"⚠ الصيانة بلا ورشة",IF(H615="","⚠ ناقص",IF(D615&lt;&gt;"",IF(SUMIF($D$7:$D$806,D615,$H$7:$H$806)&gt;=20,"أصل","مصروف"),IFERROR(IF(VLOOKUP(I615,'القوائم'!$A$2:$D$14,4,0)="زكاة وصدقة","زكاة وصدقة",IF(AND(VLOOKUP(I615,'القوائم'!$A$2:$D$14,3,0)&lt;&gt;"",H615&gt;=20),"أصل","مصروف")),"مصروف"))))))</f>
        <v/>
      </c>
      <c r="K615" s="21" t="n"/>
      <c r="L615" s="22" t="n"/>
      <c r="N615">
        <f>IF(B615="","",MONTH(B615))</f>
        <v/>
      </c>
      <c r="O615">
        <f>IF(B615="","",YEAR(B615))</f>
        <v/>
      </c>
      <c r="P615">
        <f>IF(AND(D615&lt;&gt;"",COUNTIF(D$7:D615,D615)=1),MAX(P$6:P614)+1,"")</f>
        <v/>
      </c>
      <c r="Q615">
        <f>IF(E615="","",IF(I615="أجور عمال","أجرة","مادة"))</f>
        <v/>
      </c>
    </row>
    <row r="616">
      <c r="A616" s="12">
        <f>IF(E616="","",ROW()-6)</f>
        <v/>
      </c>
      <c r="B616" s="13" t="n"/>
      <c r="C616" s="12">
        <f>IF(B616="","",CHOOSE(WEEKDAY(B616,1),"الأحد","الاثنين","الثلاثاء","الأربعاء","الخميس","الجمعة","السبت"))</f>
        <v/>
      </c>
      <c r="D616" s="14" t="n"/>
      <c r="E616" s="15" t="n"/>
      <c r="F616" s="16" t="n"/>
      <c r="G616" s="17" t="n"/>
      <c r="H616" s="18">
        <f>IF(OR(F616="",G616=""),"",ROUND(F616*G616,2))</f>
        <v/>
      </c>
      <c r="I616" s="19">
        <f>IF(ISNUMBER(SEARCH("ستاند",D616)),"أثاث وستاندات","")</f>
        <v/>
      </c>
      <c r="J616" s="20">
        <f>IF(E616="","",IF(I616="","⚠ عبّي الغرض",IF(AND(D616&lt;&gt;"",OR(ISNUMBER(SEARCH("صيانة",D616)),ISNUMBER(SEARCH("تعزيل",D616)),ISNUMBER(SEARCH("تنظيف",D616)),ISNUMBER(SEARCH("تصليح",D616)))),"⚠ الصيانة بلا ورشة",IF(H616="","⚠ ناقص",IF(D616&lt;&gt;"",IF(SUMIF($D$7:$D$806,D616,$H$7:$H$806)&gt;=20,"أصل","مصروف"),IFERROR(IF(VLOOKUP(I616,'القوائم'!$A$2:$D$14,4,0)="زكاة وصدقة","زكاة وصدقة",IF(AND(VLOOKUP(I616,'القوائم'!$A$2:$D$14,3,0)&lt;&gt;"",H616&gt;=20),"أصل","مصروف")),"مصروف"))))))</f>
        <v/>
      </c>
      <c r="K616" s="21" t="n"/>
      <c r="L616" s="22" t="n"/>
      <c r="N616">
        <f>IF(B616="","",MONTH(B616))</f>
        <v/>
      </c>
      <c r="O616">
        <f>IF(B616="","",YEAR(B616))</f>
        <v/>
      </c>
      <c r="P616">
        <f>IF(AND(D616&lt;&gt;"",COUNTIF(D$7:D616,D616)=1),MAX(P$6:P615)+1,"")</f>
        <v/>
      </c>
      <c r="Q616">
        <f>IF(E616="","",IF(I616="أجور عمال","أجرة","مادة"))</f>
        <v/>
      </c>
    </row>
    <row r="617">
      <c r="A617" s="12">
        <f>IF(E617="","",ROW()-6)</f>
        <v/>
      </c>
      <c r="B617" s="13" t="n"/>
      <c r="C617" s="12">
        <f>IF(B617="","",CHOOSE(WEEKDAY(B617,1),"الأحد","الاثنين","الثلاثاء","الأربعاء","الخميس","الجمعة","السبت"))</f>
        <v/>
      </c>
      <c r="D617" s="14" t="n"/>
      <c r="E617" s="15" t="n"/>
      <c r="F617" s="16" t="n"/>
      <c r="G617" s="17" t="n"/>
      <c r="H617" s="18">
        <f>IF(OR(F617="",G617=""),"",ROUND(F617*G617,2))</f>
        <v/>
      </c>
      <c r="I617" s="19">
        <f>IF(ISNUMBER(SEARCH("ستاند",D617)),"أثاث وستاندات","")</f>
        <v/>
      </c>
      <c r="J617" s="20">
        <f>IF(E617="","",IF(I617="","⚠ عبّي الغرض",IF(AND(D617&lt;&gt;"",OR(ISNUMBER(SEARCH("صيانة",D617)),ISNUMBER(SEARCH("تعزيل",D617)),ISNUMBER(SEARCH("تنظيف",D617)),ISNUMBER(SEARCH("تصليح",D617)))),"⚠ الصيانة بلا ورشة",IF(H617="","⚠ ناقص",IF(D617&lt;&gt;"",IF(SUMIF($D$7:$D$806,D617,$H$7:$H$806)&gt;=20,"أصل","مصروف"),IFERROR(IF(VLOOKUP(I617,'القوائم'!$A$2:$D$14,4,0)="زكاة وصدقة","زكاة وصدقة",IF(AND(VLOOKUP(I617,'القوائم'!$A$2:$D$14,3,0)&lt;&gt;"",H617&gt;=20),"أصل","مصروف")),"مصروف"))))))</f>
        <v/>
      </c>
      <c r="K617" s="21" t="n"/>
      <c r="L617" s="22" t="n"/>
      <c r="N617">
        <f>IF(B617="","",MONTH(B617))</f>
        <v/>
      </c>
      <c r="O617">
        <f>IF(B617="","",YEAR(B617))</f>
        <v/>
      </c>
      <c r="P617">
        <f>IF(AND(D617&lt;&gt;"",COUNTIF(D$7:D617,D617)=1),MAX(P$6:P616)+1,"")</f>
        <v/>
      </c>
      <c r="Q617">
        <f>IF(E617="","",IF(I617="أجور عمال","أجرة","مادة"))</f>
        <v/>
      </c>
    </row>
    <row r="618">
      <c r="A618" s="12">
        <f>IF(E618="","",ROW()-6)</f>
        <v/>
      </c>
      <c r="B618" s="13" t="n"/>
      <c r="C618" s="12">
        <f>IF(B618="","",CHOOSE(WEEKDAY(B618,1),"الأحد","الاثنين","الثلاثاء","الأربعاء","الخميس","الجمعة","السبت"))</f>
        <v/>
      </c>
      <c r="D618" s="14" t="n"/>
      <c r="E618" s="15" t="n"/>
      <c r="F618" s="16" t="n"/>
      <c r="G618" s="17" t="n"/>
      <c r="H618" s="18">
        <f>IF(OR(F618="",G618=""),"",ROUND(F618*G618,2))</f>
        <v/>
      </c>
      <c r="I618" s="19">
        <f>IF(ISNUMBER(SEARCH("ستاند",D618)),"أثاث وستاندات","")</f>
        <v/>
      </c>
      <c r="J618" s="20">
        <f>IF(E618="","",IF(I618="","⚠ عبّي الغرض",IF(AND(D618&lt;&gt;"",OR(ISNUMBER(SEARCH("صيانة",D618)),ISNUMBER(SEARCH("تعزيل",D618)),ISNUMBER(SEARCH("تنظيف",D618)),ISNUMBER(SEARCH("تصليح",D618)))),"⚠ الصيانة بلا ورشة",IF(H618="","⚠ ناقص",IF(D618&lt;&gt;"",IF(SUMIF($D$7:$D$806,D618,$H$7:$H$806)&gt;=20,"أصل","مصروف"),IFERROR(IF(VLOOKUP(I618,'القوائم'!$A$2:$D$14,4,0)="زكاة وصدقة","زكاة وصدقة",IF(AND(VLOOKUP(I618,'القوائم'!$A$2:$D$14,3,0)&lt;&gt;"",H618&gt;=20),"أصل","مصروف")),"مصروف"))))))</f>
        <v/>
      </c>
      <c r="K618" s="21" t="n"/>
      <c r="L618" s="22" t="n"/>
      <c r="N618">
        <f>IF(B618="","",MONTH(B618))</f>
        <v/>
      </c>
      <c r="O618">
        <f>IF(B618="","",YEAR(B618))</f>
        <v/>
      </c>
      <c r="P618">
        <f>IF(AND(D618&lt;&gt;"",COUNTIF(D$7:D618,D618)=1),MAX(P$6:P617)+1,"")</f>
        <v/>
      </c>
      <c r="Q618">
        <f>IF(E618="","",IF(I618="أجور عمال","أجرة","مادة"))</f>
        <v/>
      </c>
    </row>
    <row r="619">
      <c r="A619" s="12">
        <f>IF(E619="","",ROW()-6)</f>
        <v/>
      </c>
      <c r="B619" s="13" t="n"/>
      <c r="C619" s="12">
        <f>IF(B619="","",CHOOSE(WEEKDAY(B619,1),"الأحد","الاثنين","الثلاثاء","الأربعاء","الخميس","الجمعة","السبت"))</f>
        <v/>
      </c>
      <c r="D619" s="14" t="n"/>
      <c r="E619" s="15" t="n"/>
      <c r="F619" s="16" t="n"/>
      <c r="G619" s="17" t="n"/>
      <c r="H619" s="18">
        <f>IF(OR(F619="",G619=""),"",ROUND(F619*G619,2))</f>
        <v/>
      </c>
      <c r="I619" s="19">
        <f>IF(ISNUMBER(SEARCH("ستاند",D619)),"أثاث وستاندات","")</f>
        <v/>
      </c>
      <c r="J619" s="20">
        <f>IF(E619="","",IF(I619="","⚠ عبّي الغرض",IF(AND(D619&lt;&gt;"",OR(ISNUMBER(SEARCH("صيانة",D619)),ISNUMBER(SEARCH("تعزيل",D619)),ISNUMBER(SEARCH("تنظيف",D619)),ISNUMBER(SEARCH("تصليح",D619)))),"⚠ الصيانة بلا ورشة",IF(H619="","⚠ ناقص",IF(D619&lt;&gt;"",IF(SUMIF($D$7:$D$806,D619,$H$7:$H$806)&gt;=20,"أصل","مصروف"),IFERROR(IF(VLOOKUP(I619,'القوائم'!$A$2:$D$14,4,0)="زكاة وصدقة","زكاة وصدقة",IF(AND(VLOOKUP(I619,'القوائم'!$A$2:$D$14,3,0)&lt;&gt;"",H619&gt;=20),"أصل","مصروف")),"مصروف"))))))</f>
        <v/>
      </c>
      <c r="K619" s="21" t="n"/>
      <c r="L619" s="22" t="n"/>
      <c r="N619">
        <f>IF(B619="","",MONTH(B619))</f>
        <v/>
      </c>
      <c r="O619">
        <f>IF(B619="","",YEAR(B619))</f>
        <v/>
      </c>
      <c r="P619">
        <f>IF(AND(D619&lt;&gt;"",COUNTIF(D$7:D619,D619)=1),MAX(P$6:P618)+1,"")</f>
        <v/>
      </c>
      <c r="Q619">
        <f>IF(E619="","",IF(I619="أجور عمال","أجرة","مادة"))</f>
        <v/>
      </c>
    </row>
    <row r="620">
      <c r="A620" s="12">
        <f>IF(E620="","",ROW()-6)</f>
        <v/>
      </c>
      <c r="B620" s="13" t="n"/>
      <c r="C620" s="12">
        <f>IF(B620="","",CHOOSE(WEEKDAY(B620,1),"الأحد","الاثنين","الثلاثاء","الأربعاء","الخميس","الجمعة","السبت"))</f>
        <v/>
      </c>
      <c r="D620" s="14" t="n"/>
      <c r="E620" s="15" t="n"/>
      <c r="F620" s="16" t="n"/>
      <c r="G620" s="17" t="n"/>
      <c r="H620" s="18">
        <f>IF(OR(F620="",G620=""),"",ROUND(F620*G620,2))</f>
        <v/>
      </c>
      <c r="I620" s="19">
        <f>IF(ISNUMBER(SEARCH("ستاند",D620)),"أثاث وستاندات","")</f>
        <v/>
      </c>
      <c r="J620" s="20">
        <f>IF(E620="","",IF(I620="","⚠ عبّي الغرض",IF(AND(D620&lt;&gt;"",OR(ISNUMBER(SEARCH("صيانة",D620)),ISNUMBER(SEARCH("تعزيل",D620)),ISNUMBER(SEARCH("تنظيف",D620)),ISNUMBER(SEARCH("تصليح",D620)))),"⚠ الصيانة بلا ورشة",IF(H620="","⚠ ناقص",IF(D620&lt;&gt;"",IF(SUMIF($D$7:$D$806,D620,$H$7:$H$806)&gt;=20,"أصل","مصروف"),IFERROR(IF(VLOOKUP(I620,'القوائم'!$A$2:$D$14,4,0)="زكاة وصدقة","زكاة وصدقة",IF(AND(VLOOKUP(I620,'القوائم'!$A$2:$D$14,3,0)&lt;&gt;"",H620&gt;=20),"أصل","مصروف")),"مصروف"))))))</f>
        <v/>
      </c>
      <c r="K620" s="21" t="n"/>
      <c r="L620" s="22" t="n"/>
      <c r="N620">
        <f>IF(B620="","",MONTH(B620))</f>
        <v/>
      </c>
      <c r="O620">
        <f>IF(B620="","",YEAR(B620))</f>
        <v/>
      </c>
      <c r="P620">
        <f>IF(AND(D620&lt;&gt;"",COUNTIF(D$7:D620,D620)=1),MAX(P$6:P619)+1,"")</f>
        <v/>
      </c>
      <c r="Q620">
        <f>IF(E620="","",IF(I620="أجور عمال","أجرة","مادة"))</f>
        <v/>
      </c>
    </row>
    <row r="621">
      <c r="A621" s="12">
        <f>IF(E621="","",ROW()-6)</f>
        <v/>
      </c>
      <c r="B621" s="13" t="n"/>
      <c r="C621" s="12">
        <f>IF(B621="","",CHOOSE(WEEKDAY(B621,1),"الأحد","الاثنين","الثلاثاء","الأربعاء","الخميس","الجمعة","السبت"))</f>
        <v/>
      </c>
      <c r="D621" s="14" t="n"/>
      <c r="E621" s="15" t="n"/>
      <c r="F621" s="16" t="n"/>
      <c r="G621" s="17" t="n"/>
      <c r="H621" s="18">
        <f>IF(OR(F621="",G621=""),"",ROUND(F621*G621,2))</f>
        <v/>
      </c>
      <c r="I621" s="19">
        <f>IF(ISNUMBER(SEARCH("ستاند",D621)),"أثاث وستاندات","")</f>
        <v/>
      </c>
      <c r="J621" s="20">
        <f>IF(E621="","",IF(I621="","⚠ عبّي الغرض",IF(AND(D621&lt;&gt;"",OR(ISNUMBER(SEARCH("صيانة",D621)),ISNUMBER(SEARCH("تعزيل",D621)),ISNUMBER(SEARCH("تنظيف",D621)),ISNUMBER(SEARCH("تصليح",D621)))),"⚠ الصيانة بلا ورشة",IF(H621="","⚠ ناقص",IF(D621&lt;&gt;"",IF(SUMIF($D$7:$D$806,D621,$H$7:$H$806)&gt;=20,"أصل","مصروف"),IFERROR(IF(VLOOKUP(I621,'القوائم'!$A$2:$D$14,4,0)="زكاة وصدقة","زكاة وصدقة",IF(AND(VLOOKUP(I621,'القوائم'!$A$2:$D$14,3,0)&lt;&gt;"",H621&gt;=20),"أصل","مصروف")),"مصروف"))))))</f>
        <v/>
      </c>
      <c r="K621" s="21" t="n"/>
      <c r="L621" s="22" t="n"/>
      <c r="N621">
        <f>IF(B621="","",MONTH(B621))</f>
        <v/>
      </c>
      <c r="O621">
        <f>IF(B621="","",YEAR(B621))</f>
        <v/>
      </c>
      <c r="P621">
        <f>IF(AND(D621&lt;&gt;"",COUNTIF(D$7:D621,D621)=1),MAX(P$6:P620)+1,"")</f>
        <v/>
      </c>
      <c r="Q621">
        <f>IF(E621="","",IF(I621="أجور عمال","أجرة","مادة"))</f>
        <v/>
      </c>
    </row>
    <row r="622">
      <c r="A622" s="12">
        <f>IF(E622="","",ROW()-6)</f>
        <v/>
      </c>
      <c r="B622" s="13" t="n"/>
      <c r="C622" s="12">
        <f>IF(B622="","",CHOOSE(WEEKDAY(B622,1),"الأحد","الاثنين","الثلاثاء","الأربعاء","الخميس","الجمعة","السبت"))</f>
        <v/>
      </c>
      <c r="D622" s="14" t="n"/>
      <c r="E622" s="15" t="n"/>
      <c r="F622" s="16" t="n"/>
      <c r="G622" s="17" t="n"/>
      <c r="H622" s="18">
        <f>IF(OR(F622="",G622=""),"",ROUND(F622*G622,2))</f>
        <v/>
      </c>
      <c r="I622" s="19">
        <f>IF(ISNUMBER(SEARCH("ستاند",D622)),"أثاث وستاندات","")</f>
        <v/>
      </c>
      <c r="J622" s="20">
        <f>IF(E622="","",IF(I622="","⚠ عبّي الغرض",IF(AND(D622&lt;&gt;"",OR(ISNUMBER(SEARCH("صيانة",D622)),ISNUMBER(SEARCH("تعزيل",D622)),ISNUMBER(SEARCH("تنظيف",D622)),ISNUMBER(SEARCH("تصليح",D622)))),"⚠ الصيانة بلا ورشة",IF(H622="","⚠ ناقص",IF(D622&lt;&gt;"",IF(SUMIF($D$7:$D$806,D622,$H$7:$H$806)&gt;=20,"أصل","مصروف"),IFERROR(IF(VLOOKUP(I622,'القوائم'!$A$2:$D$14,4,0)="زكاة وصدقة","زكاة وصدقة",IF(AND(VLOOKUP(I622,'القوائم'!$A$2:$D$14,3,0)&lt;&gt;"",H622&gt;=20),"أصل","مصروف")),"مصروف"))))))</f>
        <v/>
      </c>
      <c r="K622" s="21" t="n"/>
      <c r="L622" s="22" t="n"/>
      <c r="N622">
        <f>IF(B622="","",MONTH(B622))</f>
        <v/>
      </c>
      <c r="O622">
        <f>IF(B622="","",YEAR(B622))</f>
        <v/>
      </c>
      <c r="P622">
        <f>IF(AND(D622&lt;&gt;"",COUNTIF(D$7:D622,D622)=1),MAX(P$6:P621)+1,"")</f>
        <v/>
      </c>
      <c r="Q622">
        <f>IF(E622="","",IF(I622="أجور عمال","أجرة","مادة"))</f>
        <v/>
      </c>
    </row>
    <row r="623">
      <c r="A623" s="12">
        <f>IF(E623="","",ROW()-6)</f>
        <v/>
      </c>
      <c r="B623" s="13" t="n"/>
      <c r="C623" s="12">
        <f>IF(B623="","",CHOOSE(WEEKDAY(B623,1),"الأحد","الاثنين","الثلاثاء","الأربعاء","الخميس","الجمعة","السبت"))</f>
        <v/>
      </c>
      <c r="D623" s="14" t="n"/>
      <c r="E623" s="15" t="n"/>
      <c r="F623" s="16" t="n"/>
      <c r="G623" s="17" t="n"/>
      <c r="H623" s="18">
        <f>IF(OR(F623="",G623=""),"",ROUND(F623*G623,2))</f>
        <v/>
      </c>
      <c r="I623" s="19">
        <f>IF(ISNUMBER(SEARCH("ستاند",D623)),"أثاث وستاندات","")</f>
        <v/>
      </c>
      <c r="J623" s="20">
        <f>IF(E623="","",IF(I623="","⚠ عبّي الغرض",IF(AND(D623&lt;&gt;"",OR(ISNUMBER(SEARCH("صيانة",D623)),ISNUMBER(SEARCH("تعزيل",D623)),ISNUMBER(SEARCH("تنظيف",D623)),ISNUMBER(SEARCH("تصليح",D623)))),"⚠ الصيانة بلا ورشة",IF(H623="","⚠ ناقص",IF(D623&lt;&gt;"",IF(SUMIF($D$7:$D$806,D623,$H$7:$H$806)&gt;=20,"أصل","مصروف"),IFERROR(IF(VLOOKUP(I623,'القوائم'!$A$2:$D$14,4,0)="زكاة وصدقة","زكاة وصدقة",IF(AND(VLOOKUP(I623,'القوائم'!$A$2:$D$14,3,0)&lt;&gt;"",H623&gt;=20),"أصل","مصروف")),"مصروف"))))))</f>
        <v/>
      </c>
      <c r="K623" s="21" t="n"/>
      <c r="L623" s="22" t="n"/>
      <c r="N623">
        <f>IF(B623="","",MONTH(B623))</f>
        <v/>
      </c>
      <c r="O623">
        <f>IF(B623="","",YEAR(B623))</f>
        <v/>
      </c>
      <c r="P623">
        <f>IF(AND(D623&lt;&gt;"",COUNTIF(D$7:D623,D623)=1),MAX(P$6:P622)+1,"")</f>
        <v/>
      </c>
      <c r="Q623">
        <f>IF(E623="","",IF(I623="أجور عمال","أجرة","مادة"))</f>
        <v/>
      </c>
    </row>
    <row r="624">
      <c r="A624" s="12">
        <f>IF(E624="","",ROW()-6)</f>
        <v/>
      </c>
      <c r="B624" s="13" t="n"/>
      <c r="C624" s="12">
        <f>IF(B624="","",CHOOSE(WEEKDAY(B624,1),"الأحد","الاثنين","الثلاثاء","الأربعاء","الخميس","الجمعة","السبت"))</f>
        <v/>
      </c>
      <c r="D624" s="14" t="n"/>
      <c r="E624" s="15" t="n"/>
      <c r="F624" s="16" t="n"/>
      <c r="G624" s="17" t="n"/>
      <c r="H624" s="18">
        <f>IF(OR(F624="",G624=""),"",ROUND(F624*G624,2))</f>
        <v/>
      </c>
      <c r="I624" s="19">
        <f>IF(ISNUMBER(SEARCH("ستاند",D624)),"أثاث وستاندات","")</f>
        <v/>
      </c>
      <c r="J624" s="20">
        <f>IF(E624="","",IF(I624="","⚠ عبّي الغرض",IF(AND(D624&lt;&gt;"",OR(ISNUMBER(SEARCH("صيانة",D624)),ISNUMBER(SEARCH("تعزيل",D624)),ISNUMBER(SEARCH("تنظيف",D624)),ISNUMBER(SEARCH("تصليح",D624)))),"⚠ الصيانة بلا ورشة",IF(H624="","⚠ ناقص",IF(D624&lt;&gt;"",IF(SUMIF($D$7:$D$806,D624,$H$7:$H$806)&gt;=20,"أصل","مصروف"),IFERROR(IF(VLOOKUP(I624,'القوائم'!$A$2:$D$14,4,0)="زكاة وصدقة","زكاة وصدقة",IF(AND(VLOOKUP(I624,'القوائم'!$A$2:$D$14,3,0)&lt;&gt;"",H624&gt;=20),"أصل","مصروف")),"مصروف"))))))</f>
        <v/>
      </c>
      <c r="K624" s="21" t="n"/>
      <c r="L624" s="22" t="n"/>
      <c r="N624">
        <f>IF(B624="","",MONTH(B624))</f>
        <v/>
      </c>
      <c r="O624">
        <f>IF(B624="","",YEAR(B624))</f>
        <v/>
      </c>
      <c r="P624">
        <f>IF(AND(D624&lt;&gt;"",COUNTIF(D$7:D624,D624)=1),MAX(P$6:P623)+1,"")</f>
        <v/>
      </c>
      <c r="Q624">
        <f>IF(E624="","",IF(I624="أجور عمال","أجرة","مادة"))</f>
        <v/>
      </c>
    </row>
    <row r="625">
      <c r="A625" s="12">
        <f>IF(E625="","",ROW()-6)</f>
        <v/>
      </c>
      <c r="B625" s="13" t="n"/>
      <c r="C625" s="12">
        <f>IF(B625="","",CHOOSE(WEEKDAY(B625,1),"الأحد","الاثنين","الثلاثاء","الأربعاء","الخميس","الجمعة","السبت"))</f>
        <v/>
      </c>
      <c r="D625" s="14" t="n"/>
      <c r="E625" s="15" t="n"/>
      <c r="F625" s="16" t="n"/>
      <c r="G625" s="17" t="n"/>
      <c r="H625" s="18">
        <f>IF(OR(F625="",G625=""),"",ROUND(F625*G625,2))</f>
        <v/>
      </c>
      <c r="I625" s="19">
        <f>IF(ISNUMBER(SEARCH("ستاند",D625)),"أثاث وستاندات","")</f>
        <v/>
      </c>
      <c r="J625" s="20">
        <f>IF(E625="","",IF(I625="","⚠ عبّي الغرض",IF(AND(D625&lt;&gt;"",OR(ISNUMBER(SEARCH("صيانة",D625)),ISNUMBER(SEARCH("تعزيل",D625)),ISNUMBER(SEARCH("تنظيف",D625)),ISNUMBER(SEARCH("تصليح",D625)))),"⚠ الصيانة بلا ورشة",IF(H625="","⚠ ناقص",IF(D625&lt;&gt;"",IF(SUMIF($D$7:$D$806,D625,$H$7:$H$806)&gt;=20,"أصل","مصروف"),IFERROR(IF(VLOOKUP(I625,'القوائم'!$A$2:$D$14,4,0)="زكاة وصدقة","زكاة وصدقة",IF(AND(VLOOKUP(I625,'القوائم'!$A$2:$D$14,3,0)&lt;&gt;"",H625&gt;=20),"أصل","مصروف")),"مصروف"))))))</f>
        <v/>
      </c>
      <c r="K625" s="21" t="n"/>
      <c r="L625" s="22" t="n"/>
      <c r="N625">
        <f>IF(B625="","",MONTH(B625))</f>
        <v/>
      </c>
      <c r="O625">
        <f>IF(B625="","",YEAR(B625))</f>
        <v/>
      </c>
      <c r="P625">
        <f>IF(AND(D625&lt;&gt;"",COUNTIF(D$7:D625,D625)=1),MAX(P$6:P624)+1,"")</f>
        <v/>
      </c>
      <c r="Q625">
        <f>IF(E625="","",IF(I625="أجور عمال","أجرة","مادة"))</f>
        <v/>
      </c>
    </row>
    <row r="626">
      <c r="A626" s="12">
        <f>IF(E626="","",ROW()-6)</f>
        <v/>
      </c>
      <c r="B626" s="13" t="n"/>
      <c r="C626" s="12">
        <f>IF(B626="","",CHOOSE(WEEKDAY(B626,1),"الأحد","الاثنين","الثلاثاء","الأربعاء","الخميس","الجمعة","السبت"))</f>
        <v/>
      </c>
      <c r="D626" s="14" t="n"/>
      <c r="E626" s="15" t="n"/>
      <c r="F626" s="16" t="n"/>
      <c r="G626" s="17" t="n"/>
      <c r="H626" s="18">
        <f>IF(OR(F626="",G626=""),"",ROUND(F626*G626,2))</f>
        <v/>
      </c>
      <c r="I626" s="19">
        <f>IF(ISNUMBER(SEARCH("ستاند",D626)),"أثاث وستاندات","")</f>
        <v/>
      </c>
      <c r="J626" s="20">
        <f>IF(E626="","",IF(I626="","⚠ عبّي الغرض",IF(AND(D626&lt;&gt;"",OR(ISNUMBER(SEARCH("صيانة",D626)),ISNUMBER(SEARCH("تعزيل",D626)),ISNUMBER(SEARCH("تنظيف",D626)),ISNUMBER(SEARCH("تصليح",D626)))),"⚠ الصيانة بلا ورشة",IF(H626="","⚠ ناقص",IF(D626&lt;&gt;"",IF(SUMIF($D$7:$D$806,D626,$H$7:$H$806)&gt;=20,"أصل","مصروف"),IFERROR(IF(VLOOKUP(I626,'القوائم'!$A$2:$D$14,4,0)="زكاة وصدقة","زكاة وصدقة",IF(AND(VLOOKUP(I626,'القوائم'!$A$2:$D$14,3,0)&lt;&gt;"",H626&gt;=20),"أصل","مصروف")),"مصروف"))))))</f>
        <v/>
      </c>
      <c r="K626" s="21" t="n"/>
      <c r="L626" s="22" t="n"/>
      <c r="N626">
        <f>IF(B626="","",MONTH(B626))</f>
        <v/>
      </c>
      <c r="O626">
        <f>IF(B626="","",YEAR(B626))</f>
        <v/>
      </c>
      <c r="P626">
        <f>IF(AND(D626&lt;&gt;"",COUNTIF(D$7:D626,D626)=1),MAX(P$6:P625)+1,"")</f>
        <v/>
      </c>
      <c r="Q626">
        <f>IF(E626="","",IF(I626="أجور عمال","أجرة","مادة"))</f>
        <v/>
      </c>
    </row>
    <row r="627">
      <c r="A627" s="12">
        <f>IF(E627="","",ROW()-6)</f>
        <v/>
      </c>
      <c r="B627" s="13" t="n"/>
      <c r="C627" s="12">
        <f>IF(B627="","",CHOOSE(WEEKDAY(B627,1),"الأحد","الاثنين","الثلاثاء","الأربعاء","الخميس","الجمعة","السبت"))</f>
        <v/>
      </c>
      <c r="D627" s="14" t="n"/>
      <c r="E627" s="15" t="n"/>
      <c r="F627" s="16" t="n"/>
      <c r="G627" s="17" t="n"/>
      <c r="H627" s="18">
        <f>IF(OR(F627="",G627=""),"",ROUND(F627*G627,2))</f>
        <v/>
      </c>
      <c r="I627" s="19">
        <f>IF(ISNUMBER(SEARCH("ستاند",D627)),"أثاث وستاندات","")</f>
        <v/>
      </c>
      <c r="J627" s="20">
        <f>IF(E627="","",IF(I627="","⚠ عبّي الغرض",IF(AND(D627&lt;&gt;"",OR(ISNUMBER(SEARCH("صيانة",D627)),ISNUMBER(SEARCH("تعزيل",D627)),ISNUMBER(SEARCH("تنظيف",D627)),ISNUMBER(SEARCH("تصليح",D627)))),"⚠ الصيانة بلا ورشة",IF(H627="","⚠ ناقص",IF(D627&lt;&gt;"",IF(SUMIF($D$7:$D$806,D627,$H$7:$H$806)&gt;=20,"أصل","مصروف"),IFERROR(IF(VLOOKUP(I627,'القوائم'!$A$2:$D$14,4,0)="زكاة وصدقة","زكاة وصدقة",IF(AND(VLOOKUP(I627,'القوائم'!$A$2:$D$14,3,0)&lt;&gt;"",H627&gt;=20),"أصل","مصروف")),"مصروف"))))))</f>
        <v/>
      </c>
      <c r="K627" s="21" t="n"/>
      <c r="L627" s="22" t="n"/>
      <c r="N627">
        <f>IF(B627="","",MONTH(B627))</f>
        <v/>
      </c>
      <c r="O627">
        <f>IF(B627="","",YEAR(B627))</f>
        <v/>
      </c>
      <c r="P627">
        <f>IF(AND(D627&lt;&gt;"",COUNTIF(D$7:D627,D627)=1),MAX(P$6:P626)+1,"")</f>
        <v/>
      </c>
      <c r="Q627">
        <f>IF(E627="","",IF(I627="أجور عمال","أجرة","مادة"))</f>
        <v/>
      </c>
    </row>
    <row r="628">
      <c r="A628" s="12">
        <f>IF(E628="","",ROW()-6)</f>
        <v/>
      </c>
      <c r="B628" s="13" t="n"/>
      <c r="C628" s="12">
        <f>IF(B628="","",CHOOSE(WEEKDAY(B628,1),"الأحد","الاثنين","الثلاثاء","الأربعاء","الخميس","الجمعة","السبت"))</f>
        <v/>
      </c>
      <c r="D628" s="14" t="n"/>
      <c r="E628" s="15" t="n"/>
      <c r="F628" s="16" t="n"/>
      <c r="G628" s="17" t="n"/>
      <c r="H628" s="18">
        <f>IF(OR(F628="",G628=""),"",ROUND(F628*G628,2))</f>
        <v/>
      </c>
      <c r="I628" s="19">
        <f>IF(ISNUMBER(SEARCH("ستاند",D628)),"أثاث وستاندات","")</f>
        <v/>
      </c>
      <c r="J628" s="20">
        <f>IF(E628="","",IF(I628="","⚠ عبّي الغرض",IF(AND(D628&lt;&gt;"",OR(ISNUMBER(SEARCH("صيانة",D628)),ISNUMBER(SEARCH("تعزيل",D628)),ISNUMBER(SEARCH("تنظيف",D628)),ISNUMBER(SEARCH("تصليح",D628)))),"⚠ الصيانة بلا ورشة",IF(H628="","⚠ ناقص",IF(D628&lt;&gt;"",IF(SUMIF($D$7:$D$806,D628,$H$7:$H$806)&gt;=20,"أصل","مصروف"),IFERROR(IF(VLOOKUP(I628,'القوائم'!$A$2:$D$14,4,0)="زكاة وصدقة","زكاة وصدقة",IF(AND(VLOOKUP(I628,'القوائم'!$A$2:$D$14,3,0)&lt;&gt;"",H628&gt;=20),"أصل","مصروف")),"مصروف"))))))</f>
        <v/>
      </c>
      <c r="K628" s="21" t="n"/>
      <c r="L628" s="22" t="n"/>
      <c r="N628">
        <f>IF(B628="","",MONTH(B628))</f>
        <v/>
      </c>
      <c r="O628">
        <f>IF(B628="","",YEAR(B628))</f>
        <v/>
      </c>
      <c r="P628">
        <f>IF(AND(D628&lt;&gt;"",COUNTIF(D$7:D628,D628)=1),MAX(P$6:P627)+1,"")</f>
        <v/>
      </c>
      <c r="Q628">
        <f>IF(E628="","",IF(I628="أجور عمال","أجرة","مادة"))</f>
        <v/>
      </c>
    </row>
    <row r="629">
      <c r="A629" s="12">
        <f>IF(E629="","",ROW()-6)</f>
        <v/>
      </c>
      <c r="B629" s="13" t="n"/>
      <c r="C629" s="12">
        <f>IF(B629="","",CHOOSE(WEEKDAY(B629,1),"الأحد","الاثنين","الثلاثاء","الأربعاء","الخميس","الجمعة","السبت"))</f>
        <v/>
      </c>
      <c r="D629" s="14" t="n"/>
      <c r="E629" s="15" t="n"/>
      <c r="F629" s="16" t="n"/>
      <c r="G629" s="17" t="n"/>
      <c r="H629" s="18">
        <f>IF(OR(F629="",G629=""),"",ROUND(F629*G629,2))</f>
        <v/>
      </c>
      <c r="I629" s="19">
        <f>IF(ISNUMBER(SEARCH("ستاند",D629)),"أثاث وستاندات","")</f>
        <v/>
      </c>
      <c r="J629" s="20">
        <f>IF(E629="","",IF(I629="","⚠ عبّي الغرض",IF(AND(D629&lt;&gt;"",OR(ISNUMBER(SEARCH("صيانة",D629)),ISNUMBER(SEARCH("تعزيل",D629)),ISNUMBER(SEARCH("تنظيف",D629)),ISNUMBER(SEARCH("تصليح",D629)))),"⚠ الصيانة بلا ورشة",IF(H629="","⚠ ناقص",IF(D629&lt;&gt;"",IF(SUMIF($D$7:$D$806,D629,$H$7:$H$806)&gt;=20,"أصل","مصروف"),IFERROR(IF(VLOOKUP(I629,'القوائم'!$A$2:$D$14,4,0)="زكاة وصدقة","زكاة وصدقة",IF(AND(VLOOKUP(I629,'القوائم'!$A$2:$D$14,3,0)&lt;&gt;"",H629&gt;=20),"أصل","مصروف")),"مصروف"))))))</f>
        <v/>
      </c>
      <c r="K629" s="21" t="n"/>
      <c r="L629" s="22" t="n"/>
      <c r="N629">
        <f>IF(B629="","",MONTH(B629))</f>
        <v/>
      </c>
      <c r="O629">
        <f>IF(B629="","",YEAR(B629))</f>
        <v/>
      </c>
      <c r="P629">
        <f>IF(AND(D629&lt;&gt;"",COUNTIF(D$7:D629,D629)=1),MAX(P$6:P628)+1,"")</f>
        <v/>
      </c>
      <c r="Q629">
        <f>IF(E629="","",IF(I629="أجور عمال","أجرة","مادة"))</f>
        <v/>
      </c>
    </row>
    <row r="630">
      <c r="A630" s="12">
        <f>IF(E630="","",ROW()-6)</f>
        <v/>
      </c>
      <c r="B630" s="13" t="n"/>
      <c r="C630" s="12">
        <f>IF(B630="","",CHOOSE(WEEKDAY(B630,1),"الأحد","الاثنين","الثلاثاء","الأربعاء","الخميس","الجمعة","السبت"))</f>
        <v/>
      </c>
      <c r="D630" s="14" t="n"/>
      <c r="E630" s="15" t="n"/>
      <c r="F630" s="16" t="n"/>
      <c r="G630" s="17" t="n"/>
      <c r="H630" s="18">
        <f>IF(OR(F630="",G630=""),"",ROUND(F630*G630,2))</f>
        <v/>
      </c>
      <c r="I630" s="19">
        <f>IF(ISNUMBER(SEARCH("ستاند",D630)),"أثاث وستاندات","")</f>
        <v/>
      </c>
      <c r="J630" s="20">
        <f>IF(E630="","",IF(I630="","⚠ عبّي الغرض",IF(AND(D630&lt;&gt;"",OR(ISNUMBER(SEARCH("صيانة",D630)),ISNUMBER(SEARCH("تعزيل",D630)),ISNUMBER(SEARCH("تنظيف",D630)),ISNUMBER(SEARCH("تصليح",D630)))),"⚠ الصيانة بلا ورشة",IF(H630="","⚠ ناقص",IF(D630&lt;&gt;"",IF(SUMIF($D$7:$D$806,D630,$H$7:$H$806)&gt;=20,"أصل","مصروف"),IFERROR(IF(VLOOKUP(I630,'القوائم'!$A$2:$D$14,4,0)="زكاة وصدقة","زكاة وصدقة",IF(AND(VLOOKUP(I630,'القوائم'!$A$2:$D$14,3,0)&lt;&gt;"",H630&gt;=20),"أصل","مصروف")),"مصروف"))))))</f>
        <v/>
      </c>
      <c r="K630" s="21" t="n"/>
      <c r="L630" s="22" t="n"/>
      <c r="N630">
        <f>IF(B630="","",MONTH(B630))</f>
        <v/>
      </c>
      <c r="O630">
        <f>IF(B630="","",YEAR(B630))</f>
        <v/>
      </c>
      <c r="P630">
        <f>IF(AND(D630&lt;&gt;"",COUNTIF(D$7:D630,D630)=1),MAX(P$6:P629)+1,"")</f>
        <v/>
      </c>
      <c r="Q630">
        <f>IF(E630="","",IF(I630="أجور عمال","أجرة","مادة"))</f>
        <v/>
      </c>
    </row>
    <row r="631">
      <c r="A631" s="12">
        <f>IF(E631="","",ROW()-6)</f>
        <v/>
      </c>
      <c r="B631" s="13" t="n"/>
      <c r="C631" s="12">
        <f>IF(B631="","",CHOOSE(WEEKDAY(B631,1),"الأحد","الاثنين","الثلاثاء","الأربعاء","الخميس","الجمعة","السبت"))</f>
        <v/>
      </c>
      <c r="D631" s="14" t="n"/>
      <c r="E631" s="15" t="n"/>
      <c r="F631" s="16" t="n"/>
      <c r="G631" s="17" t="n"/>
      <c r="H631" s="18">
        <f>IF(OR(F631="",G631=""),"",ROUND(F631*G631,2))</f>
        <v/>
      </c>
      <c r="I631" s="19">
        <f>IF(ISNUMBER(SEARCH("ستاند",D631)),"أثاث وستاندات","")</f>
        <v/>
      </c>
      <c r="J631" s="20">
        <f>IF(E631="","",IF(I631="","⚠ عبّي الغرض",IF(AND(D631&lt;&gt;"",OR(ISNUMBER(SEARCH("صيانة",D631)),ISNUMBER(SEARCH("تعزيل",D631)),ISNUMBER(SEARCH("تنظيف",D631)),ISNUMBER(SEARCH("تصليح",D631)))),"⚠ الصيانة بلا ورشة",IF(H631="","⚠ ناقص",IF(D631&lt;&gt;"",IF(SUMIF($D$7:$D$806,D631,$H$7:$H$806)&gt;=20,"أصل","مصروف"),IFERROR(IF(VLOOKUP(I631,'القوائم'!$A$2:$D$14,4,0)="زكاة وصدقة","زكاة وصدقة",IF(AND(VLOOKUP(I631,'القوائم'!$A$2:$D$14,3,0)&lt;&gt;"",H631&gt;=20),"أصل","مصروف")),"مصروف"))))))</f>
        <v/>
      </c>
      <c r="K631" s="21" t="n"/>
      <c r="L631" s="22" t="n"/>
      <c r="N631">
        <f>IF(B631="","",MONTH(B631))</f>
        <v/>
      </c>
      <c r="O631">
        <f>IF(B631="","",YEAR(B631))</f>
        <v/>
      </c>
      <c r="P631">
        <f>IF(AND(D631&lt;&gt;"",COUNTIF(D$7:D631,D631)=1),MAX(P$6:P630)+1,"")</f>
        <v/>
      </c>
      <c r="Q631">
        <f>IF(E631="","",IF(I631="أجور عمال","أجرة","مادة"))</f>
        <v/>
      </c>
    </row>
    <row r="632">
      <c r="A632" s="12">
        <f>IF(E632="","",ROW()-6)</f>
        <v/>
      </c>
      <c r="B632" s="13" t="n"/>
      <c r="C632" s="12">
        <f>IF(B632="","",CHOOSE(WEEKDAY(B632,1),"الأحد","الاثنين","الثلاثاء","الأربعاء","الخميس","الجمعة","السبت"))</f>
        <v/>
      </c>
      <c r="D632" s="14" t="n"/>
      <c r="E632" s="15" t="n"/>
      <c r="F632" s="16" t="n"/>
      <c r="G632" s="17" t="n"/>
      <c r="H632" s="18">
        <f>IF(OR(F632="",G632=""),"",ROUND(F632*G632,2))</f>
        <v/>
      </c>
      <c r="I632" s="19">
        <f>IF(ISNUMBER(SEARCH("ستاند",D632)),"أثاث وستاندات","")</f>
        <v/>
      </c>
      <c r="J632" s="20">
        <f>IF(E632="","",IF(I632="","⚠ عبّي الغرض",IF(AND(D632&lt;&gt;"",OR(ISNUMBER(SEARCH("صيانة",D632)),ISNUMBER(SEARCH("تعزيل",D632)),ISNUMBER(SEARCH("تنظيف",D632)),ISNUMBER(SEARCH("تصليح",D632)))),"⚠ الصيانة بلا ورشة",IF(H632="","⚠ ناقص",IF(D632&lt;&gt;"",IF(SUMIF($D$7:$D$806,D632,$H$7:$H$806)&gt;=20,"أصل","مصروف"),IFERROR(IF(VLOOKUP(I632,'القوائم'!$A$2:$D$14,4,0)="زكاة وصدقة","زكاة وصدقة",IF(AND(VLOOKUP(I632,'القوائم'!$A$2:$D$14,3,0)&lt;&gt;"",H632&gt;=20),"أصل","مصروف")),"مصروف"))))))</f>
        <v/>
      </c>
      <c r="K632" s="21" t="n"/>
      <c r="L632" s="22" t="n"/>
      <c r="N632">
        <f>IF(B632="","",MONTH(B632))</f>
        <v/>
      </c>
      <c r="O632">
        <f>IF(B632="","",YEAR(B632))</f>
        <v/>
      </c>
      <c r="P632">
        <f>IF(AND(D632&lt;&gt;"",COUNTIF(D$7:D632,D632)=1),MAX(P$6:P631)+1,"")</f>
        <v/>
      </c>
      <c r="Q632">
        <f>IF(E632="","",IF(I632="أجور عمال","أجرة","مادة"))</f>
        <v/>
      </c>
    </row>
    <row r="633">
      <c r="A633" s="12">
        <f>IF(E633="","",ROW()-6)</f>
        <v/>
      </c>
      <c r="B633" s="13" t="n"/>
      <c r="C633" s="12">
        <f>IF(B633="","",CHOOSE(WEEKDAY(B633,1),"الأحد","الاثنين","الثلاثاء","الأربعاء","الخميس","الجمعة","السبت"))</f>
        <v/>
      </c>
      <c r="D633" s="14" t="n"/>
      <c r="E633" s="15" t="n"/>
      <c r="F633" s="16" t="n"/>
      <c r="G633" s="17" t="n"/>
      <c r="H633" s="18">
        <f>IF(OR(F633="",G633=""),"",ROUND(F633*G633,2))</f>
        <v/>
      </c>
      <c r="I633" s="19">
        <f>IF(ISNUMBER(SEARCH("ستاند",D633)),"أثاث وستاندات","")</f>
        <v/>
      </c>
      <c r="J633" s="20">
        <f>IF(E633="","",IF(I633="","⚠ عبّي الغرض",IF(AND(D633&lt;&gt;"",OR(ISNUMBER(SEARCH("صيانة",D633)),ISNUMBER(SEARCH("تعزيل",D633)),ISNUMBER(SEARCH("تنظيف",D633)),ISNUMBER(SEARCH("تصليح",D633)))),"⚠ الصيانة بلا ورشة",IF(H633="","⚠ ناقص",IF(D633&lt;&gt;"",IF(SUMIF($D$7:$D$806,D633,$H$7:$H$806)&gt;=20,"أصل","مصروف"),IFERROR(IF(VLOOKUP(I633,'القوائم'!$A$2:$D$14,4,0)="زكاة وصدقة","زكاة وصدقة",IF(AND(VLOOKUP(I633,'القوائم'!$A$2:$D$14,3,0)&lt;&gt;"",H633&gt;=20),"أصل","مصروف")),"مصروف"))))))</f>
        <v/>
      </c>
      <c r="K633" s="21" t="n"/>
      <c r="L633" s="22" t="n"/>
      <c r="N633">
        <f>IF(B633="","",MONTH(B633))</f>
        <v/>
      </c>
      <c r="O633">
        <f>IF(B633="","",YEAR(B633))</f>
        <v/>
      </c>
      <c r="P633">
        <f>IF(AND(D633&lt;&gt;"",COUNTIF(D$7:D633,D633)=1),MAX(P$6:P632)+1,"")</f>
        <v/>
      </c>
      <c r="Q633">
        <f>IF(E633="","",IF(I633="أجور عمال","أجرة","مادة"))</f>
        <v/>
      </c>
    </row>
    <row r="634">
      <c r="A634" s="12">
        <f>IF(E634="","",ROW()-6)</f>
        <v/>
      </c>
      <c r="B634" s="13" t="n"/>
      <c r="C634" s="12">
        <f>IF(B634="","",CHOOSE(WEEKDAY(B634,1),"الأحد","الاثنين","الثلاثاء","الأربعاء","الخميس","الجمعة","السبت"))</f>
        <v/>
      </c>
      <c r="D634" s="14" t="n"/>
      <c r="E634" s="15" t="n"/>
      <c r="F634" s="16" t="n"/>
      <c r="G634" s="17" t="n"/>
      <c r="H634" s="18">
        <f>IF(OR(F634="",G634=""),"",ROUND(F634*G634,2))</f>
        <v/>
      </c>
      <c r="I634" s="19">
        <f>IF(ISNUMBER(SEARCH("ستاند",D634)),"أثاث وستاندات","")</f>
        <v/>
      </c>
      <c r="J634" s="20">
        <f>IF(E634="","",IF(I634="","⚠ عبّي الغرض",IF(AND(D634&lt;&gt;"",OR(ISNUMBER(SEARCH("صيانة",D634)),ISNUMBER(SEARCH("تعزيل",D634)),ISNUMBER(SEARCH("تنظيف",D634)),ISNUMBER(SEARCH("تصليح",D634)))),"⚠ الصيانة بلا ورشة",IF(H634="","⚠ ناقص",IF(D634&lt;&gt;"",IF(SUMIF($D$7:$D$806,D634,$H$7:$H$806)&gt;=20,"أصل","مصروف"),IFERROR(IF(VLOOKUP(I634,'القوائم'!$A$2:$D$14,4,0)="زكاة وصدقة","زكاة وصدقة",IF(AND(VLOOKUP(I634,'القوائم'!$A$2:$D$14,3,0)&lt;&gt;"",H634&gt;=20),"أصل","مصروف")),"مصروف"))))))</f>
        <v/>
      </c>
      <c r="K634" s="21" t="n"/>
      <c r="L634" s="22" t="n"/>
      <c r="N634">
        <f>IF(B634="","",MONTH(B634))</f>
        <v/>
      </c>
      <c r="O634">
        <f>IF(B634="","",YEAR(B634))</f>
        <v/>
      </c>
      <c r="P634">
        <f>IF(AND(D634&lt;&gt;"",COUNTIF(D$7:D634,D634)=1),MAX(P$6:P633)+1,"")</f>
        <v/>
      </c>
      <c r="Q634">
        <f>IF(E634="","",IF(I634="أجور عمال","أجرة","مادة"))</f>
        <v/>
      </c>
    </row>
    <row r="635">
      <c r="A635" s="12">
        <f>IF(E635="","",ROW()-6)</f>
        <v/>
      </c>
      <c r="B635" s="13" t="n"/>
      <c r="C635" s="12">
        <f>IF(B635="","",CHOOSE(WEEKDAY(B635,1),"الأحد","الاثنين","الثلاثاء","الأربعاء","الخميس","الجمعة","السبت"))</f>
        <v/>
      </c>
      <c r="D635" s="14" t="n"/>
      <c r="E635" s="15" t="n"/>
      <c r="F635" s="16" t="n"/>
      <c r="G635" s="17" t="n"/>
      <c r="H635" s="18">
        <f>IF(OR(F635="",G635=""),"",ROUND(F635*G635,2))</f>
        <v/>
      </c>
      <c r="I635" s="19">
        <f>IF(ISNUMBER(SEARCH("ستاند",D635)),"أثاث وستاندات","")</f>
        <v/>
      </c>
      <c r="J635" s="20">
        <f>IF(E635="","",IF(I635="","⚠ عبّي الغرض",IF(AND(D635&lt;&gt;"",OR(ISNUMBER(SEARCH("صيانة",D635)),ISNUMBER(SEARCH("تعزيل",D635)),ISNUMBER(SEARCH("تنظيف",D635)),ISNUMBER(SEARCH("تصليح",D635)))),"⚠ الصيانة بلا ورشة",IF(H635="","⚠ ناقص",IF(D635&lt;&gt;"",IF(SUMIF($D$7:$D$806,D635,$H$7:$H$806)&gt;=20,"أصل","مصروف"),IFERROR(IF(VLOOKUP(I635,'القوائم'!$A$2:$D$14,4,0)="زكاة وصدقة","زكاة وصدقة",IF(AND(VLOOKUP(I635,'القوائم'!$A$2:$D$14,3,0)&lt;&gt;"",H635&gt;=20),"أصل","مصروف")),"مصروف"))))))</f>
        <v/>
      </c>
      <c r="K635" s="21" t="n"/>
      <c r="L635" s="22" t="n"/>
      <c r="N635">
        <f>IF(B635="","",MONTH(B635))</f>
        <v/>
      </c>
      <c r="O635">
        <f>IF(B635="","",YEAR(B635))</f>
        <v/>
      </c>
      <c r="P635">
        <f>IF(AND(D635&lt;&gt;"",COUNTIF(D$7:D635,D635)=1),MAX(P$6:P634)+1,"")</f>
        <v/>
      </c>
      <c r="Q635">
        <f>IF(E635="","",IF(I635="أجور عمال","أجرة","مادة"))</f>
        <v/>
      </c>
    </row>
    <row r="636">
      <c r="A636" s="12">
        <f>IF(E636="","",ROW()-6)</f>
        <v/>
      </c>
      <c r="B636" s="13" t="n"/>
      <c r="C636" s="12">
        <f>IF(B636="","",CHOOSE(WEEKDAY(B636,1),"الأحد","الاثنين","الثلاثاء","الأربعاء","الخميس","الجمعة","السبت"))</f>
        <v/>
      </c>
      <c r="D636" s="14" t="n"/>
      <c r="E636" s="15" t="n"/>
      <c r="F636" s="16" t="n"/>
      <c r="G636" s="17" t="n"/>
      <c r="H636" s="18">
        <f>IF(OR(F636="",G636=""),"",ROUND(F636*G636,2))</f>
        <v/>
      </c>
      <c r="I636" s="19">
        <f>IF(ISNUMBER(SEARCH("ستاند",D636)),"أثاث وستاندات","")</f>
        <v/>
      </c>
      <c r="J636" s="20">
        <f>IF(E636="","",IF(I636="","⚠ عبّي الغرض",IF(AND(D636&lt;&gt;"",OR(ISNUMBER(SEARCH("صيانة",D636)),ISNUMBER(SEARCH("تعزيل",D636)),ISNUMBER(SEARCH("تنظيف",D636)),ISNUMBER(SEARCH("تصليح",D636)))),"⚠ الصيانة بلا ورشة",IF(H636="","⚠ ناقص",IF(D636&lt;&gt;"",IF(SUMIF($D$7:$D$806,D636,$H$7:$H$806)&gt;=20,"أصل","مصروف"),IFERROR(IF(VLOOKUP(I636,'القوائم'!$A$2:$D$14,4,0)="زكاة وصدقة","زكاة وصدقة",IF(AND(VLOOKUP(I636,'القوائم'!$A$2:$D$14,3,0)&lt;&gt;"",H636&gt;=20),"أصل","مصروف")),"مصروف"))))))</f>
        <v/>
      </c>
      <c r="K636" s="21" t="n"/>
      <c r="L636" s="22" t="n"/>
      <c r="N636">
        <f>IF(B636="","",MONTH(B636))</f>
        <v/>
      </c>
      <c r="O636">
        <f>IF(B636="","",YEAR(B636))</f>
        <v/>
      </c>
      <c r="P636">
        <f>IF(AND(D636&lt;&gt;"",COUNTIF(D$7:D636,D636)=1),MAX(P$6:P635)+1,"")</f>
        <v/>
      </c>
      <c r="Q636">
        <f>IF(E636="","",IF(I636="أجور عمال","أجرة","مادة"))</f>
        <v/>
      </c>
    </row>
    <row r="637">
      <c r="A637" s="12">
        <f>IF(E637="","",ROW()-6)</f>
        <v/>
      </c>
      <c r="B637" s="13" t="n"/>
      <c r="C637" s="12">
        <f>IF(B637="","",CHOOSE(WEEKDAY(B637,1),"الأحد","الاثنين","الثلاثاء","الأربعاء","الخميس","الجمعة","السبت"))</f>
        <v/>
      </c>
      <c r="D637" s="14" t="n"/>
      <c r="E637" s="15" t="n"/>
      <c r="F637" s="16" t="n"/>
      <c r="G637" s="17" t="n"/>
      <c r="H637" s="18">
        <f>IF(OR(F637="",G637=""),"",ROUND(F637*G637,2))</f>
        <v/>
      </c>
      <c r="I637" s="19">
        <f>IF(ISNUMBER(SEARCH("ستاند",D637)),"أثاث وستاندات","")</f>
        <v/>
      </c>
      <c r="J637" s="20">
        <f>IF(E637="","",IF(I637="","⚠ عبّي الغرض",IF(AND(D637&lt;&gt;"",OR(ISNUMBER(SEARCH("صيانة",D637)),ISNUMBER(SEARCH("تعزيل",D637)),ISNUMBER(SEARCH("تنظيف",D637)),ISNUMBER(SEARCH("تصليح",D637)))),"⚠ الصيانة بلا ورشة",IF(H637="","⚠ ناقص",IF(D637&lt;&gt;"",IF(SUMIF($D$7:$D$806,D637,$H$7:$H$806)&gt;=20,"أصل","مصروف"),IFERROR(IF(VLOOKUP(I637,'القوائم'!$A$2:$D$14,4,0)="زكاة وصدقة","زكاة وصدقة",IF(AND(VLOOKUP(I637,'القوائم'!$A$2:$D$14,3,0)&lt;&gt;"",H637&gt;=20),"أصل","مصروف")),"مصروف"))))))</f>
        <v/>
      </c>
      <c r="K637" s="21" t="n"/>
      <c r="L637" s="22" t="n"/>
      <c r="N637">
        <f>IF(B637="","",MONTH(B637))</f>
        <v/>
      </c>
      <c r="O637">
        <f>IF(B637="","",YEAR(B637))</f>
        <v/>
      </c>
      <c r="P637">
        <f>IF(AND(D637&lt;&gt;"",COUNTIF(D$7:D637,D637)=1),MAX(P$6:P636)+1,"")</f>
        <v/>
      </c>
      <c r="Q637">
        <f>IF(E637="","",IF(I637="أجور عمال","أجرة","مادة"))</f>
        <v/>
      </c>
    </row>
    <row r="638">
      <c r="A638" s="12">
        <f>IF(E638="","",ROW()-6)</f>
        <v/>
      </c>
      <c r="B638" s="13" t="n"/>
      <c r="C638" s="12">
        <f>IF(B638="","",CHOOSE(WEEKDAY(B638,1),"الأحد","الاثنين","الثلاثاء","الأربعاء","الخميس","الجمعة","السبت"))</f>
        <v/>
      </c>
      <c r="D638" s="14" t="n"/>
      <c r="E638" s="15" t="n"/>
      <c r="F638" s="16" t="n"/>
      <c r="G638" s="17" t="n"/>
      <c r="H638" s="18">
        <f>IF(OR(F638="",G638=""),"",ROUND(F638*G638,2))</f>
        <v/>
      </c>
      <c r="I638" s="19">
        <f>IF(ISNUMBER(SEARCH("ستاند",D638)),"أثاث وستاندات","")</f>
        <v/>
      </c>
      <c r="J638" s="20">
        <f>IF(E638="","",IF(I638="","⚠ عبّي الغرض",IF(AND(D638&lt;&gt;"",OR(ISNUMBER(SEARCH("صيانة",D638)),ISNUMBER(SEARCH("تعزيل",D638)),ISNUMBER(SEARCH("تنظيف",D638)),ISNUMBER(SEARCH("تصليح",D638)))),"⚠ الصيانة بلا ورشة",IF(H638="","⚠ ناقص",IF(D638&lt;&gt;"",IF(SUMIF($D$7:$D$806,D638,$H$7:$H$806)&gt;=20,"أصل","مصروف"),IFERROR(IF(VLOOKUP(I638,'القوائم'!$A$2:$D$14,4,0)="زكاة وصدقة","زكاة وصدقة",IF(AND(VLOOKUP(I638,'القوائم'!$A$2:$D$14,3,0)&lt;&gt;"",H638&gt;=20),"أصل","مصروف")),"مصروف"))))))</f>
        <v/>
      </c>
      <c r="K638" s="21" t="n"/>
      <c r="L638" s="22" t="n"/>
      <c r="N638">
        <f>IF(B638="","",MONTH(B638))</f>
        <v/>
      </c>
      <c r="O638">
        <f>IF(B638="","",YEAR(B638))</f>
        <v/>
      </c>
      <c r="P638">
        <f>IF(AND(D638&lt;&gt;"",COUNTIF(D$7:D638,D638)=1),MAX(P$6:P637)+1,"")</f>
        <v/>
      </c>
      <c r="Q638">
        <f>IF(E638="","",IF(I638="أجور عمال","أجرة","مادة"))</f>
        <v/>
      </c>
    </row>
    <row r="639">
      <c r="A639" s="12">
        <f>IF(E639="","",ROW()-6)</f>
        <v/>
      </c>
      <c r="B639" s="13" t="n"/>
      <c r="C639" s="12">
        <f>IF(B639="","",CHOOSE(WEEKDAY(B639,1),"الأحد","الاثنين","الثلاثاء","الأربعاء","الخميس","الجمعة","السبت"))</f>
        <v/>
      </c>
      <c r="D639" s="14" t="n"/>
      <c r="E639" s="15" t="n"/>
      <c r="F639" s="16" t="n"/>
      <c r="G639" s="17" t="n"/>
      <c r="H639" s="18">
        <f>IF(OR(F639="",G639=""),"",ROUND(F639*G639,2))</f>
        <v/>
      </c>
      <c r="I639" s="19">
        <f>IF(ISNUMBER(SEARCH("ستاند",D639)),"أثاث وستاندات","")</f>
        <v/>
      </c>
      <c r="J639" s="20">
        <f>IF(E639="","",IF(I639="","⚠ عبّي الغرض",IF(AND(D639&lt;&gt;"",OR(ISNUMBER(SEARCH("صيانة",D639)),ISNUMBER(SEARCH("تعزيل",D639)),ISNUMBER(SEARCH("تنظيف",D639)),ISNUMBER(SEARCH("تصليح",D639)))),"⚠ الصيانة بلا ورشة",IF(H639="","⚠ ناقص",IF(D639&lt;&gt;"",IF(SUMIF($D$7:$D$806,D639,$H$7:$H$806)&gt;=20,"أصل","مصروف"),IFERROR(IF(VLOOKUP(I639,'القوائم'!$A$2:$D$14,4,0)="زكاة وصدقة","زكاة وصدقة",IF(AND(VLOOKUP(I639,'القوائم'!$A$2:$D$14,3,0)&lt;&gt;"",H639&gt;=20),"أصل","مصروف")),"مصروف"))))))</f>
        <v/>
      </c>
      <c r="K639" s="21" t="n"/>
      <c r="L639" s="22" t="n"/>
      <c r="N639">
        <f>IF(B639="","",MONTH(B639))</f>
        <v/>
      </c>
      <c r="O639">
        <f>IF(B639="","",YEAR(B639))</f>
        <v/>
      </c>
      <c r="P639">
        <f>IF(AND(D639&lt;&gt;"",COUNTIF(D$7:D639,D639)=1),MAX(P$6:P638)+1,"")</f>
        <v/>
      </c>
      <c r="Q639">
        <f>IF(E639="","",IF(I639="أجور عمال","أجرة","مادة"))</f>
        <v/>
      </c>
    </row>
    <row r="640">
      <c r="A640" s="12">
        <f>IF(E640="","",ROW()-6)</f>
        <v/>
      </c>
      <c r="B640" s="13" t="n"/>
      <c r="C640" s="12">
        <f>IF(B640="","",CHOOSE(WEEKDAY(B640,1),"الأحد","الاثنين","الثلاثاء","الأربعاء","الخميس","الجمعة","السبت"))</f>
        <v/>
      </c>
      <c r="D640" s="14" t="n"/>
      <c r="E640" s="15" t="n"/>
      <c r="F640" s="16" t="n"/>
      <c r="G640" s="17" t="n"/>
      <c r="H640" s="18">
        <f>IF(OR(F640="",G640=""),"",ROUND(F640*G640,2))</f>
        <v/>
      </c>
      <c r="I640" s="19">
        <f>IF(ISNUMBER(SEARCH("ستاند",D640)),"أثاث وستاندات","")</f>
        <v/>
      </c>
      <c r="J640" s="20">
        <f>IF(E640="","",IF(I640="","⚠ عبّي الغرض",IF(AND(D640&lt;&gt;"",OR(ISNUMBER(SEARCH("صيانة",D640)),ISNUMBER(SEARCH("تعزيل",D640)),ISNUMBER(SEARCH("تنظيف",D640)),ISNUMBER(SEARCH("تصليح",D640)))),"⚠ الصيانة بلا ورشة",IF(H640="","⚠ ناقص",IF(D640&lt;&gt;"",IF(SUMIF($D$7:$D$806,D640,$H$7:$H$806)&gt;=20,"أصل","مصروف"),IFERROR(IF(VLOOKUP(I640,'القوائم'!$A$2:$D$14,4,0)="زكاة وصدقة","زكاة وصدقة",IF(AND(VLOOKUP(I640,'القوائم'!$A$2:$D$14,3,0)&lt;&gt;"",H640&gt;=20),"أصل","مصروف")),"مصروف"))))))</f>
        <v/>
      </c>
      <c r="K640" s="21" t="n"/>
      <c r="L640" s="22" t="n"/>
      <c r="N640">
        <f>IF(B640="","",MONTH(B640))</f>
        <v/>
      </c>
      <c r="O640">
        <f>IF(B640="","",YEAR(B640))</f>
        <v/>
      </c>
      <c r="P640">
        <f>IF(AND(D640&lt;&gt;"",COUNTIF(D$7:D640,D640)=1),MAX(P$6:P639)+1,"")</f>
        <v/>
      </c>
      <c r="Q640">
        <f>IF(E640="","",IF(I640="أجور عمال","أجرة","مادة"))</f>
        <v/>
      </c>
    </row>
    <row r="641">
      <c r="A641" s="12">
        <f>IF(E641="","",ROW()-6)</f>
        <v/>
      </c>
      <c r="B641" s="13" t="n"/>
      <c r="C641" s="12">
        <f>IF(B641="","",CHOOSE(WEEKDAY(B641,1),"الأحد","الاثنين","الثلاثاء","الأربعاء","الخميس","الجمعة","السبت"))</f>
        <v/>
      </c>
      <c r="D641" s="14" t="n"/>
      <c r="E641" s="15" t="n"/>
      <c r="F641" s="16" t="n"/>
      <c r="G641" s="17" t="n"/>
      <c r="H641" s="18">
        <f>IF(OR(F641="",G641=""),"",ROUND(F641*G641,2))</f>
        <v/>
      </c>
      <c r="I641" s="19">
        <f>IF(ISNUMBER(SEARCH("ستاند",D641)),"أثاث وستاندات","")</f>
        <v/>
      </c>
      <c r="J641" s="20">
        <f>IF(E641="","",IF(I641="","⚠ عبّي الغرض",IF(AND(D641&lt;&gt;"",OR(ISNUMBER(SEARCH("صيانة",D641)),ISNUMBER(SEARCH("تعزيل",D641)),ISNUMBER(SEARCH("تنظيف",D641)),ISNUMBER(SEARCH("تصليح",D641)))),"⚠ الصيانة بلا ورشة",IF(H641="","⚠ ناقص",IF(D641&lt;&gt;"",IF(SUMIF($D$7:$D$806,D641,$H$7:$H$806)&gt;=20,"أصل","مصروف"),IFERROR(IF(VLOOKUP(I641,'القوائم'!$A$2:$D$14,4,0)="زكاة وصدقة","زكاة وصدقة",IF(AND(VLOOKUP(I641,'القوائم'!$A$2:$D$14,3,0)&lt;&gt;"",H641&gt;=20),"أصل","مصروف")),"مصروف"))))))</f>
        <v/>
      </c>
      <c r="K641" s="21" t="n"/>
      <c r="L641" s="22" t="n"/>
      <c r="N641">
        <f>IF(B641="","",MONTH(B641))</f>
        <v/>
      </c>
      <c r="O641">
        <f>IF(B641="","",YEAR(B641))</f>
        <v/>
      </c>
      <c r="P641">
        <f>IF(AND(D641&lt;&gt;"",COUNTIF(D$7:D641,D641)=1),MAX(P$6:P640)+1,"")</f>
        <v/>
      </c>
      <c r="Q641">
        <f>IF(E641="","",IF(I641="أجور عمال","أجرة","مادة"))</f>
        <v/>
      </c>
    </row>
    <row r="642">
      <c r="A642" s="12">
        <f>IF(E642="","",ROW()-6)</f>
        <v/>
      </c>
      <c r="B642" s="13" t="n"/>
      <c r="C642" s="12">
        <f>IF(B642="","",CHOOSE(WEEKDAY(B642,1),"الأحد","الاثنين","الثلاثاء","الأربعاء","الخميس","الجمعة","السبت"))</f>
        <v/>
      </c>
      <c r="D642" s="14" t="n"/>
      <c r="E642" s="15" t="n"/>
      <c r="F642" s="16" t="n"/>
      <c r="G642" s="17" t="n"/>
      <c r="H642" s="18">
        <f>IF(OR(F642="",G642=""),"",ROUND(F642*G642,2))</f>
        <v/>
      </c>
      <c r="I642" s="19">
        <f>IF(ISNUMBER(SEARCH("ستاند",D642)),"أثاث وستاندات","")</f>
        <v/>
      </c>
      <c r="J642" s="20">
        <f>IF(E642="","",IF(I642="","⚠ عبّي الغرض",IF(AND(D642&lt;&gt;"",OR(ISNUMBER(SEARCH("صيانة",D642)),ISNUMBER(SEARCH("تعزيل",D642)),ISNUMBER(SEARCH("تنظيف",D642)),ISNUMBER(SEARCH("تصليح",D642)))),"⚠ الصيانة بلا ورشة",IF(H642="","⚠ ناقص",IF(D642&lt;&gt;"",IF(SUMIF($D$7:$D$806,D642,$H$7:$H$806)&gt;=20,"أصل","مصروف"),IFERROR(IF(VLOOKUP(I642,'القوائم'!$A$2:$D$14,4,0)="زكاة وصدقة","زكاة وصدقة",IF(AND(VLOOKUP(I642,'القوائم'!$A$2:$D$14,3,0)&lt;&gt;"",H642&gt;=20),"أصل","مصروف")),"مصروف"))))))</f>
        <v/>
      </c>
      <c r="K642" s="21" t="n"/>
      <c r="L642" s="22" t="n"/>
      <c r="N642">
        <f>IF(B642="","",MONTH(B642))</f>
        <v/>
      </c>
      <c r="O642">
        <f>IF(B642="","",YEAR(B642))</f>
        <v/>
      </c>
      <c r="P642">
        <f>IF(AND(D642&lt;&gt;"",COUNTIF(D$7:D642,D642)=1),MAX(P$6:P641)+1,"")</f>
        <v/>
      </c>
      <c r="Q642">
        <f>IF(E642="","",IF(I642="أجور عمال","أجرة","مادة"))</f>
        <v/>
      </c>
    </row>
    <row r="643">
      <c r="A643" s="12">
        <f>IF(E643="","",ROW()-6)</f>
        <v/>
      </c>
      <c r="B643" s="13" t="n"/>
      <c r="C643" s="12">
        <f>IF(B643="","",CHOOSE(WEEKDAY(B643,1),"الأحد","الاثنين","الثلاثاء","الأربعاء","الخميس","الجمعة","السبت"))</f>
        <v/>
      </c>
      <c r="D643" s="14" t="n"/>
      <c r="E643" s="15" t="n"/>
      <c r="F643" s="16" t="n"/>
      <c r="G643" s="17" t="n"/>
      <c r="H643" s="18">
        <f>IF(OR(F643="",G643=""),"",ROUND(F643*G643,2))</f>
        <v/>
      </c>
      <c r="I643" s="19">
        <f>IF(ISNUMBER(SEARCH("ستاند",D643)),"أثاث وستاندات","")</f>
        <v/>
      </c>
      <c r="J643" s="20">
        <f>IF(E643="","",IF(I643="","⚠ عبّي الغرض",IF(AND(D643&lt;&gt;"",OR(ISNUMBER(SEARCH("صيانة",D643)),ISNUMBER(SEARCH("تعزيل",D643)),ISNUMBER(SEARCH("تنظيف",D643)),ISNUMBER(SEARCH("تصليح",D643)))),"⚠ الصيانة بلا ورشة",IF(H643="","⚠ ناقص",IF(D643&lt;&gt;"",IF(SUMIF($D$7:$D$806,D643,$H$7:$H$806)&gt;=20,"أصل","مصروف"),IFERROR(IF(VLOOKUP(I643,'القوائم'!$A$2:$D$14,4,0)="زكاة وصدقة","زكاة وصدقة",IF(AND(VLOOKUP(I643,'القوائم'!$A$2:$D$14,3,0)&lt;&gt;"",H643&gt;=20),"أصل","مصروف")),"مصروف"))))))</f>
        <v/>
      </c>
      <c r="K643" s="21" t="n"/>
      <c r="L643" s="22" t="n"/>
      <c r="N643">
        <f>IF(B643="","",MONTH(B643))</f>
        <v/>
      </c>
      <c r="O643">
        <f>IF(B643="","",YEAR(B643))</f>
        <v/>
      </c>
      <c r="P643">
        <f>IF(AND(D643&lt;&gt;"",COUNTIF(D$7:D643,D643)=1),MAX(P$6:P642)+1,"")</f>
        <v/>
      </c>
      <c r="Q643">
        <f>IF(E643="","",IF(I643="أجور عمال","أجرة","مادة"))</f>
        <v/>
      </c>
    </row>
    <row r="644">
      <c r="A644" s="12">
        <f>IF(E644="","",ROW()-6)</f>
        <v/>
      </c>
      <c r="B644" s="13" t="n"/>
      <c r="C644" s="12">
        <f>IF(B644="","",CHOOSE(WEEKDAY(B644,1),"الأحد","الاثنين","الثلاثاء","الأربعاء","الخميس","الجمعة","السبت"))</f>
        <v/>
      </c>
      <c r="D644" s="14" t="n"/>
      <c r="E644" s="15" t="n"/>
      <c r="F644" s="16" t="n"/>
      <c r="G644" s="17" t="n"/>
      <c r="H644" s="18">
        <f>IF(OR(F644="",G644=""),"",ROUND(F644*G644,2))</f>
        <v/>
      </c>
      <c r="I644" s="19">
        <f>IF(ISNUMBER(SEARCH("ستاند",D644)),"أثاث وستاندات","")</f>
        <v/>
      </c>
      <c r="J644" s="20">
        <f>IF(E644="","",IF(I644="","⚠ عبّي الغرض",IF(AND(D644&lt;&gt;"",OR(ISNUMBER(SEARCH("صيانة",D644)),ISNUMBER(SEARCH("تعزيل",D644)),ISNUMBER(SEARCH("تنظيف",D644)),ISNUMBER(SEARCH("تصليح",D644)))),"⚠ الصيانة بلا ورشة",IF(H644="","⚠ ناقص",IF(D644&lt;&gt;"",IF(SUMIF($D$7:$D$806,D644,$H$7:$H$806)&gt;=20,"أصل","مصروف"),IFERROR(IF(VLOOKUP(I644,'القوائم'!$A$2:$D$14,4,0)="زكاة وصدقة","زكاة وصدقة",IF(AND(VLOOKUP(I644,'القوائم'!$A$2:$D$14,3,0)&lt;&gt;"",H644&gt;=20),"أصل","مصروف")),"مصروف"))))))</f>
        <v/>
      </c>
      <c r="K644" s="21" t="n"/>
      <c r="L644" s="22" t="n"/>
      <c r="N644">
        <f>IF(B644="","",MONTH(B644))</f>
        <v/>
      </c>
      <c r="O644">
        <f>IF(B644="","",YEAR(B644))</f>
        <v/>
      </c>
      <c r="P644">
        <f>IF(AND(D644&lt;&gt;"",COUNTIF(D$7:D644,D644)=1),MAX(P$6:P643)+1,"")</f>
        <v/>
      </c>
      <c r="Q644">
        <f>IF(E644="","",IF(I644="أجور عمال","أجرة","مادة"))</f>
        <v/>
      </c>
    </row>
    <row r="645">
      <c r="A645" s="12">
        <f>IF(E645="","",ROW()-6)</f>
        <v/>
      </c>
      <c r="B645" s="13" t="n"/>
      <c r="C645" s="12">
        <f>IF(B645="","",CHOOSE(WEEKDAY(B645,1),"الأحد","الاثنين","الثلاثاء","الأربعاء","الخميس","الجمعة","السبت"))</f>
        <v/>
      </c>
      <c r="D645" s="14" t="n"/>
      <c r="E645" s="15" t="n"/>
      <c r="F645" s="16" t="n"/>
      <c r="G645" s="17" t="n"/>
      <c r="H645" s="18">
        <f>IF(OR(F645="",G645=""),"",ROUND(F645*G645,2))</f>
        <v/>
      </c>
      <c r="I645" s="19">
        <f>IF(ISNUMBER(SEARCH("ستاند",D645)),"أثاث وستاندات","")</f>
        <v/>
      </c>
      <c r="J645" s="20">
        <f>IF(E645="","",IF(I645="","⚠ عبّي الغرض",IF(AND(D645&lt;&gt;"",OR(ISNUMBER(SEARCH("صيانة",D645)),ISNUMBER(SEARCH("تعزيل",D645)),ISNUMBER(SEARCH("تنظيف",D645)),ISNUMBER(SEARCH("تصليح",D645)))),"⚠ الصيانة بلا ورشة",IF(H645="","⚠ ناقص",IF(D645&lt;&gt;"",IF(SUMIF($D$7:$D$806,D645,$H$7:$H$806)&gt;=20,"أصل","مصروف"),IFERROR(IF(VLOOKUP(I645,'القوائم'!$A$2:$D$14,4,0)="زكاة وصدقة","زكاة وصدقة",IF(AND(VLOOKUP(I645,'القوائم'!$A$2:$D$14,3,0)&lt;&gt;"",H645&gt;=20),"أصل","مصروف")),"مصروف"))))))</f>
        <v/>
      </c>
      <c r="K645" s="21" t="n"/>
      <c r="L645" s="22" t="n"/>
      <c r="N645">
        <f>IF(B645="","",MONTH(B645))</f>
        <v/>
      </c>
      <c r="O645">
        <f>IF(B645="","",YEAR(B645))</f>
        <v/>
      </c>
      <c r="P645">
        <f>IF(AND(D645&lt;&gt;"",COUNTIF(D$7:D645,D645)=1),MAX(P$6:P644)+1,"")</f>
        <v/>
      </c>
      <c r="Q645">
        <f>IF(E645="","",IF(I645="أجور عمال","أجرة","مادة"))</f>
        <v/>
      </c>
    </row>
    <row r="646">
      <c r="A646" s="12">
        <f>IF(E646="","",ROW()-6)</f>
        <v/>
      </c>
      <c r="B646" s="13" t="n"/>
      <c r="C646" s="12">
        <f>IF(B646="","",CHOOSE(WEEKDAY(B646,1),"الأحد","الاثنين","الثلاثاء","الأربعاء","الخميس","الجمعة","السبت"))</f>
        <v/>
      </c>
      <c r="D646" s="14" t="n"/>
      <c r="E646" s="15" t="n"/>
      <c r="F646" s="16" t="n"/>
      <c r="G646" s="17" t="n"/>
      <c r="H646" s="18">
        <f>IF(OR(F646="",G646=""),"",ROUND(F646*G646,2))</f>
        <v/>
      </c>
      <c r="I646" s="19">
        <f>IF(ISNUMBER(SEARCH("ستاند",D646)),"أثاث وستاندات","")</f>
        <v/>
      </c>
      <c r="J646" s="20">
        <f>IF(E646="","",IF(I646="","⚠ عبّي الغرض",IF(AND(D646&lt;&gt;"",OR(ISNUMBER(SEARCH("صيانة",D646)),ISNUMBER(SEARCH("تعزيل",D646)),ISNUMBER(SEARCH("تنظيف",D646)),ISNUMBER(SEARCH("تصليح",D646)))),"⚠ الصيانة بلا ورشة",IF(H646="","⚠ ناقص",IF(D646&lt;&gt;"",IF(SUMIF($D$7:$D$806,D646,$H$7:$H$806)&gt;=20,"أصل","مصروف"),IFERROR(IF(VLOOKUP(I646,'القوائم'!$A$2:$D$14,4,0)="زكاة وصدقة","زكاة وصدقة",IF(AND(VLOOKUP(I646,'القوائم'!$A$2:$D$14,3,0)&lt;&gt;"",H646&gt;=20),"أصل","مصروف")),"مصروف"))))))</f>
        <v/>
      </c>
      <c r="K646" s="21" t="n"/>
      <c r="L646" s="22" t="n"/>
      <c r="N646">
        <f>IF(B646="","",MONTH(B646))</f>
        <v/>
      </c>
      <c r="O646">
        <f>IF(B646="","",YEAR(B646))</f>
        <v/>
      </c>
      <c r="P646">
        <f>IF(AND(D646&lt;&gt;"",COUNTIF(D$7:D646,D646)=1),MAX(P$6:P645)+1,"")</f>
        <v/>
      </c>
      <c r="Q646">
        <f>IF(E646="","",IF(I646="أجور عمال","أجرة","مادة"))</f>
        <v/>
      </c>
    </row>
    <row r="647">
      <c r="A647" s="12">
        <f>IF(E647="","",ROW()-6)</f>
        <v/>
      </c>
      <c r="B647" s="13" t="n"/>
      <c r="C647" s="12">
        <f>IF(B647="","",CHOOSE(WEEKDAY(B647,1),"الأحد","الاثنين","الثلاثاء","الأربعاء","الخميس","الجمعة","السبت"))</f>
        <v/>
      </c>
      <c r="D647" s="14" t="n"/>
      <c r="E647" s="15" t="n"/>
      <c r="F647" s="16" t="n"/>
      <c r="G647" s="17" t="n"/>
      <c r="H647" s="18">
        <f>IF(OR(F647="",G647=""),"",ROUND(F647*G647,2))</f>
        <v/>
      </c>
      <c r="I647" s="19">
        <f>IF(ISNUMBER(SEARCH("ستاند",D647)),"أثاث وستاندات","")</f>
        <v/>
      </c>
      <c r="J647" s="20">
        <f>IF(E647="","",IF(I647="","⚠ عبّي الغرض",IF(AND(D647&lt;&gt;"",OR(ISNUMBER(SEARCH("صيانة",D647)),ISNUMBER(SEARCH("تعزيل",D647)),ISNUMBER(SEARCH("تنظيف",D647)),ISNUMBER(SEARCH("تصليح",D647)))),"⚠ الصيانة بلا ورشة",IF(H647="","⚠ ناقص",IF(D647&lt;&gt;"",IF(SUMIF($D$7:$D$806,D647,$H$7:$H$806)&gt;=20,"أصل","مصروف"),IFERROR(IF(VLOOKUP(I647,'القوائم'!$A$2:$D$14,4,0)="زكاة وصدقة","زكاة وصدقة",IF(AND(VLOOKUP(I647,'القوائم'!$A$2:$D$14,3,0)&lt;&gt;"",H647&gt;=20),"أصل","مصروف")),"مصروف"))))))</f>
        <v/>
      </c>
      <c r="K647" s="21" t="n"/>
      <c r="L647" s="22" t="n"/>
      <c r="N647">
        <f>IF(B647="","",MONTH(B647))</f>
        <v/>
      </c>
      <c r="O647">
        <f>IF(B647="","",YEAR(B647))</f>
        <v/>
      </c>
      <c r="P647">
        <f>IF(AND(D647&lt;&gt;"",COUNTIF(D$7:D647,D647)=1),MAX(P$6:P646)+1,"")</f>
        <v/>
      </c>
      <c r="Q647">
        <f>IF(E647="","",IF(I647="أجور عمال","أجرة","مادة"))</f>
        <v/>
      </c>
    </row>
    <row r="648">
      <c r="A648" s="12">
        <f>IF(E648="","",ROW()-6)</f>
        <v/>
      </c>
      <c r="B648" s="13" t="n"/>
      <c r="C648" s="12">
        <f>IF(B648="","",CHOOSE(WEEKDAY(B648,1),"الأحد","الاثنين","الثلاثاء","الأربعاء","الخميس","الجمعة","السبت"))</f>
        <v/>
      </c>
      <c r="D648" s="14" t="n"/>
      <c r="E648" s="15" t="n"/>
      <c r="F648" s="16" t="n"/>
      <c r="G648" s="17" t="n"/>
      <c r="H648" s="18">
        <f>IF(OR(F648="",G648=""),"",ROUND(F648*G648,2))</f>
        <v/>
      </c>
      <c r="I648" s="19">
        <f>IF(ISNUMBER(SEARCH("ستاند",D648)),"أثاث وستاندات","")</f>
        <v/>
      </c>
      <c r="J648" s="20">
        <f>IF(E648="","",IF(I648="","⚠ عبّي الغرض",IF(AND(D648&lt;&gt;"",OR(ISNUMBER(SEARCH("صيانة",D648)),ISNUMBER(SEARCH("تعزيل",D648)),ISNUMBER(SEARCH("تنظيف",D648)),ISNUMBER(SEARCH("تصليح",D648)))),"⚠ الصيانة بلا ورشة",IF(H648="","⚠ ناقص",IF(D648&lt;&gt;"",IF(SUMIF($D$7:$D$806,D648,$H$7:$H$806)&gt;=20,"أصل","مصروف"),IFERROR(IF(VLOOKUP(I648,'القوائم'!$A$2:$D$14,4,0)="زكاة وصدقة","زكاة وصدقة",IF(AND(VLOOKUP(I648,'القوائم'!$A$2:$D$14,3,0)&lt;&gt;"",H648&gt;=20),"أصل","مصروف")),"مصروف"))))))</f>
        <v/>
      </c>
      <c r="K648" s="21" t="n"/>
      <c r="L648" s="22" t="n"/>
      <c r="N648">
        <f>IF(B648="","",MONTH(B648))</f>
        <v/>
      </c>
      <c r="O648">
        <f>IF(B648="","",YEAR(B648))</f>
        <v/>
      </c>
      <c r="P648">
        <f>IF(AND(D648&lt;&gt;"",COUNTIF(D$7:D648,D648)=1),MAX(P$6:P647)+1,"")</f>
        <v/>
      </c>
      <c r="Q648">
        <f>IF(E648="","",IF(I648="أجور عمال","أجرة","مادة"))</f>
        <v/>
      </c>
    </row>
    <row r="649">
      <c r="A649" s="12">
        <f>IF(E649="","",ROW()-6)</f>
        <v/>
      </c>
      <c r="B649" s="13" t="n"/>
      <c r="C649" s="12">
        <f>IF(B649="","",CHOOSE(WEEKDAY(B649,1),"الأحد","الاثنين","الثلاثاء","الأربعاء","الخميس","الجمعة","السبت"))</f>
        <v/>
      </c>
      <c r="D649" s="14" t="n"/>
      <c r="E649" s="15" t="n"/>
      <c r="F649" s="16" t="n"/>
      <c r="G649" s="17" t="n"/>
      <c r="H649" s="18">
        <f>IF(OR(F649="",G649=""),"",ROUND(F649*G649,2))</f>
        <v/>
      </c>
      <c r="I649" s="19">
        <f>IF(ISNUMBER(SEARCH("ستاند",D649)),"أثاث وستاندات","")</f>
        <v/>
      </c>
      <c r="J649" s="20">
        <f>IF(E649="","",IF(I649="","⚠ عبّي الغرض",IF(AND(D649&lt;&gt;"",OR(ISNUMBER(SEARCH("صيانة",D649)),ISNUMBER(SEARCH("تعزيل",D649)),ISNUMBER(SEARCH("تنظيف",D649)),ISNUMBER(SEARCH("تصليح",D649)))),"⚠ الصيانة بلا ورشة",IF(H649="","⚠ ناقص",IF(D649&lt;&gt;"",IF(SUMIF($D$7:$D$806,D649,$H$7:$H$806)&gt;=20,"أصل","مصروف"),IFERROR(IF(VLOOKUP(I649,'القوائم'!$A$2:$D$14,4,0)="زكاة وصدقة","زكاة وصدقة",IF(AND(VLOOKUP(I649,'القوائم'!$A$2:$D$14,3,0)&lt;&gt;"",H649&gt;=20),"أصل","مصروف")),"مصروف"))))))</f>
        <v/>
      </c>
      <c r="K649" s="21" t="n"/>
      <c r="L649" s="22" t="n"/>
      <c r="N649">
        <f>IF(B649="","",MONTH(B649))</f>
        <v/>
      </c>
      <c r="O649">
        <f>IF(B649="","",YEAR(B649))</f>
        <v/>
      </c>
      <c r="P649">
        <f>IF(AND(D649&lt;&gt;"",COUNTIF(D$7:D649,D649)=1),MAX(P$6:P648)+1,"")</f>
        <v/>
      </c>
      <c r="Q649">
        <f>IF(E649="","",IF(I649="أجور عمال","أجرة","مادة"))</f>
        <v/>
      </c>
    </row>
    <row r="650">
      <c r="A650" s="12">
        <f>IF(E650="","",ROW()-6)</f>
        <v/>
      </c>
      <c r="B650" s="13" t="n"/>
      <c r="C650" s="12">
        <f>IF(B650="","",CHOOSE(WEEKDAY(B650,1),"الأحد","الاثنين","الثلاثاء","الأربعاء","الخميس","الجمعة","السبت"))</f>
        <v/>
      </c>
      <c r="D650" s="14" t="n"/>
      <c r="E650" s="15" t="n"/>
      <c r="F650" s="16" t="n"/>
      <c r="G650" s="17" t="n"/>
      <c r="H650" s="18">
        <f>IF(OR(F650="",G650=""),"",ROUND(F650*G650,2))</f>
        <v/>
      </c>
      <c r="I650" s="19">
        <f>IF(ISNUMBER(SEARCH("ستاند",D650)),"أثاث وستاندات","")</f>
        <v/>
      </c>
      <c r="J650" s="20">
        <f>IF(E650="","",IF(I650="","⚠ عبّي الغرض",IF(AND(D650&lt;&gt;"",OR(ISNUMBER(SEARCH("صيانة",D650)),ISNUMBER(SEARCH("تعزيل",D650)),ISNUMBER(SEARCH("تنظيف",D650)),ISNUMBER(SEARCH("تصليح",D650)))),"⚠ الصيانة بلا ورشة",IF(H650="","⚠ ناقص",IF(D650&lt;&gt;"",IF(SUMIF($D$7:$D$806,D650,$H$7:$H$806)&gt;=20,"أصل","مصروف"),IFERROR(IF(VLOOKUP(I650,'القوائم'!$A$2:$D$14,4,0)="زكاة وصدقة","زكاة وصدقة",IF(AND(VLOOKUP(I650,'القوائم'!$A$2:$D$14,3,0)&lt;&gt;"",H650&gt;=20),"أصل","مصروف")),"مصروف"))))))</f>
        <v/>
      </c>
      <c r="K650" s="21" t="n"/>
      <c r="L650" s="22" t="n"/>
      <c r="N650">
        <f>IF(B650="","",MONTH(B650))</f>
        <v/>
      </c>
      <c r="O650">
        <f>IF(B650="","",YEAR(B650))</f>
        <v/>
      </c>
      <c r="P650">
        <f>IF(AND(D650&lt;&gt;"",COUNTIF(D$7:D650,D650)=1),MAX(P$6:P649)+1,"")</f>
        <v/>
      </c>
      <c r="Q650">
        <f>IF(E650="","",IF(I650="أجور عمال","أجرة","مادة"))</f>
        <v/>
      </c>
    </row>
    <row r="651">
      <c r="A651" s="12">
        <f>IF(E651="","",ROW()-6)</f>
        <v/>
      </c>
      <c r="B651" s="13" t="n"/>
      <c r="C651" s="12">
        <f>IF(B651="","",CHOOSE(WEEKDAY(B651,1),"الأحد","الاثنين","الثلاثاء","الأربعاء","الخميس","الجمعة","السبت"))</f>
        <v/>
      </c>
      <c r="D651" s="14" t="n"/>
      <c r="E651" s="15" t="n"/>
      <c r="F651" s="16" t="n"/>
      <c r="G651" s="17" t="n"/>
      <c r="H651" s="18">
        <f>IF(OR(F651="",G651=""),"",ROUND(F651*G651,2))</f>
        <v/>
      </c>
      <c r="I651" s="19">
        <f>IF(ISNUMBER(SEARCH("ستاند",D651)),"أثاث وستاندات","")</f>
        <v/>
      </c>
      <c r="J651" s="20">
        <f>IF(E651="","",IF(I651="","⚠ عبّي الغرض",IF(AND(D651&lt;&gt;"",OR(ISNUMBER(SEARCH("صيانة",D651)),ISNUMBER(SEARCH("تعزيل",D651)),ISNUMBER(SEARCH("تنظيف",D651)),ISNUMBER(SEARCH("تصليح",D651)))),"⚠ الصيانة بلا ورشة",IF(H651="","⚠ ناقص",IF(D651&lt;&gt;"",IF(SUMIF($D$7:$D$806,D651,$H$7:$H$806)&gt;=20,"أصل","مصروف"),IFERROR(IF(VLOOKUP(I651,'القوائم'!$A$2:$D$14,4,0)="زكاة وصدقة","زكاة وصدقة",IF(AND(VLOOKUP(I651,'القوائم'!$A$2:$D$14,3,0)&lt;&gt;"",H651&gt;=20),"أصل","مصروف")),"مصروف"))))))</f>
        <v/>
      </c>
      <c r="K651" s="21" t="n"/>
      <c r="L651" s="22" t="n"/>
      <c r="N651">
        <f>IF(B651="","",MONTH(B651))</f>
        <v/>
      </c>
      <c r="O651">
        <f>IF(B651="","",YEAR(B651))</f>
        <v/>
      </c>
      <c r="P651">
        <f>IF(AND(D651&lt;&gt;"",COUNTIF(D$7:D651,D651)=1),MAX(P$6:P650)+1,"")</f>
        <v/>
      </c>
      <c r="Q651">
        <f>IF(E651="","",IF(I651="أجور عمال","أجرة","مادة"))</f>
        <v/>
      </c>
    </row>
    <row r="652">
      <c r="A652" s="12">
        <f>IF(E652="","",ROW()-6)</f>
        <v/>
      </c>
      <c r="B652" s="13" t="n"/>
      <c r="C652" s="12">
        <f>IF(B652="","",CHOOSE(WEEKDAY(B652,1),"الأحد","الاثنين","الثلاثاء","الأربعاء","الخميس","الجمعة","السبت"))</f>
        <v/>
      </c>
      <c r="D652" s="14" t="n"/>
      <c r="E652" s="15" t="n"/>
      <c r="F652" s="16" t="n"/>
      <c r="G652" s="17" t="n"/>
      <c r="H652" s="18">
        <f>IF(OR(F652="",G652=""),"",ROUND(F652*G652,2))</f>
        <v/>
      </c>
      <c r="I652" s="19">
        <f>IF(ISNUMBER(SEARCH("ستاند",D652)),"أثاث وستاندات","")</f>
        <v/>
      </c>
      <c r="J652" s="20">
        <f>IF(E652="","",IF(I652="","⚠ عبّي الغرض",IF(AND(D652&lt;&gt;"",OR(ISNUMBER(SEARCH("صيانة",D652)),ISNUMBER(SEARCH("تعزيل",D652)),ISNUMBER(SEARCH("تنظيف",D652)),ISNUMBER(SEARCH("تصليح",D652)))),"⚠ الصيانة بلا ورشة",IF(H652="","⚠ ناقص",IF(D652&lt;&gt;"",IF(SUMIF($D$7:$D$806,D652,$H$7:$H$806)&gt;=20,"أصل","مصروف"),IFERROR(IF(VLOOKUP(I652,'القوائم'!$A$2:$D$14,4,0)="زكاة وصدقة","زكاة وصدقة",IF(AND(VLOOKUP(I652,'القوائم'!$A$2:$D$14,3,0)&lt;&gt;"",H652&gt;=20),"أصل","مصروف")),"مصروف"))))))</f>
        <v/>
      </c>
      <c r="K652" s="21" t="n"/>
      <c r="L652" s="22" t="n"/>
      <c r="N652">
        <f>IF(B652="","",MONTH(B652))</f>
        <v/>
      </c>
      <c r="O652">
        <f>IF(B652="","",YEAR(B652))</f>
        <v/>
      </c>
      <c r="P652">
        <f>IF(AND(D652&lt;&gt;"",COUNTIF(D$7:D652,D652)=1),MAX(P$6:P651)+1,"")</f>
        <v/>
      </c>
      <c r="Q652">
        <f>IF(E652="","",IF(I652="أجور عمال","أجرة","مادة"))</f>
        <v/>
      </c>
    </row>
    <row r="653">
      <c r="A653" s="12">
        <f>IF(E653="","",ROW()-6)</f>
        <v/>
      </c>
      <c r="B653" s="13" t="n"/>
      <c r="C653" s="12">
        <f>IF(B653="","",CHOOSE(WEEKDAY(B653,1),"الأحد","الاثنين","الثلاثاء","الأربعاء","الخميس","الجمعة","السبت"))</f>
        <v/>
      </c>
      <c r="D653" s="14" t="n"/>
      <c r="E653" s="15" t="n"/>
      <c r="F653" s="16" t="n"/>
      <c r="G653" s="17" t="n"/>
      <c r="H653" s="18">
        <f>IF(OR(F653="",G653=""),"",ROUND(F653*G653,2))</f>
        <v/>
      </c>
      <c r="I653" s="19">
        <f>IF(ISNUMBER(SEARCH("ستاند",D653)),"أثاث وستاندات","")</f>
        <v/>
      </c>
      <c r="J653" s="20">
        <f>IF(E653="","",IF(I653="","⚠ عبّي الغرض",IF(AND(D653&lt;&gt;"",OR(ISNUMBER(SEARCH("صيانة",D653)),ISNUMBER(SEARCH("تعزيل",D653)),ISNUMBER(SEARCH("تنظيف",D653)),ISNUMBER(SEARCH("تصليح",D653)))),"⚠ الصيانة بلا ورشة",IF(H653="","⚠ ناقص",IF(D653&lt;&gt;"",IF(SUMIF($D$7:$D$806,D653,$H$7:$H$806)&gt;=20,"أصل","مصروف"),IFERROR(IF(VLOOKUP(I653,'القوائم'!$A$2:$D$14,4,0)="زكاة وصدقة","زكاة وصدقة",IF(AND(VLOOKUP(I653,'القوائم'!$A$2:$D$14,3,0)&lt;&gt;"",H653&gt;=20),"أصل","مصروف")),"مصروف"))))))</f>
        <v/>
      </c>
      <c r="K653" s="21" t="n"/>
      <c r="L653" s="22" t="n"/>
      <c r="N653">
        <f>IF(B653="","",MONTH(B653))</f>
        <v/>
      </c>
      <c r="O653">
        <f>IF(B653="","",YEAR(B653))</f>
        <v/>
      </c>
      <c r="P653">
        <f>IF(AND(D653&lt;&gt;"",COUNTIF(D$7:D653,D653)=1),MAX(P$6:P652)+1,"")</f>
        <v/>
      </c>
      <c r="Q653">
        <f>IF(E653="","",IF(I653="أجور عمال","أجرة","مادة"))</f>
        <v/>
      </c>
    </row>
    <row r="654">
      <c r="A654" s="12">
        <f>IF(E654="","",ROW()-6)</f>
        <v/>
      </c>
      <c r="B654" s="13" t="n"/>
      <c r="C654" s="12">
        <f>IF(B654="","",CHOOSE(WEEKDAY(B654,1),"الأحد","الاثنين","الثلاثاء","الأربعاء","الخميس","الجمعة","السبت"))</f>
        <v/>
      </c>
      <c r="D654" s="14" t="n"/>
      <c r="E654" s="15" t="n"/>
      <c r="F654" s="16" t="n"/>
      <c r="G654" s="17" t="n"/>
      <c r="H654" s="18">
        <f>IF(OR(F654="",G654=""),"",ROUND(F654*G654,2))</f>
        <v/>
      </c>
      <c r="I654" s="19">
        <f>IF(ISNUMBER(SEARCH("ستاند",D654)),"أثاث وستاندات","")</f>
        <v/>
      </c>
      <c r="J654" s="20">
        <f>IF(E654="","",IF(I654="","⚠ عبّي الغرض",IF(AND(D654&lt;&gt;"",OR(ISNUMBER(SEARCH("صيانة",D654)),ISNUMBER(SEARCH("تعزيل",D654)),ISNUMBER(SEARCH("تنظيف",D654)),ISNUMBER(SEARCH("تصليح",D654)))),"⚠ الصيانة بلا ورشة",IF(H654="","⚠ ناقص",IF(D654&lt;&gt;"",IF(SUMIF($D$7:$D$806,D654,$H$7:$H$806)&gt;=20,"أصل","مصروف"),IFERROR(IF(VLOOKUP(I654,'القوائم'!$A$2:$D$14,4,0)="زكاة وصدقة","زكاة وصدقة",IF(AND(VLOOKUP(I654,'القوائم'!$A$2:$D$14,3,0)&lt;&gt;"",H654&gt;=20),"أصل","مصروف")),"مصروف"))))))</f>
        <v/>
      </c>
      <c r="K654" s="21" t="n"/>
      <c r="L654" s="22" t="n"/>
      <c r="N654">
        <f>IF(B654="","",MONTH(B654))</f>
        <v/>
      </c>
      <c r="O654">
        <f>IF(B654="","",YEAR(B654))</f>
        <v/>
      </c>
      <c r="P654">
        <f>IF(AND(D654&lt;&gt;"",COUNTIF(D$7:D654,D654)=1),MAX(P$6:P653)+1,"")</f>
        <v/>
      </c>
      <c r="Q654">
        <f>IF(E654="","",IF(I654="أجور عمال","أجرة","مادة"))</f>
        <v/>
      </c>
    </row>
    <row r="655">
      <c r="A655" s="12">
        <f>IF(E655="","",ROW()-6)</f>
        <v/>
      </c>
      <c r="B655" s="13" t="n"/>
      <c r="C655" s="12">
        <f>IF(B655="","",CHOOSE(WEEKDAY(B655,1),"الأحد","الاثنين","الثلاثاء","الأربعاء","الخميس","الجمعة","السبت"))</f>
        <v/>
      </c>
      <c r="D655" s="14" t="n"/>
      <c r="E655" s="15" t="n"/>
      <c r="F655" s="16" t="n"/>
      <c r="G655" s="17" t="n"/>
      <c r="H655" s="18">
        <f>IF(OR(F655="",G655=""),"",ROUND(F655*G655,2))</f>
        <v/>
      </c>
      <c r="I655" s="19">
        <f>IF(ISNUMBER(SEARCH("ستاند",D655)),"أثاث وستاندات","")</f>
        <v/>
      </c>
      <c r="J655" s="20">
        <f>IF(E655="","",IF(I655="","⚠ عبّي الغرض",IF(AND(D655&lt;&gt;"",OR(ISNUMBER(SEARCH("صيانة",D655)),ISNUMBER(SEARCH("تعزيل",D655)),ISNUMBER(SEARCH("تنظيف",D655)),ISNUMBER(SEARCH("تصليح",D655)))),"⚠ الصيانة بلا ورشة",IF(H655="","⚠ ناقص",IF(D655&lt;&gt;"",IF(SUMIF($D$7:$D$806,D655,$H$7:$H$806)&gt;=20,"أصل","مصروف"),IFERROR(IF(VLOOKUP(I655,'القوائم'!$A$2:$D$14,4,0)="زكاة وصدقة","زكاة وصدقة",IF(AND(VLOOKUP(I655,'القوائم'!$A$2:$D$14,3,0)&lt;&gt;"",H655&gt;=20),"أصل","مصروف")),"مصروف"))))))</f>
        <v/>
      </c>
      <c r="K655" s="21" t="n"/>
      <c r="L655" s="22" t="n"/>
      <c r="N655">
        <f>IF(B655="","",MONTH(B655))</f>
        <v/>
      </c>
      <c r="O655">
        <f>IF(B655="","",YEAR(B655))</f>
        <v/>
      </c>
      <c r="P655">
        <f>IF(AND(D655&lt;&gt;"",COUNTIF(D$7:D655,D655)=1),MAX(P$6:P654)+1,"")</f>
        <v/>
      </c>
      <c r="Q655">
        <f>IF(E655="","",IF(I655="أجور عمال","أجرة","مادة"))</f>
        <v/>
      </c>
    </row>
    <row r="656">
      <c r="A656" s="12">
        <f>IF(E656="","",ROW()-6)</f>
        <v/>
      </c>
      <c r="B656" s="13" t="n"/>
      <c r="C656" s="12">
        <f>IF(B656="","",CHOOSE(WEEKDAY(B656,1),"الأحد","الاثنين","الثلاثاء","الأربعاء","الخميس","الجمعة","السبت"))</f>
        <v/>
      </c>
      <c r="D656" s="14" t="n"/>
      <c r="E656" s="15" t="n"/>
      <c r="F656" s="16" t="n"/>
      <c r="G656" s="17" t="n"/>
      <c r="H656" s="18">
        <f>IF(OR(F656="",G656=""),"",ROUND(F656*G656,2))</f>
        <v/>
      </c>
      <c r="I656" s="19">
        <f>IF(ISNUMBER(SEARCH("ستاند",D656)),"أثاث وستاندات","")</f>
        <v/>
      </c>
      <c r="J656" s="20">
        <f>IF(E656="","",IF(I656="","⚠ عبّي الغرض",IF(AND(D656&lt;&gt;"",OR(ISNUMBER(SEARCH("صيانة",D656)),ISNUMBER(SEARCH("تعزيل",D656)),ISNUMBER(SEARCH("تنظيف",D656)),ISNUMBER(SEARCH("تصليح",D656)))),"⚠ الصيانة بلا ورشة",IF(H656="","⚠ ناقص",IF(D656&lt;&gt;"",IF(SUMIF($D$7:$D$806,D656,$H$7:$H$806)&gt;=20,"أصل","مصروف"),IFERROR(IF(VLOOKUP(I656,'القوائم'!$A$2:$D$14,4,0)="زكاة وصدقة","زكاة وصدقة",IF(AND(VLOOKUP(I656,'القوائم'!$A$2:$D$14,3,0)&lt;&gt;"",H656&gt;=20),"أصل","مصروف")),"مصروف"))))))</f>
        <v/>
      </c>
      <c r="K656" s="21" t="n"/>
      <c r="L656" s="22" t="n"/>
      <c r="N656">
        <f>IF(B656="","",MONTH(B656))</f>
        <v/>
      </c>
      <c r="O656">
        <f>IF(B656="","",YEAR(B656))</f>
        <v/>
      </c>
      <c r="P656">
        <f>IF(AND(D656&lt;&gt;"",COUNTIF(D$7:D656,D656)=1),MAX(P$6:P655)+1,"")</f>
        <v/>
      </c>
      <c r="Q656">
        <f>IF(E656="","",IF(I656="أجور عمال","أجرة","مادة"))</f>
        <v/>
      </c>
    </row>
    <row r="657">
      <c r="A657" s="12">
        <f>IF(E657="","",ROW()-6)</f>
        <v/>
      </c>
      <c r="B657" s="13" t="n"/>
      <c r="C657" s="12">
        <f>IF(B657="","",CHOOSE(WEEKDAY(B657,1),"الأحد","الاثنين","الثلاثاء","الأربعاء","الخميس","الجمعة","السبت"))</f>
        <v/>
      </c>
      <c r="D657" s="14" t="n"/>
      <c r="E657" s="15" t="n"/>
      <c r="F657" s="16" t="n"/>
      <c r="G657" s="17" t="n"/>
      <c r="H657" s="18">
        <f>IF(OR(F657="",G657=""),"",ROUND(F657*G657,2))</f>
        <v/>
      </c>
      <c r="I657" s="19">
        <f>IF(ISNUMBER(SEARCH("ستاند",D657)),"أثاث وستاندات","")</f>
        <v/>
      </c>
      <c r="J657" s="20">
        <f>IF(E657="","",IF(I657="","⚠ عبّي الغرض",IF(AND(D657&lt;&gt;"",OR(ISNUMBER(SEARCH("صيانة",D657)),ISNUMBER(SEARCH("تعزيل",D657)),ISNUMBER(SEARCH("تنظيف",D657)),ISNUMBER(SEARCH("تصليح",D657)))),"⚠ الصيانة بلا ورشة",IF(H657="","⚠ ناقص",IF(D657&lt;&gt;"",IF(SUMIF($D$7:$D$806,D657,$H$7:$H$806)&gt;=20,"أصل","مصروف"),IFERROR(IF(VLOOKUP(I657,'القوائم'!$A$2:$D$14,4,0)="زكاة وصدقة","زكاة وصدقة",IF(AND(VLOOKUP(I657,'القوائم'!$A$2:$D$14,3,0)&lt;&gt;"",H657&gt;=20),"أصل","مصروف")),"مصروف"))))))</f>
        <v/>
      </c>
      <c r="K657" s="21" t="n"/>
      <c r="L657" s="22" t="n"/>
      <c r="N657">
        <f>IF(B657="","",MONTH(B657))</f>
        <v/>
      </c>
      <c r="O657">
        <f>IF(B657="","",YEAR(B657))</f>
        <v/>
      </c>
      <c r="P657">
        <f>IF(AND(D657&lt;&gt;"",COUNTIF(D$7:D657,D657)=1),MAX(P$6:P656)+1,"")</f>
        <v/>
      </c>
      <c r="Q657">
        <f>IF(E657="","",IF(I657="أجور عمال","أجرة","مادة"))</f>
        <v/>
      </c>
    </row>
    <row r="658">
      <c r="A658" s="12">
        <f>IF(E658="","",ROW()-6)</f>
        <v/>
      </c>
      <c r="B658" s="13" t="n"/>
      <c r="C658" s="12">
        <f>IF(B658="","",CHOOSE(WEEKDAY(B658,1),"الأحد","الاثنين","الثلاثاء","الأربعاء","الخميس","الجمعة","السبت"))</f>
        <v/>
      </c>
      <c r="D658" s="14" t="n"/>
      <c r="E658" s="15" t="n"/>
      <c r="F658" s="16" t="n"/>
      <c r="G658" s="17" t="n"/>
      <c r="H658" s="18">
        <f>IF(OR(F658="",G658=""),"",ROUND(F658*G658,2))</f>
        <v/>
      </c>
      <c r="I658" s="19">
        <f>IF(ISNUMBER(SEARCH("ستاند",D658)),"أثاث وستاندات","")</f>
        <v/>
      </c>
      <c r="J658" s="20">
        <f>IF(E658="","",IF(I658="","⚠ عبّي الغرض",IF(AND(D658&lt;&gt;"",OR(ISNUMBER(SEARCH("صيانة",D658)),ISNUMBER(SEARCH("تعزيل",D658)),ISNUMBER(SEARCH("تنظيف",D658)),ISNUMBER(SEARCH("تصليح",D658)))),"⚠ الصيانة بلا ورشة",IF(H658="","⚠ ناقص",IF(D658&lt;&gt;"",IF(SUMIF($D$7:$D$806,D658,$H$7:$H$806)&gt;=20,"أصل","مصروف"),IFERROR(IF(VLOOKUP(I658,'القوائم'!$A$2:$D$14,4,0)="زكاة وصدقة","زكاة وصدقة",IF(AND(VLOOKUP(I658,'القوائم'!$A$2:$D$14,3,0)&lt;&gt;"",H658&gt;=20),"أصل","مصروف")),"مصروف"))))))</f>
        <v/>
      </c>
      <c r="K658" s="21" t="n"/>
      <c r="L658" s="22" t="n"/>
      <c r="N658">
        <f>IF(B658="","",MONTH(B658))</f>
        <v/>
      </c>
      <c r="O658">
        <f>IF(B658="","",YEAR(B658))</f>
        <v/>
      </c>
      <c r="P658">
        <f>IF(AND(D658&lt;&gt;"",COUNTIF(D$7:D658,D658)=1),MAX(P$6:P657)+1,"")</f>
        <v/>
      </c>
      <c r="Q658">
        <f>IF(E658="","",IF(I658="أجور عمال","أجرة","مادة"))</f>
        <v/>
      </c>
    </row>
    <row r="659">
      <c r="A659" s="12">
        <f>IF(E659="","",ROW()-6)</f>
        <v/>
      </c>
      <c r="B659" s="13" t="n"/>
      <c r="C659" s="12">
        <f>IF(B659="","",CHOOSE(WEEKDAY(B659,1),"الأحد","الاثنين","الثلاثاء","الأربعاء","الخميس","الجمعة","السبت"))</f>
        <v/>
      </c>
      <c r="D659" s="14" t="n"/>
      <c r="E659" s="15" t="n"/>
      <c r="F659" s="16" t="n"/>
      <c r="G659" s="17" t="n"/>
      <c r="H659" s="18">
        <f>IF(OR(F659="",G659=""),"",ROUND(F659*G659,2))</f>
        <v/>
      </c>
      <c r="I659" s="19">
        <f>IF(ISNUMBER(SEARCH("ستاند",D659)),"أثاث وستاندات","")</f>
        <v/>
      </c>
      <c r="J659" s="20">
        <f>IF(E659="","",IF(I659="","⚠ عبّي الغرض",IF(AND(D659&lt;&gt;"",OR(ISNUMBER(SEARCH("صيانة",D659)),ISNUMBER(SEARCH("تعزيل",D659)),ISNUMBER(SEARCH("تنظيف",D659)),ISNUMBER(SEARCH("تصليح",D659)))),"⚠ الصيانة بلا ورشة",IF(H659="","⚠ ناقص",IF(D659&lt;&gt;"",IF(SUMIF($D$7:$D$806,D659,$H$7:$H$806)&gt;=20,"أصل","مصروف"),IFERROR(IF(VLOOKUP(I659,'القوائم'!$A$2:$D$14,4,0)="زكاة وصدقة","زكاة وصدقة",IF(AND(VLOOKUP(I659,'القوائم'!$A$2:$D$14,3,0)&lt;&gt;"",H659&gt;=20),"أصل","مصروف")),"مصروف"))))))</f>
        <v/>
      </c>
      <c r="K659" s="21" t="n"/>
      <c r="L659" s="22" t="n"/>
      <c r="N659">
        <f>IF(B659="","",MONTH(B659))</f>
        <v/>
      </c>
      <c r="O659">
        <f>IF(B659="","",YEAR(B659))</f>
        <v/>
      </c>
      <c r="P659">
        <f>IF(AND(D659&lt;&gt;"",COUNTIF(D$7:D659,D659)=1),MAX(P$6:P658)+1,"")</f>
        <v/>
      </c>
      <c r="Q659">
        <f>IF(E659="","",IF(I659="أجور عمال","أجرة","مادة"))</f>
        <v/>
      </c>
    </row>
    <row r="660">
      <c r="A660" s="12">
        <f>IF(E660="","",ROW()-6)</f>
        <v/>
      </c>
      <c r="B660" s="13" t="n"/>
      <c r="C660" s="12">
        <f>IF(B660="","",CHOOSE(WEEKDAY(B660,1),"الأحد","الاثنين","الثلاثاء","الأربعاء","الخميس","الجمعة","السبت"))</f>
        <v/>
      </c>
      <c r="D660" s="14" t="n"/>
      <c r="E660" s="15" t="n"/>
      <c r="F660" s="16" t="n"/>
      <c r="G660" s="17" t="n"/>
      <c r="H660" s="18">
        <f>IF(OR(F660="",G660=""),"",ROUND(F660*G660,2))</f>
        <v/>
      </c>
      <c r="I660" s="19">
        <f>IF(ISNUMBER(SEARCH("ستاند",D660)),"أثاث وستاندات","")</f>
        <v/>
      </c>
      <c r="J660" s="20">
        <f>IF(E660="","",IF(I660="","⚠ عبّي الغرض",IF(AND(D660&lt;&gt;"",OR(ISNUMBER(SEARCH("صيانة",D660)),ISNUMBER(SEARCH("تعزيل",D660)),ISNUMBER(SEARCH("تنظيف",D660)),ISNUMBER(SEARCH("تصليح",D660)))),"⚠ الصيانة بلا ورشة",IF(H660="","⚠ ناقص",IF(D660&lt;&gt;"",IF(SUMIF($D$7:$D$806,D660,$H$7:$H$806)&gt;=20,"أصل","مصروف"),IFERROR(IF(VLOOKUP(I660,'القوائم'!$A$2:$D$14,4,0)="زكاة وصدقة","زكاة وصدقة",IF(AND(VLOOKUP(I660,'القوائم'!$A$2:$D$14,3,0)&lt;&gt;"",H660&gt;=20),"أصل","مصروف")),"مصروف"))))))</f>
        <v/>
      </c>
      <c r="K660" s="21" t="n"/>
      <c r="L660" s="22" t="n"/>
      <c r="N660">
        <f>IF(B660="","",MONTH(B660))</f>
        <v/>
      </c>
      <c r="O660">
        <f>IF(B660="","",YEAR(B660))</f>
        <v/>
      </c>
      <c r="P660">
        <f>IF(AND(D660&lt;&gt;"",COUNTIF(D$7:D660,D660)=1),MAX(P$6:P659)+1,"")</f>
        <v/>
      </c>
      <c r="Q660">
        <f>IF(E660="","",IF(I660="أجور عمال","أجرة","مادة"))</f>
        <v/>
      </c>
    </row>
    <row r="661">
      <c r="A661" s="12">
        <f>IF(E661="","",ROW()-6)</f>
        <v/>
      </c>
      <c r="B661" s="13" t="n"/>
      <c r="C661" s="12">
        <f>IF(B661="","",CHOOSE(WEEKDAY(B661,1),"الأحد","الاثنين","الثلاثاء","الأربعاء","الخميس","الجمعة","السبت"))</f>
        <v/>
      </c>
      <c r="D661" s="14" t="n"/>
      <c r="E661" s="15" t="n"/>
      <c r="F661" s="16" t="n"/>
      <c r="G661" s="17" t="n"/>
      <c r="H661" s="18">
        <f>IF(OR(F661="",G661=""),"",ROUND(F661*G661,2))</f>
        <v/>
      </c>
      <c r="I661" s="19">
        <f>IF(ISNUMBER(SEARCH("ستاند",D661)),"أثاث وستاندات","")</f>
        <v/>
      </c>
      <c r="J661" s="20">
        <f>IF(E661="","",IF(I661="","⚠ عبّي الغرض",IF(AND(D661&lt;&gt;"",OR(ISNUMBER(SEARCH("صيانة",D661)),ISNUMBER(SEARCH("تعزيل",D661)),ISNUMBER(SEARCH("تنظيف",D661)),ISNUMBER(SEARCH("تصليح",D661)))),"⚠ الصيانة بلا ورشة",IF(H661="","⚠ ناقص",IF(D661&lt;&gt;"",IF(SUMIF($D$7:$D$806,D661,$H$7:$H$806)&gt;=20,"أصل","مصروف"),IFERROR(IF(VLOOKUP(I661,'القوائم'!$A$2:$D$14,4,0)="زكاة وصدقة","زكاة وصدقة",IF(AND(VLOOKUP(I661,'القوائم'!$A$2:$D$14,3,0)&lt;&gt;"",H661&gt;=20),"أصل","مصروف")),"مصروف"))))))</f>
        <v/>
      </c>
      <c r="K661" s="21" t="n"/>
      <c r="L661" s="22" t="n"/>
      <c r="N661">
        <f>IF(B661="","",MONTH(B661))</f>
        <v/>
      </c>
      <c r="O661">
        <f>IF(B661="","",YEAR(B661))</f>
        <v/>
      </c>
      <c r="P661">
        <f>IF(AND(D661&lt;&gt;"",COUNTIF(D$7:D661,D661)=1),MAX(P$6:P660)+1,"")</f>
        <v/>
      </c>
      <c r="Q661">
        <f>IF(E661="","",IF(I661="أجور عمال","أجرة","مادة"))</f>
        <v/>
      </c>
    </row>
    <row r="662">
      <c r="A662" s="12">
        <f>IF(E662="","",ROW()-6)</f>
        <v/>
      </c>
      <c r="B662" s="13" t="n"/>
      <c r="C662" s="12">
        <f>IF(B662="","",CHOOSE(WEEKDAY(B662,1),"الأحد","الاثنين","الثلاثاء","الأربعاء","الخميس","الجمعة","السبت"))</f>
        <v/>
      </c>
      <c r="D662" s="14" t="n"/>
      <c r="E662" s="15" t="n"/>
      <c r="F662" s="16" t="n"/>
      <c r="G662" s="17" t="n"/>
      <c r="H662" s="18">
        <f>IF(OR(F662="",G662=""),"",ROUND(F662*G662,2))</f>
        <v/>
      </c>
      <c r="I662" s="19">
        <f>IF(ISNUMBER(SEARCH("ستاند",D662)),"أثاث وستاندات","")</f>
        <v/>
      </c>
      <c r="J662" s="20">
        <f>IF(E662="","",IF(I662="","⚠ عبّي الغرض",IF(AND(D662&lt;&gt;"",OR(ISNUMBER(SEARCH("صيانة",D662)),ISNUMBER(SEARCH("تعزيل",D662)),ISNUMBER(SEARCH("تنظيف",D662)),ISNUMBER(SEARCH("تصليح",D662)))),"⚠ الصيانة بلا ورشة",IF(H662="","⚠ ناقص",IF(D662&lt;&gt;"",IF(SUMIF($D$7:$D$806,D662,$H$7:$H$806)&gt;=20,"أصل","مصروف"),IFERROR(IF(VLOOKUP(I662,'القوائم'!$A$2:$D$14,4,0)="زكاة وصدقة","زكاة وصدقة",IF(AND(VLOOKUP(I662,'القوائم'!$A$2:$D$14,3,0)&lt;&gt;"",H662&gt;=20),"أصل","مصروف")),"مصروف"))))))</f>
        <v/>
      </c>
      <c r="K662" s="21" t="n"/>
      <c r="L662" s="22" t="n"/>
      <c r="N662">
        <f>IF(B662="","",MONTH(B662))</f>
        <v/>
      </c>
      <c r="O662">
        <f>IF(B662="","",YEAR(B662))</f>
        <v/>
      </c>
      <c r="P662">
        <f>IF(AND(D662&lt;&gt;"",COUNTIF(D$7:D662,D662)=1),MAX(P$6:P661)+1,"")</f>
        <v/>
      </c>
      <c r="Q662">
        <f>IF(E662="","",IF(I662="أجور عمال","أجرة","مادة"))</f>
        <v/>
      </c>
    </row>
    <row r="663">
      <c r="A663" s="12">
        <f>IF(E663="","",ROW()-6)</f>
        <v/>
      </c>
      <c r="B663" s="13" t="n"/>
      <c r="C663" s="12">
        <f>IF(B663="","",CHOOSE(WEEKDAY(B663,1),"الأحد","الاثنين","الثلاثاء","الأربعاء","الخميس","الجمعة","السبت"))</f>
        <v/>
      </c>
      <c r="D663" s="14" t="n"/>
      <c r="E663" s="15" t="n"/>
      <c r="F663" s="16" t="n"/>
      <c r="G663" s="17" t="n"/>
      <c r="H663" s="18">
        <f>IF(OR(F663="",G663=""),"",ROUND(F663*G663,2))</f>
        <v/>
      </c>
      <c r="I663" s="19">
        <f>IF(ISNUMBER(SEARCH("ستاند",D663)),"أثاث وستاندات","")</f>
        <v/>
      </c>
      <c r="J663" s="20">
        <f>IF(E663="","",IF(I663="","⚠ عبّي الغرض",IF(AND(D663&lt;&gt;"",OR(ISNUMBER(SEARCH("صيانة",D663)),ISNUMBER(SEARCH("تعزيل",D663)),ISNUMBER(SEARCH("تنظيف",D663)),ISNUMBER(SEARCH("تصليح",D663)))),"⚠ الصيانة بلا ورشة",IF(H663="","⚠ ناقص",IF(D663&lt;&gt;"",IF(SUMIF($D$7:$D$806,D663,$H$7:$H$806)&gt;=20,"أصل","مصروف"),IFERROR(IF(VLOOKUP(I663,'القوائم'!$A$2:$D$14,4,0)="زكاة وصدقة","زكاة وصدقة",IF(AND(VLOOKUP(I663,'القوائم'!$A$2:$D$14,3,0)&lt;&gt;"",H663&gt;=20),"أصل","مصروف")),"مصروف"))))))</f>
        <v/>
      </c>
      <c r="K663" s="21" t="n"/>
      <c r="L663" s="22" t="n"/>
      <c r="N663">
        <f>IF(B663="","",MONTH(B663))</f>
        <v/>
      </c>
      <c r="O663">
        <f>IF(B663="","",YEAR(B663))</f>
        <v/>
      </c>
      <c r="P663">
        <f>IF(AND(D663&lt;&gt;"",COUNTIF(D$7:D663,D663)=1),MAX(P$6:P662)+1,"")</f>
        <v/>
      </c>
      <c r="Q663">
        <f>IF(E663="","",IF(I663="أجور عمال","أجرة","مادة"))</f>
        <v/>
      </c>
    </row>
    <row r="664">
      <c r="A664" s="12">
        <f>IF(E664="","",ROW()-6)</f>
        <v/>
      </c>
      <c r="B664" s="13" t="n"/>
      <c r="C664" s="12">
        <f>IF(B664="","",CHOOSE(WEEKDAY(B664,1),"الأحد","الاثنين","الثلاثاء","الأربعاء","الخميس","الجمعة","السبت"))</f>
        <v/>
      </c>
      <c r="D664" s="14" t="n"/>
      <c r="E664" s="15" t="n"/>
      <c r="F664" s="16" t="n"/>
      <c r="G664" s="17" t="n"/>
      <c r="H664" s="18">
        <f>IF(OR(F664="",G664=""),"",ROUND(F664*G664,2))</f>
        <v/>
      </c>
      <c r="I664" s="19">
        <f>IF(ISNUMBER(SEARCH("ستاند",D664)),"أثاث وستاندات","")</f>
        <v/>
      </c>
      <c r="J664" s="20">
        <f>IF(E664="","",IF(I664="","⚠ عبّي الغرض",IF(AND(D664&lt;&gt;"",OR(ISNUMBER(SEARCH("صيانة",D664)),ISNUMBER(SEARCH("تعزيل",D664)),ISNUMBER(SEARCH("تنظيف",D664)),ISNUMBER(SEARCH("تصليح",D664)))),"⚠ الصيانة بلا ورشة",IF(H664="","⚠ ناقص",IF(D664&lt;&gt;"",IF(SUMIF($D$7:$D$806,D664,$H$7:$H$806)&gt;=20,"أصل","مصروف"),IFERROR(IF(VLOOKUP(I664,'القوائم'!$A$2:$D$14,4,0)="زكاة وصدقة","زكاة وصدقة",IF(AND(VLOOKUP(I664,'القوائم'!$A$2:$D$14,3,0)&lt;&gt;"",H664&gt;=20),"أصل","مصروف")),"مصروف"))))))</f>
        <v/>
      </c>
      <c r="K664" s="21" t="n"/>
      <c r="L664" s="22" t="n"/>
      <c r="N664">
        <f>IF(B664="","",MONTH(B664))</f>
        <v/>
      </c>
      <c r="O664">
        <f>IF(B664="","",YEAR(B664))</f>
        <v/>
      </c>
      <c r="P664">
        <f>IF(AND(D664&lt;&gt;"",COUNTIF(D$7:D664,D664)=1),MAX(P$6:P663)+1,"")</f>
        <v/>
      </c>
      <c r="Q664">
        <f>IF(E664="","",IF(I664="أجور عمال","أجرة","مادة"))</f>
        <v/>
      </c>
    </row>
    <row r="665">
      <c r="A665" s="12">
        <f>IF(E665="","",ROW()-6)</f>
        <v/>
      </c>
      <c r="B665" s="13" t="n"/>
      <c r="C665" s="12">
        <f>IF(B665="","",CHOOSE(WEEKDAY(B665,1),"الأحد","الاثنين","الثلاثاء","الأربعاء","الخميس","الجمعة","السبت"))</f>
        <v/>
      </c>
      <c r="D665" s="14" t="n"/>
      <c r="E665" s="15" t="n"/>
      <c r="F665" s="16" t="n"/>
      <c r="G665" s="17" t="n"/>
      <c r="H665" s="18">
        <f>IF(OR(F665="",G665=""),"",ROUND(F665*G665,2))</f>
        <v/>
      </c>
      <c r="I665" s="19">
        <f>IF(ISNUMBER(SEARCH("ستاند",D665)),"أثاث وستاندات","")</f>
        <v/>
      </c>
      <c r="J665" s="20">
        <f>IF(E665="","",IF(I665="","⚠ عبّي الغرض",IF(AND(D665&lt;&gt;"",OR(ISNUMBER(SEARCH("صيانة",D665)),ISNUMBER(SEARCH("تعزيل",D665)),ISNUMBER(SEARCH("تنظيف",D665)),ISNUMBER(SEARCH("تصليح",D665)))),"⚠ الصيانة بلا ورشة",IF(H665="","⚠ ناقص",IF(D665&lt;&gt;"",IF(SUMIF($D$7:$D$806,D665,$H$7:$H$806)&gt;=20,"أصل","مصروف"),IFERROR(IF(VLOOKUP(I665,'القوائم'!$A$2:$D$14,4,0)="زكاة وصدقة","زكاة وصدقة",IF(AND(VLOOKUP(I665,'القوائم'!$A$2:$D$14,3,0)&lt;&gt;"",H665&gt;=20),"أصل","مصروف")),"مصروف"))))))</f>
        <v/>
      </c>
      <c r="K665" s="21" t="n"/>
      <c r="L665" s="22" t="n"/>
      <c r="N665">
        <f>IF(B665="","",MONTH(B665))</f>
        <v/>
      </c>
      <c r="O665">
        <f>IF(B665="","",YEAR(B665))</f>
        <v/>
      </c>
      <c r="P665">
        <f>IF(AND(D665&lt;&gt;"",COUNTIF(D$7:D665,D665)=1),MAX(P$6:P664)+1,"")</f>
        <v/>
      </c>
      <c r="Q665">
        <f>IF(E665="","",IF(I665="أجور عمال","أجرة","مادة"))</f>
        <v/>
      </c>
    </row>
    <row r="666">
      <c r="A666" s="12">
        <f>IF(E666="","",ROW()-6)</f>
        <v/>
      </c>
      <c r="B666" s="13" t="n"/>
      <c r="C666" s="12">
        <f>IF(B666="","",CHOOSE(WEEKDAY(B666,1),"الأحد","الاثنين","الثلاثاء","الأربعاء","الخميس","الجمعة","السبت"))</f>
        <v/>
      </c>
      <c r="D666" s="14" t="n"/>
      <c r="E666" s="15" t="n"/>
      <c r="F666" s="16" t="n"/>
      <c r="G666" s="17" t="n"/>
      <c r="H666" s="18">
        <f>IF(OR(F666="",G666=""),"",ROUND(F666*G666,2))</f>
        <v/>
      </c>
      <c r="I666" s="19">
        <f>IF(ISNUMBER(SEARCH("ستاند",D666)),"أثاث وستاندات","")</f>
        <v/>
      </c>
      <c r="J666" s="20">
        <f>IF(E666="","",IF(I666="","⚠ عبّي الغرض",IF(AND(D666&lt;&gt;"",OR(ISNUMBER(SEARCH("صيانة",D666)),ISNUMBER(SEARCH("تعزيل",D666)),ISNUMBER(SEARCH("تنظيف",D666)),ISNUMBER(SEARCH("تصليح",D666)))),"⚠ الصيانة بلا ورشة",IF(H666="","⚠ ناقص",IF(D666&lt;&gt;"",IF(SUMIF($D$7:$D$806,D666,$H$7:$H$806)&gt;=20,"أصل","مصروف"),IFERROR(IF(VLOOKUP(I666,'القوائم'!$A$2:$D$14,4,0)="زكاة وصدقة","زكاة وصدقة",IF(AND(VLOOKUP(I666,'القوائم'!$A$2:$D$14,3,0)&lt;&gt;"",H666&gt;=20),"أصل","مصروف")),"مصروف"))))))</f>
        <v/>
      </c>
      <c r="K666" s="21" t="n"/>
      <c r="L666" s="22" t="n"/>
      <c r="N666">
        <f>IF(B666="","",MONTH(B666))</f>
        <v/>
      </c>
      <c r="O666">
        <f>IF(B666="","",YEAR(B666))</f>
        <v/>
      </c>
      <c r="P666">
        <f>IF(AND(D666&lt;&gt;"",COUNTIF(D$7:D666,D666)=1),MAX(P$6:P665)+1,"")</f>
        <v/>
      </c>
      <c r="Q666">
        <f>IF(E666="","",IF(I666="أجور عمال","أجرة","مادة"))</f>
        <v/>
      </c>
    </row>
    <row r="667">
      <c r="A667" s="12">
        <f>IF(E667="","",ROW()-6)</f>
        <v/>
      </c>
      <c r="B667" s="13" t="n"/>
      <c r="C667" s="12">
        <f>IF(B667="","",CHOOSE(WEEKDAY(B667,1),"الأحد","الاثنين","الثلاثاء","الأربعاء","الخميس","الجمعة","السبت"))</f>
        <v/>
      </c>
      <c r="D667" s="14" t="n"/>
      <c r="E667" s="15" t="n"/>
      <c r="F667" s="16" t="n"/>
      <c r="G667" s="17" t="n"/>
      <c r="H667" s="18">
        <f>IF(OR(F667="",G667=""),"",ROUND(F667*G667,2))</f>
        <v/>
      </c>
      <c r="I667" s="19">
        <f>IF(ISNUMBER(SEARCH("ستاند",D667)),"أثاث وستاندات","")</f>
        <v/>
      </c>
      <c r="J667" s="20">
        <f>IF(E667="","",IF(I667="","⚠ عبّي الغرض",IF(AND(D667&lt;&gt;"",OR(ISNUMBER(SEARCH("صيانة",D667)),ISNUMBER(SEARCH("تعزيل",D667)),ISNUMBER(SEARCH("تنظيف",D667)),ISNUMBER(SEARCH("تصليح",D667)))),"⚠ الصيانة بلا ورشة",IF(H667="","⚠ ناقص",IF(D667&lt;&gt;"",IF(SUMIF($D$7:$D$806,D667,$H$7:$H$806)&gt;=20,"أصل","مصروف"),IFERROR(IF(VLOOKUP(I667,'القوائم'!$A$2:$D$14,4,0)="زكاة وصدقة","زكاة وصدقة",IF(AND(VLOOKUP(I667,'القوائم'!$A$2:$D$14,3,0)&lt;&gt;"",H667&gt;=20),"أصل","مصروف")),"مصروف"))))))</f>
        <v/>
      </c>
      <c r="K667" s="21" t="n"/>
      <c r="L667" s="22" t="n"/>
      <c r="N667">
        <f>IF(B667="","",MONTH(B667))</f>
        <v/>
      </c>
      <c r="O667">
        <f>IF(B667="","",YEAR(B667))</f>
        <v/>
      </c>
      <c r="P667">
        <f>IF(AND(D667&lt;&gt;"",COUNTIF(D$7:D667,D667)=1),MAX(P$6:P666)+1,"")</f>
        <v/>
      </c>
      <c r="Q667">
        <f>IF(E667="","",IF(I667="أجور عمال","أجرة","مادة"))</f>
        <v/>
      </c>
    </row>
    <row r="668">
      <c r="A668" s="12">
        <f>IF(E668="","",ROW()-6)</f>
        <v/>
      </c>
      <c r="B668" s="13" t="n"/>
      <c r="C668" s="12">
        <f>IF(B668="","",CHOOSE(WEEKDAY(B668,1),"الأحد","الاثنين","الثلاثاء","الأربعاء","الخميس","الجمعة","السبت"))</f>
        <v/>
      </c>
      <c r="D668" s="14" t="n"/>
      <c r="E668" s="15" t="n"/>
      <c r="F668" s="16" t="n"/>
      <c r="G668" s="17" t="n"/>
      <c r="H668" s="18">
        <f>IF(OR(F668="",G668=""),"",ROUND(F668*G668,2))</f>
        <v/>
      </c>
      <c r="I668" s="19">
        <f>IF(ISNUMBER(SEARCH("ستاند",D668)),"أثاث وستاندات","")</f>
        <v/>
      </c>
      <c r="J668" s="20">
        <f>IF(E668="","",IF(I668="","⚠ عبّي الغرض",IF(AND(D668&lt;&gt;"",OR(ISNUMBER(SEARCH("صيانة",D668)),ISNUMBER(SEARCH("تعزيل",D668)),ISNUMBER(SEARCH("تنظيف",D668)),ISNUMBER(SEARCH("تصليح",D668)))),"⚠ الصيانة بلا ورشة",IF(H668="","⚠ ناقص",IF(D668&lt;&gt;"",IF(SUMIF($D$7:$D$806,D668,$H$7:$H$806)&gt;=20,"أصل","مصروف"),IFERROR(IF(VLOOKUP(I668,'القوائم'!$A$2:$D$14,4,0)="زكاة وصدقة","زكاة وصدقة",IF(AND(VLOOKUP(I668,'القوائم'!$A$2:$D$14,3,0)&lt;&gt;"",H668&gt;=20),"أصل","مصروف")),"مصروف"))))))</f>
        <v/>
      </c>
      <c r="K668" s="21" t="n"/>
      <c r="L668" s="22" t="n"/>
      <c r="N668">
        <f>IF(B668="","",MONTH(B668))</f>
        <v/>
      </c>
      <c r="O668">
        <f>IF(B668="","",YEAR(B668))</f>
        <v/>
      </c>
      <c r="P668">
        <f>IF(AND(D668&lt;&gt;"",COUNTIF(D$7:D668,D668)=1),MAX(P$6:P667)+1,"")</f>
        <v/>
      </c>
      <c r="Q668">
        <f>IF(E668="","",IF(I668="أجور عمال","أجرة","مادة"))</f>
        <v/>
      </c>
    </row>
    <row r="669">
      <c r="A669" s="12">
        <f>IF(E669="","",ROW()-6)</f>
        <v/>
      </c>
      <c r="B669" s="13" t="n"/>
      <c r="C669" s="12">
        <f>IF(B669="","",CHOOSE(WEEKDAY(B669,1),"الأحد","الاثنين","الثلاثاء","الأربعاء","الخميس","الجمعة","السبت"))</f>
        <v/>
      </c>
      <c r="D669" s="14" t="n"/>
      <c r="E669" s="15" t="n"/>
      <c r="F669" s="16" t="n"/>
      <c r="G669" s="17" t="n"/>
      <c r="H669" s="18">
        <f>IF(OR(F669="",G669=""),"",ROUND(F669*G669,2))</f>
        <v/>
      </c>
      <c r="I669" s="19">
        <f>IF(ISNUMBER(SEARCH("ستاند",D669)),"أثاث وستاندات","")</f>
        <v/>
      </c>
      <c r="J669" s="20">
        <f>IF(E669="","",IF(I669="","⚠ عبّي الغرض",IF(AND(D669&lt;&gt;"",OR(ISNUMBER(SEARCH("صيانة",D669)),ISNUMBER(SEARCH("تعزيل",D669)),ISNUMBER(SEARCH("تنظيف",D669)),ISNUMBER(SEARCH("تصليح",D669)))),"⚠ الصيانة بلا ورشة",IF(H669="","⚠ ناقص",IF(D669&lt;&gt;"",IF(SUMIF($D$7:$D$806,D669,$H$7:$H$806)&gt;=20,"أصل","مصروف"),IFERROR(IF(VLOOKUP(I669,'القوائم'!$A$2:$D$14,4,0)="زكاة وصدقة","زكاة وصدقة",IF(AND(VLOOKUP(I669,'القوائم'!$A$2:$D$14,3,0)&lt;&gt;"",H669&gt;=20),"أصل","مصروف")),"مصروف"))))))</f>
        <v/>
      </c>
      <c r="K669" s="21" t="n"/>
      <c r="L669" s="22" t="n"/>
      <c r="N669">
        <f>IF(B669="","",MONTH(B669))</f>
        <v/>
      </c>
      <c r="O669">
        <f>IF(B669="","",YEAR(B669))</f>
        <v/>
      </c>
      <c r="P669">
        <f>IF(AND(D669&lt;&gt;"",COUNTIF(D$7:D669,D669)=1),MAX(P$6:P668)+1,"")</f>
        <v/>
      </c>
      <c r="Q669">
        <f>IF(E669="","",IF(I669="أجور عمال","أجرة","مادة"))</f>
        <v/>
      </c>
    </row>
    <row r="670">
      <c r="A670" s="12">
        <f>IF(E670="","",ROW()-6)</f>
        <v/>
      </c>
      <c r="B670" s="13" t="n"/>
      <c r="C670" s="12">
        <f>IF(B670="","",CHOOSE(WEEKDAY(B670,1),"الأحد","الاثنين","الثلاثاء","الأربعاء","الخميس","الجمعة","السبت"))</f>
        <v/>
      </c>
      <c r="D670" s="14" t="n"/>
      <c r="E670" s="15" t="n"/>
      <c r="F670" s="16" t="n"/>
      <c r="G670" s="17" t="n"/>
      <c r="H670" s="18">
        <f>IF(OR(F670="",G670=""),"",ROUND(F670*G670,2))</f>
        <v/>
      </c>
      <c r="I670" s="19">
        <f>IF(ISNUMBER(SEARCH("ستاند",D670)),"أثاث وستاندات","")</f>
        <v/>
      </c>
      <c r="J670" s="20">
        <f>IF(E670="","",IF(I670="","⚠ عبّي الغرض",IF(AND(D670&lt;&gt;"",OR(ISNUMBER(SEARCH("صيانة",D670)),ISNUMBER(SEARCH("تعزيل",D670)),ISNUMBER(SEARCH("تنظيف",D670)),ISNUMBER(SEARCH("تصليح",D670)))),"⚠ الصيانة بلا ورشة",IF(H670="","⚠ ناقص",IF(D670&lt;&gt;"",IF(SUMIF($D$7:$D$806,D670,$H$7:$H$806)&gt;=20,"أصل","مصروف"),IFERROR(IF(VLOOKUP(I670,'القوائم'!$A$2:$D$14,4,0)="زكاة وصدقة","زكاة وصدقة",IF(AND(VLOOKUP(I670,'القوائم'!$A$2:$D$14,3,0)&lt;&gt;"",H670&gt;=20),"أصل","مصروف")),"مصروف"))))))</f>
        <v/>
      </c>
      <c r="K670" s="21" t="n"/>
      <c r="L670" s="22" t="n"/>
      <c r="N670">
        <f>IF(B670="","",MONTH(B670))</f>
        <v/>
      </c>
      <c r="O670">
        <f>IF(B670="","",YEAR(B670))</f>
        <v/>
      </c>
      <c r="P670">
        <f>IF(AND(D670&lt;&gt;"",COUNTIF(D$7:D670,D670)=1),MAX(P$6:P669)+1,"")</f>
        <v/>
      </c>
      <c r="Q670">
        <f>IF(E670="","",IF(I670="أجور عمال","أجرة","مادة"))</f>
        <v/>
      </c>
    </row>
    <row r="671">
      <c r="A671" s="12">
        <f>IF(E671="","",ROW()-6)</f>
        <v/>
      </c>
      <c r="B671" s="13" t="n"/>
      <c r="C671" s="12">
        <f>IF(B671="","",CHOOSE(WEEKDAY(B671,1),"الأحد","الاثنين","الثلاثاء","الأربعاء","الخميس","الجمعة","السبت"))</f>
        <v/>
      </c>
      <c r="D671" s="14" t="n"/>
      <c r="E671" s="15" t="n"/>
      <c r="F671" s="16" t="n"/>
      <c r="G671" s="17" t="n"/>
      <c r="H671" s="18">
        <f>IF(OR(F671="",G671=""),"",ROUND(F671*G671,2))</f>
        <v/>
      </c>
      <c r="I671" s="19">
        <f>IF(ISNUMBER(SEARCH("ستاند",D671)),"أثاث وستاندات","")</f>
        <v/>
      </c>
      <c r="J671" s="20">
        <f>IF(E671="","",IF(I671="","⚠ عبّي الغرض",IF(AND(D671&lt;&gt;"",OR(ISNUMBER(SEARCH("صيانة",D671)),ISNUMBER(SEARCH("تعزيل",D671)),ISNUMBER(SEARCH("تنظيف",D671)),ISNUMBER(SEARCH("تصليح",D671)))),"⚠ الصيانة بلا ورشة",IF(H671="","⚠ ناقص",IF(D671&lt;&gt;"",IF(SUMIF($D$7:$D$806,D671,$H$7:$H$806)&gt;=20,"أصل","مصروف"),IFERROR(IF(VLOOKUP(I671,'القوائم'!$A$2:$D$14,4,0)="زكاة وصدقة","زكاة وصدقة",IF(AND(VLOOKUP(I671,'القوائم'!$A$2:$D$14,3,0)&lt;&gt;"",H671&gt;=20),"أصل","مصروف")),"مصروف"))))))</f>
        <v/>
      </c>
      <c r="K671" s="21" t="n"/>
      <c r="L671" s="22" t="n"/>
      <c r="N671">
        <f>IF(B671="","",MONTH(B671))</f>
        <v/>
      </c>
      <c r="O671">
        <f>IF(B671="","",YEAR(B671))</f>
        <v/>
      </c>
      <c r="P671">
        <f>IF(AND(D671&lt;&gt;"",COUNTIF(D$7:D671,D671)=1),MAX(P$6:P670)+1,"")</f>
        <v/>
      </c>
      <c r="Q671">
        <f>IF(E671="","",IF(I671="أجور عمال","أجرة","مادة"))</f>
        <v/>
      </c>
    </row>
    <row r="672">
      <c r="A672" s="12">
        <f>IF(E672="","",ROW()-6)</f>
        <v/>
      </c>
      <c r="B672" s="13" t="n"/>
      <c r="C672" s="12">
        <f>IF(B672="","",CHOOSE(WEEKDAY(B672,1),"الأحد","الاثنين","الثلاثاء","الأربعاء","الخميس","الجمعة","السبت"))</f>
        <v/>
      </c>
      <c r="D672" s="14" t="n"/>
      <c r="E672" s="15" t="n"/>
      <c r="F672" s="16" t="n"/>
      <c r="G672" s="17" t="n"/>
      <c r="H672" s="18">
        <f>IF(OR(F672="",G672=""),"",ROUND(F672*G672,2))</f>
        <v/>
      </c>
      <c r="I672" s="19">
        <f>IF(ISNUMBER(SEARCH("ستاند",D672)),"أثاث وستاندات","")</f>
        <v/>
      </c>
      <c r="J672" s="20">
        <f>IF(E672="","",IF(I672="","⚠ عبّي الغرض",IF(AND(D672&lt;&gt;"",OR(ISNUMBER(SEARCH("صيانة",D672)),ISNUMBER(SEARCH("تعزيل",D672)),ISNUMBER(SEARCH("تنظيف",D672)),ISNUMBER(SEARCH("تصليح",D672)))),"⚠ الصيانة بلا ورشة",IF(H672="","⚠ ناقص",IF(D672&lt;&gt;"",IF(SUMIF($D$7:$D$806,D672,$H$7:$H$806)&gt;=20,"أصل","مصروف"),IFERROR(IF(VLOOKUP(I672,'القوائم'!$A$2:$D$14,4,0)="زكاة وصدقة","زكاة وصدقة",IF(AND(VLOOKUP(I672,'القوائم'!$A$2:$D$14,3,0)&lt;&gt;"",H672&gt;=20),"أصل","مصروف")),"مصروف"))))))</f>
        <v/>
      </c>
      <c r="K672" s="21" t="n"/>
      <c r="L672" s="22" t="n"/>
      <c r="N672">
        <f>IF(B672="","",MONTH(B672))</f>
        <v/>
      </c>
      <c r="O672">
        <f>IF(B672="","",YEAR(B672))</f>
        <v/>
      </c>
      <c r="P672">
        <f>IF(AND(D672&lt;&gt;"",COUNTIF(D$7:D672,D672)=1),MAX(P$6:P671)+1,"")</f>
        <v/>
      </c>
      <c r="Q672">
        <f>IF(E672="","",IF(I672="أجور عمال","أجرة","مادة"))</f>
        <v/>
      </c>
    </row>
    <row r="673">
      <c r="A673" s="12">
        <f>IF(E673="","",ROW()-6)</f>
        <v/>
      </c>
      <c r="B673" s="13" t="n"/>
      <c r="C673" s="12">
        <f>IF(B673="","",CHOOSE(WEEKDAY(B673,1),"الأحد","الاثنين","الثلاثاء","الأربعاء","الخميس","الجمعة","السبت"))</f>
        <v/>
      </c>
      <c r="D673" s="14" t="n"/>
      <c r="E673" s="15" t="n"/>
      <c r="F673" s="16" t="n"/>
      <c r="G673" s="17" t="n"/>
      <c r="H673" s="18">
        <f>IF(OR(F673="",G673=""),"",ROUND(F673*G673,2))</f>
        <v/>
      </c>
      <c r="I673" s="19">
        <f>IF(ISNUMBER(SEARCH("ستاند",D673)),"أثاث وستاندات","")</f>
        <v/>
      </c>
      <c r="J673" s="20">
        <f>IF(E673="","",IF(I673="","⚠ عبّي الغرض",IF(AND(D673&lt;&gt;"",OR(ISNUMBER(SEARCH("صيانة",D673)),ISNUMBER(SEARCH("تعزيل",D673)),ISNUMBER(SEARCH("تنظيف",D673)),ISNUMBER(SEARCH("تصليح",D673)))),"⚠ الصيانة بلا ورشة",IF(H673="","⚠ ناقص",IF(D673&lt;&gt;"",IF(SUMIF($D$7:$D$806,D673,$H$7:$H$806)&gt;=20,"أصل","مصروف"),IFERROR(IF(VLOOKUP(I673,'القوائم'!$A$2:$D$14,4,0)="زكاة وصدقة","زكاة وصدقة",IF(AND(VLOOKUP(I673,'القوائم'!$A$2:$D$14,3,0)&lt;&gt;"",H673&gt;=20),"أصل","مصروف")),"مصروف"))))))</f>
        <v/>
      </c>
      <c r="K673" s="21" t="n"/>
      <c r="L673" s="22" t="n"/>
      <c r="N673">
        <f>IF(B673="","",MONTH(B673))</f>
        <v/>
      </c>
      <c r="O673">
        <f>IF(B673="","",YEAR(B673))</f>
        <v/>
      </c>
      <c r="P673">
        <f>IF(AND(D673&lt;&gt;"",COUNTIF(D$7:D673,D673)=1),MAX(P$6:P672)+1,"")</f>
        <v/>
      </c>
      <c r="Q673">
        <f>IF(E673="","",IF(I673="أجور عمال","أجرة","مادة"))</f>
        <v/>
      </c>
    </row>
    <row r="674">
      <c r="A674" s="12">
        <f>IF(E674="","",ROW()-6)</f>
        <v/>
      </c>
      <c r="B674" s="13" t="n"/>
      <c r="C674" s="12">
        <f>IF(B674="","",CHOOSE(WEEKDAY(B674,1),"الأحد","الاثنين","الثلاثاء","الأربعاء","الخميس","الجمعة","السبت"))</f>
        <v/>
      </c>
      <c r="D674" s="14" t="n"/>
      <c r="E674" s="15" t="n"/>
      <c r="F674" s="16" t="n"/>
      <c r="G674" s="17" t="n"/>
      <c r="H674" s="18">
        <f>IF(OR(F674="",G674=""),"",ROUND(F674*G674,2))</f>
        <v/>
      </c>
      <c r="I674" s="19">
        <f>IF(ISNUMBER(SEARCH("ستاند",D674)),"أثاث وستاندات","")</f>
        <v/>
      </c>
      <c r="J674" s="20">
        <f>IF(E674="","",IF(I674="","⚠ عبّي الغرض",IF(AND(D674&lt;&gt;"",OR(ISNUMBER(SEARCH("صيانة",D674)),ISNUMBER(SEARCH("تعزيل",D674)),ISNUMBER(SEARCH("تنظيف",D674)),ISNUMBER(SEARCH("تصليح",D674)))),"⚠ الصيانة بلا ورشة",IF(H674="","⚠ ناقص",IF(D674&lt;&gt;"",IF(SUMIF($D$7:$D$806,D674,$H$7:$H$806)&gt;=20,"أصل","مصروف"),IFERROR(IF(VLOOKUP(I674,'القوائم'!$A$2:$D$14,4,0)="زكاة وصدقة","زكاة وصدقة",IF(AND(VLOOKUP(I674,'القوائم'!$A$2:$D$14,3,0)&lt;&gt;"",H674&gt;=20),"أصل","مصروف")),"مصروف"))))))</f>
        <v/>
      </c>
      <c r="K674" s="21" t="n"/>
      <c r="L674" s="22" t="n"/>
      <c r="N674">
        <f>IF(B674="","",MONTH(B674))</f>
        <v/>
      </c>
      <c r="O674">
        <f>IF(B674="","",YEAR(B674))</f>
        <v/>
      </c>
      <c r="P674">
        <f>IF(AND(D674&lt;&gt;"",COUNTIF(D$7:D674,D674)=1),MAX(P$6:P673)+1,"")</f>
        <v/>
      </c>
      <c r="Q674">
        <f>IF(E674="","",IF(I674="أجور عمال","أجرة","مادة"))</f>
        <v/>
      </c>
    </row>
    <row r="675">
      <c r="A675" s="12">
        <f>IF(E675="","",ROW()-6)</f>
        <v/>
      </c>
      <c r="B675" s="13" t="n"/>
      <c r="C675" s="12">
        <f>IF(B675="","",CHOOSE(WEEKDAY(B675,1),"الأحد","الاثنين","الثلاثاء","الأربعاء","الخميس","الجمعة","السبت"))</f>
        <v/>
      </c>
      <c r="D675" s="14" t="n"/>
      <c r="E675" s="15" t="n"/>
      <c r="F675" s="16" t="n"/>
      <c r="G675" s="17" t="n"/>
      <c r="H675" s="18">
        <f>IF(OR(F675="",G675=""),"",ROUND(F675*G675,2))</f>
        <v/>
      </c>
      <c r="I675" s="19">
        <f>IF(ISNUMBER(SEARCH("ستاند",D675)),"أثاث وستاندات","")</f>
        <v/>
      </c>
      <c r="J675" s="20">
        <f>IF(E675="","",IF(I675="","⚠ عبّي الغرض",IF(AND(D675&lt;&gt;"",OR(ISNUMBER(SEARCH("صيانة",D675)),ISNUMBER(SEARCH("تعزيل",D675)),ISNUMBER(SEARCH("تنظيف",D675)),ISNUMBER(SEARCH("تصليح",D675)))),"⚠ الصيانة بلا ورشة",IF(H675="","⚠ ناقص",IF(D675&lt;&gt;"",IF(SUMIF($D$7:$D$806,D675,$H$7:$H$806)&gt;=20,"أصل","مصروف"),IFERROR(IF(VLOOKUP(I675,'القوائم'!$A$2:$D$14,4,0)="زكاة وصدقة","زكاة وصدقة",IF(AND(VLOOKUP(I675,'القوائم'!$A$2:$D$14,3,0)&lt;&gt;"",H675&gt;=20),"أصل","مصروف")),"مصروف"))))))</f>
        <v/>
      </c>
      <c r="K675" s="21" t="n"/>
      <c r="L675" s="22" t="n"/>
      <c r="N675">
        <f>IF(B675="","",MONTH(B675))</f>
        <v/>
      </c>
      <c r="O675">
        <f>IF(B675="","",YEAR(B675))</f>
        <v/>
      </c>
      <c r="P675">
        <f>IF(AND(D675&lt;&gt;"",COUNTIF(D$7:D675,D675)=1),MAX(P$6:P674)+1,"")</f>
        <v/>
      </c>
      <c r="Q675">
        <f>IF(E675="","",IF(I675="أجور عمال","أجرة","مادة"))</f>
        <v/>
      </c>
    </row>
    <row r="676">
      <c r="A676" s="12">
        <f>IF(E676="","",ROW()-6)</f>
        <v/>
      </c>
      <c r="B676" s="13" t="n"/>
      <c r="C676" s="12">
        <f>IF(B676="","",CHOOSE(WEEKDAY(B676,1),"الأحد","الاثنين","الثلاثاء","الأربعاء","الخميس","الجمعة","السبت"))</f>
        <v/>
      </c>
      <c r="D676" s="14" t="n"/>
      <c r="E676" s="15" t="n"/>
      <c r="F676" s="16" t="n"/>
      <c r="G676" s="17" t="n"/>
      <c r="H676" s="18">
        <f>IF(OR(F676="",G676=""),"",ROUND(F676*G676,2))</f>
        <v/>
      </c>
      <c r="I676" s="19">
        <f>IF(ISNUMBER(SEARCH("ستاند",D676)),"أثاث وستاندات","")</f>
        <v/>
      </c>
      <c r="J676" s="20">
        <f>IF(E676="","",IF(I676="","⚠ عبّي الغرض",IF(AND(D676&lt;&gt;"",OR(ISNUMBER(SEARCH("صيانة",D676)),ISNUMBER(SEARCH("تعزيل",D676)),ISNUMBER(SEARCH("تنظيف",D676)),ISNUMBER(SEARCH("تصليح",D676)))),"⚠ الصيانة بلا ورشة",IF(H676="","⚠ ناقص",IF(D676&lt;&gt;"",IF(SUMIF($D$7:$D$806,D676,$H$7:$H$806)&gt;=20,"أصل","مصروف"),IFERROR(IF(VLOOKUP(I676,'القوائم'!$A$2:$D$14,4,0)="زكاة وصدقة","زكاة وصدقة",IF(AND(VLOOKUP(I676,'القوائم'!$A$2:$D$14,3,0)&lt;&gt;"",H676&gt;=20),"أصل","مصروف")),"مصروف"))))))</f>
        <v/>
      </c>
      <c r="K676" s="21" t="n"/>
      <c r="L676" s="22" t="n"/>
      <c r="N676">
        <f>IF(B676="","",MONTH(B676))</f>
        <v/>
      </c>
      <c r="O676">
        <f>IF(B676="","",YEAR(B676))</f>
        <v/>
      </c>
      <c r="P676">
        <f>IF(AND(D676&lt;&gt;"",COUNTIF(D$7:D676,D676)=1),MAX(P$6:P675)+1,"")</f>
        <v/>
      </c>
      <c r="Q676">
        <f>IF(E676="","",IF(I676="أجور عمال","أجرة","مادة"))</f>
        <v/>
      </c>
    </row>
    <row r="677">
      <c r="A677" s="12">
        <f>IF(E677="","",ROW()-6)</f>
        <v/>
      </c>
      <c r="B677" s="13" t="n"/>
      <c r="C677" s="12">
        <f>IF(B677="","",CHOOSE(WEEKDAY(B677,1),"الأحد","الاثنين","الثلاثاء","الأربعاء","الخميس","الجمعة","السبت"))</f>
        <v/>
      </c>
      <c r="D677" s="14" t="n"/>
      <c r="E677" s="15" t="n"/>
      <c r="F677" s="16" t="n"/>
      <c r="G677" s="17" t="n"/>
      <c r="H677" s="18">
        <f>IF(OR(F677="",G677=""),"",ROUND(F677*G677,2))</f>
        <v/>
      </c>
      <c r="I677" s="19">
        <f>IF(ISNUMBER(SEARCH("ستاند",D677)),"أثاث وستاندات","")</f>
        <v/>
      </c>
      <c r="J677" s="20">
        <f>IF(E677="","",IF(I677="","⚠ عبّي الغرض",IF(AND(D677&lt;&gt;"",OR(ISNUMBER(SEARCH("صيانة",D677)),ISNUMBER(SEARCH("تعزيل",D677)),ISNUMBER(SEARCH("تنظيف",D677)),ISNUMBER(SEARCH("تصليح",D677)))),"⚠ الصيانة بلا ورشة",IF(H677="","⚠ ناقص",IF(D677&lt;&gt;"",IF(SUMIF($D$7:$D$806,D677,$H$7:$H$806)&gt;=20,"أصل","مصروف"),IFERROR(IF(VLOOKUP(I677,'القوائم'!$A$2:$D$14,4,0)="زكاة وصدقة","زكاة وصدقة",IF(AND(VLOOKUP(I677,'القوائم'!$A$2:$D$14,3,0)&lt;&gt;"",H677&gt;=20),"أصل","مصروف")),"مصروف"))))))</f>
        <v/>
      </c>
      <c r="K677" s="21" t="n"/>
      <c r="L677" s="22" t="n"/>
      <c r="N677">
        <f>IF(B677="","",MONTH(B677))</f>
        <v/>
      </c>
      <c r="O677">
        <f>IF(B677="","",YEAR(B677))</f>
        <v/>
      </c>
      <c r="P677">
        <f>IF(AND(D677&lt;&gt;"",COUNTIF(D$7:D677,D677)=1),MAX(P$6:P676)+1,"")</f>
        <v/>
      </c>
      <c r="Q677">
        <f>IF(E677="","",IF(I677="أجور عمال","أجرة","مادة"))</f>
        <v/>
      </c>
    </row>
    <row r="678">
      <c r="A678" s="12">
        <f>IF(E678="","",ROW()-6)</f>
        <v/>
      </c>
      <c r="B678" s="13" t="n"/>
      <c r="C678" s="12">
        <f>IF(B678="","",CHOOSE(WEEKDAY(B678,1),"الأحد","الاثنين","الثلاثاء","الأربعاء","الخميس","الجمعة","السبت"))</f>
        <v/>
      </c>
      <c r="D678" s="14" t="n"/>
      <c r="E678" s="15" t="n"/>
      <c r="F678" s="16" t="n"/>
      <c r="G678" s="17" t="n"/>
      <c r="H678" s="18">
        <f>IF(OR(F678="",G678=""),"",ROUND(F678*G678,2))</f>
        <v/>
      </c>
      <c r="I678" s="19">
        <f>IF(ISNUMBER(SEARCH("ستاند",D678)),"أثاث وستاندات","")</f>
        <v/>
      </c>
      <c r="J678" s="20">
        <f>IF(E678="","",IF(I678="","⚠ عبّي الغرض",IF(AND(D678&lt;&gt;"",OR(ISNUMBER(SEARCH("صيانة",D678)),ISNUMBER(SEARCH("تعزيل",D678)),ISNUMBER(SEARCH("تنظيف",D678)),ISNUMBER(SEARCH("تصليح",D678)))),"⚠ الصيانة بلا ورشة",IF(H678="","⚠ ناقص",IF(D678&lt;&gt;"",IF(SUMIF($D$7:$D$806,D678,$H$7:$H$806)&gt;=20,"أصل","مصروف"),IFERROR(IF(VLOOKUP(I678,'القوائم'!$A$2:$D$14,4,0)="زكاة وصدقة","زكاة وصدقة",IF(AND(VLOOKUP(I678,'القوائم'!$A$2:$D$14,3,0)&lt;&gt;"",H678&gt;=20),"أصل","مصروف")),"مصروف"))))))</f>
        <v/>
      </c>
      <c r="K678" s="21" t="n"/>
      <c r="L678" s="22" t="n"/>
      <c r="N678">
        <f>IF(B678="","",MONTH(B678))</f>
        <v/>
      </c>
      <c r="O678">
        <f>IF(B678="","",YEAR(B678))</f>
        <v/>
      </c>
      <c r="P678">
        <f>IF(AND(D678&lt;&gt;"",COUNTIF(D$7:D678,D678)=1),MAX(P$6:P677)+1,"")</f>
        <v/>
      </c>
      <c r="Q678">
        <f>IF(E678="","",IF(I678="أجور عمال","أجرة","مادة"))</f>
        <v/>
      </c>
    </row>
    <row r="679">
      <c r="A679" s="12">
        <f>IF(E679="","",ROW()-6)</f>
        <v/>
      </c>
      <c r="B679" s="13" t="n"/>
      <c r="C679" s="12">
        <f>IF(B679="","",CHOOSE(WEEKDAY(B679,1),"الأحد","الاثنين","الثلاثاء","الأربعاء","الخميس","الجمعة","السبت"))</f>
        <v/>
      </c>
      <c r="D679" s="14" t="n"/>
      <c r="E679" s="15" t="n"/>
      <c r="F679" s="16" t="n"/>
      <c r="G679" s="17" t="n"/>
      <c r="H679" s="18">
        <f>IF(OR(F679="",G679=""),"",ROUND(F679*G679,2))</f>
        <v/>
      </c>
      <c r="I679" s="19">
        <f>IF(ISNUMBER(SEARCH("ستاند",D679)),"أثاث وستاندات","")</f>
        <v/>
      </c>
      <c r="J679" s="20">
        <f>IF(E679="","",IF(I679="","⚠ عبّي الغرض",IF(AND(D679&lt;&gt;"",OR(ISNUMBER(SEARCH("صيانة",D679)),ISNUMBER(SEARCH("تعزيل",D679)),ISNUMBER(SEARCH("تنظيف",D679)),ISNUMBER(SEARCH("تصليح",D679)))),"⚠ الصيانة بلا ورشة",IF(H679="","⚠ ناقص",IF(D679&lt;&gt;"",IF(SUMIF($D$7:$D$806,D679,$H$7:$H$806)&gt;=20,"أصل","مصروف"),IFERROR(IF(VLOOKUP(I679,'القوائم'!$A$2:$D$14,4,0)="زكاة وصدقة","زكاة وصدقة",IF(AND(VLOOKUP(I679,'القوائم'!$A$2:$D$14,3,0)&lt;&gt;"",H679&gt;=20),"أصل","مصروف")),"مصروف"))))))</f>
        <v/>
      </c>
      <c r="K679" s="21" t="n"/>
      <c r="L679" s="22" t="n"/>
      <c r="N679">
        <f>IF(B679="","",MONTH(B679))</f>
        <v/>
      </c>
      <c r="O679">
        <f>IF(B679="","",YEAR(B679))</f>
        <v/>
      </c>
      <c r="P679">
        <f>IF(AND(D679&lt;&gt;"",COUNTIF(D$7:D679,D679)=1),MAX(P$6:P678)+1,"")</f>
        <v/>
      </c>
      <c r="Q679">
        <f>IF(E679="","",IF(I679="أجور عمال","أجرة","مادة"))</f>
        <v/>
      </c>
    </row>
    <row r="680">
      <c r="A680" s="12">
        <f>IF(E680="","",ROW()-6)</f>
        <v/>
      </c>
      <c r="B680" s="13" t="n"/>
      <c r="C680" s="12">
        <f>IF(B680="","",CHOOSE(WEEKDAY(B680,1),"الأحد","الاثنين","الثلاثاء","الأربعاء","الخميس","الجمعة","السبت"))</f>
        <v/>
      </c>
      <c r="D680" s="14" t="n"/>
      <c r="E680" s="15" t="n"/>
      <c r="F680" s="16" t="n"/>
      <c r="G680" s="17" t="n"/>
      <c r="H680" s="18">
        <f>IF(OR(F680="",G680=""),"",ROUND(F680*G680,2))</f>
        <v/>
      </c>
      <c r="I680" s="19">
        <f>IF(ISNUMBER(SEARCH("ستاند",D680)),"أثاث وستاندات","")</f>
        <v/>
      </c>
      <c r="J680" s="20">
        <f>IF(E680="","",IF(I680="","⚠ عبّي الغرض",IF(AND(D680&lt;&gt;"",OR(ISNUMBER(SEARCH("صيانة",D680)),ISNUMBER(SEARCH("تعزيل",D680)),ISNUMBER(SEARCH("تنظيف",D680)),ISNUMBER(SEARCH("تصليح",D680)))),"⚠ الصيانة بلا ورشة",IF(H680="","⚠ ناقص",IF(D680&lt;&gt;"",IF(SUMIF($D$7:$D$806,D680,$H$7:$H$806)&gt;=20,"أصل","مصروف"),IFERROR(IF(VLOOKUP(I680,'القوائم'!$A$2:$D$14,4,0)="زكاة وصدقة","زكاة وصدقة",IF(AND(VLOOKUP(I680,'القوائم'!$A$2:$D$14,3,0)&lt;&gt;"",H680&gt;=20),"أصل","مصروف")),"مصروف"))))))</f>
        <v/>
      </c>
      <c r="K680" s="21" t="n"/>
      <c r="L680" s="22" t="n"/>
      <c r="N680">
        <f>IF(B680="","",MONTH(B680))</f>
        <v/>
      </c>
      <c r="O680">
        <f>IF(B680="","",YEAR(B680))</f>
        <v/>
      </c>
      <c r="P680">
        <f>IF(AND(D680&lt;&gt;"",COUNTIF(D$7:D680,D680)=1),MAX(P$6:P679)+1,"")</f>
        <v/>
      </c>
      <c r="Q680">
        <f>IF(E680="","",IF(I680="أجور عمال","أجرة","مادة"))</f>
        <v/>
      </c>
    </row>
    <row r="681">
      <c r="A681" s="12">
        <f>IF(E681="","",ROW()-6)</f>
        <v/>
      </c>
      <c r="B681" s="13" t="n"/>
      <c r="C681" s="12">
        <f>IF(B681="","",CHOOSE(WEEKDAY(B681,1),"الأحد","الاثنين","الثلاثاء","الأربعاء","الخميس","الجمعة","السبت"))</f>
        <v/>
      </c>
      <c r="D681" s="14" t="n"/>
      <c r="E681" s="15" t="n"/>
      <c r="F681" s="16" t="n"/>
      <c r="G681" s="17" t="n"/>
      <c r="H681" s="18">
        <f>IF(OR(F681="",G681=""),"",ROUND(F681*G681,2))</f>
        <v/>
      </c>
      <c r="I681" s="19">
        <f>IF(ISNUMBER(SEARCH("ستاند",D681)),"أثاث وستاندات","")</f>
        <v/>
      </c>
      <c r="J681" s="20">
        <f>IF(E681="","",IF(I681="","⚠ عبّي الغرض",IF(AND(D681&lt;&gt;"",OR(ISNUMBER(SEARCH("صيانة",D681)),ISNUMBER(SEARCH("تعزيل",D681)),ISNUMBER(SEARCH("تنظيف",D681)),ISNUMBER(SEARCH("تصليح",D681)))),"⚠ الصيانة بلا ورشة",IF(H681="","⚠ ناقص",IF(D681&lt;&gt;"",IF(SUMIF($D$7:$D$806,D681,$H$7:$H$806)&gt;=20,"أصل","مصروف"),IFERROR(IF(VLOOKUP(I681,'القوائم'!$A$2:$D$14,4,0)="زكاة وصدقة","زكاة وصدقة",IF(AND(VLOOKUP(I681,'القوائم'!$A$2:$D$14,3,0)&lt;&gt;"",H681&gt;=20),"أصل","مصروف")),"مصروف"))))))</f>
        <v/>
      </c>
      <c r="K681" s="21" t="n"/>
      <c r="L681" s="22" t="n"/>
      <c r="N681">
        <f>IF(B681="","",MONTH(B681))</f>
        <v/>
      </c>
      <c r="O681">
        <f>IF(B681="","",YEAR(B681))</f>
        <v/>
      </c>
      <c r="P681">
        <f>IF(AND(D681&lt;&gt;"",COUNTIF(D$7:D681,D681)=1),MAX(P$6:P680)+1,"")</f>
        <v/>
      </c>
      <c r="Q681">
        <f>IF(E681="","",IF(I681="أجور عمال","أجرة","مادة"))</f>
        <v/>
      </c>
    </row>
    <row r="682">
      <c r="A682" s="12">
        <f>IF(E682="","",ROW()-6)</f>
        <v/>
      </c>
      <c r="B682" s="13" t="n"/>
      <c r="C682" s="12">
        <f>IF(B682="","",CHOOSE(WEEKDAY(B682,1),"الأحد","الاثنين","الثلاثاء","الأربعاء","الخميس","الجمعة","السبت"))</f>
        <v/>
      </c>
      <c r="D682" s="14" t="n"/>
      <c r="E682" s="15" t="n"/>
      <c r="F682" s="16" t="n"/>
      <c r="G682" s="17" t="n"/>
      <c r="H682" s="18">
        <f>IF(OR(F682="",G682=""),"",ROUND(F682*G682,2))</f>
        <v/>
      </c>
      <c r="I682" s="19">
        <f>IF(ISNUMBER(SEARCH("ستاند",D682)),"أثاث وستاندات","")</f>
        <v/>
      </c>
      <c r="J682" s="20">
        <f>IF(E682="","",IF(I682="","⚠ عبّي الغرض",IF(AND(D682&lt;&gt;"",OR(ISNUMBER(SEARCH("صيانة",D682)),ISNUMBER(SEARCH("تعزيل",D682)),ISNUMBER(SEARCH("تنظيف",D682)),ISNUMBER(SEARCH("تصليح",D682)))),"⚠ الصيانة بلا ورشة",IF(H682="","⚠ ناقص",IF(D682&lt;&gt;"",IF(SUMIF($D$7:$D$806,D682,$H$7:$H$806)&gt;=20,"أصل","مصروف"),IFERROR(IF(VLOOKUP(I682,'القوائم'!$A$2:$D$14,4,0)="زكاة وصدقة","زكاة وصدقة",IF(AND(VLOOKUP(I682,'القوائم'!$A$2:$D$14,3,0)&lt;&gt;"",H682&gt;=20),"أصل","مصروف")),"مصروف"))))))</f>
        <v/>
      </c>
      <c r="K682" s="21" t="n"/>
      <c r="L682" s="22" t="n"/>
      <c r="N682">
        <f>IF(B682="","",MONTH(B682))</f>
        <v/>
      </c>
      <c r="O682">
        <f>IF(B682="","",YEAR(B682))</f>
        <v/>
      </c>
      <c r="P682">
        <f>IF(AND(D682&lt;&gt;"",COUNTIF(D$7:D682,D682)=1),MAX(P$6:P681)+1,"")</f>
        <v/>
      </c>
      <c r="Q682">
        <f>IF(E682="","",IF(I682="أجور عمال","أجرة","مادة"))</f>
        <v/>
      </c>
    </row>
    <row r="683">
      <c r="A683" s="12">
        <f>IF(E683="","",ROW()-6)</f>
        <v/>
      </c>
      <c r="B683" s="13" t="n"/>
      <c r="C683" s="12">
        <f>IF(B683="","",CHOOSE(WEEKDAY(B683,1),"الأحد","الاثنين","الثلاثاء","الأربعاء","الخميس","الجمعة","السبت"))</f>
        <v/>
      </c>
      <c r="D683" s="14" t="n"/>
      <c r="E683" s="15" t="n"/>
      <c r="F683" s="16" t="n"/>
      <c r="G683" s="17" t="n"/>
      <c r="H683" s="18">
        <f>IF(OR(F683="",G683=""),"",ROUND(F683*G683,2))</f>
        <v/>
      </c>
      <c r="I683" s="19">
        <f>IF(ISNUMBER(SEARCH("ستاند",D683)),"أثاث وستاندات","")</f>
        <v/>
      </c>
      <c r="J683" s="20">
        <f>IF(E683="","",IF(I683="","⚠ عبّي الغرض",IF(AND(D683&lt;&gt;"",OR(ISNUMBER(SEARCH("صيانة",D683)),ISNUMBER(SEARCH("تعزيل",D683)),ISNUMBER(SEARCH("تنظيف",D683)),ISNUMBER(SEARCH("تصليح",D683)))),"⚠ الصيانة بلا ورشة",IF(H683="","⚠ ناقص",IF(D683&lt;&gt;"",IF(SUMIF($D$7:$D$806,D683,$H$7:$H$806)&gt;=20,"أصل","مصروف"),IFERROR(IF(VLOOKUP(I683,'القوائم'!$A$2:$D$14,4,0)="زكاة وصدقة","زكاة وصدقة",IF(AND(VLOOKUP(I683,'القوائم'!$A$2:$D$14,3,0)&lt;&gt;"",H683&gt;=20),"أصل","مصروف")),"مصروف"))))))</f>
        <v/>
      </c>
      <c r="K683" s="21" t="n"/>
      <c r="L683" s="22" t="n"/>
      <c r="N683">
        <f>IF(B683="","",MONTH(B683))</f>
        <v/>
      </c>
      <c r="O683">
        <f>IF(B683="","",YEAR(B683))</f>
        <v/>
      </c>
      <c r="P683">
        <f>IF(AND(D683&lt;&gt;"",COUNTIF(D$7:D683,D683)=1),MAX(P$6:P682)+1,"")</f>
        <v/>
      </c>
      <c r="Q683">
        <f>IF(E683="","",IF(I683="أجور عمال","أجرة","مادة"))</f>
        <v/>
      </c>
    </row>
    <row r="684">
      <c r="A684" s="12">
        <f>IF(E684="","",ROW()-6)</f>
        <v/>
      </c>
      <c r="B684" s="13" t="n"/>
      <c r="C684" s="12">
        <f>IF(B684="","",CHOOSE(WEEKDAY(B684,1),"الأحد","الاثنين","الثلاثاء","الأربعاء","الخميس","الجمعة","السبت"))</f>
        <v/>
      </c>
      <c r="D684" s="14" t="n"/>
      <c r="E684" s="15" t="n"/>
      <c r="F684" s="16" t="n"/>
      <c r="G684" s="17" t="n"/>
      <c r="H684" s="18">
        <f>IF(OR(F684="",G684=""),"",ROUND(F684*G684,2))</f>
        <v/>
      </c>
      <c r="I684" s="19">
        <f>IF(ISNUMBER(SEARCH("ستاند",D684)),"أثاث وستاندات","")</f>
        <v/>
      </c>
      <c r="J684" s="20">
        <f>IF(E684="","",IF(I684="","⚠ عبّي الغرض",IF(AND(D684&lt;&gt;"",OR(ISNUMBER(SEARCH("صيانة",D684)),ISNUMBER(SEARCH("تعزيل",D684)),ISNUMBER(SEARCH("تنظيف",D684)),ISNUMBER(SEARCH("تصليح",D684)))),"⚠ الصيانة بلا ورشة",IF(H684="","⚠ ناقص",IF(D684&lt;&gt;"",IF(SUMIF($D$7:$D$806,D684,$H$7:$H$806)&gt;=20,"أصل","مصروف"),IFERROR(IF(VLOOKUP(I684,'القوائم'!$A$2:$D$14,4,0)="زكاة وصدقة","زكاة وصدقة",IF(AND(VLOOKUP(I684,'القوائم'!$A$2:$D$14,3,0)&lt;&gt;"",H684&gt;=20),"أصل","مصروف")),"مصروف"))))))</f>
        <v/>
      </c>
      <c r="K684" s="21" t="n"/>
      <c r="L684" s="22" t="n"/>
      <c r="N684">
        <f>IF(B684="","",MONTH(B684))</f>
        <v/>
      </c>
      <c r="O684">
        <f>IF(B684="","",YEAR(B684))</f>
        <v/>
      </c>
      <c r="P684">
        <f>IF(AND(D684&lt;&gt;"",COUNTIF(D$7:D684,D684)=1),MAX(P$6:P683)+1,"")</f>
        <v/>
      </c>
      <c r="Q684">
        <f>IF(E684="","",IF(I684="أجور عمال","أجرة","مادة"))</f>
        <v/>
      </c>
    </row>
    <row r="685">
      <c r="A685" s="12">
        <f>IF(E685="","",ROW()-6)</f>
        <v/>
      </c>
      <c r="B685" s="13" t="n"/>
      <c r="C685" s="12">
        <f>IF(B685="","",CHOOSE(WEEKDAY(B685,1),"الأحد","الاثنين","الثلاثاء","الأربعاء","الخميس","الجمعة","السبت"))</f>
        <v/>
      </c>
      <c r="D685" s="14" t="n"/>
      <c r="E685" s="15" t="n"/>
      <c r="F685" s="16" t="n"/>
      <c r="G685" s="17" t="n"/>
      <c r="H685" s="18">
        <f>IF(OR(F685="",G685=""),"",ROUND(F685*G685,2))</f>
        <v/>
      </c>
      <c r="I685" s="19">
        <f>IF(ISNUMBER(SEARCH("ستاند",D685)),"أثاث وستاندات","")</f>
        <v/>
      </c>
      <c r="J685" s="20">
        <f>IF(E685="","",IF(I685="","⚠ عبّي الغرض",IF(AND(D685&lt;&gt;"",OR(ISNUMBER(SEARCH("صيانة",D685)),ISNUMBER(SEARCH("تعزيل",D685)),ISNUMBER(SEARCH("تنظيف",D685)),ISNUMBER(SEARCH("تصليح",D685)))),"⚠ الصيانة بلا ورشة",IF(H685="","⚠ ناقص",IF(D685&lt;&gt;"",IF(SUMIF($D$7:$D$806,D685,$H$7:$H$806)&gt;=20,"أصل","مصروف"),IFERROR(IF(VLOOKUP(I685,'القوائم'!$A$2:$D$14,4,0)="زكاة وصدقة","زكاة وصدقة",IF(AND(VLOOKUP(I685,'القوائم'!$A$2:$D$14,3,0)&lt;&gt;"",H685&gt;=20),"أصل","مصروف")),"مصروف"))))))</f>
        <v/>
      </c>
      <c r="K685" s="21" t="n"/>
      <c r="L685" s="22" t="n"/>
      <c r="N685">
        <f>IF(B685="","",MONTH(B685))</f>
        <v/>
      </c>
      <c r="O685">
        <f>IF(B685="","",YEAR(B685))</f>
        <v/>
      </c>
      <c r="P685">
        <f>IF(AND(D685&lt;&gt;"",COUNTIF(D$7:D685,D685)=1),MAX(P$6:P684)+1,"")</f>
        <v/>
      </c>
      <c r="Q685">
        <f>IF(E685="","",IF(I685="أجور عمال","أجرة","مادة"))</f>
        <v/>
      </c>
    </row>
    <row r="686">
      <c r="A686" s="12">
        <f>IF(E686="","",ROW()-6)</f>
        <v/>
      </c>
      <c r="B686" s="13" t="n"/>
      <c r="C686" s="12">
        <f>IF(B686="","",CHOOSE(WEEKDAY(B686,1),"الأحد","الاثنين","الثلاثاء","الأربعاء","الخميس","الجمعة","السبت"))</f>
        <v/>
      </c>
      <c r="D686" s="14" t="n"/>
      <c r="E686" s="15" t="n"/>
      <c r="F686" s="16" t="n"/>
      <c r="G686" s="17" t="n"/>
      <c r="H686" s="18">
        <f>IF(OR(F686="",G686=""),"",ROUND(F686*G686,2))</f>
        <v/>
      </c>
      <c r="I686" s="19">
        <f>IF(ISNUMBER(SEARCH("ستاند",D686)),"أثاث وستاندات","")</f>
        <v/>
      </c>
      <c r="J686" s="20">
        <f>IF(E686="","",IF(I686="","⚠ عبّي الغرض",IF(AND(D686&lt;&gt;"",OR(ISNUMBER(SEARCH("صيانة",D686)),ISNUMBER(SEARCH("تعزيل",D686)),ISNUMBER(SEARCH("تنظيف",D686)),ISNUMBER(SEARCH("تصليح",D686)))),"⚠ الصيانة بلا ورشة",IF(H686="","⚠ ناقص",IF(D686&lt;&gt;"",IF(SUMIF($D$7:$D$806,D686,$H$7:$H$806)&gt;=20,"أصل","مصروف"),IFERROR(IF(VLOOKUP(I686,'القوائم'!$A$2:$D$14,4,0)="زكاة وصدقة","زكاة وصدقة",IF(AND(VLOOKUP(I686,'القوائم'!$A$2:$D$14,3,0)&lt;&gt;"",H686&gt;=20),"أصل","مصروف")),"مصروف"))))))</f>
        <v/>
      </c>
      <c r="K686" s="21" t="n"/>
      <c r="L686" s="22" t="n"/>
      <c r="N686">
        <f>IF(B686="","",MONTH(B686))</f>
        <v/>
      </c>
      <c r="O686">
        <f>IF(B686="","",YEAR(B686))</f>
        <v/>
      </c>
      <c r="P686">
        <f>IF(AND(D686&lt;&gt;"",COUNTIF(D$7:D686,D686)=1),MAX(P$6:P685)+1,"")</f>
        <v/>
      </c>
      <c r="Q686">
        <f>IF(E686="","",IF(I686="أجور عمال","أجرة","مادة"))</f>
        <v/>
      </c>
    </row>
    <row r="687">
      <c r="A687" s="12">
        <f>IF(E687="","",ROW()-6)</f>
        <v/>
      </c>
      <c r="B687" s="13" t="n"/>
      <c r="C687" s="12">
        <f>IF(B687="","",CHOOSE(WEEKDAY(B687,1),"الأحد","الاثنين","الثلاثاء","الأربعاء","الخميس","الجمعة","السبت"))</f>
        <v/>
      </c>
      <c r="D687" s="14" t="n"/>
      <c r="E687" s="15" t="n"/>
      <c r="F687" s="16" t="n"/>
      <c r="G687" s="17" t="n"/>
      <c r="H687" s="18">
        <f>IF(OR(F687="",G687=""),"",ROUND(F687*G687,2))</f>
        <v/>
      </c>
      <c r="I687" s="19">
        <f>IF(ISNUMBER(SEARCH("ستاند",D687)),"أثاث وستاندات","")</f>
        <v/>
      </c>
      <c r="J687" s="20">
        <f>IF(E687="","",IF(I687="","⚠ عبّي الغرض",IF(AND(D687&lt;&gt;"",OR(ISNUMBER(SEARCH("صيانة",D687)),ISNUMBER(SEARCH("تعزيل",D687)),ISNUMBER(SEARCH("تنظيف",D687)),ISNUMBER(SEARCH("تصليح",D687)))),"⚠ الصيانة بلا ورشة",IF(H687="","⚠ ناقص",IF(D687&lt;&gt;"",IF(SUMIF($D$7:$D$806,D687,$H$7:$H$806)&gt;=20,"أصل","مصروف"),IFERROR(IF(VLOOKUP(I687,'القوائم'!$A$2:$D$14,4,0)="زكاة وصدقة","زكاة وصدقة",IF(AND(VLOOKUP(I687,'القوائم'!$A$2:$D$14,3,0)&lt;&gt;"",H687&gt;=20),"أصل","مصروف")),"مصروف"))))))</f>
        <v/>
      </c>
      <c r="K687" s="21" t="n"/>
      <c r="L687" s="22" t="n"/>
      <c r="N687">
        <f>IF(B687="","",MONTH(B687))</f>
        <v/>
      </c>
      <c r="O687">
        <f>IF(B687="","",YEAR(B687))</f>
        <v/>
      </c>
      <c r="P687">
        <f>IF(AND(D687&lt;&gt;"",COUNTIF(D$7:D687,D687)=1),MAX(P$6:P686)+1,"")</f>
        <v/>
      </c>
      <c r="Q687">
        <f>IF(E687="","",IF(I687="أجور عمال","أجرة","مادة"))</f>
        <v/>
      </c>
    </row>
    <row r="688">
      <c r="A688" s="12">
        <f>IF(E688="","",ROW()-6)</f>
        <v/>
      </c>
      <c r="B688" s="13" t="n"/>
      <c r="C688" s="12">
        <f>IF(B688="","",CHOOSE(WEEKDAY(B688,1),"الأحد","الاثنين","الثلاثاء","الأربعاء","الخميس","الجمعة","السبت"))</f>
        <v/>
      </c>
      <c r="D688" s="14" t="n"/>
      <c r="E688" s="15" t="n"/>
      <c r="F688" s="16" t="n"/>
      <c r="G688" s="17" t="n"/>
      <c r="H688" s="18">
        <f>IF(OR(F688="",G688=""),"",ROUND(F688*G688,2))</f>
        <v/>
      </c>
      <c r="I688" s="19">
        <f>IF(ISNUMBER(SEARCH("ستاند",D688)),"أثاث وستاندات","")</f>
        <v/>
      </c>
      <c r="J688" s="20">
        <f>IF(E688="","",IF(I688="","⚠ عبّي الغرض",IF(AND(D688&lt;&gt;"",OR(ISNUMBER(SEARCH("صيانة",D688)),ISNUMBER(SEARCH("تعزيل",D688)),ISNUMBER(SEARCH("تنظيف",D688)),ISNUMBER(SEARCH("تصليح",D688)))),"⚠ الصيانة بلا ورشة",IF(H688="","⚠ ناقص",IF(D688&lt;&gt;"",IF(SUMIF($D$7:$D$806,D688,$H$7:$H$806)&gt;=20,"أصل","مصروف"),IFERROR(IF(VLOOKUP(I688,'القوائم'!$A$2:$D$14,4,0)="زكاة وصدقة","زكاة وصدقة",IF(AND(VLOOKUP(I688,'القوائم'!$A$2:$D$14,3,0)&lt;&gt;"",H688&gt;=20),"أصل","مصروف")),"مصروف"))))))</f>
        <v/>
      </c>
      <c r="K688" s="21" t="n"/>
      <c r="L688" s="22" t="n"/>
      <c r="N688">
        <f>IF(B688="","",MONTH(B688))</f>
        <v/>
      </c>
      <c r="O688">
        <f>IF(B688="","",YEAR(B688))</f>
        <v/>
      </c>
      <c r="P688">
        <f>IF(AND(D688&lt;&gt;"",COUNTIF(D$7:D688,D688)=1),MAX(P$6:P687)+1,"")</f>
        <v/>
      </c>
      <c r="Q688">
        <f>IF(E688="","",IF(I688="أجور عمال","أجرة","مادة"))</f>
        <v/>
      </c>
    </row>
    <row r="689">
      <c r="A689" s="12">
        <f>IF(E689="","",ROW()-6)</f>
        <v/>
      </c>
      <c r="B689" s="13" t="n"/>
      <c r="C689" s="12">
        <f>IF(B689="","",CHOOSE(WEEKDAY(B689,1),"الأحد","الاثنين","الثلاثاء","الأربعاء","الخميس","الجمعة","السبت"))</f>
        <v/>
      </c>
      <c r="D689" s="14" t="n"/>
      <c r="E689" s="15" t="n"/>
      <c r="F689" s="16" t="n"/>
      <c r="G689" s="17" t="n"/>
      <c r="H689" s="18">
        <f>IF(OR(F689="",G689=""),"",ROUND(F689*G689,2))</f>
        <v/>
      </c>
      <c r="I689" s="19">
        <f>IF(ISNUMBER(SEARCH("ستاند",D689)),"أثاث وستاندات","")</f>
        <v/>
      </c>
      <c r="J689" s="20">
        <f>IF(E689="","",IF(I689="","⚠ عبّي الغرض",IF(AND(D689&lt;&gt;"",OR(ISNUMBER(SEARCH("صيانة",D689)),ISNUMBER(SEARCH("تعزيل",D689)),ISNUMBER(SEARCH("تنظيف",D689)),ISNUMBER(SEARCH("تصليح",D689)))),"⚠ الصيانة بلا ورشة",IF(H689="","⚠ ناقص",IF(D689&lt;&gt;"",IF(SUMIF($D$7:$D$806,D689,$H$7:$H$806)&gt;=20,"أصل","مصروف"),IFERROR(IF(VLOOKUP(I689,'القوائم'!$A$2:$D$14,4,0)="زكاة وصدقة","زكاة وصدقة",IF(AND(VLOOKUP(I689,'القوائم'!$A$2:$D$14,3,0)&lt;&gt;"",H689&gt;=20),"أصل","مصروف")),"مصروف"))))))</f>
        <v/>
      </c>
      <c r="K689" s="21" t="n"/>
      <c r="L689" s="22" t="n"/>
      <c r="N689">
        <f>IF(B689="","",MONTH(B689))</f>
        <v/>
      </c>
      <c r="O689">
        <f>IF(B689="","",YEAR(B689))</f>
        <v/>
      </c>
      <c r="P689">
        <f>IF(AND(D689&lt;&gt;"",COUNTIF(D$7:D689,D689)=1),MAX(P$6:P688)+1,"")</f>
        <v/>
      </c>
      <c r="Q689">
        <f>IF(E689="","",IF(I689="أجور عمال","أجرة","مادة"))</f>
        <v/>
      </c>
    </row>
    <row r="690">
      <c r="A690" s="12">
        <f>IF(E690="","",ROW()-6)</f>
        <v/>
      </c>
      <c r="B690" s="13" t="n"/>
      <c r="C690" s="12">
        <f>IF(B690="","",CHOOSE(WEEKDAY(B690,1),"الأحد","الاثنين","الثلاثاء","الأربعاء","الخميس","الجمعة","السبت"))</f>
        <v/>
      </c>
      <c r="D690" s="14" t="n"/>
      <c r="E690" s="15" t="n"/>
      <c r="F690" s="16" t="n"/>
      <c r="G690" s="17" t="n"/>
      <c r="H690" s="18">
        <f>IF(OR(F690="",G690=""),"",ROUND(F690*G690,2))</f>
        <v/>
      </c>
      <c r="I690" s="19">
        <f>IF(ISNUMBER(SEARCH("ستاند",D690)),"أثاث وستاندات","")</f>
        <v/>
      </c>
      <c r="J690" s="20">
        <f>IF(E690="","",IF(I690="","⚠ عبّي الغرض",IF(AND(D690&lt;&gt;"",OR(ISNUMBER(SEARCH("صيانة",D690)),ISNUMBER(SEARCH("تعزيل",D690)),ISNUMBER(SEARCH("تنظيف",D690)),ISNUMBER(SEARCH("تصليح",D690)))),"⚠ الصيانة بلا ورشة",IF(H690="","⚠ ناقص",IF(D690&lt;&gt;"",IF(SUMIF($D$7:$D$806,D690,$H$7:$H$806)&gt;=20,"أصل","مصروف"),IFERROR(IF(VLOOKUP(I690,'القوائم'!$A$2:$D$14,4,0)="زكاة وصدقة","زكاة وصدقة",IF(AND(VLOOKUP(I690,'القوائم'!$A$2:$D$14,3,0)&lt;&gt;"",H690&gt;=20),"أصل","مصروف")),"مصروف"))))))</f>
        <v/>
      </c>
      <c r="K690" s="21" t="n"/>
      <c r="L690" s="22" t="n"/>
      <c r="N690">
        <f>IF(B690="","",MONTH(B690))</f>
        <v/>
      </c>
      <c r="O690">
        <f>IF(B690="","",YEAR(B690))</f>
        <v/>
      </c>
      <c r="P690">
        <f>IF(AND(D690&lt;&gt;"",COUNTIF(D$7:D690,D690)=1),MAX(P$6:P689)+1,"")</f>
        <v/>
      </c>
      <c r="Q690">
        <f>IF(E690="","",IF(I690="أجور عمال","أجرة","مادة"))</f>
        <v/>
      </c>
    </row>
    <row r="691">
      <c r="A691" s="12">
        <f>IF(E691="","",ROW()-6)</f>
        <v/>
      </c>
      <c r="B691" s="13" t="n"/>
      <c r="C691" s="12">
        <f>IF(B691="","",CHOOSE(WEEKDAY(B691,1),"الأحد","الاثنين","الثلاثاء","الأربعاء","الخميس","الجمعة","السبت"))</f>
        <v/>
      </c>
      <c r="D691" s="14" t="n"/>
      <c r="E691" s="15" t="n"/>
      <c r="F691" s="16" t="n"/>
      <c r="G691" s="17" t="n"/>
      <c r="H691" s="18">
        <f>IF(OR(F691="",G691=""),"",ROUND(F691*G691,2))</f>
        <v/>
      </c>
      <c r="I691" s="19">
        <f>IF(ISNUMBER(SEARCH("ستاند",D691)),"أثاث وستاندات","")</f>
        <v/>
      </c>
      <c r="J691" s="20">
        <f>IF(E691="","",IF(I691="","⚠ عبّي الغرض",IF(AND(D691&lt;&gt;"",OR(ISNUMBER(SEARCH("صيانة",D691)),ISNUMBER(SEARCH("تعزيل",D691)),ISNUMBER(SEARCH("تنظيف",D691)),ISNUMBER(SEARCH("تصليح",D691)))),"⚠ الصيانة بلا ورشة",IF(H691="","⚠ ناقص",IF(D691&lt;&gt;"",IF(SUMIF($D$7:$D$806,D691,$H$7:$H$806)&gt;=20,"أصل","مصروف"),IFERROR(IF(VLOOKUP(I691,'القوائم'!$A$2:$D$14,4,0)="زكاة وصدقة","زكاة وصدقة",IF(AND(VLOOKUP(I691,'القوائم'!$A$2:$D$14,3,0)&lt;&gt;"",H691&gt;=20),"أصل","مصروف")),"مصروف"))))))</f>
        <v/>
      </c>
      <c r="K691" s="21" t="n"/>
      <c r="L691" s="22" t="n"/>
      <c r="N691">
        <f>IF(B691="","",MONTH(B691))</f>
        <v/>
      </c>
      <c r="O691">
        <f>IF(B691="","",YEAR(B691))</f>
        <v/>
      </c>
      <c r="P691">
        <f>IF(AND(D691&lt;&gt;"",COUNTIF(D$7:D691,D691)=1),MAX(P$6:P690)+1,"")</f>
        <v/>
      </c>
      <c r="Q691">
        <f>IF(E691="","",IF(I691="أجور عمال","أجرة","مادة"))</f>
        <v/>
      </c>
    </row>
    <row r="692">
      <c r="A692" s="12">
        <f>IF(E692="","",ROW()-6)</f>
        <v/>
      </c>
      <c r="B692" s="13" t="n"/>
      <c r="C692" s="12">
        <f>IF(B692="","",CHOOSE(WEEKDAY(B692,1),"الأحد","الاثنين","الثلاثاء","الأربعاء","الخميس","الجمعة","السبت"))</f>
        <v/>
      </c>
      <c r="D692" s="14" t="n"/>
      <c r="E692" s="15" t="n"/>
      <c r="F692" s="16" t="n"/>
      <c r="G692" s="17" t="n"/>
      <c r="H692" s="18">
        <f>IF(OR(F692="",G692=""),"",ROUND(F692*G692,2))</f>
        <v/>
      </c>
      <c r="I692" s="19">
        <f>IF(ISNUMBER(SEARCH("ستاند",D692)),"أثاث وستاندات","")</f>
        <v/>
      </c>
      <c r="J692" s="20">
        <f>IF(E692="","",IF(I692="","⚠ عبّي الغرض",IF(AND(D692&lt;&gt;"",OR(ISNUMBER(SEARCH("صيانة",D692)),ISNUMBER(SEARCH("تعزيل",D692)),ISNUMBER(SEARCH("تنظيف",D692)),ISNUMBER(SEARCH("تصليح",D692)))),"⚠ الصيانة بلا ورشة",IF(H692="","⚠ ناقص",IF(D692&lt;&gt;"",IF(SUMIF($D$7:$D$806,D692,$H$7:$H$806)&gt;=20,"أصل","مصروف"),IFERROR(IF(VLOOKUP(I692,'القوائم'!$A$2:$D$14,4,0)="زكاة وصدقة","زكاة وصدقة",IF(AND(VLOOKUP(I692,'القوائم'!$A$2:$D$14,3,0)&lt;&gt;"",H692&gt;=20),"أصل","مصروف")),"مصروف"))))))</f>
        <v/>
      </c>
      <c r="K692" s="21" t="n"/>
      <c r="L692" s="22" t="n"/>
      <c r="N692">
        <f>IF(B692="","",MONTH(B692))</f>
        <v/>
      </c>
      <c r="O692">
        <f>IF(B692="","",YEAR(B692))</f>
        <v/>
      </c>
      <c r="P692">
        <f>IF(AND(D692&lt;&gt;"",COUNTIF(D$7:D692,D692)=1),MAX(P$6:P691)+1,"")</f>
        <v/>
      </c>
      <c r="Q692">
        <f>IF(E692="","",IF(I692="أجور عمال","أجرة","مادة"))</f>
        <v/>
      </c>
    </row>
    <row r="693">
      <c r="A693" s="12">
        <f>IF(E693="","",ROW()-6)</f>
        <v/>
      </c>
      <c r="B693" s="13" t="n"/>
      <c r="C693" s="12">
        <f>IF(B693="","",CHOOSE(WEEKDAY(B693,1),"الأحد","الاثنين","الثلاثاء","الأربعاء","الخميس","الجمعة","السبت"))</f>
        <v/>
      </c>
      <c r="D693" s="14" t="n"/>
      <c r="E693" s="15" t="n"/>
      <c r="F693" s="16" t="n"/>
      <c r="G693" s="17" t="n"/>
      <c r="H693" s="18">
        <f>IF(OR(F693="",G693=""),"",ROUND(F693*G693,2))</f>
        <v/>
      </c>
      <c r="I693" s="19">
        <f>IF(ISNUMBER(SEARCH("ستاند",D693)),"أثاث وستاندات","")</f>
        <v/>
      </c>
      <c r="J693" s="20">
        <f>IF(E693="","",IF(I693="","⚠ عبّي الغرض",IF(AND(D693&lt;&gt;"",OR(ISNUMBER(SEARCH("صيانة",D693)),ISNUMBER(SEARCH("تعزيل",D693)),ISNUMBER(SEARCH("تنظيف",D693)),ISNUMBER(SEARCH("تصليح",D693)))),"⚠ الصيانة بلا ورشة",IF(H693="","⚠ ناقص",IF(D693&lt;&gt;"",IF(SUMIF($D$7:$D$806,D693,$H$7:$H$806)&gt;=20,"أصل","مصروف"),IFERROR(IF(VLOOKUP(I693,'القوائم'!$A$2:$D$14,4,0)="زكاة وصدقة","زكاة وصدقة",IF(AND(VLOOKUP(I693,'القوائم'!$A$2:$D$14,3,0)&lt;&gt;"",H693&gt;=20),"أصل","مصروف")),"مصروف"))))))</f>
        <v/>
      </c>
      <c r="K693" s="21" t="n"/>
      <c r="L693" s="22" t="n"/>
      <c r="N693">
        <f>IF(B693="","",MONTH(B693))</f>
        <v/>
      </c>
      <c r="O693">
        <f>IF(B693="","",YEAR(B693))</f>
        <v/>
      </c>
      <c r="P693">
        <f>IF(AND(D693&lt;&gt;"",COUNTIF(D$7:D693,D693)=1),MAX(P$6:P692)+1,"")</f>
        <v/>
      </c>
      <c r="Q693">
        <f>IF(E693="","",IF(I693="أجور عمال","أجرة","مادة"))</f>
        <v/>
      </c>
    </row>
    <row r="694">
      <c r="A694" s="12">
        <f>IF(E694="","",ROW()-6)</f>
        <v/>
      </c>
      <c r="B694" s="13" t="n"/>
      <c r="C694" s="12">
        <f>IF(B694="","",CHOOSE(WEEKDAY(B694,1),"الأحد","الاثنين","الثلاثاء","الأربعاء","الخميس","الجمعة","السبت"))</f>
        <v/>
      </c>
      <c r="D694" s="14" t="n"/>
      <c r="E694" s="15" t="n"/>
      <c r="F694" s="16" t="n"/>
      <c r="G694" s="17" t="n"/>
      <c r="H694" s="18">
        <f>IF(OR(F694="",G694=""),"",ROUND(F694*G694,2))</f>
        <v/>
      </c>
      <c r="I694" s="19">
        <f>IF(ISNUMBER(SEARCH("ستاند",D694)),"أثاث وستاندات","")</f>
        <v/>
      </c>
      <c r="J694" s="20">
        <f>IF(E694="","",IF(I694="","⚠ عبّي الغرض",IF(AND(D694&lt;&gt;"",OR(ISNUMBER(SEARCH("صيانة",D694)),ISNUMBER(SEARCH("تعزيل",D694)),ISNUMBER(SEARCH("تنظيف",D694)),ISNUMBER(SEARCH("تصليح",D694)))),"⚠ الصيانة بلا ورشة",IF(H694="","⚠ ناقص",IF(D694&lt;&gt;"",IF(SUMIF($D$7:$D$806,D694,$H$7:$H$806)&gt;=20,"أصل","مصروف"),IFERROR(IF(VLOOKUP(I694,'القوائم'!$A$2:$D$14,4,0)="زكاة وصدقة","زكاة وصدقة",IF(AND(VLOOKUP(I694,'القوائم'!$A$2:$D$14,3,0)&lt;&gt;"",H694&gt;=20),"أصل","مصروف")),"مصروف"))))))</f>
        <v/>
      </c>
      <c r="K694" s="21" t="n"/>
      <c r="L694" s="22" t="n"/>
      <c r="N694">
        <f>IF(B694="","",MONTH(B694))</f>
        <v/>
      </c>
      <c r="O694">
        <f>IF(B694="","",YEAR(B694))</f>
        <v/>
      </c>
      <c r="P694">
        <f>IF(AND(D694&lt;&gt;"",COUNTIF(D$7:D694,D694)=1),MAX(P$6:P693)+1,"")</f>
        <v/>
      </c>
      <c r="Q694">
        <f>IF(E694="","",IF(I694="أجور عمال","أجرة","مادة"))</f>
        <v/>
      </c>
    </row>
    <row r="695">
      <c r="A695" s="12">
        <f>IF(E695="","",ROW()-6)</f>
        <v/>
      </c>
      <c r="B695" s="13" t="n"/>
      <c r="C695" s="12">
        <f>IF(B695="","",CHOOSE(WEEKDAY(B695,1),"الأحد","الاثنين","الثلاثاء","الأربعاء","الخميس","الجمعة","السبت"))</f>
        <v/>
      </c>
      <c r="D695" s="14" t="n"/>
      <c r="E695" s="15" t="n"/>
      <c r="F695" s="16" t="n"/>
      <c r="G695" s="17" t="n"/>
      <c r="H695" s="18">
        <f>IF(OR(F695="",G695=""),"",ROUND(F695*G695,2))</f>
        <v/>
      </c>
      <c r="I695" s="19">
        <f>IF(ISNUMBER(SEARCH("ستاند",D695)),"أثاث وستاندات","")</f>
        <v/>
      </c>
      <c r="J695" s="20">
        <f>IF(E695="","",IF(I695="","⚠ عبّي الغرض",IF(AND(D695&lt;&gt;"",OR(ISNUMBER(SEARCH("صيانة",D695)),ISNUMBER(SEARCH("تعزيل",D695)),ISNUMBER(SEARCH("تنظيف",D695)),ISNUMBER(SEARCH("تصليح",D695)))),"⚠ الصيانة بلا ورشة",IF(H695="","⚠ ناقص",IF(D695&lt;&gt;"",IF(SUMIF($D$7:$D$806,D695,$H$7:$H$806)&gt;=20,"أصل","مصروف"),IFERROR(IF(VLOOKUP(I695,'القوائم'!$A$2:$D$14,4,0)="زكاة وصدقة","زكاة وصدقة",IF(AND(VLOOKUP(I695,'القوائم'!$A$2:$D$14,3,0)&lt;&gt;"",H695&gt;=20),"أصل","مصروف")),"مصروف"))))))</f>
        <v/>
      </c>
      <c r="K695" s="21" t="n"/>
      <c r="L695" s="22" t="n"/>
      <c r="N695">
        <f>IF(B695="","",MONTH(B695))</f>
        <v/>
      </c>
      <c r="O695">
        <f>IF(B695="","",YEAR(B695))</f>
        <v/>
      </c>
      <c r="P695">
        <f>IF(AND(D695&lt;&gt;"",COUNTIF(D$7:D695,D695)=1),MAX(P$6:P694)+1,"")</f>
        <v/>
      </c>
      <c r="Q695">
        <f>IF(E695="","",IF(I695="أجور عمال","أجرة","مادة"))</f>
        <v/>
      </c>
    </row>
    <row r="696">
      <c r="A696" s="12">
        <f>IF(E696="","",ROW()-6)</f>
        <v/>
      </c>
      <c r="B696" s="13" t="n"/>
      <c r="C696" s="12">
        <f>IF(B696="","",CHOOSE(WEEKDAY(B696,1),"الأحد","الاثنين","الثلاثاء","الأربعاء","الخميس","الجمعة","السبت"))</f>
        <v/>
      </c>
      <c r="D696" s="14" t="n"/>
      <c r="E696" s="15" t="n"/>
      <c r="F696" s="16" t="n"/>
      <c r="G696" s="17" t="n"/>
      <c r="H696" s="18">
        <f>IF(OR(F696="",G696=""),"",ROUND(F696*G696,2))</f>
        <v/>
      </c>
      <c r="I696" s="19">
        <f>IF(ISNUMBER(SEARCH("ستاند",D696)),"أثاث وستاندات","")</f>
        <v/>
      </c>
      <c r="J696" s="20">
        <f>IF(E696="","",IF(I696="","⚠ عبّي الغرض",IF(AND(D696&lt;&gt;"",OR(ISNUMBER(SEARCH("صيانة",D696)),ISNUMBER(SEARCH("تعزيل",D696)),ISNUMBER(SEARCH("تنظيف",D696)),ISNUMBER(SEARCH("تصليح",D696)))),"⚠ الصيانة بلا ورشة",IF(H696="","⚠ ناقص",IF(D696&lt;&gt;"",IF(SUMIF($D$7:$D$806,D696,$H$7:$H$806)&gt;=20,"أصل","مصروف"),IFERROR(IF(VLOOKUP(I696,'القوائم'!$A$2:$D$14,4,0)="زكاة وصدقة","زكاة وصدقة",IF(AND(VLOOKUP(I696,'القوائم'!$A$2:$D$14,3,0)&lt;&gt;"",H696&gt;=20),"أصل","مصروف")),"مصروف"))))))</f>
        <v/>
      </c>
      <c r="K696" s="21" t="n"/>
      <c r="L696" s="22" t="n"/>
      <c r="N696">
        <f>IF(B696="","",MONTH(B696))</f>
        <v/>
      </c>
      <c r="O696">
        <f>IF(B696="","",YEAR(B696))</f>
        <v/>
      </c>
      <c r="P696">
        <f>IF(AND(D696&lt;&gt;"",COUNTIF(D$7:D696,D696)=1),MAX(P$6:P695)+1,"")</f>
        <v/>
      </c>
      <c r="Q696">
        <f>IF(E696="","",IF(I696="أجور عمال","أجرة","مادة"))</f>
        <v/>
      </c>
    </row>
    <row r="697">
      <c r="A697" s="12">
        <f>IF(E697="","",ROW()-6)</f>
        <v/>
      </c>
      <c r="B697" s="13" t="n"/>
      <c r="C697" s="12">
        <f>IF(B697="","",CHOOSE(WEEKDAY(B697,1),"الأحد","الاثنين","الثلاثاء","الأربعاء","الخميس","الجمعة","السبت"))</f>
        <v/>
      </c>
      <c r="D697" s="14" t="n"/>
      <c r="E697" s="15" t="n"/>
      <c r="F697" s="16" t="n"/>
      <c r="G697" s="17" t="n"/>
      <c r="H697" s="18">
        <f>IF(OR(F697="",G697=""),"",ROUND(F697*G697,2))</f>
        <v/>
      </c>
      <c r="I697" s="19">
        <f>IF(ISNUMBER(SEARCH("ستاند",D697)),"أثاث وستاندات","")</f>
        <v/>
      </c>
      <c r="J697" s="20">
        <f>IF(E697="","",IF(I697="","⚠ عبّي الغرض",IF(AND(D697&lt;&gt;"",OR(ISNUMBER(SEARCH("صيانة",D697)),ISNUMBER(SEARCH("تعزيل",D697)),ISNUMBER(SEARCH("تنظيف",D697)),ISNUMBER(SEARCH("تصليح",D697)))),"⚠ الصيانة بلا ورشة",IF(H697="","⚠ ناقص",IF(D697&lt;&gt;"",IF(SUMIF($D$7:$D$806,D697,$H$7:$H$806)&gt;=20,"أصل","مصروف"),IFERROR(IF(VLOOKUP(I697,'القوائم'!$A$2:$D$14,4,0)="زكاة وصدقة","زكاة وصدقة",IF(AND(VLOOKUP(I697,'القوائم'!$A$2:$D$14,3,0)&lt;&gt;"",H697&gt;=20),"أصل","مصروف")),"مصروف"))))))</f>
        <v/>
      </c>
      <c r="K697" s="21" t="n"/>
      <c r="L697" s="22" t="n"/>
      <c r="N697">
        <f>IF(B697="","",MONTH(B697))</f>
        <v/>
      </c>
      <c r="O697">
        <f>IF(B697="","",YEAR(B697))</f>
        <v/>
      </c>
      <c r="P697">
        <f>IF(AND(D697&lt;&gt;"",COUNTIF(D$7:D697,D697)=1),MAX(P$6:P696)+1,"")</f>
        <v/>
      </c>
      <c r="Q697">
        <f>IF(E697="","",IF(I697="أجور عمال","أجرة","مادة"))</f>
        <v/>
      </c>
    </row>
    <row r="698">
      <c r="A698" s="12">
        <f>IF(E698="","",ROW()-6)</f>
        <v/>
      </c>
      <c r="B698" s="13" t="n"/>
      <c r="C698" s="12">
        <f>IF(B698="","",CHOOSE(WEEKDAY(B698,1),"الأحد","الاثنين","الثلاثاء","الأربعاء","الخميس","الجمعة","السبت"))</f>
        <v/>
      </c>
      <c r="D698" s="14" t="n"/>
      <c r="E698" s="15" t="n"/>
      <c r="F698" s="16" t="n"/>
      <c r="G698" s="17" t="n"/>
      <c r="H698" s="18">
        <f>IF(OR(F698="",G698=""),"",ROUND(F698*G698,2))</f>
        <v/>
      </c>
      <c r="I698" s="19">
        <f>IF(ISNUMBER(SEARCH("ستاند",D698)),"أثاث وستاندات","")</f>
        <v/>
      </c>
      <c r="J698" s="20">
        <f>IF(E698="","",IF(I698="","⚠ عبّي الغرض",IF(AND(D698&lt;&gt;"",OR(ISNUMBER(SEARCH("صيانة",D698)),ISNUMBER(SEARCH("تعزيل",D698)),ISNUMBER(SEARCH("تنظيف",D698)),ISNUMBER(SEARCH("تصليح",D698)))),"⚠ الصيانة بلا ورشة",IF(H698="","⚠ ناقص",IF(D698&lt;&gt;"",IF(SUMIF($D$7:$D$806,D698,$H$7:$H$806)&gt;=20,"أصل","مصروف"),IFERROR(IF(VLOOKUP(I698,'القوائم'!$A$2:$D$14,4,0)="زكاة وصدقة","زكاة وصدقة",IF(AND(VLOOKUP(I698,'القوائم'!$A$2:$D$14,3,0)&lt;&gt;"",H698&gt;=20),"أصل","مصروف")),"مصروف"))))))</f>
        <v/>
      </c>
      <c r="K698" s="21" t="n"/>
      <c r="L698" s="22" t="n"/>
      <c r="N698">
        <f>IF(B698="","",MONTH(B698))</f>
        <v/>
      </c>
      <c r="O698">
        <f>IF(B698="","",YEAR(B698))</f>
        <v/>
      </c>
      <c r="P698">
        <f>IF(AND(D698&lt;&gt;"",COUNTIF(D$7:D698,D698)=1),MAX(P$6:P697)+1,"")</f>
        <v/>
      </c>
      <c r="Q698">
        <f>IF(E698="","",IF(I698="أجور عمال","أجرة","مادة"))</f>
        <v/>
      </c>
    </row>
    <row r="699">
      <c r="A699" s="12">
        <f>IF(E699="","",ROW()-6)</f>
        <v/>
      </c>
      <c r="B699" s="13" t="n"/>
      <c r="C699" s="12">
        <f>IF(B699="","",CHOOSE(WEEKDAY(B699,1),"الأحد","الاثنين","الثلاثاء","الأربعاء","الخميس","الجمعة","السبت"))</f>
        <v/>
      </c>
      <c r="D699" s="14" t="n"/>
      <c r="E699" s="15" t="n"/>
      <c r="F699" s="16" t="n"/>
      <c r="G699" s="17" t="n"/>
      <c r="H699" s="18">
        <f>IF(OR(F699="",G699=""),"",ROUND(F699*G699,2))</f>
        <v/>
      </c>
      <c r="I699" s="19">
        <f>IF(ISNUMBER(SEARCH("ستاند",D699)),"أثاث وستاندات","")</f>
        <v/>
      </c>
      <c r="J699" s="20">
        <f>IF(E699="","",IF(I699="","⚠ عبّي الغرض",IF(AND(D699&lt;&gt;"",OR(ISNUMBER(SEARCH("صيانة",D699)),ISNUMBER(SEARCH("تعزيل",D699)),ISNUMBER(SEARCH("تنظيف",D699)),ISNUMBER(SEARCH("تصليح",D699)))),"⚠ الصيانة بلا ورشة",IF(H699="","⚠ ناقص",IF(D699&lt;&gt;"",IF(SUMIF($D$7:$D$806,D699,$H$7:$H$806)&gt;=20,"أصل","مصروف"),IFERROR(IF(VLOOKUP(I699,'القوائم'!$A$2:$D$14,4,0)="زكاة وصدقة","زكاة وصدقة",IF(AND(VLOOKUP(I699,'القوائم'!$A$2:$D$14,3,0)&lt;&gt;"",H699&gt;=20),"أصل","مصروف")),"مصروف"))))))</f>
        <v/>
      </c>
      <c r="K699" s="21" t="n"/>
      <c r="L699" s="22" t="n"/>
      <c r="N699">
        <f>IF(B699="","",MONTH(B699))</f>
        <v/>
      </c>
      <c r="O699">
        <f>IF(B699="","",YEAR(B699))</f>
        <v/>
      </c>
      <c r="P699">
        <f>IF(AND(D699&lt;&gt;"",COUNTIF(D$7:D699,D699)=1),MAX(P$6:P698)+1,"")</f>
        <v/>
      </c>
      <c r="Q699">
        <f>IF(E699="","",IF(I699="أجور عمال","أجرة","مادة"))</f>
        <v/>
      </c>
    </row>
    <row r="700">
      <c r="A700" s="12">
        <f>IF(E700="","",ROW()-6)</f>
        <v/>
      </c>
      <c r="B700" s="13" t="n"/>
      <c r="C700" s="12">
        <f>IF(B700="","",CHOOSE(WEEKDAY(B700,1),"الأحد","الاثنين","الثلاثاء","الأربعاء","الخميس","الجمعة","السبت"))</f>
        <v/>
      </c>
      <c r="D700" s="14" t="n"/>
      <c r="E700" s="15" t="n"/>
      <c r="F700" s="16" t="n"/>
      <c r="G700" s="17" t="n"/>
      <c r="H700" s="18">
        <f>IF(OR(F700="",G700=""),"",ROUND(F700*G700,2))</f>
        <v/>
      </c>
      <c r="I700" s="19">
        <f>IF(ISNUMBER(SEARCH("ستاند",D700)),"أثاث وستاندات","")</f>
        <v/>
      </c>
      <c r="J700" s="20">
        <f>IF(E700="","",IF(I700="","⚠ عبّي الغرض",IF(AND(D700&lt;&gt;"",OR(ISNUMBER(SEARCH("صيانة",D700)),ISNUMBER(SEARCH("تعزيل",D700)),ISNUMBER(SEARCH("تنظيف",D700)),ISNUMBER(SEARCH("تصليح",D700)))),"⚠ الصيانة بلا ورشة",IF(H700="","⚠ ناقص",IF(D700&lt;&gt;"",IF(SUMIF($D$7:$D$806,D700,$H$7:$H$806)&gt;=20,"أصل","مصروف"),IFERROR(IF(VLOOKUP(I700,'القوائم'!$A$2:$D$14,4,0)="زكاة وصدقة","زكاة وصدقة",IF(AND(VLOOKUP(I700,'القوائم'!$A$2:$D$14,3,0)&lt;&gt;"",H700&gt;=20),"أصل","مصروف")),"مصروف"))))))</f>
        <v/>
      </c>
      <c r="K700" s="21" t="n"/>
      <c r="L700" s="22" t="n"/>
      <c r="N700">
        <f>IF(B700="","",MONTH(B700))</f>
        <v/>
      </c>
      <c r="O700">
        <f>IF(B700="","",YEAR(B700))</f>
        <v/>
      </c>
      <c r="P700">
        <f>IF(AND(D700&lt;&gt;"",COUNTIF(D$7:D700,D700)=1),MAX(P$6:P699)+1,"")</f>
        <v/>
      </c>
      <c r="Q700">
        <f>IF(E700="","",IF(I700="أجور عمال","أجرة","مادة"))</f>
        <v/>
      </c>
    </row>
    <row r="701">
      <c r="A701" s="12">
        <f>IF(E701="","",ROW()-6)</f>
        <v/>
      </c>
      <c r="B701" s="13" t="n"/>
      <c r="C701" s="12">
        <f>IF(B701="","",CHOOSE(WEEKDAY(B701,1),"الأحد","الاثنين","الثلاثاء","الأربعاء","الخميس","الجمعة","السبت"))</f>
        <v/>
      </c>
      <c r="D701" s="14" t="n"/>
      <c r="E701" s="15" t="n"/>
      <c r="F701" s="16" t="n"/>
      <c r="G701" s="17" t="n"/>
      <c r="H701" s="18">
        <f>IF(OR(F701="",G701=""),"",ROUND(F701*G701,2))</f>
        <v/>
      </c>
      <c r="I701" s="19">
        <f>IF(ISNUMBER(SEARCH("ستاند",D701)),"أثاث وستاندات","")</f>
        <v/>
      </c>
      <c r="J701" s="20">
        <f>IF(E701="","",IF(I701="","⚠ عبّي الغرض",IF(AND(D701&lt;&gt;"",OR(ISNUMBER(SEARCH("صيانة",D701)),ISNUMBER(SEARCH("تعزيل",D701)),ISNUMBER(SEARCH("تنظيف",D701)),ISNUMBER(SEARCH("تصليح",D701)))),"⚠ الصيانة بلا ورشة",IF(H701="","⚠ ناقص",IF(D701&lt;&gt;"",IF(SUMIF($D$7:$D$806,D701,$H$7:$H$806)&gt;=20,"أصل","مصروف"),IFERROR(IF(VLOOKUP(I701,'القوائم'!$A$2:$D$14,4,0)="زكاة وصدقة","زكاة وصدقة",IF(AND(VLOOKUP(I701,'القوائم'!$A$2:$D$14,3,0)&lt;&gt;"",H701&gt;=20),"أصل","مصروف")),"مصروف"))))))</f>
        <v/>
      </c>
      <c r="K701" s="21" t="n"/>
      <c r="L701" s="22" t="n"/>
      <c r="N701">
        <f>IF(B701="","",MONTH(B701))</f>
        <v/>
      </c>
      <c r="O701">
        <f>IF(B701="","",YEAR(B701))</f>
        <v/>
      </c>
      <c r="P701">
        <f>IF(AND(D701&lt;&gt;"",COUNTIF(D$7:D701,D701)=1),MAX(P$6:P700)+1,"")</f>
        <v/>
      </c>
      <c r="Q701">
        <f>IF(E701="","",IF(I701="أجور عمال","أجرة","مادة"))</f>
        <v/>
      </c>
    </row>
    <row r="702">
      <c r="A702" s="12">
        <f>IF(E702="","",ROW()-6)</f>
        <v/>
      </c>
      <c r="B702" s="13" t="n"/>
      <c r="C702" s="12">
        <f>IF(B702="","",CHOOSE(WEEKDAY(B702,1),"الأحد","الاثنين","الثلاثاء","الأربعاء","الخميس","الجمعة","السبت"))</f>
        <v/>
      </c>
      <c r="D702" s="14" t="n"/>
      <c r="E702" s="15" t="n"/>
      <c r="F702" s="16" t="n"/>
      <c r="G702" s="17" t="n"/>
      <c r="H702" s="18">
        <f>IF(OR(F702="",G702=""),"",ROUND(F702*G702,2))</f>
        <v/>
      </c>
      <c r="I702" s="19">
        <f>IF(ISNUMBER(SEARCH("ستاند",D702)),"أثاث وستاندات","")</f>
        <v/>
      </c>
      <c r="J702" s="20">
        <f>IF(E702="","",IF(I702="","⚠ عبّي الغرض",IF(AND(D702&lt;&gt;"",OR(ISNUMBER(SEARCH("صيانة",D702)),ISNUMBER(SEARCH("تعزيل",D702)),ISNUMBER(SEARCH("تنظيف",D702)),ISNUMBER(SEARCH("تصليح",D702)))),"⚠ الصيانة بلا ورشة",IF(H702="","⚠ ناقص",IF(D702&lt;&gt;"",IF(SUMIF($D$7:$D$806,D702,$H$7:$H$806)&gt;=20,"أصل","مصروف"),IFERROR(IF(VLOOKUP(I702,'القوائم'!$A$2:$D$14,4,0)="زكاة وصدقة","زكاة وصدقة",IF(AND(VLOOKUP(I702,'القوائم'!$A$2:$D$14,3,0)&lt;&gt;"",H702&gt;=20),"أصل","مصروف")),"مصروف"))))))</f>
        <v/>
      </c>
      <c r="K702" s="21" t="n"/>
      <c r="L702" s="22" t="n"/>
      <c r="N702">
        <f>IF(B702="","",MONTH(B702))</f>
        <v/>
      </c>
      <c r="O702">
        <f>IF(B702="","",YEAR(B702))</f>
        <v/>
      </c>
      <c r="P702">
        <f>IF(AND(D702&lt;&gt;"",COUNTIF(D$7:D702,D702)=1),MAX(P$6:P701)+1,"")</f>
        <v/>
      </c>
      <c r="Q702">
        <f>IF(E702="","",IF(I702="أجور عمال","أجرة","مادة"))</f>
        <v/>
      </c>
    </row>
    <row r="703">
      <c r="A703" s="12">
        <f>IF(E703="","",ROW()-6)</f>
        <v/>
      </c>
      <c r="B703" s="13" t="n"/>
      <c r="C703" s="12">
        <f>IF(B703="","",CHOOSE(WEEKDAY(B703,1),"الأحد","الاثنين","الثلاثاء","الأربعاء","الخميس","الجمعة","السبت"))</f>
        <v/>
      </c>
      <c r="D703" s="14" t="n"/>
      <c r="E703" s="15" t="n"/>
      <c r="F703" s="16" t="n"/>
      <c r="G703" s="17" t="n"/>
      <c r="H703" s="18">
        <f>IF(OR(F703="",G703=""),"",ROUND(F703*G703,2))</f>
        <v/>
      </c>
      <c r="I703" s="19">
        <f>IF(ISNUMBER(SEARCH("ستاند",D703)),"أثاث وستاندات","")</f>
        <v/>
      </c>
      <c r="J703" s="20">
        <f>IF(E703="","",IF(I703="","⚠ عبّي الغرض",IF(AND(D703&lt;&gt;"",OR(ISNUMBER(SEARCH("صيانة",D703)),ISNUMBER(SEARCH("تعزيل",D703)),ISNUMBER(SEARCH("تنظيف",D703)),ISNUMBER(SEARCH("تصليح",D703)))),"⚠ الصيانة بلا ورشة",IF(H703="","⚠ ناقص",IF(D703&lt;&gt;"",IF(SUMIF($D$7:$D$806,D703,$H$7:$H$806)&gt;=20,"أصل","مصروف"),IFERROR(IF(VLOOKUP(I703,'القوائم'!$A$2:$D$14,4,0)="زكاة وصدقة","زكاة وصدقة",IF(AND(VLOOKUP(I703,'القوائم'!$A$2:$D$14,3,0)&lt;&gt;"",H703&gt;=20),"أصل","مصروف")),"مصروف"))))))</f>
        <v/>
      </c>
      <c r="K703" s="21" t="n"/>
      <c r="L703" s="22" t="n"/>
      <c r="N703">
        <f>IF(B703="","",MONTH(B703))</f>
        <v/>
      </c>
      <c r="O703">
        <f>IF(B703="","",YEAR(B703))</f>
        <v/>
      </c>
      <c r="P703">
        <f>IF(AND(D703&lt;&gt;"",COUNTIF(D$7:D703,D703)=1),MAX(P$6:P702)+1,"")</f>
        <v/>
      </c>
      <c r="Q703">
        <f>IF(E703="","",IF(I703="أجور عمال","أجرة","مادة"))</f>
        <v/>
      </c>
    </row>
    <row r="704">
      <c r="A704" s="12">
        <f>IF(E704="","",ROW()-6)</f>
        <v/>
      </c>
      <c r="B704" s="13" t="n"/>
      <c r="C704" s="12">
        <f>IF(B704="","",CHOOSE(WEEKDAY(B704,1),"الأحد","الاثنين","الثلاثاء","الأربعاء","الخميس","الجمعة","السبت"))</f>
        <v/>
      </c>
      <c r="D704" s="14" t="n"/>
      <c r="E704" s="15" t="n"/>
      <c r="F704" s="16" t="n"/>
      <c r="G704" s="17" t="n"/>
      <c r="H704" s="18">
        <f>IF(OR(F704="",G704=""),"",ROUND(F704*G704,2))</f>
        <v/>
      </c>
      <c r="I704" s="19">
        <f>IF(ISNUMBER(SEARCH("ستاند",D704)),"أثاث وستاندات","")</f>
        <v/>
      </c>
      <c r="J704" s="20">
        <f>IF(E704="","",IF(I704="","⚠ عبّي الغرض",IF(AND(D704&lt;&gt;"",OR(ISNUMBER(SEARCH("صيانة",D704)),ISNUMBER(SEARCH("تعزيل",D704)),ISNUMBER(SEARCH("تنظيف",D704)),ISNUMBER(SEARCH("تصليح",D704)))),"⚠ الصيانة بلا ورشة",IF(H704="","⚠ ناقص",IF(D704&lt;&gt;"",IF(SUMIF($D$7:$D$806,D704,$H$7:$H$806)&gt;=20,"أصل","مصروف"),IFERROR(IF(VLOOKUP(I704,'القوائم'!$A$2:$D$14,4,0)="زكاة وصدقة","زكاة وصدقة",IF(AND(VLOOKUP(I704,'القوائم'!$A$2:$D$14,3,0)&lt;&gt;"",H704&gt;=20),"أصل","مصروف")),"مصروف"))))))</f>
        <v/>
      </c>
      <c r="K704" s="21" t="n"/>
      <c r="L704" s="22" t="n"/>
      <c r="N704">
        <f>IF(B704="","",MONTH(B704))</f>
        <v/>
      </c>
      <c r="O704">
        <f>IF(B704="","",YEAR(B704))</f>
        <v/>
      </c>
      <c r="P704">
        <f>IF(AND(D704&lt;&gt;"",COUNTIF(D$7:D704,D704)=1),MAX(P$6:P703)+1,"")</f>
        <v/>
      </c>
      <c r="Q704">
        <f>IF(E704="","",IF(I704="أجور عمال","أجرة","مادة"))</f>
        <v/>
      </c>
    </row>
    <row r="705">
      <c r="A705" s="12">
        <f>IF(E705="","",ROW()-6)</f>
        <v/>
      </c>
      <c r="B705" s="13" t="n"/>
      <c r="C705" s="12">
        <f>IF(B705="","",CHOOSE(WEEKDAY(B705,1),"الأحد","الاثنين","الثلاثاء","الأربعاء","الخميس","الجمعة","السبت"))</f>
        <v/>
      </c>
      <c r="D705" s="14" t="n"/>
      <c r="E705" s="15" t="n"/>
      <c r="F705" s="16" t="n"/>
      <c r="G705" s="17" t="n"/>
      <c r="H705" s="18">
        <f>IF(OR(F705="",G705=""),"",ROUND(F705*G705,2))</f>
        <v/>
      </c>
      <c r="I705" s="19">
        <f>IF(ISNUMBER(SEARCH("ستاند",D705)),"أثاث وستاندات","")</f>
        <v/>
      </c>
      <c r="J705" s="20">
        <f>IF(E705="","",IF(I705="","⚠ عبّي الغرض",IF(AND(D705&lt;&gt;"",OR(ISNUMBER(SEARCH("صيانة",D705)),ISNUMBER(SEARCH("تعزيل",D705)),ISNUMBER(SEARCH("تنظيف",D705)),ISNUMBER(SEARCH("تصليح",D705)))),"⚠ الصيانة بلا ورشة",IF(H705="","⚠ ناقص",IF(D705&lt;&gt;"",IF(SUMIF($D$7:$D$806,D705,$H$7:$H$806)&gt;=20,"أصل","مصروف"),IFERROR(IF(VLOOKUP(I705,'القوائم'!$A$2:$D$14,4,0)="زكاة وصدقة","زكاة وصدقة",IF(AND(VLOOKUP(I705,'القوائم'!$A$2:$D$14,3,0)&lt;&gt;"",H705&gt;=20),"أصل","مصروف")),"مصروف"))))))</f>
        <v/>
      </c>
      <c r="K705" s="21" t="n"/>
      <c r="L705" s="22" t="n"/>
      <c r="N705">
        <f>IF(B705="","",MONTH(B705))</f>
        <v/>
      </c>
      <c r="O705">
        <f>IF(B705="","",YEAR(B705))</f>
        <v/>
      </c>
      <c r="P705">
        <f>IF(AND(D705&lt;&gt;"",COUNTIF(D$7:D705,D705)=1),MAX(P$6:P704)+1,"")</f>
        <v/>
      </c>
      <c r="Q705">
        <f>IF(E705="","",IF(I705="أجور عمال","أجرة","مادة"))</f>
        <v/>
      </c>
    </row>
    <row r="706">
      <c r="A706" s="12">
        <f>IF(E706="","",ROW()-6)</f>
        <v/>
      </c>
      <c r="B706" s="13" t="n"/>
      <c r="C706" s="12">
        <f>IF(B706="","",CHOOSE(WEEKDAY(B706,1),"الأحد","الاثنين","الثلاثاء","الأربعاء","الخميس","الجمعة","السبت"))</f>
        <v/>
      </c>
      <c r="D706" s="14" t="n"/>
      <c r="E706" s="15" t="n"/>
      <c r="F706" s="16" t="n"/>
      <c r="G706" s="17" t="n"/>
      <c r="H706" s="18">
        <f>IF(OR(F706="",G706=""),"",ROUND(F706*G706,2))</f>
        <v/>
      </c>
      <c r="I706" s="19">
        <f>IF(ISNUMBER(SEARCH("ستاند",D706)),"أثاث وستاندات","")</f>
        <v/>
      </c>
      <c r="J706" s="20">
        <f>IF(E706="","",IF(I706="","⚠ عبّي الغرض",IF(AND(D706&lt;&gt;"",OR(ISNUMBER(SEARCH("صيانة",D706)),ISNUMBER(SEARCH("تعزيل",D706)),ISNUMBER(SEARCH("تنظيف",D706)),ISNUMBER(SEARCH("تصليح",D706)))),"⚠ الصيانة بلا ورشة",IF(H706="","⚠ ناقص",IF(D706&lt;&gt;"",IF(SUMIF($D$7:$D$806,D706,$H$7:$H$806)&gt;=20,"أصل","مصروف"),IFERROR(IF(VLOOKUP(I706,'القوائم'!$A$2:$D$14,4,0)="زكاة وصدقة","زكاة وصدقة",IF(AND(VLOOKUP(I706,'القوائم'!$A$2:$D$14,3,0)&lt;&gt;"",H706&gt;=20),"أصل","مصروف")),"مصروف"))))))</f>
        <v/>
      </c>
      <c r="K706" s="21" t="n"/>
      <c r="L706" s="22" t="n"/>
      <c r="N706">
        <f>IF(B706="","",MONTH(B706))</f>
        <v/>
      </c>
      <c r="O706">
        <f>IF(B706="","",YEAR(B706))</f>
        <v/>
      </c>
      <c r="P706">
        <f>IF(AND(D706&lt;&gt;"",COUNTIF(D$7:D706,D706)=1),MAX(P$6:P705)+1,"")</f>
        <v/>
      </c>
      <c r="Q706">
        <f>IF(E706="","",IF(I706="أجور عمال","أجرة","مادة"))</f>
        <v/>
      </c>
    </row>
    <row r="707">
      <c r="A707" s="12">
        <f>IF(E707="","",ROW()-6)</f>
        <v/>
      </c>
      <c r="B707" s="13" t="n"/>
      <c r="C707" s="12">
        <f>IF(B707="","",CHOOSE(WEEKDAY(B707,1),"الأحد","الاثنين","الثلاثاء","الأربعاء","الخميس","الجمعة","السبت"))</f>
        <v/>
      </c>
      <c r="D707" s="14" t="n"/>
      <c r="E707" s="15" t="n"/>
      <c r="F707" s="16" t="n"/>
      <c r="G707" s="17" t="n"/>
      <c r="H707" s="18">
        <f>IF(OR(F707="",G707=""),"",ROUND(F707*G707,2))</f>
        <v/>
      </c>
      <c r="I707" s="19">
        <f>IF(ISNUMBER(SEARCH("ستاند",D707)),"أثاث وستاندات","")</f>
        <v/>
      </c>
      <c r="J707" s="20">
        <f>IF(E707="","",IF(I707="","⚠ عبّي الغرض",IF(AND(D707&lt;&gt;"",OR(ISNUMBER(SEARCH("صيانة",D707)),ISNUMBER(SEARCH("تعزيل",D707)),ISNUMBER(SEARCH("تنظيف",D707)),ISNUMBER(SEARCH("تصليح",D707)))),"⚠ الصيانة بلا ورشة",IF(H707="","⚠ ناقص",IF(D707&lt;&gt;"",IF(SUMIF($D$7:$D$806,D707,$H$7:$H$806)&gt;=20,"أصل","مصروف"),IFERROR(IF(VLOOKUP(I707,'القوائم'!$A$2:$D$14,4,0)="زكاة وصدقة","زكاة وصدقة",IF(AND(VLOOKUP(I707,'القوائم'!$A$2:$D$14,3,0)&lt;&gt;"",H707&gt;=20),"أصل","مصروف")),"مصروف"))))))</f>
        <v/>
      </c>
      <c r="K707" s="21" t="n"/>
      <c r="L707" s="22" t="n"/>
      <c r="N707">
        <f>IF(B707="","",MONTH(B707))</f>
        <v/>
      </c>
      <c r="O707">
        <f>IF(B707="","",YEAR(B707))</f>
        <v/>
      </c>
      <c r="P707">
        <f>IF(AND(D707&lt;&gt;"",COUNTIF(D$7:D707,D707)=1),MAX(P$6:P706)+1,"")</f>
        <v/>
      </c>
      <c r="Q707">
        <f>IF(E707="","",IF(I707="أجور عمال","أجرة","مادة"))</f>
        <v/>
      </c>
    </row>
    <row r="708">
      <c r="A708" s="12">
        <f>IF(E708="","",ROW()-6)</f>
        <v/>
      </c>
      <c r="B708" s="13" t="n"/>
      <c r="C708" s="12">
        <f>IF(B708="","",CHOOSE(WEEKDAY(B708,1),"الأحد","الاثنين","الثلاثاء","الأربعاء","الخميس","الجمعة","السبت"))</f>
        <v/>
      </c>
      <c r="D708" s="14" t="n"/>
      <c r="E708" s="15" t="n"/>
      <c r="F708" s="16" t="n"/>
      <c r="G708" s="17" t="n"/>
      <c r="H708" s="18">
        <f>IF(OR(F708="",G708=""),"",ROUND(F708*G708,2))</f>
        <v/>
      </c>
      <c r="I708" s="19">
        <f>IF(ISNUMBER(SEARCH("ستاند",D708)),"أثاث وستاندات","")</f>
        <v/>
      </c>
      <c r="J708" s="20">
        <f>IF(E708="","",IF(I708="","⚠ عبّي الغرض",IF(AND(D708&lt;&gt;"",OR(ISNUMBER(SEARCH("صيانة",D708)),ISNUMBER(SEARCH("تعزيل",D708)),ISNUMBER(SEARCH("تنظيف",D708)),ISNUMBER(SEARCH("تصليح",D708)))),"⚠ الصيانة بلا ورشة",IF(H708="","⚠ ناقص",IF(D708&lt;&gt;"",IF(SUMIF($D$7:$D$806,D708,$H$7:$H$806)&gt;=20,"أصل","مصروف"),IFERROR(IF(VLOOKUP(I708,'القوائم'!$A$2:$D$14,4,0)="زكاة وصدقة","زكاة وصدقة",IF(AND(VLOOKUP(I708,'القوائم'!$A$2:$D$14,3,0)&lt;&gt;"",H708&gt;=20),"أصل","مصروف")),"مصروف"))))))</f>
        <v/>
      </c>
      <c r="K708" s="21" t="n"/>
      <c r="L708" s="22" t="n"/>
      <c r="N708">
        <f>IF(B708="","",MONTH(B708))</f>
        <v/>
      </c>
      <c r="O708">
        <f>IF(B708="","",YEAR(B708))</f>
        <v/>
      </c>
      <c r="P708">
        <f>IF(AND(D708&lt;&gt;"",COUNTIF(D$7:D708,D708)=1),MAX(P$6:P707)+1,"")</f>
        <v/>
      </c>
      <c r="Q708">
        <f>IF(E708="","",IF(I708="أجور عمال","أجرة","مادة"))</f>
        <v/>
      </c>
    </row>
    <row r="709">
      <c r="A709" s="12">
        <f>IF(E709="","",ROW()-6)</f>
        <v/>
      </c>
      <c r="B709" s="13" t="n"/>
      <c r="C709" s="12">
        <f>IF(B709="","",CHOOSE(WEEKDAY(B709,1),"الأحد","الاثنين","الثلاثاء","الأربعاء","الخميس","الجمعة","السبت"))</f>
        <v/>
      </c>
      <c r="D709" s="14" t="n"/>
      <c r="E709" s="15" t="n"/>
      <c r="F709" s="16" t="n"/>
      <c r="G709" s="17" t="n"/>
      <c r="H709" s="18">
        <f>IF(OR(F709="",G709=""),"",ROUND(F709*G709,2))</f>
        <v/>
      </c>
      <c r="I709" s="19">
        <f>IF(ISNUMBER(SEARCH("ستاند",D709)),"أثاث وستاندات","")</f>
        <v/>
      </c>
      <c r="J709" s="20">
        <f>IF(E709="","",IF(I709="","⚠ عبّي الغرض",IF(AND(D709&lt;&gt;"",OR(ISNUMBER(SEARCH("صيانة",D709)),ISNUMBER(SEARCH("تعزيل",D709)),ISNUMBER(SEARCH("تنظيف",D709)),ISNUMBER(SEARCH("تصليح",D709)))),"⚠ الصيانة بلا ورشة",IF(H709="","⚠ ناقص",IF(D709&lt;&gt;"",IF(SUMIF($D$7:$D$806,D709,$H$7:$H$806)&gt;=20,"أصل","مصروف"),IFERROR(IF(VLOOKUP(I709,'القوائم'!$A$2:$D$14,4,0)="زكاة وصدقة","زكاة وصدقة",IF(AND(VLOOKUP(I709,'القوائم'!$A$2:$D$14,3,0)&lt;&gt;"",H709&gt;=20),"أصل","مصروف")),"مصروف"))))))</f>
        <v/>
      </c>
      <c r="K709" s="21" t="n"/>
      <c r="L709" s="22" t="n"/>
      <c r="N709">
        <f>IF(B709="","",MONTH(B709))</f>
        <v/>
      </c>
      <c r="O709">
        <f>IF(B709="","",YEAR(B709))</f>
        <v/>
      </c>
      <c r="P709">
        <f>IF(AND(D709&lt;&gt;"",COUNTIF(D$7:D709,D709)=1),MAX(P$6:P708)+1,"")</f>
        <v/>
      </c>
      <c r="Q709">
        <f>IF(E709="","",IF(I709="أجور عمال","أجرة","مادة"))</f>
        <v/>
      </c>
    </row>
    <row r="710">
      <c r="A710" s="12">
        <f>IF(E710="","",ROW()-6)</f>
        <v/>
      </c>
      <c r="B710" s="13" t="n"/>
      <c r="C710" s="12">
        <f>IF(B710="","",CHOOSE(WEEKDAY(B710,1),"الأحد","الاثنين","الثلاثاء","الأربعاء","الخميس","الجمعة","السبت"))</f>
        <v/>
      </c>
      <c r="D710" s="14" t="n"/>
      <c r="E710" s="15" t="n"/>
      <c r="F710" s="16" t="n"/>
      <c r="G710" s="17" t="n"/>
      <c r="H710" s="18">
        <f>IF(OR(F710="",G710=""),"",ROUND(F710*G710,2))</f>
        <v/>
      </c>
      <c r="I710" s="19">
        <f>IF(ISNUMBER(SEARCH("ستاند",D710)),"أثاث وستاندات","")</f>
        <v/>
      </c>
      <c r="J710" s="20">
        <f>IF(E710="","",IF(I710="","⚠ عبّي الغرض",IF(AND(D710&lt;&gt;"",OR(ISNUMBER(SEARCH("صيانة",D710)),ISNUMBER(SEARCH("تعزيل",D710)),ISNUMBER(SEARCH("تنظيف",D710)),ISNUMBER(SEARCH("تصليح",D710)))),"⚠ الصيانة بلا ورشة",IF(H710="","⚠ ناقص",IF(D710&lt;&gt;"",IF(SUMIF($D$7:$D$806,D710,$H$7:$H$806)&gt;=20,"أصل","مصروف"),IFERROR(IF(VLOOKUP(I710,'القوائم'!$A$2:$D$14,4,0)="زكاة وصدقة","زكاة وصدقة",IF(AND(VLOOKUP(I710,'القوائم'!$A$2:$D$14,3,0)&lt;&gt;"",H710&gt;=20),"أصل","مصروف")),"مصروف"))))))</f>
        <v/>
      </c>
      <c r="K710" s="21" t="n"/>
      <c r="L710" s="22" t="n"/>
      <c r="N710">
        <f>IF(B710="","",MONTH(B710))</f>
        <v/>
      </c>
      <c r="O710">
        <f>IF(B710="","",YEAR(B710))</f>
        <v/>
      </c>
      <c r="P710">
        <f>IF(AND(D710&lt;&gt;"",COUNTIF(D$7:D710,D710)=1),MAX(P$6:P709)+1,"")</f>
        <v/>
      </c>
      <c r="Q710">
        <f>IF(E710="","",IF(I710="أجور عمال","أجرة","مادة"))</f>
        <v/>
      </c>
    </row>
    <row r="711">
      <c r="A711" s="12">
        <f>IF(E711="","",ROW()-6)</f>
        <v/>
      </c>
      <c r="B711" s="13" t="n"/>
      <c r="C711" s="12">
        <f>IF(B711="","",CHOOSE(WEEKDAY(B711,1),"الأحد","الاثنين","الثلاثاء","الأربعاء","الخميس","الجمعة","السبت"))</f>
        <v/>
      </c>
      <c r="D711" s="14" t="n"/>
      <c r="E711" s="15" t="n"/>
      <c r="F711" s="16" t="n"/>
      <c r="G711" s="17" t="n"/>
      <c r="H711" s="18">
        <f>IF(OR(F711="",G711=""),"",ROUND(F711*G711,2))</f>
        <v/>
      </c>
      <c r="I711" s="19">
        <f>IF(ISNUMBER(SEARCH("ستاند",D711)),"أثاث وستاندات","")</f>
        <v/>
      </c>
      <c r="J711" s="20">
        <f>IF(E711="","",IF(I711="","⚠ عبّي الغرض",IF(AND(D711&lt;&gt;"",OR(ISNUMBER(SEARCH("صيانة",D711)),ISNUMBER(SEARCH("تعزيل",D711)),ISNUMBER(SEARCH("تنظيف",D711)),ISNUMBER(SEARCH("تصليح",D711)))),"⚠ الصيانة بلا ورشة",IF(H711="","⚠ ناقص",IF(D711&lt;&gt;"",IF(SUMIF($D$7:$D$806,D711,$H$7:$H$806)&gt;=20,"أصل","مصروف"),IFERROR(IF(VLOOKUP(I711,'القوائم'!$A$2:$D$14,4,0)="زكاة وصدقة","زكاة وصدقة",IF(AND(VLOOKUP(I711,'القوائم'!$A$2:$D$14,3,0)&lt;&gt;"",H711&gt;=20),"أصل","مصروف")),"مصروف"))))))</f>
        <v/>
      </c>
      <c r="K711" s="21" t="n"/>
      <c r="L711" s="22" t="n"/>
      <c r="N711">
        <f>IF(B711="","",MONTH(B711))</f>
        <v/>
      </c>
      <c r="O711">
        <f>IF(B711="","",YEAR(B711))</f>
        <v/>
      </c>
      <c r="P711">
        <f>IF(AND(D711&lt;&gt;"",COUNTIF(D$7:D711,D711)=1),MAX(P$6:P710)+1,"")</f>
        <v/>
      </c>
      <c r="Q711">
        <f>IF(E711="","",IF(I711="أجور عمال","أجرة","مادة"))</f>
        <v/>
      </c>
    </row>
    <row r="712">
      <c r="A712" s="12">
        <f>IF(E712="","",ROW()-6)</f>
        <v/>
      </c>
      <c r="B712" s="13" t="n"/>
      <c r="C712" s="12">
        <f>IF(B712="","",CHOOSE(WEEKDAY(B712,1),"الأحد","الاثنين","الثلاثاء","الأربعاء","الخميس","الجمعة","السبت"))</f>
        <v/>
      </c>
      <c r="D712" s="14" t="n"/>
      <c r="E712" s="15" t="n"/>
      <c r="F712" s="16" t="n"/>
      <c r="G712" s="17" t="n"/>
      <c r="H712" s="18">
        <f>IF(OR(F712="",G712=""),"",ROUND(F712*G712,2))</f>
        <v/>
      </c>
      <c r="I712" s="19">
        <f>IF(ISNUMBER(SEARCH("ستاند",D712)),"أثاث وستاندات","")</f>
        <v/>
      </c>
      <c r="J712" s="20">
        <f>IF(E712="","",IF(I712="","⚠ عبّي الغرض",IF(AND(D712&lt;&gt;"",OR(ISNUMBER(SEARCH("صيانة",D712)),ISNUMBER(SEARCH("تعزيل",D712)),ISNUMBER(SEARCH("تنظيف",D712)),ISNUMBER(SEARCH("تصليح",D712)))),"⚠ الصيانة بلا ورشة",IF(H712="","⚠ ناقص",IF(D712&lt;&gt;"",IF(SUMIF($D$7:$D$806,D712,$H$7:$H$806)&gt;=20,"أصل","مصروف"),IFERROR(IF(VLOOKUP(I712,'القوائم'!$A$2:$D$14,4,0)="زكاة وصدقة","زكاة وصدقة",IF(AND(VLOOKUP(I712,'القوائم'!$A$2:$D$14,3,0)&lt;&gt;"",H712&gt;=20),"أصل","مصروف")),"مصروف"))))))</f>
        <v/>
      </c>
      <c r="K712" s="21" t="n"/>
      <c r="L712" s="22" t="n"/>
      <c r="N712">
        <f>IF(B712="","",MONTH(B712))</f>
        <v/>
      </c>
      <c r="O712">
        <f>IF(B712="","",YEAR(B712))</f>
        <v/>
      </c>
      <c r="P712">
        <f>IF(AND(D712&lt;&gt;"",COUNTIF(D$7:D712,D712)=1),MAX(P$6:P711)+1,"")</f>
        <v/>
      </c>
      <c r="Q712">
        <f>IF(E712="","",IF(I712="أجور عمال","أجرة","مادة"))</f>
        <v/>
      </c>
    </row>
    <row r="713">
      <c r="A713" s="12">
        <f>IF(E713="","",ROW()-6)</f>
        <v/>
      </c>
      <c r="B713" s="13" t="n"/>
      <c r="C713" s="12">
        <f>IF(B713="","",CHOOSE(WEEKDAY(B713,1),"الأحد","الاثنين","الثلاثاء","الأربعاء","الخميس","الجمعة","السبت"))</f>
        <v/>
      </c>
      <c r="D713" s="14" t="n"/>
      <c r="E713" s="15" t="n"/>
      <c r="F713" s="16" t="n"/>
      <c r="G713" s="17" t="n"/>
      <c r="H713" s="18">
        <f>IF(OR(F713="",G713=""),"",ROUND(F713*G713,2))</f>
        <v/>
      </c>
      <c r="I713" s="19">
        <f>IF(ISNUMBER(SEARCH("ستاند",D713)),"أثاث وستاندات","")</f>
        <v/>
      </c>
      <c r="J713" s="20">
        <f>IF(E713="","",IF(I713="","⚠ عبّي الغرض",IF(AND(D713&lt;&gt;"",OR(ISNUMBER(SEARCH("صيانة",D713)),ISNUMBER(SEARCH("تعزيل",D713)),ISNUMBER(SEARCH("تنظيف",D713)),ISNUMBER(SEARCH("تصليح",D713)))),"⚠ الصيانة بلا ورشة",IF(H713="","⚠ ناقص",IF(D713&lt;&gt;"",IF(SUMIF($D$7:$D$806,D713,$H$7:$H$806)&gt;=20,"أصل","مصروف"),IFERROR(IF(VLOOKUP(I713,'القوائم'!$A$2:$D$14,4,0)="زكاة وصدقة","زكاة وصدقة",IF(AND(VLOOKUP(I713,'القوائم'!$A$2:$D$14,3,0)&lt;&gt;"",H713&gt;=20),"أصل","مصروف")),"مصروف"))))))</f>
        <v/>
      </c>
      <c r="K713" s="21" t="n"/>
      <c r="L713" s="22" t="n"/>
      <c r="N713">
        <f>IF(B713="","",MONTH(B713))</f>
        <v/>
      </c>
      <c r="O713">
        <f>IF(B713="","",YEAR(B713))</f>
        <v/>
      </c>
      <c r="P713">
        <f>IF(AND(D713&lt;&gt;"",COUNTIF(D$7:D713,D713)=1),MAX(P$6:P712)+1,"")</f>
        <v/>
      </c>
      <c r="Q713">
        <f>IF(E713="","",IF(I713="أجور عمال","أجرة","مادة"))</f>
        <v/>
      </c>
    </row>
    <row r="714">
      <c r="A714" s="12">
        <f>IF(E714="","",ROW()-6)</f>
        <v/>
      </c>
      <c r="B714" s="13" t="n"/>
      <c r="C714" s="12">
        <f>IF(B714="","",CHOOSE(WEEKDAY(B714,1),"الأحد","الاثنين","الثلاثاء","الأربعاء","الخميس","الجمعة","السبت"))</f>
        <v/>
      </c>
      <c r="D714" s="14" t="n"/>
      <c r="E714" s="15" t="n"/>
      <c r="F714" s="16" t="n"/>
      <c r="G714" s="17" t="n"/>
      <c r="H714" s="18">
        <f>IF(OR(F714="",G714=""),"",ROUND(F714*G714,2))</f>
        <v/>
      </c>
      <c r="I714" s="19">
        <f>IF(ISNUMBER(SEARCH("ستاند",D714)),"أثاث وستاندات","")</f>
        <v/>
      </c>
      <c r="J714" s="20">
        <f>IF(E714="","",IF(I714="","⚠ عبّي الغرض",IF(AND(D714&lt;&gt;"",OR(ISNUMBER(SEARCH("صيانة",D714)),ISNUMBER(SEARCH("تعزيل",D714)),ISNUMBER(SEARCH("تنظيف",D714)),ISNUMBER(SEARCH("تصليح",D714)))),"⚠ الصيانة بلا ورشة",IF(H714="","⚠ ناقص",IF(D714&lt;&gt;"",IF(SUMIF($D$7:$D$806,D714,$H$7:$H$806)&gt;=20,"أصل","مصروف"),IFERROR(IF(VLOOKUP(I714,'القوائم'!$A$2:$D$14,4,0)="زكاة وصدقة","زكاة وصدقة",IF(AND(VLOOKUP(I714,'القوائم'!$A$2:$D$14,3,0)&lt;&gt;"",H714&gt;=20),"أصل","مصروف")),"مصروف"))))))</f>
        <v/>
      </c>
      <c r="K714" s="21" t="n"/>
      <c r="L714" s="22" t="n"/>
      <c r="N714">
        <f>IF(B714="","",MONTH(B714))</f>
        <v/>
      </c>
      <c r="O714">
        <f>IF(B714="","",YEAR(B714))</f>
        <v/>
      </c>
      <c r="P714">
        <f>IF(AND(D714&lt;&gt;"",COUNTIF(D$7:D714,D714)=1),MAX(P$6:P713)+1,"")</f>
        <v/>
      </c>
      <c r="Q714">
        <f>IF(E714="","",IF(I714="أجور عمال","أجرة","مادة"))</f>
        <v/>
      </c>
    </row>
    <row r="715">
      <c r="A715" s="12">
        <f>IF(E715="","",ROW()-6)</f>
        <v/>
      </c>
      <c r="B715" s="13" t="n"/>
      <c r="C715" s="12">
        <f>IF(B715="","",CHOOSE(WEEKDAY(B715,1),"الأحد","الاثنين","الثلاثاء","الأربعاء","الخميس","الجمعة","السبت"))</f>
        <v/>
      </c>
      <c r="D715" s="14" t="n"/>
      <c r="E715" s="15" t="n"/>
      <c r="F715" s="16" t="n"/>
      <c r="G715" s="17" t="n"/>
      <c r="H715" s="18">
        <f>IF(OR(F715="",G715=""),"",ROUND(F715*G715,2))</f>
        <v/>
      </c>
      <c r="I715" s="19">
        <f>IF(ISNUMBER(SEARCH("ستاند",D715)),"أثاث وستاندات","")</f>
        <v/>
      </c>
      <c r="J715" s="20">
        <f>IF(E715="","",IF(I715="","⚠ عبّي الغرض",IF(AND(D715&lt;&gt;"",OR(ISNUMBER(SEARCH("صيانة",D715)),ISNUMBER(SEARCH("تعزيل",D715)),ISNUMBER(SEARCH("تنظيف",D715)),ISNUMBER(SEARCH("تصليح",D715)))),"⚠ الصيانة بلا ورشة",IF(H715="","⚠ ناقص",IF(D715&lt;&gt;"",IF(SUMIF($D$7:$D$806,D715,$H$7:$H$806)&gt;=20,"أصل","مصروف"),IFERROR(IF(VLOOKUP(I715,'القوائم'!$A$2:$D$14,4,0)="زكاة وصدقة","زكاة وصدقة",IF(AND(VLOOKUP(I715,'القوائم'!$A$2:$D$14,3,0)&lt;&gt;"",H715&gt;=20),"أصل","مصروف")),"مصروف"))))))</f>
        <v/>
      </c>
      <c r="K715" s="21" t="n"/>
      <c r="L715" s="22" t="n"/>
      <c r="N715">
        <f>IF(B715="","",MONTH(B715))</f>
        <v/>
      </c>
      <c r="O715">
        <f>IF(B715="","",YEAR(B715))</f>
        <v/>
      </c>
      <c r="P715">
        <f>IF(AND(D715&lt;&gt;"",COUNTIF(D$7:D715,D715)=1),MAX(P$6:P714)+1,"")</f>
        <v/>
      </c>
      <c r="Q715">
        <f>IF(E715="","",IF(I715="أجور عمال","أجرة","مادة"))</f>
        <v/>
      </c>
    </row>
    <row r="716">
      <c r="A716" s="12">
        <f>IF(E716="","",ROW()-6)</f>
        <v/>
      </c>
      <c r="B716" s="13" t="n"/>
      <c r="C716" s="12">
        <f>IF(B716="","",CHOOSE(WEEKDAY(B716,1),"الأحد","الاثنين","الثلاثاء","الأربعاء","الخميس","الجمعة","السبت"))</f>
        <v/>
      </c>
      <c r="D716" s="14" t="n"/>
      <c r="E716" s="15" t="n"/>
      <c r="F716" s="16" t="n"/>
      <c r="G716" s="17" t="n"/>
      <c r="H716" s="18">
        <f>IF(OR(F716="",G716=""),"",ROUND(F716*G716,2))</f>
        <v/>
      </c>
      <c r="I716" s="19">
        <f>IF(ISNUMBER(SEARCH("ستاند",D716)),"أثاث وستاندات","")</f>
        <v/>
      </c>
      <c r="J716" s="20">
        <f>IF(E716="","",IF(I716="","⚠ عبّي الغرض",IF(AND(D716&lt;&gt;"",OR(ISNUMBER(SEARCH("صيانة",D716)),ISNUMBER(SEARCH("تعزيل",D716)),ISNUMBER(SEARCH("تنظيف",D716)),ISNUMBER(SEARCH("تصليح",D716)))),"⚠ الصيانة بلا ورشة",IF(H716="","⚠ ناقص",IF(D716&lt;&gt;"",IF(SUMIF($D$7:$D$806,D716,$H$7:$H$806)&gt;=20,"أصل","مصروف"),IFERROR(IF(VLOOKUP(I716,'القوائم'!$A$2:$D$14,4,0)="زكاة وصدقة","زكاة وصدقة",IF(AND(VLOOKUP(I716,'القوائم'!$A$2:$D$14,3,0)&lt;&gt;"",H716&gt;=20),"أصل","مصروف")),"مصروف"))))))</f>
        <v/>
      </c>
      <c r="K716" s="21" t="n"/>
      <c r="L716" s="22" t="n"/>
      <c r="N716">
        <f>IF(B716="","",MONTH(B716))</f>
        <v/>
      </c>
      <c r="O716">
        <f>IF(B716="","",YEAR(B716))</f>
        <v/>
      </c>
      <c r="P716">
        <f>IF(AND(D716&lt;&gt;"",COUNTIF(D$7:D716,D716)=1),MAX(P$6:P715)+1,"")</f>
        <v/>
      </c>
      <c r="Q716">
        <f>IF(E716="","",IF(I716="أجور عمال","أجرة","مادة"))</f>
        <v/>
      </c>
    </row>
    <row r="717">
      <c r="A717" s="12">
        <f>IF(E717="","",ROW()-6)</f>
        <v/>
      </c>
      <c r="B717" s="13" t="n"/>
      <c r="C717" s="12">
        <f>IF(B717="","",CHOOSE(WEEKDAY(B717,1),"الأحد","الاثنين","الثلاثاء","الأربعاء","الخميس","الجمعة","السبت"))</f>
        <v/>
      </c>
      <c r="D717" s="14" t="n"/>
      <c r="E717" s="15" t="n"/>
      <c r="F717" s="16" t="n"/>
      <c r="G717" s="17" t="n"/>
      <c r="H717" s="18">
        <f>IF(OR(F717="",G717=""),"",ROUND(F717*G717,2))</f>
        <v/>
      </c>
      <c r="I717" s="19">
        <f>IF(ISNUMBER(SEARCH("ستاند",D717)),"أثاث وستاندات","")</f>
        <v/>
      </c>
      <c r="J717" s="20">
        <f>IF(E717="","",IF(I717="","⚠ عبّي الغرض",IF(AND(D717&lt;&gt;"",OR(ISNUMBER(SEARCH("صيانة",D717)),ISNUMBER(SEARCH("تعزيل",D717)),ISNUMBER(SEARCH("تنظيف",D717)),ISNUMBER(SEARCH("تصليح",D717)))),"⚠ الصيانة بلا ورشة",IF(H717="","⚠ ناقص",IF(D717&lt;&gt;"",IF(SUMIF($D$7:$D$806,D717,$H$7:$H$806)&gt;=20,"أصل","مصروف"),IFERROR(IF(VLOOKUP(I717,'القوائم'!$A$2:$D$14,4,0)="زكاة وصدقة","زكاة وصدقة",IF(AND(VLOOKUP(I717,'القوائم'!$A$2:$D$14,3,0)&lt;&gt;"",H717&gt;=20),"أصل","مصروف")),"مصروف"))))))</f>
        <v/>
      </c>
      <c r="K717" s="21" t="n"/>
      <c r="L717" s="22" t="n"/>
      <c r="N717">
        <f>IF(B717="","",MONTH(B717))</f>
        <v/>
      </c>
      <c r="O717">
        <f>IF(B717="","",YEAR(B717))</f>
        <v/>
      </c>
      <c r="P717">
        <f>IF(AND(D717&lt;&gt;"",COUNTIF(D$7:D717,D717)=1),MAX(P$6:P716)+1,"")</f>
        <v/>
      </c>
      <c r="Q717">
        <f>IF(E717="","",IF(I717="أجور عمال","أجرة","مادة"))</f>
        <v/>
      </c>
    </row>
    <row r="718">
      <c r="A718" s="12">
        <f>IF(E718="","",ROW()-6)</f>
        <v/>
      </c>
      <c r="B718" s="13" t="n"/>
      <c r="C718" s="12">
        <f>IF(B718="","",CHOOSE(WEEKDAY(B718,1),"الأحد","الاثنين","الثلاثاء","الأربعاء","الخميس","الجمعة","السبت"))</f>
        <v/>
      </c>
      <c r="D718" s="14" t="n"/>
      <c r="E718" s="15" t="n"/>
      <c r="F718" s="16" t="n"/>
      <c r="G718" s="17" t="n"/>
      <c r="H718" s="18">
        <f>IF(OR(F718="",G718=""),"",ROUND(F718*G718,2))</f>
        <v/>
      </c>
      <c r="I718" s="19">
        <f>IF(ISNUMBER(SEARCH("ستاند",D718)),"أثاث وستاندات","")</f>
        <v/>
      </c>
      <c r="J718" s="20">
        <f>IF(E718="","",IF(I718="","⚠ عبّي الغرض",IF(AND(D718&lt;&gt;"",OR(ISNUMBER(SEARCH("صيانة",D718)),ISNUMBER(SEARCH("تعزيل",D718)),ISNUMBER(SEARCH("تنظيف",D718)),ISNUMBER(SEARCH("تصليح",D718)))),"⚠ الصيانة بلا ورشة",IF(H718="","⚠ ناقص",IF(D718&lt;&gt;"",IF(SUMIF($D$7:$D$806,D718,$H$7:$H$806)&gt;=20,"أصل","مصروف"),IFERROR(IF(VLOOKUP(I718,'القوائم'!$A$2:$D$14,4,0)="زكاة وصدقة","زكاة وصدقة",IF(AND(VLOOKUP(I718,'القوائم'!$A$2:$D$14,3,0)&lt;&gt;"",H718&gt;=20),"أصل","مصروف")),"مصروف"))))))</f>
        <v/>
      </c>
      <c r="K718" s="21" t="n"/>
      <c r="L718" s="22" t="n"/>
      <c r="N718">
        <f>IF(B718="","",MONTH(B718))</f>
        <v/>
      </c>
      <c r="O718">
        <f>IF(B718="","",YEAR(B718))</f>
        <v/>
      </c>
      <c r="P718">
        <f>IF(AND(D718&lt;&gt;"",COUNTIF(D$7:D718,D718)=1),MAX(P$6:P717)+1,"")</f>
        <v/>
      </c>
      <c r="Q718">
        <f>IF(E718="","",IF(I718="أجور عمال","أجرة","مادة"))</f>
        <v/>
      </c>
    </row>
    <row r="719">
      <c r="A719" s="12">
        <f>IF(E719="","",ROW()-6)</f>
        <v/>
      </c>
      <c r="B719" s="13" t="n"/>
      <c r="C719" s="12">
        <f>IF(B719="","",CHOOSE(WEEKDAY(B719,1),"الأحد","الاثنين","الثلاثاء","الأربعاء","الخميس","الجمعة","السبت"))</f>
        <v/>
      </c>
      <c r="D719" s="14" t="n"/>
      <c r="E719" s="15" t="n"/>
      <c r="F719" s="16" t="n"/>
      <c r="G719" s="17" t="n"/>
      <c r="H719" s="18">
        <f>IF(OR(F719="",G719=""),"",ROUND(F719*G719,2))</f>
        <v/>
      </c>
      <c r="I719" s="19">
        <f>IF(ISNUMBER(SEARCH("ستاند",D719)),"أثاث وستاندات","")</f>
        <v/>
      </c>
      <c r="J719" s="20">
        <f>IF(E719="","",IF(I719="","⚠ عبّي الغرض",IF(AND(D719&lt;&gt;"",OR(ISNUMBER(SEARCH("صيانة",D719)),ISNUMBER(SEARCH("تعزيل",D719)),ISNUMBER(SEARCH("تنظيف",D719)),ISNUMBER(SEARCH("تصليح",D719)))),"⚠ الصيانة بلا ورشة",IF(H719="","⚠ ناقص",IF(D719&lt;&gt;"",IF(SUMIF($D$7:$D$806,D719,$H$7:$H$806)&gt;=20,"أصل","مصروف"),IFERROR(IF(VLOOKUP(I719,'القوائم'!$A$2:$D$14,4,0)="زكاة وصدقة","زكاة وصدقة",IF(AND(VLOOKUP(I719,'القوائم'!$A$2:$D$14,3,0)&lt;&gt;"",H719&gt;=20),"أصل","مصروف")),"مصروف"))))))</f>
        <v/>
      </c>
      <c r="K719" s="21" t="n"/>
      <c r="L719" s="22" t="n"/>
      <c r="N719">
        <f>IF(B719="","",MONTH(B719))</f>
        <v/>
      </c>
      <c r="O719">
        <f>IF(B719="","",YEAR(B719))</f>
        <v/>
      </c>
      <c r="P719">
        <f>IF(AND(D719&lt;&gt;"",COUNTIF(D$7:D719,D719)=1),MAX(P$6:P718)+1,"")</f>
        <v/>
      </c>
      <c r="Q719">
        <f>IF(E719="","",IF(I719="أجور عمال","أجرة","مادة"))</f>
        <v/>
      </c>
    </row>
    <row r="720">
      <c r="A720" s="12">
        <f>IF(E720="","",ROW()-6)</f>
        <v/>
      </c>
      <c r="B720" s="13" t="n"/>
      <c r="C720" s="12">
        <f>IF(B720="","",CHOOSE(WEEKDAY(B720,1),"الأحد","الاثنين","الثلاثاء","الأربعاء","الخميس","الجمعة","السبت"))</f>
        <v/>
      </c>
      <c r="D720" s="14" t="n"/>
      <c r="E720" s="15" t="n"/>
      <c r="F720" s="16" t="n"/>
      <c r="G720" s="17" t="n"/>
      <c r="H720" s="18">
        <f>IF(OR(F720="",G720=""),"",ROUND(F720*G720,2))</f>
        <v/>
      </c>
      <c r="I720" s="19">
        <f>IF(ISNUMBER(SEARCH("ستاند",D720)),"أثاث وستاندات","")</f>
        <v/>
      </c>
      <c r="J720" s="20">
        <f>IF(E720="","",IF(I720="","⚠ عبّي الغرض",IF(AND(D720&lt;&gt;"",OR(ISNUMBER(SEARCH("صيانة",D720)),ISNUMBER(SEARCH("تعزيل",D720)),ISNUMBER(SEARCH("تنظيف",D720)),ISNUMBER(SEARCH("تصليح",D720)))),"⚠ الصيانة بلا ورشة",IF(H720="","⚠ ناقص",IF(D720&lt;&gt;"",IF(SUMIF($D$7:$D$806,D720,$H$7:$H$806)&gt;=20,"أصل","مصروف"),IFERROR(IF(VLOOKUP(I720,'القوائم'!$A$2:$D$14,4,0)="زكاة وصدقة","زكاة وصدقة",IF(AND(VLOOKUP(I720,'القوائم'!$A$2:$D$14,3,0)&lt;&gt;"",H720&gt;=20),"أصل","مصروف")),"مصروف"))))))</f>
        <v/>
      </c>
      <c r="K720" s="21" t="n"/>
      <c r="L720" s="22" t="n"/>
      <c r="N720">
        <f>IF(B720="","",MONTH(B720))</f>
        <v/>
      </c>
      <c r="O720">
        <f>IF(B720="","",YEAR(B720))</f>
        <v/>
      </c>
      <c r="P720">
        <f>IF(AND(D720&lt;&gt;"",COUNTIF(D$7:D720,D720)=1),MAX(P$6:P719)+1,"")</f>
        <v/>
      </c>
      <c r="Q720">
        <f>IF(E720="","",IF(I720="أجور عمال","أجرة","مادة"))</f>
        <v/>
      </c>
    </row>
    <row r="721">
      <c r="A721" s="12">
        <f>IF(E721="","",ROW()-6)</f>
        <v/>
      </c>
      <c r="B721" s="13" t="n"/>
      <c r="C721" s="12">
        <f>IF(B721="","",CHOOSE(WEEKDAY(B721,1),"الأحد","الاثنين","الثلاثاء","الأربعاء","الخميس","الجمعة","السبت"))</f>
        <v/>
      </c>
      <c r="D721" s="14" t="n"/>
      <c r="E721" s="15" t="n"/>
      <c r="F721" s="16" t="n"/>
      <c r="G721" s="17" t="n"/>
      <c r="H721" s="18">
        <f>IF(OR(F721="",G721=""),"",ROUND(F721*G721,2))</f>
        <v/>
      </c>
      <c r="I721" s="19">
        <f>IF(ISNUMBER(SEARCH("ستاند",D721)),"أثاث وستاندات","")</f>
        <v/>
      </c>
      <c r="J721" s="20">
        <f>IF(E721="","",IF(I721="","⚠ عبّي الغرض",IF(AND(D721&lt;&gt;"",OR(ISNUMBER(SEARCH("صيانة",D721)),ISNUMBER(SEARCH("تعزيل",D721)),ISNUMBER(SEARCH("تنظيف",D721)),ISNUMBER(SEARCH("تصليح",D721)))),"⚠ الصيانة بلا ورشة",IF(H721="","⚠ ناقص",IF(D721&lt;&gt;"",IF(SUMIF($D$7:$D$806,D721,$H$7:$H$806)&gt;=20,"أصل","مصروف"),IFERROR(IF(VLOOKUP(I721,'القوائم'!$A$2:$D$14,4,0)="زكاة وصدقة","زكاة وصدقة",IF(AND(VLOOKUP(I721,'القوائم'!$A$2:$D$14,3,0)&lt;&gt;"",H721&gt;=20),"أصل","مصروف")),"مصروف"))))))</f>
        <v/>
      </c>
      <c r="K721" s="21" t="n"/>
      <c r="L721" s="22" t="n"/>
      <c r="N721">
        <f>IF(B721="","",MONTH(B721))</f>
        <v/>
      </c>
      <c r="O721">
        <f>IF(B721="","",YEAR(B721))</f>
        <v/>
      </c>
      <c r="P721">
        <f>IF(AND(D721&lt;&gt;"",COUNTIF(D$7:D721,D721)=1),MAX(P$6:P720)+1,"")</f>
        <v/>
      </c>
      <c r="Q721">
        <f>IF(E721="","",IF(I721="أجور عمال","أجرة","مادة"))</f>
        <v/>
      </c>
    </row>
    <row r="722">
      <c r="A722" s="12">
        <f>IF(E722="","",ROW()-6)</f>
        <v/>
      </c>
      <c r="B722" s="13" t="n"/>
      <c r="C722" s="12">
        <f>IF(B722="","",CHOOSE(WEEKDAY(B722,1),"الأحد","الاثنين","الثلاثاء","الأربعاء","الخميس","الجمعة","السبت"))</f>
        <v/>
      </c>
      <c r="D722" s="14" t="n"/>
      <c r="E722" s="15" t="n"/>
      <c r="F722" s="16" t="n"/>
      <c r="G722" s="17" t="n"/>
      <c r="H722" s="18">
        <f>IF(OR(F722="",G722=""),"",ROUND(F722*G722,2))</f>
        <v/>
      </c>
      <c r="I722" s="19">
        <f>IF(ISNUMBER(SEARCH("ستاند",D722)),"أثاث وستاندات","")</f>
        <v/>
      </c>
      <c r="J722" s="20">
        <f>IF(E722="","",IF(I722="","⚠ عبّي الغرض",IF(AND(D722&lt;&gt;"",OR(ISNUMBER(SEARCH("صيانة",D722)),ISNUMBER(SEARCH("تعزيل",D722)),ISNUMBER(SEARCH("تنظيف",D722)),ISNUMBER(SEARCH("تصليح",D722)))),"⚠ الصيانة بلا ورشة",IF(H722="","⚠ ناقص",IF(D722&lt;&gt;"",IF(SUMIF($D$7:$D$806,D722,$H$7:$H$806)&gt;=20,"أصل","مصروف"),IFERROR(IF(VLOOKUP(I722,'القوائم'!$A$2:$D$14,4,0)="زكاة وصدقة","زكاة وصدقة",IF(AND(VLOOKUP(I722,'القوائم'!$A$2:$D$14,3,0)&lt;&gt;"",H722&gt;=20),"أصل","مصروف")),"مصروف"))))))</f>
        <v/>
      </c>
      <c r="K722" s="21" t="n"/>
      <c r="L722" s="22" t="n"/>
      <c r="N722">
        <f>IF(B722="","",MONTH(B722))</f>
        <v/>
      </c>
      <c r="O722">
        <f>IF(B722="","",YEAR(B722))</f>
        <v/>
      </c>
      <c r="P722">
        <f>IF(AND(D722&lt;&gt;"",COUNTIF(D$7:D722,D722)=1),MAX(P$6:P721)+1,"")</f>
        <v/>
      </c>
      <c r="Q722">
        <f>IF(E722="","",IF(I722="أجور عمال","أجرة","مادة"))</f>
        <v/>
      </c>
    </row>
    <row r="723">
      <c r="A723" s="12">
        <f>IF(E723="","",ROW()-6)</f>
        <v/>
      </c>
      <c r="B723" s="13" t="n"/>
      <c r="C723" s="12">
        <f>IF(B723="","",CHOOSE(WEEKDAY(B723,1),"الأحد","الاثنين","الثلاثاء","الأربعاء","الخميس","الجمعة","السبت"))</f>
        <v/>
      </c>
      <c r="D723" s="14" t="n"/>
      <c r="E723" s="15" t="n"/>
      <c r="F723" s="16" t="n"/>
      <c r="G723" s="17" t="n"/>
      <c r="H723" s="18">
        <f>IF(OR(F723="",G723=""),"",ROUND(F723*G723,2))</f>
        <v/>
      </c>
      <c r="I723" s="19">
        <f>IF(ISNUMBER(SEARCH("ستاند",D723)),"أثاث وستاندات","")</f>
        <v/>
      </c>
      <c r="J723" s="20">
        <f>IF(E723="","",IF(I723="","⚠ عبّي الغرض",IF(AND(D723&lt;&gt;"",OR(ISNUMBER(SEARCH("صيانة",D723)),ISNUMBER(SEARCH("تعزيل",D723)),ISNUMBER(SEARCH("تنظيف",D723)),ISNUMBER(SEARCH("تصليح",D723)))),"⚠ الصيانة بلا ورشة",IF(H723="","⚠ ناقص",IF(D723&lt;&gt;"",IF(SUMIF($D$7:$D$806,D723,$H$7:$H$806)&gt;=20,"أصل","مصروف"),IFERROR(IF(VLOOKUP(I723,'القوائم'!$A$2:$D$14,4,0)="زكاة وصدقة","زكاة وصدقة",IF(AND(VLOOKUP(I723,'القوائم'!$A$2:$D$14,3,0)&lt;&gt;"",H723&gt;=20),"أصل","مصروف")),"مصروف"))))))</f>
        <v/>
      </c>
      <c r="K723" s="21" t="n"/>
      <c r="L723" s="22" t="n"/>
      <c r="N723">
        <f>IF(B723="","",MONTH(B723))</f>
        <v/>
      </c>
      <c r="O723">
        <f>IF(B723="","",YEAR(B723))</f>
        <v/>
      </c>
      <c r="P723">
        <f>IF(AND(D723&lt;&gt;"",COUNTIF(D$7:D723,D723)=1),MAX(P$6:P722)+1,"")</f>
        <v/>
      </c>
      <c r="Q723">
        <f>IF(E723="","",IF(I723="أجور عمال","أجرة","مادة"))</f>
        <v/>
      </c>
    </row>
    <row r="724">
      <c r="A724" s="12">
        <f>IF(E724="","",ROW()-6)</f>
        <v/>
      </c>
      <c r="B724" s="13" t="n"/>
      <c r="C724" s="12">
        <f>IF(B724="","",CHOOSE(WEEKDAY(B724,1),"الأحد","الاثنين","الثلاثاء","الأربعاء","الخميس","الجمعة","السبت"))</f>
        <v/>
      </c>
      <c r="D724" s="14" t="n"/>
      <c r="E724" s="15" t="n"/>
      <c r="F724" s="16" t="n"/>
      <c r="G724" s="17" t="n"/>
      <c r="H724" s="18">
        <f>IF(OR(F724="",G724=""),"",ROUND(F724*G724,2))</f>
        <v/>
      </c>
      <c r="I724" s="19">
        <f>IF(ISNUMBER(SEARCH("ستاند",D724)),"أثاث وستاندات","")</f>
        <v/>
      </c>
      <c r="J724" s="20">
        <f>IF(E724="","",IF(I724="","⚠ عبّي الغرض",IF(AND(D724&lt;&gt;"",OR(ISNUMBER(SEARCH("صيانة",D724)),ISNUMBER(SEARCH("تعزيل",D724)),ISNUMBER(SEARCH("تنظيف",D724)),ISNUMBER(SEARCH("تصليح",D724)))),"⚠ الصيانة بلا ورشة",IF(H724="","⚠ ناقص",IF(D724&lt;&gt;"",IF(SUMIF($D$7:$D$806,D724,$H$7:$H$806)&gt;=20,"أصل","مصروف"),IFERROR(IF(VLOOKUP(I724,'القوائم'!$A$2:$D$14,4,0)="زكاة وصدقة","زكاة وصدقة",IF(AND(VLOOKUP(I724,'القوائم'!$A$2:$D$14,3,0)&lt;&gt;"",H724&gt;=20),"أصل","مصروف")),"مصروف"))))))</f>
        <v/>
      </c>
      <c r="K724" s="21" t="n"/>
      <c r="L724" s="22" t="n"/>
      <c r="N724">
        <f>IF(B724="","",MONTH(B724))</f>
        <v/>
      </c>
      <c r="O724">
        <f>IF(B724="","",YEAR(B724))</f>
        <v/>
      </c>
      <c r="P724">
        <f>IF(AND(D724&lt;&gt;"",COUNTIF(D$7:D724,D724)=1),MAX(P$6:P723)+1,"")</f>
        <v/>
      </c>
      <c r="Q724">
        <f>IF(E724="","",IF(I724="أجور عمال","أجرة","مادة"))</f>
        <v/>
      </c>
    </row>
    <row r="725">
      <c r="A725" s="12">
        <f>IF(E725="","",ROW()-6)</f>
        <v/>
      </c>
      <c r="B725" s="13" t="n"/>
      <c r="C725" s="12">
        <f>IF(B725="","",CHOOSE(WEEKDAY(B725,1),"الأحد","الاثنين","الثلاثاء","الأربعاء","الخميس","الجمعة","السبت"))</f>
        <v/>
      </c>
      <c r="D725" s="14" t="n"/>
      <c r="E725" s="15" t="n"/>
      <c r="F725" s="16" t="n"/>
      <c r="G725" s="17" t="n"/>
      <c r="H725" s="18">
        <f>IF(OR(F725="",G725=""),"",ROUND(F725*G725,2))</f>
        <v/>
      </c>
      <c r="I725" s="19">
        <f>IF(ISNUMBER(SEARCH("ستاند",D725)),"أثاث وستاندات","")</f>
        <v/>
      </c>
      <c r="J725" s="20">
        <f>IF(E725="","",IF(I725="","⚠ عبّي الغرض",IF(AND(D725&lt;&gt;"",OR(ISNUMBER(SEARCH("صيانة",D725)),ISNUMBER(SEARCH("تعزيل",D725)),ISNUMBER(SEARCH("تنظيف",D725)),ISNUMBER(SEARCH("تصليح",D725)))),"⚠ الصيانة بلا ورشة",IF(H725="","⚠ ناقص",IF(D725&lt;&gt;"",IF(SUMIF($D$7:$D$806,D725,$H$7:$H$806)&gt;=20,"أصل","مصروف"),IFERROR(IF(VLOOKUP(I725,'القوائم'!$A$2:$D$14,4,0)="زكاة وصدقة","زكاة وصدقة",IF(AND(VLOOKUP(I725,'القوائم'!$A$2:$D$14,3,0)&lt;&gt;"",H725&gt;=20),"أصل","مصروف")),"مصروف"))))))</f>
        <v/>
      </c>
      <c r="K725" s="21" t="n"/>
      <c r="L725" s="22" t="n"/>
      <c r="N725">
        <f>IF(B725="","",MONTH(B725))</f>
        <v/>
      </c>
      <c r="O725">
        <f>IF(B725="","",YEAR(B725))</f>
        <v/>
      </c>
      <c r="P725">
        <f>IF(AND(D725&lt;&gt;"",COUNTIF(D$7:D725,D725)=1),MAX(P$6:P724)+1,"")</f>
        <v/>
      </c>
      <c r="Q725">
        <f>IF(E725="","",IF(I725="أجور عمال","أجرة","مادة"))</f>
        <v/>
      </c>
    </row>
    <row r="726">
      <c r="A726" s="12">
        <f>IF(E726="","",ROW()-6)</f>
        <v/>
      </c>
      <c r="B726" s="13" t="n"/>
      <c r="C726" s="12">
        <f>IF(B726="","",CHOOSE(WEEKDAY(B726,1),"الأحد","الاثنين","الثلاثاء","الأربعاء","الخميس","الجمعة","السبت"))</f>
        <v/>
      </c>
      <c r="D726" s="14" t="n"/>
      <c r="E726" s="15" t="n"/>
      <c r="F726" s="16" t="n"/>
      <c r="G726" s="17" t="n"/>
      <c r="H726" s="18">
        <f>IF(OR(F726="",G726=""),"",ROUND(F726*G726,2))</f>
        <v/>
      </c>
      <c r="I726" s="19">
        <f>IF(ISNUMBER(SEARCH("ستاند",D726)),"أثاث وستاندات","")</f>
        <v/>
      </c>
      <c r="J726" s="20">
        <f>IF(E726="","",IF(I726="","⚠ عبّي الغرض",IF(AND(D726&lt;&gt;"",OR(ISNUMBER(SEARCH("صيانة",D726)),ISNUMBER(SEARCH("تعزيل",D726)),ISNUMBER(SEARCH("تنظيف",D726)),ISNUMBER(SEARCH("تصليح",D726)))),"⚠ الصيانة بلا ورشة",IF(H726="","⚠ ناقص",IF(D726&lt;&gt;"",IF(SUMIF($D$7:$D$806,D726,$H$7:$H$806)&gt;=20,"أصل","مصروف"),IFERROR(IF(VLOOKUP(I726,'القوائم'!$A$2:$D$14,4,0)="زكاة وصدقة","زكاة وصدقة",IF(AND(VLOOKUP(I726,'القوائم'!$A$2:$D$14,3,0)&lt;&gt;"",H726&gt;=20),"أصل","مصروف")),"مصروف"))))))</f>
        <v/>
      </c>
      <c r="K726" s="21" t="n"/>
      <c r="L726" s="22" t="n"/>
      <c r="N726">
        <f>IF(B726="","",MONTH(B726))</f>
        <v/>
      </c>
      <c r="O726">
        <f>IF(B726="","",YEAR(B726))</f>
        <v/>
      </c>
      <c r="P726">
        <f>IF(AND(D726&lt;&gt;"",COUNTIF(D$7:D726,D726)=1),MAX(P$6:P725)+1,"")</f>
        <v/>
      </c>
      <c r="Q726">
        <f>IF(E726="","",IF(I726="أجور عمال","أجرة","مادة"))</f>
        <v/>
      </c>
    </row>
    <row r="727">
      <c r="A727" s="12">
        <f>IF(E727="","",ROW()-6)</f>
        <v/>
      </c>
      <c r="B727" s="13" t="n"/>
      <c r="C727" s="12">
        <f>IF(B727="","",CHOOSE(WEEKDAY(B727,1),"الأحد","الاثنين","الثلاثاء","الأربعاء","الخميس","الجمعة","السبت"))</f>
        <v/>
      </c>
      <c r="D727" s="14" t="n"/>
      <c r="E727" s="15" t="n"/>
      <c r="F727" s="16" t="n"/>
      <c r="G727" s="17" t="n"/>
      <c r="H727" s="18">
        <f>IF(OR(F727="",G727=""),"",ROUND(F727*G727,2))</f>
        <v/>
      </c>
      <c r="I727" s="19">
        <f>IF(ISNUMBER(SEARCH("ستاند",D727)),"أثاث وستاندات","")</f>
        <v/>
      </c>
      <c r="J727" s="20">
        <f>IF(E727="","",IF(I727="","⚠ عبّي الغرض",IF(AND(D727&lt;&gt;"",OR(ISNUMBER(SEARCH("صيانة",D727)),ISNUMBER(SEARCH("تعزيل",D727)),ISNUMBER(SEARCH("تنظيف",D727)),ISNUMBER(SEARCH("تصليح",D727)))),"⚠ الصيانة بلا ورشة",IF(H727="","⚠ ناقص",IF(D727&lt;&gt;"",IF(SUMIF($D$7:$D$806,D727,$H$7:$H$806)&gt;=20,"أصل","مصروف"),IFERROR(IF(VLOOKUP(I727,'القوائم'!$A$2:$D$14,4,0)="زكاة وصدقة","زكاة وصدقة",IF(AND(VLOOKUP(I727,'القوائم'!$A$2:$D$14,3,0)&lt;&gt;"",H727&gt;=20),"أصل","مصروف")),"مصروف"))))))</f>
        <v/>
      </c>
      <c r="K727" s="21" t="n"/>
      <c r="L727" s="22" t="n"/>
      <c r="N727">
        <f>IF(B727="","",MONTH(B727))</f>
        <v/>
      </c>
      <c r="O727">
        <f>IF(B727="","",YEAR(B727))</f>
        <v/>
      </c>
      <c r="P727">
        <f>IF(AND(D727&lt;&gt;"",COUNTIF(D$7:D727,D727)=1),MAX(P$6:P726)+1,"")</f>
        <v/>
      </c>
      <c r="Q727">
        <f>IF(E727="","",IF(I727="أجور عمال","أجرة","مادة"))</f>
        <v/>
      </c>
    </row>
    <row r="728">
      <c r="A728" s="12">
        <f>IF(E728="","",ROW()-6)</f>
        <v/>
      </c>
      <c r="B728" s="13" t="n"/>
      <c r="C728" s="12">
        <f>IF(B728="","",CHOOSE(WEEKDAY(B728,1),"الأحد","الاثنين","الثلاثاء","الأربعاء","الخميس","الجمعة","السبت"))</f>
        <v/>
      </c>
      <c r="D728" s="14" t="n"/>
      <c r="E728" s="15" t="n"/>
      <c r="F728" s="16" t="n"/>
      <c r="G728" s="17" t="n"/>
      <c r="H728" s="18">
        <f>IF(OR(F728="",G728=""),"",ROUND(F728*G728,2))</f>
        <v/>
      </c>
      <c r="I728" s="19">
        <f>IF(ISNUMBER(SEARCH("ستاند",D728)),"أثاث وستاندات","")</f>
        <v/>
      </c>
      <c r="J728" s="20">
        <f>IF(E728="","",IF(I728="","⚠ عبّي الغرض",IF(AND(D728&lt;&gt;"",OR(ISNUMBER(SEARCH("صيانة",D728)),ISNUMBER(SEARCH("تعزيل",D728)),ISNUMBER(SEARCH("تنظيف",D728)),ISNUMBER(SEARCH("تصليح",D728)))),"⚠ الصيانة بلا ورشة",IF(H728="","⚠ ناقص",IF(D728&lt;&gt;"",IF(SUMIF($D$7:$D$806,D728,$H$7:$H$806)&gt;=20,"أصل","مصروف"),IFERROR(IF(VLOOKUP(I728,'القوائم'!$A$2:$D$14,4,0)="زكاة وصدقة","زكاة وصدقة",IF(AND(VLOOKUP(I728,'القوائم'!$A$2:$D$14,3,0)&lt;&gt;"",H728&gt;=20),"أصل","مصروف")),"مصروف"))))))</f>
        <v/>
      </c>
      <c r="K728" s="21" t="n"/>
      <c r="L728" s="22" t="n"/>
      <c r="N728">
        <f>IF(B728="","",MONTH(B728))</f>
        <v/>
      </c>
      <c r="O728">
        <f>IF(B728="","",YEAR(B728))</f>
        <v/>
      </c>
      <c r="P728">
        <f>IF(AND(D728&lt;&gt;"",COUNTIF(D$7:D728,D728)=1),MAX(P$6:P727)+1,"")</f>
        <v/>
      </c>
      <c r="Q728">
        <f>IF(E728="","",IF(I728="أجور عمال","أجرة","مادة"))</f>
        <v/>
      </c>
    </row>
    <row r="729">
      <c r="A729" s="12">
        <f>IF(E729="","",ROW()-6)</f>
        <v/>
      </c>
      <c r="B729" s="13" t="n"/>
      <c r="C729" s="12">
        <f>IF(B729="","",CHOOSE(WEEKDAY(B729,1),"الأحد","الاثنين","الثلاثاء","الأربعاء","الخميس","الجمعة","السبت"))</f>
        <v/>
      </c>
      <c r="D729" s="14" t="n"/>
      <c r="E729" s="15" t="n"/>
      <c r="F729" s="16" t="n"/>
      <c r="G729" s="17" t="n"/>
      <c r="H729" s="18">
        <f>IF(OR(F729="",G729=""),"",ROUND(F729*G729,2))</f>
        <v/>
      </c>
      <c r="I729" s="19">
        <f>IF(ISNUMBER(SEARCH("ستاند",D729)),"أثاث وستاندات","")</f>
        <v/>
      </c>
      <c r="J729" s="20">
        <f>IF(E729="","",IF(I729="","⚠ عبّي الغرض",IF(AND(D729&lt;&gt;"",OR(ISNUMBER(SEARCH("صيانة",D729)),ISNUMBER(SEARCH("تعزيل",D729)),ISNUMBER(SEARCH("تنظيف",D729)),ISNUMBER(SEARCH("تصليح",D729)))),"⚠ الصيانة بلا ورشة",IF(H729="","⚠ ناقص",IF(D729&lt;&gt;"",IF(SUMIF($D$7:$D$806,D729,$H$7:$H$806)&gt;=20,"أصل","مصروف"),IFERROR(IF(VLOOKUP(I729,'القوائم'!$A$2:$D$14,4,0)="زكاة وصدقة","زكاة وصدقة",IF(AND(VLOOKUP(I729,'القوائم'!$A$2:$D$14,3,0)&lt;&gt;"",H729&gt;=20),"أصل","مصروف")),"مصروف"))))))</f>
        <v/>
      </c>
      <c r="K729" s="21" t="n"/>
      <c r="L729" s="22" t="n"/>
      <c r="N729">
        <f>IF(B729="","",MONTH(B729))</f>
        <v/>
      </c>
      <c r="O729">
        <f>IF(B729="","",YEAR(B729))</f>
        <v/>
      </c>
      <c r="P729">
        <f>IF(AND(D729&lt;&gt;"",COUNTIF(D$7:D729,D729)=1),MAX(P$6:P728)+1,"")</f>
        <v/>
      </c>
      <c r="Q729">
        <f>IF(E729="","",IF(I729="أجور عمال","أجرة","مادة"))</f>
        <v/>
      </c>
    </row>
    <row r="730">
      <c r="A730" s="12">
        <f>IF(E730="","",ROW()-6)</f>
        <v/>
      </c>
      <c r="B730" s="13" t="n"/>
      <c r="C730" s="12">
        <f>IF(B730="","",CHOOSE(WEEKDAY(B730,1),"الأحد","الاثنين","الثلاثاء","الأربعاء","الخميس","الجمعة","السبت"))</f>
        <v/>
      </c>
      <c r="D730" s="14" t="n"/>
      <c r="E730" s="15" t="n"/>
      <c r="F730" s="16" t="n"/>
      <c r="G730" s="17" t="n"/>
      <c r="H730" s="18">
        <f>IF(OR(F730="",G730=""),"",ROUND(F730*G730,2))</f>
        <v/>
      </c>
      <c r="I730" s="19">
        <f>IF(ISNUMBER(SEARCH("ستاند",D730)),"أثاث وستاندات","")</f>
        <v/>
      </c>
      <c r="J730" s="20">
        <f>IF(E730="","",IF(I730="","⚠ عبّي الغرض",IF(AND(D730&lt;&gt;"",OR(ISNUMBER(SEARCH("صيانة",D730)),ISNUMBER(SEARCH("تعزيل",D730)),ISNUMBER(SEARCH("تنظيف",D730)),ISNUMBER(SEARCH("تصليح",D730)))),"⚠ الصيانة بلا ورشة",IF(H730="","⚠ ناقص",IF(D730&lt;&gt;"",IF(SUMIF($D$7:$D$806,D730,$H$7:$H$806)&gt;=20,"أصل","مصروف"),IFERROR(IF(VLOOKUP(I730,'القوائم'!$A$2:$D$14,4,0)="زكاة وصدقة","زكاة وصدقة",IF(AND(VLOOKUP(I730,'القوائم'!$A$2:$D$14,3,0)&lt;&gt;"",H730&gt;=20),"أصل","مصروف")),"مصروف"))))))</f>
        <v/>
      </c>
      <c r="K730" s="21" t="n"/>
      <c r="L730" s="22" t="n"/>
      <c r="N730">
        <f>IF(B730="","",MONTH(B730))</f>
        <v/>
      </c>
      <c r="O730">
        <f>IF(B730="","",YEAR(B730))</f>
        <v/>
      </c>
      <c r="P730">
        <f>IF(AND(D730&lt;&gt;"",COUNTIF(D$7:D730,D730)=1),MAX(P$6:P729)+1,"")</f>
        <v/>
      </c>
      <c r="Q730">
        <f>IF(E730="","",IF(I730="أجور عمال","أجرة","مادة"))</f>
        <v/>
      </c>
    </row>
    <row r="731">
      <c r="A731" s="12">
        <f>IF(E731="","",ROW()-6)</f>
        <v/>
      </c>
      <c r="B731" s="13" t="n"/>
      <c r="C731" s="12">
        <f>IF(B731="","",CHOOSE(WEEKDAY(B731,1),"الأحد","الاثنين","الثلاثاء","الأربعاء","الخميس","الجمعة","السبت"))</f>
        <v/>
      </c>
      <c r="D731" s="14" t="n"/>
      <c r="E731" s="15" t="n"/>
      <c r="F731" s="16" t="n"/>
      <c r="G731" s="17" t="n"/>
      <c r="H731" s="18">
        <f>IF(OR(F731="",G731=""),"",ROUND(F731*G731,2))</f>
        <v/>
      </c>
      <c r="I731" s="19">
        <f>IF(ISNUMBER(SEARCH("ستاند",D731)),"أثاث وستاندات","")</f>
        <v/>
      </c>
      <c r="J731" s="20">
        <f>IF(E731="","",IF(I731="","⚠ عبّي الغرض",IF(AND(D731&lt;&gt;"",OR(ISNUMBER(SEARCH("صيانة",D731)),ISNUMBER(SEARCH("تعزيل",D731)),ISNUMBER(SEARCH("تنظيف",D731)),ISNUMBER(SEARCH("تصليح",D731)))),"⚠ الصيانة بلا ورشة",IF(H731="","⚠ ناقص",IF(D731&lt;&gt;"",IF(SUMIF($D$7:$D$806,D731,$H$7:$H$806)&gt;=20,"أصل","مصروف"),IFERROR(IF(VLOOKUP(I731,'القوائم'!$A$2:$D$14,4,0)="زكاة وصدقة","زكاة وصدقة",IF(AND(VLOOKUP(I731,'القوائم'!$A$2:$D$14,3,0)&lt;&gt;"",H731&gt;=20),"أصل","مصروف")),"مصروف"))))))</f>
        <v/>
      </c>
      <c r="K731" s="21" t="n"/>
      <c r="L731" s="22" t="n"/>
      <c r="N731">
        <f>IF(B731="","",MONTH(B731))</f>
        <v/>
      </c>
      <c r="O731">
        <f>IF(B731="","",YEAR(B731))</f>
        <v/>
      </c>
      <c r="P731">
        <f>IF(AND(D731&lt;&gt;"",COUNTIF(D$7:D731,D731)=1),MAX(P$6:P730)+1,"")</f>
        <v/>
      </c>
      <c r="Q731">
        <f>IF(E731="","",IF(I731="أجور عمال","أجرة","مادة"))</f>
        <v/>
      </c>
    </row>
    <row r="732">
      <c r="A732" s="12">
        <f>IF(E732="","",ROW()-6)</f>
        <v/>
      </c>
      <c r="B732" s="13" t="n"/>
      <c r="C732" s="12">
        <f>IF(B732="","",CHOOSE(WEEKDAY(B732,1),"الأحد","الاثنين","الثلاثاء","الأربعاء","الخميس","الجمعة","السبت"))</f>
        <v/>
      </c>
      <c r="D732" s="14" t="n"/>
      <c r="E732" s="15" t="n"/>
      <c r="F732" s="16" t="n"/>
      <c r="G732" s="17" t="n"/>
      <c r="H732" s="18">
        <f>IF(OR(F732="",G732=""),"",ROUND(F732*G732,2))</f>
        <v/>
      </c>
      <c r="I732" s="19">
        <f>IF(ISNUMBER(SEARCH("ستاند",D732)),"أثاث وستاندات","")</f>
        <v/>
      </c>
      <c r="J732" s="20">
        <f>IF(E732="","",IF(I732="","⚠ عبّي الغرض",IF(AND(D732&lt;&gt;"",OR(ISNUMBER(SEARCH("صيانة",D732)),ISNUMBER(SEARCH("تعزيل",D732)),ISNUMBER(SEARCH("تنظيف",D732)),ISNUMBER(SEARCH("تصليح",D732)))),"⚠ الصيانة بلا ورشة",IF(H732="","⚠ ناقص",IF(D732&lt;&gt;"",IF(SUMIF($D$7:$D$806,D732,$H$7:$H$806)&gt;=20,"أصل","مصروف"),IFERROR(IF(VLOOKUP(I732,'القوائم'!$A$2:$D$14,4,0)="زكاة وصدقة","زكاة وصدقة",IF(AND(VLOOKUP(I732,'القوائم'!$A$2:$D$14,3,0)&lt;&gt;"",H732&gt;=20),"أصل","مصروف")),"مصروف"))))))</f>
        <v/>
      </c>
      <c r="K732" s="21" t="n"/>
      <c r="L732" s="22" t="n"/>
      <c r="N732">
        <f>IF(B732="","",MONTH(B732))</f>
        <v/>
      </c>
      <c r="O732">
        <f>IF(B732="","",YEAR(B732))</f>
        <v/>
      </c>
      <c r="P732">
        <f>IF(AND(D732&lt;&gt;"",COUNTIF(D$7:D732,D732)=1),MAX(P$6:P731)+1,"")</f>
        <v/>
      </c>
      <c r="Q732">
        <f>IF(E732="","",IF(I732="أجور عمال","أجرة","مادة"))</f>
        <v/>
      </c>
    </row>
    <row r="733">
      <c r="A733" s="12">
        <f>IF(E733="","",ROW()-6)</f>
        <v/>
      </c>
      <c r="B733" s="13" t="n"/>
      <c r="C733" s="12">
        <f>IF(B733="","",CHOOSE(WEEKDAY(B733,1),"الأحد","الاثنين","الثلاثاء","الأربعاء","الخميس","الجمعة","السبت"))</f>
        <v/>
      </c>
      <c r="D733" s="14" t="n"/>
      <c r="E733" s="15" t="n"/>
      <c r="F733" s="16" t="n"/>
      <c r="G733" s="17" t="n"/>
      <c r="H733" s="18">
        <f>IF(OR(F733="",G733=""),"",ROUND(F733*G733,2))</f>
        <v/>
      </c>
      <c r="I733" s="19">
        <f>IF(ISNUMBER(SEARCH("ستاند",D733)),"أثاث وستاندات","")</f>
        <v/>
      </c>
      <c r="J733" s="20">
        <f>IF(E733="","",IF(I733="","⚠ عبّي الغرض",IF(AND(D733&lt;&gt;"",OR(ISNUMBER(SEARCH("صيانة",D733)),ISNUMBER(SEARCH("تعزيل",D733)),ISNUMBER(SEARCH("تنظيف",D733)),ISNUMBER(SEARCH("تصليح",D733)))),"⚠ الصيانة بلا ورشة",IF(H733="","⚠ ناقص",IF(D733&lt;&gt;"",IF(SUMIF($D$7:$D$806,D733,$H$7:$H$806)&gt;=20,"أصل","مصروف"),IFERROR(IF(VLOOKUP(I733,'القوائم'!$A$2:$D$14,4,0)="زكاة وصدقة","زكاة وصدقة",IF(AND(VLOOKUP(I733,'القوائم'!$A$2:$D$14,3,0)&lt;&gt;"",H733&gt;=20),"أصل","مصروف")),"مصروف"))))))</f>
        <v/>
      </c>
      <c r="K733" s="21" t="n"/>
      <c r="L733" s="22" t="n"/>
      <c r="N733">
        <f>IF(B733="","",MONTH(B733))</f>
        <v/>
      </c>
      <c r="O733">
        <f>IF(B733="","",YEAR(B733))</f>
        <v/>
      </c>
      <c r="P733">
        <f>IF(AND(D733&lt;&gt;"",COUNTIF(D$7:D733,D733)=1),MAX(P$6:P732)+1,"")</f>
        <v/>
      </c>
      <c r="Q733">
        <f>IF(E733="","",IF(I733="أجور عمال","أجرة","مادة"))</f>
        <v/>
      </c>
    </row>
    <row r="734">
      <c r="A734" s="12">
        <f>IF(E734="","",ROW()-6)</f>
        <v/>
      </c>
      <c r="B734" s="13" t="n"/>
      <c r="C734" s="12">
        <f>IF(B734="","",CHOOSE(WEEKDAY(B734,1),"الأحد","الاثنين","الثلاثاء","الأربعاء","الخميس","الجمعة","السبت"))</f>
        <v/>
      </c>
      <c r="D734" s="14" t="n"/>
      <c r="E734" s="15" t="n"/>
      <c r="F734" s="16" t="n"/>
      <c r="G734" s="17" t="n"/>
      <c r="H734" s="18">
        <f>IF(OR(F734="",G734=""),"",ROUND(F734*G734,2))</f>
        <v/>
      </c>
      <c r="I734" s="19">
        <f>IF(ISNUMBER(SEARCH("ستاند",D734)),"أثاث وستاندات","")</f>
        <v/>
      </c>
      <c r="J734" s="20">
        <f>IF(E734="","",IF(I734="","⚠ عبّي الغرض",IF(AND(D734&lt;&gt;"",OR(ISNUMBER(SEARCH("صيانة",D734)),ISNUMBER(SEARCH("تعزيل",D734)),ISNUMBER(SEARCH("تنظيف",D734)),ISNUMBER(SEARCH("تصليح",D734)))),"⚠ الصيانة بلا ورشة",IF(H734="","⚠ ناقص",IF(D734&lt;&gt;"",IF(SUMIF($D$7:$D$806,D734,$H$7:$H$806)&gt;=20,"أصل","مصروف"),IFERROR(IF(VLOOKUP(I734,'القوائم'!$A$2:$D$14,4,0)="زكاة وصدقة","زكاة وصدقة",IF(AND(VLOOKUP(I734,'القوائم'!$A$2:$D$14,3,0)&lt;&gt;"",H734&gt;=20),"أصل","مصروف")),"مصروف"))))))</f>
        <v/>
      </c>
      <c r="K734" s="21" t="n"/>
      <c r="L734" s="22" t="n"/>
      <c r="N734">
        <f>IF(B734="","",MONTH(B734))</f>
        <v/>
      </c>
      <c r="O734">
        <f>IF(B734="","",YEAR(B734))</f>
        <v/>
      </c>
      <c r="P734">
        <f>IF(AND(D734&lt;&gt;"",COUNTIF(D$7:D734,D734)=1),MAX(P$6:P733)+1,"")</f>
        <v/>
      </c>
      <c r="Q734">
        <f>IF(E734="","",IF(I734="أجور عمال","أجرة","مادة"))</f>
        <v/>
      </c>
    </row>
    <row r="735">
      <c r="A735" s="12">
        <f>IF(E735="","",ROW()-6)</f>
        <v/>
      </c>
      <c r="B735" s="13" t="n"/>
      <c r="C735" s="12">
        <f>IF(B735="","",CHOOSE(WEEKDAY(B735,1),"الأحد","الاثنين","الثلاثاء","الأربعاء","الخميس","الجمعة","السبت"))</f>
        <v/>
      </c>
      <c r="D735" s="14" t="n"/>
      <c r="E735" s="15" t="n"/>
      <c r="F735" s="16" t="n"/>
      <c r="G735" s="17" t="n"/>
      <c r="H735" s="18">
        <f>IF(OR(F735="",G735=""),"",ROUND(F735*G735,2))</f>
        <v/>
      </c>
      <c r="I735" s="19">
        <f>IF(ISNUMBER(SEARCH("ستاند",D735)),"أثاث وستاندات","")</f>
        <v/>
      </c>
      <c r="J735" s="20">
        <f>IF(E735="","",IF(I735="","⚠ عبّي الغرض",IF(AND(D735&lt;&gt;"",OR(ISNUMBER(SEARCH("صيانة",D735)),ISNUMBER(SEARCH("تعزيل",D735)),ISNUMBER(SEARCH("تنظيف",D735)),ISNUMBER(SEARCH("تصليح",D735)))),"⚠ الصيانة بلا ورشة",IF(H735="","⚠ ناقص",IF(D735&lt;&gt;"",IF(SUMIF($D$7:$D$806,D735,$H$7:$H$806)&gt;=20,"أصل","مصروف"),IFERROR(IF(VLOOKUP(I735,'القوائم'!$A$2:$D$14,4,0)="زكاة وصدقة","زكاة وصدقة",IF(AND(VLOOKUP(I735,'القوائم'!$A$2:$D$14,3,0)&lt;&gt;"",H735&gt;=20),"أصل","مصروف")),"مصروف"))))))</f>
        <v/>
      </c>
      <c r="K735" s="21" t="n"/>
      <c r="L735" s="22" t="n"/>
      <c r="N735">
        <f>IF(B735="","",MONTH(B735))</f>
        <v/>
      </c>
      <c r="O735">
        <f>IF(B735="","",YEAR(B735))</f>
        <v/>
      </c>
      <c r="P735">
        <f>IF(AND(D735&lt;&gt;"",COUNTIF(D$7:D735,D735)=1),MAX(P$6:P734)+1,"")</f>
        <v/>
      </c>
      <c r="Q735">
        <f>IF(E735="","",IF(I735="أجور عمال","أجرة","مادة"))</f>
        <v/>
      </c>
    </row>
    <row r="736">
      <c r="A736" s="12">
        <f>IF(E736="","",ROW()-6)</f>
        <v/>
      </c>
      <c r="B736" s="13" t="n"/>
      <c r="C736" s="12">
        <f>IF(B736="","",CHOOSE(WEEKDAY(B736,1),"الأحد","الاثنين","الثلاثاء","الأربعاء","الخميس","الجمعة","السبت"))</f>
        <v/>
      </c>
      <c r="D736" s="14" t="n"/>
      <c r="E736" s="15" t="n"/>
      <c r="F736" s="16" t="n"/>
      <c r="G736" s="17" t="n"/>
      <c r="H736" s="18">
        <f>IF(OR(F736="",G736=""),"",ROUND(F736*G736,2))</f>
        <v/>
      </c>
      <c r="I736" s="19">
        <f>IF(ISNUMBER(SEARCH("ستاند",D736)),"أثاث وستاندات","")</f>
        <v/>
      </c>
      <c r="J736" s="20">
        <f>IF(E736="","",IF(I736="","⚠ عبّي الغرض",IF(AND(D736&lt;&gt;"",OR(ISNUMBER(SEARCH("صيانة",D736)),ISNUMBER(SEARCH("تعزيل",D736)),ISNUMBER(SEARCH("تنظيف",D736)),ISNUMBER(SEARCH("تصليح",D736)))),"⚠ الصيانة بلا ورشة",IF(H736="","⚠ ناقص",IF(D736&lt;&gt;"",IF(SUMIF($D$7:$D$806,D736,$H$7:$H$806)&gt;=20,"أصل","مصروف"),IFERROR(IF(VLOOKUP(I736,'القوائم'!$A$2:$D$14,4,0)="زكاة وصدقة","زكاة وصدقة",IF(AND(VLOOKUP(I736,'القوائم'!$A$2:$D$14,3,0)&lt;&gt;"",H736&gt;=20),"أصل","مصروف")),"مصروف"))))))</f>
        <v/>
      </c>
      <c r="K736" s="21" t="n"/>
      <c r="L736" s="22" t="n"/>
      <c r="N736">
        <f>IF(B736="","",MONTH(B736))</f>
        <v/>
      </c>
      <c r="O736">
        <f>IF(B736="","",YEAR(B736))</f>
        <v/>
      </c>
      <c r="P736">
        <f>IF(AND(D736&lt;&gt;"",COUNTIF(D$7:D736,D736)=1),MAX(P$6:P735)+1,"")</f>
        <v/>
      </c>
      <c r="Q736">
        <f>IF(E736="","",IF(I736="أجور عمال","أجرة","مادة"))</f>
        <v/>
      </c>
    </row>
    <row r="737">
      <c r="A737" s="12">
        <f>IF(E737="","",ROW()-6)</f>
        <v/>
      </c>
      <c r="B737" s="13" t="n"/>
      <c r="C737" s="12">
        <f>IF(B737="","",CHOOSE(WEEKDAY(B737,1),"الأحد","الاثنين","الثلاثاء","الأربعاء","الخميس","الجمعة","السبت"))</f>
        <v/>
      </c>
      <c r="D737" s="14" t="n"/>
      <c r="E737" s="15" t="n"/>
      <c r="F737" s="16" t="n"/>
      <c r="G737" s="17" t="n"/>
      <c r="H737" s="18">
        <f>IF(OR(F737="",G737=""),"",ROUND(F737*G737,2))</f>
        <v/>
      </c>
      <c r="I737" s="19">
        <f>IF(ISNUMBER(SEARCH("ستاند",D737)),"أثاث وستاندات","")</f>
        <v/>
      </c>
      <c r="J737" s="20">
        <f>IF(E737="","",IF(I737="","⚠ عبّي الغرض",IF(AND(D737&lt;&gt;"",OR(ISNUMBER(SEARCH("صيانة",D737)),ISNUMBER(SEARCH("تعزيل",D737)),ISNUMBER(SEARCH("تنظيف",D737)),ISNUMBER(SEARCH("تصليح",D737)))),"⚠ الصيانة بلا ورشة",IF(H737="","⚠ ناقص",IF(D737&lt;&gt;"",IF(SUMIF($D$7:$D$806,D737,$H$7:$H$806)&gt;=20,"أصل","مصروف"),IFERROR(IF(VLOOKUP(I737,'القوائم'!$A$2:$D$14,4,0)="زكاة وصدقة","زكاة وصدقة",IF(AND(VLOOKUP(I737,'القوائم'!$A$2:$D$14,3,0)&lt;&gt;"",H737&gt;=20),"أصل","مصروف")),"مصروف"))))))</f>
        <v/>
      </c>
      <c r="K737" s="21" t="n"/>
      <c r="L737" s="22" t="n"/>
      <c r="N737">
        <f>IF(B737="","",MONTH(B737))</f>
        <v/>
      </c>
      <c r="O737">
        <f>IF(B737="","",YEAR(B737))</f>
        <v/>
      </c>
      <c r="P737">
        <f>IF(AND(D737&lt;&gt;"",COUNTIF(D$7:D737,D737)=1),MAX(P$6:P736)+1,"")</f>
        <v/>
      </c>
      <c r="Q737">
        <f>IF(E737="","",IF(I737="أجور عمال","أجرة","مادة"))</f>
        <v/>
      </c>
    </row>
    <row r="738">
      <c r="A738" s="12">
        <f>IF(E738="","",ROW()-6)</f>
        <v/>
      </c>
      <c r="B738" s="13" t="n"/>
      <c r="C738" s="12">
        <f>IF(B738="","",CHOOSE(WEEKDAY(B738,1),"الأحد","الاثنين","الثلاثاء","الأربعاء","الخميس","الجمعة","السبت"))</f>
        <v/>
      </c>
      <c r="D738" s="14" t="n"/>
      <c r="E738" s="15" t="n"/>
      <c r="F738" s="16" t="n"/>
      <c r="G738" s="17" t="n"/>
      <c r="H738" s="18">
        <f>IF(OR(F738="",G738=""),"",ROUND(F738*G738,2))</f>
        <v/>
      </c>
      <c r="I738" s="19">
        <f>IF(ISNUMBER(SEARCH("ستاند",D738)),"أثاث وستاندات","")</f>
        <v/>
      </c>
      <c r="J738" s="20">
        <f>IF(E738="","",IF(I738="","⚠ عبّي الغرض",IF(AND(D738&lt;&gt;"",OR(ISNUMBER(SEARCH("صيانة",D738)),ISNUMBER(SEARCH("تعزيل",D738)),ISNUMBER(SEARCH("تنظيف",D738)),ISNUMBER(SEARCH("تصليح",D738)))),"⚠ الصيانة بلا ورشة",IF(H738="","⚠ ناقص",IF(D738&lt;&gt;"",IF(SUMIF($D$7:$D$806,D738,$H$7:$H$806)&gt;=20,"أصل","مصروف"),IFERROR(IF(VLOOKUP(I738,'القوائم'!$A$2:$D$14,4,0)="زكاة وصدقة","زكاة وصدقة",IF(AND(VLOOKUP(I738,'القوائم'!$A$2:$D$14,3,0)&lt;&gt;"",H738&gt;=20),"أصل","مصروف")),"مصروف"))))))</f>
        <v/>
      </c>
      <c r="K738" s="21" t="n"/>
      <c r="L738" s="22" t="n"/>
      <c r="N738">
        <f>IF(B738="","",MONTH(B738))</f>
        <v/>
      </c>
      <c r="O738">
        <f>IF(B738="","",YEAR(B738))</f>
        <v/>
      </c>
      <c r="P738">
        <f>IF(AND(D738&lt;&gt;"",COUNTIF(D$7:D738,D738)=1),MAX(P$6:P737)+1,"")</f>
        <v/>
      </c>
      <c r="Q738">
        <f>IF(E738="","",IF(I738="أجور عمال","أجرة","مادة"))</f>
        <v/>
      </c>
    </row>
    <row r="739">
      <c r="A739" s="12">
        <f>IF(E739="","",ROW()-6)</f>
        <v/>
      </c>
      <c r="B739" s="13" t="n"/>
      <c r="C739" s="12">
        <f>IF(B739="","",CHOOSE(WEEKDAY(B739,1),"الأحد","الاثنين","الثلاثاء","الأربعاء","الخميس","الجمعة","السبت"))</f>
        <v/>
      </c>
      <c r="D739" s="14" t="n"/>
      <c r="E739" s="15" t="n"/>
      <c r="F739" s="16" t="n"/>
      <c r="G739" s="17" t="n"/>
      <c r="H739" s="18">
        <f>IF(OR(F739="",G739=""),"",ROUND(F739*G739,2))</f>
        <v/>
      </c>
      <c r="I739" s="19">
        <f>IF(ISNUMBER(SEARCH("ستاند",D739)),"أثاث وستاندات","")</f>
        <v/>
      </c>
      <c r="J739" s="20">
        <f>IF(E739="","",IF(I739="","⚠ عبّي الغرض",IF(AND(D739&lt;&gt;"",OR(ISNUMBER(SEARCH("صيانة",D739)),ISNUMBER(SEARCH("تعزيل",D739)),ISNUMBER(SEARCH("تنظيف",D739)),ISNUMBER(SEARCH("تصليح",D739)))),"⚠ الصيانة بلا ورشة",IF(H739="","⚠ ناقص",IF(D739&lt;&gt;"",IF(SUMIF($D$7:$D$806,D739,$H$7:$H$806)&gt;=20,"أصل","مصروف"),IFERROR(IF(VLOOKUP(I739,'القوائم'!$A$2:$D$14,4,0)="زكاة وصدقة","زكاة وصدقة",IF(AND(VLOOKUP(I739,'القوائم'!$A$2:$D$14,3,0)&lt;&gt;"",H739&gt;=20),"أصل","مصروف")),"مصروف"))))))</f>
        <v/>
      </c>
      <c r="K739" s="21" t="n"/>
      <c r="L739" s="22" t="n"/>
      <c r="N739">
        <f>IF(B739="","",MONTH(B739))</f>
        <v/>
      </c>
      <c r="O739">
        <f>IF(B739="","",YEAR(B739))</f>
        <v/>
      </c>
      <c r="P739">
        <f>IF(AND(D739&lt;&gt;"",COUNTIF(D$7:D739,D739)=1),MAX(P$6:P738)+1,"")</f>
        <v/>
      </c>
      <c r="Q739">
        <f>IF(E739="","",IF(I739="أجور عمال","أجرة","مادة"))</f>
        <v/>
      </c>
    </row>
    <row r="740">
      <c r="A740" s="12">
        <f>IF(E740="","",ROW()-6)</f>
        <v/>
      </c>
      <c r="B740" s="13" t="n"/>
      <c r="C740" s="12">
        <f>IF(B740="","",CHOOSE(WEEKDAY(B740,1),"الأحد","الاثنين","الثلاثاء","الأربعاء","الخميس","الجمعة","السبت"))</f>
        <v/>
      </c>
      <c r="D740" s="14" t="n"/>
      <c r="E740" s="15" t="n"/>
      <c r="F740" s="16" t="n"/>
      <c r="G740" s="17" t="n"/>
      <c r="H740" s="18">
        <f>IF(OR(F740="",G740=""),"",ROUND(F740*G740,2))</f>
        <v/>
      </c>
      <c r="I740" s="19">
        <f>IF(ISNUMBER(SEARCH("ستاند",D740)),"أثاث وستاندات","")</f>
        <v/>
      </c>
      <c r="J740" s="20">
        <f>IF(E740="","",IF(I740="","⚠ عبّي الغرض",IF(AND(D740&lt;&gt;"",OR(ISNUMBER(SEARCH("صيانة",D740)),ISNUMBER(SEARCH("تعزيل",D740)),ISNUMBER(SEARCH("تنظيف",D740)),ISNUMBER(SEARCH("تصليح",D740)))),"⚠ الصيانة بلا ورشة",IF(H740="","⚠ ناقص",IF(D740&lt;&gt;"",IF(SUMIF($D$7:$D$806,D740,$H$7:$H$806)&gt;=20,"أصل","مصروف"),IFERROR(IF(VLOOKUP(I740,'القوائم'!$A$2:$D$14,4,0)="زكاة وصدقة","زكاة وصدقة",IF(AND(VLOOKUP(I740,'القوائم'!$A$2:$D$14,3,0)&lt;&gt;"",H740&gt;=20),"أصل","مصروف")),"مصروف"))))))</f>
        <v/>
      </c>
      <c r="K740" s="21" t="n"/>
      <c r="L740" s="22" t="n"/>
      <c r="N740">
        <f>IF(B740="","",MONTH(B740))</f>
        <v/>
      </c>
      <c r="O740">
        <f>IF(B740="","",YEAR(B740))</f>
        <v/>
      </c>
      <c r="P740">
        <f>IF(AND(D740&lt;&gt;"",COUNTIF(D$7:D740,D740)=1),MAX(P$6:P739)+1,"")</f>
        <v/>
      </c>
      <c r="Q740">
        <f>IF(E740="","",IF(I740="أجور عمال","أجرة","مادة"))</f>
        <v/>
      </c>
    </row>
    <row r="741">
      <c r="A741" s="12">
        <f>IF(E741="","",ROW()-6)</f>
        <v/>
      </c>
      <c r="B741" s="13" t="n"/>
      <c r="C741" s="12">
        <f>IF(B741="","",CHOOSE(WEEKDAY(B741,1),"الأحد","الاثنين","الثلاثاء","الأربعاء","الخميس","الجمعة","السبت"))</f>
        <v/>
      </c>
      <c r="D741" s="14" t="n"/>
      <c r="E741" s="15" t="n"/>
      <c r="F741" s="16" t="n"/>
      <c r="G741" s="17" t="n"/>
      <c r="H741" s="18">
        <f>IF(OR(F741="",G741=""),"",ROUND(F741*G741,2))</f>
        <v/>
      </c>
      <c r="I741" s="19">
        <f>IF(ISNUMBER(SEARCH("ستاند",D741)),"أثاث وستاندات","")</f>
        <v/>
      </c>
      <c r="J741" s="20">
        <f>IF(E741="","",IF(I741="","⚠ عبّي الغرض",IF(AND(D741&lt;&gt;"",OR(ISNUMBER(SEARCH("صيانة",D741)),ISNUMBER(SEARCH("تعزيل",D741)),ISNUMBER(SEARCH("تنظيف",D741)),ISNUMBER(SEARCH("تصليح",D741)))),"⚠ الصيانة بلا ورشة",IF(H741="","⚠ ناقص",IF(D741&lt;&gt;"",IF(SUMIF($D$7:$D$806,D741,$H$7:$H$806)&gt;=20,"أصل","مصروف"),IFERROR(IF(VLOOKUP(I741,'القوائم'!$A$2:$D$14,4,0)="زكاة وصدقة","زكاة وصدقة",IF(AND(VLOOKUP(I741,'القوائم'!$A$2:$D$14,3,0)&lt;&gt;"",H741&gt;=20),"أصل","مصروف")),"مصروف"))))))</f>
        <v/>
      </c>
      <c r="K741" s="21" t="n"/>
      <c r="L741" s="22" t="n"/>
      <c r="N741">
        <f>IF(B741="","",MONTH(B741))</f>
        <v/>
      </c>
      <c r="O741">
        <f>IF(B741="","",YEAR(B741))</f>
        <v/>
      </c>
      <c r="P741">
        <f>IF(AND(D741&lt;&gt;"",COUNTIF(D$7:D741,D741)=1),MAX(P$6:P740)+1,"")</f>
        <v/>
      </c>
      <c r="Q741">
        <f>IF(E741="","",IF(I741="أجور عمال","أجرة","مادة"))</f>
        <v/>
      </c>
    </row>
    <row r="742">
      <c r="A742" s="12">
        <f>IF(E742="","",ROW()-6)</f>
        <v/>
      </c>
      <c r="B742" s="13" t="n"/>
      <c r="C742" s="12">
        <f>IF(B742="","",CHOOSE(WEEKDAY(B742,1),"الأحد","الاثنين","الثلاثاء","الأربعاء","الخميس","الجمعة","السبت"))</f>
        <v/>
      </c>
      <c r="D742" s="14" t="n"/>
      <c r="E742" s="15" t="n"/>
      <c r="F742" s="16" t="n"/>
      <c r="G742" s="17" t="n"/>
      <c r="H742" s="18">
        <f>IF(OR(F742="",G742=""),"",ROUND(F742*G742,2))</f>
        <v/>
      </c>
      <c r="I742" s="19">
        <f>IF(ISNUMBER(SEARCH("ستاند",D742)),"أثاث وستاندات","")</f>
        <v/>
      </c>
      <c r="J742" s="20">
        <f>IF(E742="","",IF(I742="","⚠ عبّي الغرض",IF(AND(D742&lt;&gt;"",OR(ISNUMBER(SEARCH("صيانة",D742)),ISNUMBER(SEARCH("تعزيل",D742)),ISNUMBER(SEARCH("تنظيف",D742)),ISNUMBER(SEARCH("تصليح",D742)))),"⚠ الصيانة بلا ورشة",IF(H742="","⚠ ناقص",IF(D742&lt;&gt;"",IF(SUMIF($D$7:$D$806,D742,$H$7:$H$806)&gt;=20,"أصل","مصروف"),IFERROR(IF(VLOOKUP(I742,'القوائم'!$A$2:$D$14,4,0)="زكاة وصدقة","زكاة وصدقة",IF(AND(VLOOKUP(I742,'القوائم'!$A$2:$D$14,3,0)&lt;&gt;"",H742&gt;=20),"أصل","مصروف")),"مصروف"))))))</f>
        <v/>
      </c>
      <c r="K742" s="21" t="n"/>
      <c r="L742" s="22" t="n"/>
      <c r="N742">
        <f>IF(B742="","",MONTH(B742))</f>
        <v/>
      </c>
      <c r="O742">
        <f>IF(B742="","",YEAR(B742))</f>
        <v/>
      </c>
      <c r="P742">
        <f>IF(AND(D742&lt;&gt;"",COUNTIF(D$7:D742,D742)=1),MAX(P$6:P741)+1,"")</f>
        <v/>
      </c>
      <c r="Q742">
        <f>IF(E742="","",IF(I742="أجور عمال","أجرة","مادة"))</f>
        <v/>
      </c>
    </row>
    <row r="743">
      <c r="A743" s="12">
        <f>IF(E743="","",ROW()-6)</f>
        <v/>
      </c>
      <c r="B743" s="13" t="n"/>
      <c r="C743" s="12">
        <f>IF(B743="","",CHOOSE(WEEKDAY(B743,1),"الأحد","الاثنين","الثلاثاء","الأربعاء","الخميس","الجمعة","السبت"))</f>
        <v/>
      </c>
      <c r="D743" s="14" t="n"/>
      <c r="E743" s="15" t="n"/>
      <c r="F743" s="16" t="n"/>
      <c r="G743" s="17" t="n"/>
      <c r="H743" s="18">
        <f>IF(OR(F743="",G743=""),"",ROUND(F743*G743,2))</f>
        <v/>
      </c>
      <c r="I743" s="19">
        <f>IF(ISNUMBER(SEARCH("ستاند",D743)),"أثاث وستاندات","")</f>
        <v/>
      </c>
      <c r="J743" s="20">
        <f>IF(E743="","",IF(I743="","⚠ عبّي الغرض",IF(AND(D743&lt;&gt;"",OR(ISNUMBER(SEARCH("صيانة",D743)),ISNUMBER(SEARCH("تعزيل",D743)),ISNUMBER(SEARCH("تنظيف",D743)),ISNUMBER(SEARCH("تصليح",D743)))),"⚠ الصيانة بلا ورشة",IF(H743="","⚠ ناقص",IF(D743&lt;&gt;"",IF(SUMIF($D$7:$D$806,D743,$H$7:$H$806)&gt;=20,"أصل","مصروف"),IFERROR(IF(VLOOKUP(I743,'القوائم'!$A$2:$D$14,4,0)="زكاة وصدقة","زكاة وصدقة",IF(AND(VLOOKUP(I743,'القوائم'!$A$2:$D$14,3,0)&lt;&gt;"",H743&gt;=20),"أصل","مصروف")),"مصروف"))))))</f>
        <v/>
      </c>
      <c r="K743" s="21" t="n"/>
      <c r="L743" s="22" t="n"/>
      <c r="N743">
        <f>IF(B743="","",MONTH(B743))</f>
        <v/>
      </c>
      <c r="O743">
        <f>IF(B743="","",YEAR(B743))</f>
        <v/>
      </c>
      <c r="P743">
        <f>IF(AND(D743&lt;&gt;"",COUNTIF(D$7:D743,D743)=1),MAX(P$6:P742)+1,"")</f>
        <v/>
      </c>
      <c r="Q743">
        <f>IF(E743="","",IF(I743="أجور عمال","أجرة","مادة"))</f>
        <v/>
      </c>
    </row>
    <row r="744">
      <c r="A744" s="12">
        <f>IF(E744="","",ROW()-6)</f>
        <v/>
      </c>
      <c r="B744" s="13" t="n"/>
      <c r="C744" s="12">
        <f>IF(B744="","",CHOOSE(WEEKDAY(B744,1),"الأحد","الاثنين","الثلاثاء","الأربعاء","الخميس","الجمعة","السبت"))</f>
        <v/>
      </c>
      <c r="D744" s="14" t="n"/>
      <c r="E744" s="15" t="n"/>
      <c r="F744" s="16" t="n"/>
      <c r="G744" s="17" t="n"/>
      <c r="H744" s="18">
        <f>IF(OR(F744="",G744=""),"",ROUND(F744*G744,2))</f>
        <v/>
      </c>
      <c r="I744" s="19">
        <f>IF(ISNUMBER(SEARCH("ستاند",D744)),"أثاث وستاندات","")</f>
        <v/>
      </c>
      <c r="J744" s="20">
        <f>IF(E744="","",IF(I744="","⚠ عبّي الغرض",IF(AND(D744&lt;&gt;"",OR(ISNUMBER(SEARCH("صيانة",D744)),ISNUMBER(SEARCH("تعزيل",D744)),ISNUMBER(SEARCH("تنظيف",D744)),ISNUMBER(SEARCH("تصليح",D744)))),"⚠ الصيانة بلا ورشة",IF(H744="","⚠ ناقص",IF(D744&lt;&gt;"",IF(SUMIF($D$7:$D$806,D744,$H$7:$H$806)&gt;=20,"أصل","مصروف"),IFERROR(IF(VLOOKUP(I744,'القوائم'!$A$2:$D$14,4,0)="زكاة وصدقة","زكاة وصدقة",IF(AND(VLOOKUP(I744,'القوائم'!$A$2:$D$14,3,0)&lt;&gt;"",H744&gt;=20),"أصل","مصروف")),"مصروف"))))))</f>
        <v/>
      </c>
      <c r="K744" s="21" t="n"/>
      <c r="L744" s="22" t="n"/>
      <c r="N744">
        <f>IF(B744="","",MONTH(B744))</f>
        <v/>
      </c>
      <c r="O744">
        <f>IF(B744="","",YEAR(B744))</f>
        <v/>
      </c>
      <c r="P744">
        <f>IF(AND(D744&lt;&gt;"",COUNTIF(D$7:D744,D744)=1),MAX(P$6:P743)+1,"")</f>
        <v/>
      </c>
      <c r="Q744">
        <f>IF(E744="","",IF(I744="أجور عمال","أجرة","مادة"))</f>
        <v/>
      </c>
    </row>
    <row r="745">
      <c r="A745" s="12">
        <f>IF(E745="","",ROW()-6)</f>
        <v/>
      </c>
      <c r="B745" s="13" t="n"/>
      <c r="C745" s="12">
        <f>IF(B745="","",CHOOSE(WEEKDAY(B745,1),"الأحد","الاثنين","الثلاثاء","الأربعاء","الخميس","الجمعة","السبت"))</f>
        <v/>
      </c>
      <c r="D745" s="14" t="n"/>
      <c r="E745" s="15" t="n"/>
      <c r="F745" s="16" t="n"/>
      <c r="G745" s="17" t="n"/>
      <c r="H745" s="18">
        <f>IF(OR(F745="",G745=""),"",ROUND(F745*G745,2))</f>
        <v/>
      </c>
      <c r="I745" s="19">
        <f>IF(ISNUMBER(SEARCH("ستاند",D745)),"أثاث وستاندات","")</f>
        <v/>
      </c>
      <c r="J745" s="20">
        <f>IF(E745="","",IF(I745="","⚠ عبّي الغرض",IF(AND(D745&lt;&gt;"",OR(ISNUMBER(SEARCH("صيانة",D745)),ISNUMBER(SEARCH("تعزيل",D745)),ISNUMBER(SEARCH("تنظيف",D745)),ISNUMBER(SEARCH("تصليح",D745)))),"⚠ الصيانة بلا ورشة",IF(H745="","⚠ ناقص",IF(D745&lt;&gt;"",IF(SUMIF($D$7:$D$806,D745,$H$7:$H$806)&gt;=20,"أصل","مصروف"),IFERROR(IF(VLOOKUP(I745,'القوائم'!$A$2:$D$14,4,0)="زكاة وصدقة","زكاة وصدقة",IF(AND(VLOOKUP(I745,'القوائم'!$A$2:$D$14,3,0)&lt;&gt;"",H745&gt;=20),"أصل","مصروف")),"مصروف"))))))</f>
        <v/>
      </c>
      <c r="K745" s="21" t="n"/>
      <c r="L745" s="22" t="n"/>
      <c r="N745">
        <f>IF(B745="","",MONTH(B745))</f>
        <v/>
      </c>
      <c r="O745">
        <f>IF(B745="","",YEAR(B745))</f>
        <v/>
      </c>
      <c r="P745">
        <f>IF(AND(D745&lt;&gt;"",COUNTIF(D$7:D745,D745)=1),MAX(P$6:P744)+1,"")</f>
        <v/>
      </c>
      <c r="Q745">
        <f>IF(E745="","",IF(I745="أجور عمال","أجرة","مادة"))</f>
        <v/>
      </c>
    </row>
    <row r="746">
      <c r="A746" s="12">
        <f>IF(E746="","",ROW()-6)</f>
        <v/>
      </c>
      <c r="B746" s="13" t="n"/>
      <c r="C746" s="12">
        <f>IF(B746="","",CHOOSE(WEEKDAY(B746,1),"الأحد","الاثنين","الثلاثاء","الأربعاء","الخميس","الجمعة","السبت"))</f>
        <v/>
      </c>
      <c r="D746" s="14" t="n"/>
      <c r="E746" s="15" t="n"/>
      <c r="F746" s="16" t="n"/>
      <c r="G746" s="17" t="n"/>
      <c r="H746" s="18">
        <f>IF(OR(F746="",G746=""),"",ROUND(F746*G746,2))</f>
        <v/>
      </c>
      <c r="I746" s="19">
        <f>IF(ISNUMBER(SEARCH("ستاند",D746)),"أثاث وستاندات","")</f>
        <v/>
      </c>
      <c r="J746" s="20">
        <f>IF(E746="","",IF(I746="","⚠ عبّي الغرض",IF(AND(D746&lt;&gt;"",OR(ISNUMBER(SEARCH("صيانة",D746)),ISNUMBER(SEARCH("تعزيل",D746)),ISNUMBER(SEARCH("تنظيف",D746)),ISNUMBER(SEARCH("تصليح",D746)))),"⚠ الصيانة بلا ورشة",IF(H746="","⚠ ناقص",IF(D746&lt;&gt;"",IF(SUMIF($D$7:$D$806,D746,$H$7:$H$806)&gt;=20,"أصل","مصروف"),IFERROR(IF(VLOOKUP(I746,'القوائم'!$A$2:$D$14,4,0)="زكاة وصدقة","زكاة وصدقة",IF(AND(VLOOKUP(I746,'القوائم'!$A$2:$D$14,3,0)&lt;&gt;"",H746&gt;=20),"أصل","مصروف")),"مصروف"))))))</f>
        <v/>
      </c>
      <c r="K746" s="21" t="n"/>
      <c r="L746" s="22" t="n"/>
      <c r="N746">
        <f>IF(B746="","",MONTH(B746))</f>
        <v/>
      </c>
      <c r="O746">
        <f>IF(B746="","",YEAR(B746))</f>
        <v/>
      </c>
      <c r="P746">
        <f>IF(AND(D746&lt;&gt;"",COUNTIF(D$7:D746,D746)=1),MAX(P$6:P745)+1,"")</f>
        <v/>
      </c>
      <c r="Q746">
        <f>IF(E746="","",IF(I746="أجور عمال","أجرة","مادة"))</f>
        <v/>
      </c>
    </row>
    <row r="747">
      <c r="A747" s="12">
        <f>IF(E747="","",ROW()-6)</f>
        <v/>
      </c>
      <c r="B747" s="13" t="n"/>
      <c r="C747" s="12">
        <f>IF(B747="","",CHOOSE(WEEKDAY(B747,1),"الأحد","الاثنين","الثلاثاء","الأربعاء","الخميس","الجمعة","السبت"))</f>
        <v/>
      </c>
      <c r="D747" s="14" t="n"/>
      <c r="E747" s="15" t="n"/>
      <c r="F747" s="16" t="n"/>
      <c r="G747" s="17" t="n"/>
      <c r="H747" s="18">
        <f>IF(OR(F747="",G747=""),"",ROUND(F747*G747,2))</f>
        <v/>
      </c>
      <c r="I747" s="19">
        <f>IF(ISNUMBER(SEARCH("ستاند",D747)),"أثاث وستاندات","")</f>
        <v/>
      </c>
      <c r="J747" s="20">
        <f>IF(E747="","",IF(I747="","⚠ عبّي الغرض",IF(AND(D747&lt;&gt;"",OR(ISNUMBER(SEARCH("صيانة",D747)),ISNUMBER(SEARCH("تعزيل",D747)),ISNUMBER(SEARCH("تنظيف",D747)),ISNUMBER(SEARCH("تصليح",D747)))),"⚠ الصيانة بلا ورشة",IF(H747="","⚠ ناقص",IF(D747&lt;&gt;"",IF(SUMIF($D$7:$D$806,D747,$H$7:$H$806)&gt;=20,"أصل","مصروف"),IFERROR(IF(VLOOKUP(I747,'القوائم'!$A$2:$D$14,4,0)="زكاة وصدقة","زكاة وصدقة",IF(AND(VLOOKUP(I747,'القوائم'!$A$2:$D$14,3,0)&lt;&gt;"",H747&gt;=20),"أصل","مصروف")),"مصروف"))))))</f>
        <v/>
      </c>
      <c r="K747" s="21" t="n"/>
      <c r="L747" s="22" t="n"/>
      <c r="N747">
        <f>IF(B747="","",MONTH(B747))</f>
        <v/>
      </c>
      <c r="O747">
        <f>IF(B747="","",YEAR(B747))</f>
        <v/>
      </c>
      <c r="P747">
        <f>IF(AND(D747&lt;&gt;"",COUNTIF(D$7:D747,D747)=1),MAX(P$6:P746)+1,"")</f>
        <v/>
      </c>
      <c r="Q747">
        <f>IF(E747="","",IF(I747="أجور عمال","أجرة","مادة"))</f>
        <v/>
      </c>
    </row>
    <row r="748">
      <c r="A748" s="12">
        <f>IF(E748="","",ROW()-6)</f>
        <v/>
      </c>
      <c r="B748" s="13" t="n"/>
      <c r="C748" s="12">
        <f>IF(B748="","",CHOOSE(WEEKDAY(B748,1),"الأحد","الاثنين","الثلاثاء","الأربعاء","الخميس","الجمعة","السبت"))</f>
        <v/>
      </c>
      <c r="D748" s="14" t="n"/>
      <c r="E748" s="15" t="n"/>
      <c r="F748" s="16" t="n"/>
      <c r="G748" s="17" t="n"/>
      <c r="H748" s="18">
        <f>IF(OR(F748="",G748=""),"",ROUND(F748*G748,2))</f>
        <v/>
      </c>
      <c r="I748" s="19">
        <f>IF(ISNUMBER(SEARCH("ستاند",D748)),"أثاث وستاندات","")</f>
        <v/>
      </c>
      <c r="J748" s="20">
        <f>IF(E748="","",IF(I748="","⚠ عبّي الغرض",IF(AND(D748&lt;&gt;"",OR(ISNUMBER(SEARCH("صيانة",D748)),ISNUMBER(SEARCH("تعزيل",D748)),ISNUMBER(SEARCH("تنظيف",D748)),ISNUMBER(SEARCH("تصليح",D748)))),"⚠ الصيانة بلا ورشة",IF(H748="","⚠ ناقص",IF(D748&lt;&gt;"",IF(SUMIF($D$7:$D$806,D748,$H$7:$H$806)&gt;=20,"أصل","مصروف"),IFERROR(IF(VLOOKUP(I748,'القوائم'!$A$2:$D$14,4,0)="زكاة وصدقة","زكاة وصدقة",IF(AND(VLOOKUP(I748,'القوائم'!$A$2:$D$14,3,0)&lt;&gt;"",H748&gt;=20),"أصل","مصروف")),"مصروف"))))))</f>
        <v/>
      </c>
      <c r="K748" s="21" t="n"/>
      <c r="L748" s="22" t="n"/>
      <c r="N748">
        <f>IF(B748="","",MONTH(B748))</f>
        <v/>
      </c>
      <c r="O748">
        <f>IF(B748="","",YEAR(B748))</f>
        <v/>
      </c>
      <c r="P748">
        <f>IF(AND(D748&lt;&gt;"",COUNTIF(D$7:D748,D748)=1),MAX(P$6:P747)+1,"")</f>
        <v/>
      </c>
      <c r="Q748">
        <f>IF(E748="","",IF(I748="أجور عمال","أجرة","مادة"))</f>
        <v/>
      </c>
    </row>
    <row r="749">
      <c r="A749" s="12">
        <f>IF(E749="","",ROW()-6)</f>
        <v/>
      </c>
      <c r="B749" s="13" t="n"/>
      <c r="C749" s="12">
        <f>IF(B749="","",CHOOSE(WEEKDAY(B749,1),"الأحد","الاثنين","الثلاثاء","الأربعاء","الخميس","الجمعة","السبت"))</f>
        <v/>
      </c>
      <c r="D749" s="14" t="n"/>
      <c r="E749" s="15" t="n"/>
      <c r="F749" s="16" t="n"/>
      <c r="G749" s="17" t="n"/>
      <c r="H749" s="18">
        <f>IF(OR(F749="",G749=""),"",ROUND(F749*G749,2))</f>
        <v/>
      </c>
      <c r="I749" s="19">
        <f>IF(ISNUMBER(SEARCH("ستاند",D749)),"أثاث وستاندات","")</f>
        <v/>
      </c>
      <c r="J749" s="20">
        <f>IF(E749="","",IF(I749="","⚠ عبّي الغرض",IF(AND(D749&lt;&gt;"",OR(ISNUMBER(SEARCH("صيانة",D749)),ISNUMBER(SEARCH("تعزيل",D749)),ISNUMBER(SEARCH("تنظيف",D749)),ISNUMBER(SEARCH("تصليح",D749)))),"⚠ الصيانة بلا ورشة",IF(H749="","⚠ ناقص",IF(D749&lt;&gt;"",IF(SUMIF($D$7:$D$806,D749,$H$7:$H$806)&gt;=20,"أصل","مصروف"),IFERROR(IF(VLOOKUP(I749,'القوائم'!$A$2:$D$14,4,0)="زكاة وصدقة","زكاة وصدقة",IF(AND(VLOOKUP(I749,'القوائم'!$A$2:$D$14,3,0)&lt;&gt;"",H749&gt;=20),"أصل","مصروف")),"مصروف"))))))</f>
        <v/>
      </c>
      <c r="K749" s="21" t="n"/>
      <c r="L749" s="22" t="n"/>
      <c r="N749">
        <f>IF(B749="","",MONTH(B749))</f>
        <v/>
      </c>
      <c r="O749">
        <f>IF(B749="","",YEAR(B749))</f>
        <v/>
      </c>
      <c r="P749">
        <f>IF(AND(D749&lt;&gt;"",COUNTIF(D$7:D749,D749)=1),MAX(P$6:P748)+1,"")</f>
        <v/>
      </c>
      <c r="Q749">
        <f>IF(E749="","",IF(I749="أجور عمال","أجرة","مادة"))</f>
        <v/>
      </c>
    </row>
    <row r="750">
      <c r="A750" s="12">
        <f>IF(E750="","",ROW()-6)</f>
        <v/>
      </c>
      <c r="B750" s="13" t="n"/>
      <c r="C750" s="12">
        <f>IF(B750="","",CHOOSE(WEEKDAY(B750,1),"الأحد","الاثنين","الثلاثاء","الأربعاء","الخميس","الجمعة","السبت"))</f>
        <v/>
      </c>
      <c r="D750" s="14" t="n"/>
      <c r="E750" s="15" t="n"/>
      <c r="F750" s="16" t="n"/>
      <c r="G750" s="17" t="n"/>
      <c r="H750" s="18">
        <f>IF(OR(F750="",G750=""),"",ROUND(F750*G750,2))</f>
        <v/>
      </c>
      <c r="I750" s="19">
        <f>IF(ISNUMBER(SEARCH("ستاند",D750)),"أثاث وستاندات","")</f>
        <v/>
      </c>
      <c r="J750" s="20">
        <f>IF(E750="","",IF(I750="","⚠ عبّي الغرض",IF(AND(D750&lt;&gt;"",OR(ISNUMBER(SEARCH("صيانة",D750)),ISNUMBER(SEARCH("تعزيل",D750)),ISNUMBER(SEARCH("تنظيف",D750)),ISNUMBER(SEARCH("تصليح",D750)))),"⚠ الصيانة بلا ورشة",IF(H750="","⚠ ناقص",IF(D750&lt;&gt;"",IF(SUMIF($D$7:$D$806,D750,$H$7:$H$806)&gt;=20,"أصل","مصروف"),IFERROR(IF(VLOOKUP(I750,'القوائم'!$A$2:$D$14,4,0)="زكاة وصدقة","زكاة وصدقة",IF(AND(VLOOKUP(I750,'القوائم'!$A$2:$D$14,3,0)&lt;&gt;"",H750&gt;=20),"أصل","مصروف")),"مصروف"))))))</f>
        <v/>
      </c>
      <c r="K750" s="21" t="n"/>
      <c r="L750" s="22" t="n"/>
      <c r="N750">
        <f>IF(B750="","",MONTH(B750))</f>
        <v/>
      </c>
      <c r="O750">
        <f>IF(B750="","",YEAR(B750))</f>
        <v/>
      </c>
      <c r="P750">
        <f>IF(AND(D750&lt;&gt;"",COUNTIF(D$7:D750,D750)=1),MAX(P$6:P749)+1,"")</f>
        <v/>
      </c>
      <c r="Q750">
        <f>IF(E750="","",IF(I750="أجور عمال","أجرة","مادة"))</f>
        <v/>
      </c>
    </row>
    <row r="751">
      <c r="A751" s="12">
        <f>IF(E751="","",ROW()-6)</f>
        <v/>
      </c>
      <c r="B751" s="13" t="n"/>
      <c r="C751" s="12">
        <f>IF(B751="","",CHOOSE(WEEKDAY(B751,1),"الأحد","الاثنين","الثلاثاء","الأربعاء","الخميس","الجمعة","السبت"))</f>
        <v/>
      </c>
      <c r="D751" s="14" t="n"/>
      <c r="E751" s="15" t="n"/>
      <c r="F751" s="16" t="n"/>
      <c r="G751" s="17" t="n"/>
      <c r="H751" s="18">
        <f>IF(OR(F751="",G751=""),"",ROUND(F751*G751,2))</f>
        <v/>
      </c>
      <c r="I751" s="19">
        <f>IF(ISNUMBER(SEARCH("ستاند",D751)),"أثاث وستاندات","")</f>
        <v/>
      </c>
      <c r="J751" s="20">
        <f>IF(E751="","",IF(I751="","⚠ عبّي الغرض",IF(AND(D751&lt;&gt;"",OR(ISNUMBER(SEARCH("صيانة",D751)),ISNUMBER(SEARCH("تعزيل",D751)),ISNUMBER(SEARCH("تنظيف",D751)),ISNUMBER(SEARCH("تصليح",D751)))),"⚠ الصيانة بلا ورشة",IF(H751="","⚠ ناقص",IF(D751&lt;&gt;"",IF(SUMIF($D$7:$D$806,D751,$H$7:$H$806)&gt;=20,"أصل","مصروف"),IFERROR(IF(VLOOKUP(I751,'القوائم'!$A$2:$D$14,4,0)="زكاة وصدقة","زكاة وصدقة",IF(AND(VLOOKUP(I751,'القوائم'!$A$2:$D$14,3,0)&lt;&gt;"",H751&gt;=20),"أصل","مصروف")),"مصروف"))))))</f>
        <v/>
      </c>
      <c r="K751" s="21" t="n"/>
      <c r="L751" s="22" t="n"/>
      <c r="N751">
        <f>IF(B751="","",MONTH(B751))</f>
        <v/>
      </c>
      <c r="O751">
        <f>IF(B751="","",YEAR(B751))</f>
        <v/>
      </c>
      <c r="P751">
        <f>IF(AND(D751&lt;&gt;"",COUNTIF(D$7:D751,D751)=1),MAX(P$6:P750)+1,"")</f>
        <v/>
      </c>
      <c r="Q751">
        <f>IF(E751="","",IF(I751="أجور عمال","أجرة","مادة"))</f>
        <v/>
      </c>
    </row>
    <row r="752">
      <c r="A752" s="12">
        <f>IF(E752="","",ROW()-6)</f>
        <v/>
      </c>
      <c r="B752" s="13" t="n"/>
      <c r="C752" s="12">
        <f>IF(B752="","",CHOOSE(WEEKDAY(B752,1),"الأحد","الاثنين","الثلاثاء","الأربعاء","الخميس","الجمعة","السبت"))</f>
        <v/>
      </c>
      <c r="D752" s="14" t="n"/>
      <c r="E752" s="15" t="n"/>
      <c r="F752" s="16" t="n"/>
      <c r="G752" s="17" t="n"/>
      <c r="H752" s="18">
        <f>IF(OR(F752="",G752=""),"",ROUND(F752*G752,2))</f>
        <v/>
      </c>
      <c r="I752" s="19">
        <f>IF(ISNUMBER(SEARCH("ستاند",D752)),"أثاث وستاندات","")</f>
        <v/>
      </c>
      <c r="J752" s="20">
        <f>IF(E752="","",IF(I752="","⚠ عبّي الغرض",IF(AND(D752&lt;&gt;"",OR(ISNUMBER(SEARCH("صيانة",D752)),ISNUMBER(SEARCH("تعزيل",D752)),ISNUMBER(SEARCH("تنظيف",D752)),ISNUMBER(SEARCH("تصليح",D752)))),"⚠ الصيانة بلا ورشة",IF(H752="","⚠ ناقص",IF(D752&lt;&gt;"",IF(SUMIF($D$7:$D$806,D752,$H$7:$H$806)&gt;=20,"أصل","مصروف"),IFERROR(IF(VLOOKUP(I752,'القوائم'!$A$2:$D$14,4,0)="زكاة وصدقة","زكاة وصدقة",IF(AND(VLOOKUP(I752,'القوائم'!$A$2:$D$14,3,0)&lt;&gt;"",H752&gt;=20),"أصل","مصروف")),"مصروف"))))))</f>
        <v/>
      </c>
      <c r="K752" s="21" t="n"/>
      <c r="L752" s="22" t="n"/>
      <c r="N752">
        <f>IF(B752="","",MONTH(B752))</f>
        <v/>
      </c>
      <c r="O752">
        <f>IF(B752="","",YEAR(B752))</f>
        <v/>
      </c>
      <c r="P752">
        <f>IF(AND(D752&lt;&gt;"",COUNTIF(D$7:D752,D752)=1),MAX(P$6:P751)+1,"")</f>
        <v/>
      </c>
      <c r="Q752">
        <f>IF(E752="","",IF(I752="أجور عمال","أجرة","مادة"))</f>
        <v/>
      </c>
    </row>
    <row r="753">
      <c r="A753" s="12">
        <f>IF(E753="","",ROW()-6)</f>
        <v/>
      </c>
      <c r="B753" s="13" t="n"/>
      <c r="C753" s="12">
        <f>IF(B753="","",CHOOSE(WEEKDAY(B753,1),"الأحد","الاثنين","الثلاثاء","الأربعاء","الخميس","الجمعة","السبت"))</f>
        <v/>
      </c>
      <c r="D753" s="14" t="n"/>
      <c r="E753" s="15" t="n"/>
      <c r="F753" s="16" t="n"/>
      <c r="G753" s="17" t="n"/>
      <c r="H753" s="18">
        <f>IF(OR(F753="",G753=""),"",ROUND(F753*G753,2))</f>
        <v/>
      </c>
      <c r="I753" s="19">
        <f>IF(ISNUMBER(SEARCH("ستاند",D753)),"أثاث وستاندات","")</f>
        <v/>
      </c>
      <c r="J753" s="20">
        <f>IF(E753="","",IF(I753="","⚠ عبّي الغرض",IF(AND(D753&lt;&gt;"",OR(ISNUMBER(SEARCH("صيانة",D753)),ISNUMBER(SEARCH("تعزيل",D753)),ISNUMBER(SEARCH("تنظيف",D753)),ISNUMBER(SEARCH("تصليح",D753)))),"⚠ الصيانة بلا ورشة",IF(H753="","⚠ ناقص",IF(D753&lt;&gt;"",IF(SUMIF($D$7:$D$806,D753,$H$7:$H$806)&gt;=20,"أصل","مصروف"),IFERROR(IF(VLOOKUP(I753,'القوائم'!$A$2:$D$14,4,0)="زكاة وصدقة","زكاة وصدقة",IF(AND(VLOOKUP(I753,'القوائم'!$A$2:$D$14,3,0)&lt;&gt;"",H753&gt;=20),"أصل","مصروف")),"مصروف"))))))</f>
        <v/>
      </c>
      <c r="K753" s="21" t="n"/>
      <c r="L753" s="22" t="n"/>
      <c r="N753">
        <f>IF(B753="","",MONTH(B753))</f>
        <v/>
      </c>
      <c r="O753">
        <f>IF(B753="","",YEAR(B753))</f>
        <v/>
      </c>
      <c r="P753">
        <f>IF(AND(D753&lt;&gt;"",COUNTIF(D$7:D753,D753)=1),MAX(P$6:P752)+1,"")</f>
        <v/>
      </c>
      <c r="Q753">
        <f>IF(E753="","",IF(I753="أجور عمال","أجرة","مادة"))</f>
        <v/>
      </c>
    </row>
    <row r="754">
      <c r="A754" s="12">
        <f>IF(E754="","",ROW()-6)</f>
        <v/>
      </c>
      <c r="B754" s="13" t="n"/>
      <c r="C754" s="12">
        <f>IF(B754="","",CHOOSE(WEEKDAY(B754,1),"الأحد","الاثنين","الثلاثاء","الأربعاء","الخميس","الجمعة","السبت"))</f>
        <v/>
      </c>
      <c r="D754" s="14" t="n"/>
      <c r="E754" s="15" t="n"/>
      <c r="F754" s="16" t="n"/>
      <c r="G754" s="17" t="n"/>
      <c r="H754" s="18">
        <f>IF(OR(F754="",G754=""),"",ROUND(F754*G754,2))</f>
        <v/>
      </c>
      <c r="I754" s="19">
        <f>IF(ISNUMBER(SEARCH("ستاند",D754)),"أثاث وستاندات","")</f>
        <v/>
      </c>
      <c r="J754" s="20">
        <f>IF(E754="","",IF(I754="","⚠ عبّي الغرض",IF(AND(D754&lt;&gt;"",OR(ISNUMBER(SEARCH("صيانة",D754)),ISNUMBER(SEARCH("تعزيل",D754)),ISNUMBER(SEARCH("تنظيف",D754)),ISNUMBER(SEARCH("تصليح",D754)))),"⚠ الصيانة بلا ورشة",IF(H754="","⚠ ناقص",IF(D754&lt;&gt;"",IF(SUMIF($D$7:$D$806,D754,$H$7:$H$806)&gt;=20,"أصل","مصروف"),IFERROR(IF(VLOOKUP(I754,'القوائم'!$A$2:$D$14,4,0)="زكاة وصدقة","زكاة وصدقة",IF(AND(VLOOKUP(I754,'القوائم'!$A$2:$D$14,3,0)&lt;&gt;"",H754&gt;=20),"أصل","مصروف")),"مصروف"))))))</f>
        <v/>
      </c>
      <c r="K754" s="21" t="n"/>
      <c r="L754" s="22" t="n"/>
      <c r="N754">
        <f>IF(B754="","",MONTH(B754))</f>
        <v/>
      </c>
      <c r="O754">
        <f>IF(B754="","",YEAR(B754))</f>
        <v/>
      </c>
      <c r="P754">
        <f>IF(AND(D754&lt;&gt;"",COUNTIF(D$7:D754,D754)=1),MAX(P$6:P753)+1,"")</f>
        <v/>
      </c>
      <c r="Q754">
        <f>IF(E754="","",IF(I754="أجور عمال","أجرة","مادة"))</f>
        <v/>
      </c>
    </row>
    <row r="755">
      <c r="A755" s="12">
        <f>IF(E755="","",ROW()-6)</f>
        <v/>
      </c>
      <c r="B755" s="13" t="n"/>
      <c r="C755" s="12">
        <f>IF(B755="","",CHOOSE(WEEKDAY(B755,1),"الأحد","الاثنين","الثلاثاء","الأربعاء","الخميس","الجمعة","السبت"))</f>
        <v/>
      </c>
      <c r="D755" s="14" t="n"/>
      <c r="E755" s="15" t="n"/>
      <c r="F755" s="16" t="n"/>
      <c r="G755" s="17" t="n"/>
      <c r="H755" s="18">
        <f>IF(OR(F755="",G755=""),"",ROUND(F755*G755,2))</f>
        <v/>
      </c>
      <c r="I755" s="19">
        <f>IF(ISNUMBER(SEARCH("ستاند",D755)),"أثاث وستاندات","")</f>
        <v/>
      </c>
      <c r="J755" s="20">
        <f>IF(E755="","",IF(I755="","⚠ عبّي الغرض",IF(AND(D755&lt;&gt;"",OR(ISNUMBER(SEARCH("صيانة",D755)),ISNUMBER(SEARCH("تعزيل",D755)),ISNUMBER(SEARCH("تنظيف",D755)),ISNUMBER(SEARCH("تصليح",D755)))),"⚠ الصيانة بلا ورشة",IF(H755="","⚠ ناقص",IF(D755&lt;&gt;"",IF(SUMIF($D$7:$D$806,D755,$H$7:$H$806)&gt;=20,"أصل","مصروف"),IFERROR(IF(VLOOKUP(I755,'القوائم'!$A$2:$D$14,4,0)="زكاة وصدقة","زكاة وصدقة",IF(AND(VLOOKUP(I755,'القوائم'!$A$2:$D$14,3,0)&lt;&gt;"",H755&gt;=20),"أصل","مصروف")),"مصروف"))))))</f>
        <v/>
      </c>
      <c r="K755" s="21" t="n"/>
      <c r="L755" s="22" t="n"/>
      <c r="N755">
        <f>IF(B755="","",MONTH(B755))</f>
        <v/>
      </c>
      <c r="O755">
        <f>IF(B755="","",YEAR(B755))</f>
        <v/>
      </c>
      <c r="P755">
        <f>IF(AND(D755&lt;&gt;"",COUNTIF(D$7:D755,D755)=1),MAX(P$6:P754)+1,"")</f>
        <v/>
      </c>
      <c r="Q755">
        <f>IF(E755="","",IF(I755="أجور عمال","أجرة","مادة"))</f>
        <v/>
      </c>
    </row>
    <row r="756">
      <c r="A756" s="12">
        <f>IF(E756="","",ROW()-6)</f>
        <v/>
      </c>
      <c r="B756" s="13" t="n"/>
      <c r="C756" s="12">
        <f>IF(B756="","",CHOOSE(WEEKDAY(B756,1),"الأحد","الاثنين","الثلاثاء","الأربعاء","الخميس","الجمعة","السبت"))</f>
        <v/>
      </c>
      <c r="D756" s="14" t="n"/>
      <c r="E756" s="15" t="n"/>
      <c r="F756" s="16" t="n"/>
      <c r="G756" s="17" t="n"/>
      <c r="H756" s="18">
        <f>IF(OR(F756="",G756=""),"",ROUND(F756*G756,2))</f>
        <v/>
      </c>
      <c r="I756" s="19">
        <f>IF(ISNUMBER(SEARCH("ستاند",D756)),"أثاث وستاندات","")</f>
        <v/>
      </c>
      <c r="J756" s="20">
        <f>IF(E756="","",IF(I756="","⚠ عبّي الغرض",IF(AND(D756&lt;&gt;"",OR(ISNUMBER(SEARCH("صيانة",D756)),ISNUMBER(SEARCH("تعزيل",D756)),ISNUMBER(SEARCH("تنظيف",D756)),ISNUMBER(SEARCH("تصليح",D756)))),"⚠ الصيانة بلا ورشة",IF(H756="","⚠ ناقص",IF(D756&lt;&gt;"",IF(SUMIF($D$7:$D$806,D756,$H$7:$H$806)&gt;=20,"أصل","مصروف"),IFERROR(IF(VLOOKUP(I756,'القوائم'!$A$2:$D$14,4,0)="زكاة وصدقة","زكاة وصدقة",IF(AND(VLOOKUP(I756,'القوائم'!$A$2:$D$14,3,0)&lt;&gt;"",H756&gt;=20),"أصل","مصروف")),"مصروف"))))))</f>
        <v/>
      </c>
      <c r="K756" s="21" t="n"/>
      <c r="L756" s="22" t="n"/>
      <c r="N756">
        <f>IF(B756="","",MONTH(B756))</f>
        <v/>
      </c>
      <c r="O756">
        <f>IF(B756="","",YEAR(B756))</f>
        <v/>
      </c>
      <c r="P756">
        <f>IF(AND(D756&lt;&gt;"",COUNTIF(D$7:D756,D756)=1),MAX(P$6:P755)+1,"")</f>
        <v/>
      </c>
      <c r="Q756">
        <f>IF(E756="","",IF(I756="أجور عمال","أجرة","مادة"))</f>
        <v/>
      </c>
    </row>
    <row r="757">
      <c r="A757" s="12">
        <f>IF(E757="","",ROW()-6)</f>
        <v/>
      </c>
      <c r="B757" s="13" t="n"/>
      <c r="C757" s="12">
        <f>IF(B757="","",CHOOSE(WEEKDAY(B757,1),"الأحد","الاثنين","الثلاثاء","الأربعاء","الخميس","الجمعة","السبت"))</f>
        <v/>
      </c>
      <c r="D757" s="14" t="n"/>
      <c r="E757" s="15" t="n"/>
      <c r="F757" s="16" t="n"/>
      <c r="G757" s="17" t="n"/>
      <c r="H757" s="18">
        <f>IF(OR(F757="",G757=""),"",ROUND(F757*G757,2))</f>
        <v/>
      </c>
      <c r="I757" s="19">
        <f>IF(ISNUMBER(SEARCH("ستاند",D757)),"أثاث وستاندات","")</f>
        <v/>
      </c>
      <c r="J757" s="20">
        <f>IF(E757="","",IF(I757="","⚠ عبّي الغرض",IF(AND(D757&lt;&gt;"",OR(ISNUMBER(SEARCH("صيانة",D757)),ISNUMBER(SEARCH("تعزيل",D757)),ISNUMBER(SEARCH("تنظيف",D757)),ISNUMBER(SEARCH("تصليح",D757)))),"⚠ الصيانة بلا ورشة",IF(H757="","⚠ ناقص",IF(D757&lt;&gt;"",IF(SUMIF($D$7:$D$806,D757,$H$7:$H$806)&gt;=20,"أصل","مصروف"),IFERROR(IF(VLOOKUP(I757,'القوائم'!$A$2:$D$14,4,0)="زكاة وصدقة","زكاة وصدقة",IF(AND(VLOOKUP(I757,'القوائم'!$A$2:$D$14,3,0)&lt;&gt;"",H757&gt;=20),"أصل","مصروف")),"مصروف"))))))</f>
        <v/>
      </c>
      <c r="K757" s="21" t="n"/>
      <c r="L757" s="22" t="n"/>
      <c r="N757">
        <f>IF(B757="","",MONTH(B757))</f>
        <v/>
      </c>
      <c r="O757">
        <f>IF(B757="","",YEAR(B757))</f>
        <v/>
      </c>
      <c r="P757">
        <f>IF(AND(D757&lt;&gt;"",COUNTIF(D$7:D757,D757)=1),MAX(P$6:P756)+1,"")</f>
        <v/>
      </c>
      <c r="Q757">
        <f>IF(E757="","",IF(I757="أجور عمال","أجرة","مادة"))</f>
        <v/>
      </c>
    </row>
    <row r="758">
      <c r="A758" s="12">
        <f>IF(E758="","",ROW()-6)</f>
        <v/>
      </c>
      <c r="B758" s="13" t="n"/>
      <c r="C758" s="12">
        <f>IF(B758="","",CHOOSE(WEEKDAY(B758,1),"الأحد","الاثنين","الثلاثاء","الأربعاء","الخميس","الجمعة","السبت"))</f>
        <v/>
      </c>
      <c r="D758" s="14" t="n"/>
      <c r="E758" s="15" t="n"/>
      <c r="F758" s="16" t="n"/>
      <c r="G758" s="17" t="n"/>
      <c r="H758" s="18">
        <f>IF(OR(F758="",G758=""),"",ROUND(F758*G758,2))</f>
        <v/>
      </c>
      <c r="I758" s="19">
        <f>IF(ISNUMBER(SEARCH("ستاند",D758)),"أثاث وستاندات","")</f>
        <v/>
      </c>
      <c r="J758" s="20">
        <f>IF(E758="","",IF(I758="","⚠ عبّي الغرض",IF(AND(D758&lt;&gt;"",OR(ISNUMBER(SEARCH("صيانة",D758)),ISNUMBER(SEARCH("تعزيل",D758)),ISNUMBER(SEARCH("تنظيف",D758)),ISNUMBER(SEARCH("تصليح",D758)))),"⚠ الصيانة بلا ورشة",IF(H758="","⚠ ناقص",IF(D758&lt;&gt;"",IF(SUMIF($D$7:$D$806,D758,$H$7:$H$806)&gt;=20,"أصل","مصروف"),IFERROR(IF(VLOOKUP(I758,'القوائم'!$A$2:$D$14,4,0)="زكاة وصدقة","زكاة وصدقة",IF(AND(VLOOKUP(I758,'القوائم'!$A$2:$D$14,3,0)&lt;&gt;"",H758&gt;=20),"أصل","مصروف")),"مصروف"))))))</f>
        <v/>
      </c>
      <c r="K758" s="21" t="n"/>
      <c r="L758" s="22" t="n"/>
      <c r="N758">
        <f>IF(B758="","",MONTH(B758))</f>
        <v/>
      </c>
      <c r="O758">
        <f>IF(B758="","",YEAR(B758))</f>
        <v/>
      </c>
      <c r="P758">
        <f>IF(AND(D758&lt;&gt;"",COUNTIF(D$7:D758,D758)=1),MAX(P$6:P757)+1,"")</f>
        <v/>
      </c>
      <c r="Q758">
        <f>IF(E758="","",IF(I758="أجور عمال","أجرة","مادة"))</f>
        <v/>
      </c>
    </row>
    <row r="759">
      <c r="A759" s="12">
        <f>IF(E759="","",ROW()-6)</f>
        <v/>
      </c>
      <c r="B759" s="13" t="n"/>
      <c r="C759" s="12">
        <f>IF(B759="","",CHOOSE(WEEKDAY(B759,1),"الأحد","الاثنين","الثلاثاء","الأربعاء","الخميس","الجمعة","السبت"))</f>
        <v/>
      </c>
      <c r="D759" s="14" t="n"/>
      <c r="E759" s="15" t="n"/>
      <c r="F759" s="16" t="n"/>
      <c r="G759" s="17" t="n"/>
      <c r="H759" s="18">
        <f>IF(OR(F759="",G759=""),"",ROUND(F759*G759,2))</f>
        <v/>
      </c>
      <c r="I759" s="19">
        <f>IF(ISNUMBER(SEARCH("ستاند",D759)),"أثاث وستاندات","")</f>
        <v/>
      </c>
      <c r="J759" s="20">
        <f>IF(E759="","",IF(I759="","⚠ عبّي الغرض",IF(AND(D759&lt;&gt;"",OR(ISNUMBER(SEARCH("صيانة",D759)),ISNUMBER(SEARCH("تعزيل",D759)),ISNUMBER(SEARCH("تنظيف",D759)),ISNUMBER(SEARCH("تصليح",D759)))),"⚠ الصيانة بلا ورشة",IF(H759="","⚠ ناقص",IF(D759&lt;&gt;"",IF(SUMIF($D$7:$D$806,D759,$H$7:$H$806)&gt;=20,"أصل","مصروف"),IFERROR(IF(VLOOKUP(I759,'القوائم'!$A$2:$D$14,4,0)="زكاة وصدقة","زكاة وصدقة",IF(AND(VLOOKUP(I759,'القوائم'!$A$2:$D$14,3,0)&lt;&gt;"",H759&gt;=20),"أصل","مصروف")),"مصروف"))))))</f>
        <v/>
      </c>
      <c r="K759" s="21" t="n"/>
      <c r="L759" s="22" t="n"/>
      <c r="N759">
        <f>IF(B759="","",MONTH(B759))</f>
        <v/>
      </c>
      <c r="O759">
        <f>IF(B759="","",YEAR(B759))</f>
        <v/>
      </c>
      <c r="P759">
        <f>IF(AND(D759&lt;&gt;"",COUNTIF(D$7:D759,D759)=1),MAX(P$6:P758)+1,"")</f>
        <v/>
      </c>
      <c r="Q759">
        <f>IF(E759="","",IF(I759="أجور عمال","أجرة","مادة"))</f>
        <v/>
      </c>
    </row>
    <row r="760">
      <c r="A760" s="12">
        <f>IF(E760="","",ROW()-6)</f>
        <v/>
      </c>
      <c r="B760" s="13" t="n"/>
      <c r="C760" s="12">
        <f>IF(B760="","",CHOOSE(WEEKDAY(B760,1),"الأحد","الاثنين","الثلاثاء","الأربعاء","الخميس","الجمعة","السبت"))</f>
        <v/>
      </c>
      <c r="D760" s="14" t="n"/>
      <c r="E760" s="15" t="n"/>
      <c r="F760" s="16" t="n"/>
      <c r="G760" s="17" t="n"/>
      <c r="H760" s="18">
        <f>IF(OR(F760="",G760=""),"",ROUND(F760*G760,2))</f>
        <v/>
      </c>
      <c r="I760" s="19">
        <f>IF(ISNUMBER(SEARCH("ستاند",D760)),"أثاث وستاندات","")</f>
        <v/>
      </c>
      <c r="J760" s="20">
        <f>IF(E760="","",IF(I760="","⚠ عبّي الغرض",IF(AND(D760&lt;&gt;"",OR(ISNUMBER(SEARCH("صيانة",D760)),ISNUMBER(SEARCH("تعزيل",D760)),ISNUMBER(SEARCH("تنظيف",D760)),ISNUMBER(SEARCH("تصليح",D760)))),"⚠ الصيانة بلا ورشة",IF(H760="","⚠ ناقص",IF(D760&lt;&gt;"",IF(SUMIF($D$7:$D$806,D760,$H$7:$H$806)&gt;=20,"أصل","مصروف"),IFERROR(IF(VLOOKUP(I760,'القوائم'!$A$2:$D$14,4,0)="زكاة وصدقة","زكاة وصدقة",IF(AND(VLOOKUP(I760,'القوائم'!$A$2:$D$14,3,0)&lt;&gt;"",H760&gt;=20),"أصل","مصروف")),"مصروف"))))))</f>
        <v/>
      </c>
      <c r="K760" s="21" t="n"/>
      <c r="L760" s="22" t="n"/>
      <c r="N760">
        <f>IF(B760="","",MONTH(B760))</f>
        <v/>
      </c>
      <c r="O760">
        <f>IF(B760="","",YEAR(B760))</f>
        <v/>
      </c>
      <c r="P760">
        <f>IF(AND(D760&lt;&gt;"",COUNTIF(D$7:D760,D760)=1),MAX(P$6:P759)+1,"")</f>
        <v/>
      </c>
      <c r="Q760">
        <f>IF(E760="","",IF(I760="أجور عمال","أجرة","مادة"))</f>
        <v/>
      </c>
    </row>
    <row r="761">
      <c r="A761" s="12">
        <f>IF(E761="","",ROW()-6)</f>
        <v/>
      </c>
      <c r="B761" s="13" t="n"/>
      <c r="C761" s="12">
        <f>IF(B761="","",CHOOSE(WEEKDAY(B761,1),"الأحد","الاثنين","الثلاثاء","الأربعاء","الخميس","الجمعة","السبت"))</f>
        <v/>
      </c>
      <c r="D761" s="14" t="n"/>
      <c r="E761" s="15" t="n"/>
      <c r="F761" s="16" t="n"/>
      <c r="G761" s="17" t="n"/>
      <c r="H761" s="18">
        <f>IF(OR(F761="",G761=""),"",ROUND(F761*G761,2))</f>
        <v/>
      </c>
      <c r="I761" s="19">
        <f>IF(ISNUMBER(SEARCH("ستاند",D761)),"أثاث وستاندات","")</f>
        <v/>
      </c>
      <c r="J761" s="20">
        <f>IF(E761="","",IF(I761="","⚠ عبّي الغرض",IF(AND(D761&lt;&gt;"",OR(ISNUMBER(SEARCH("صيانة",D761)),ISNUMBER(SEARCH("تعزيل",D761)),ISNUMBER(SEARCH("تنظيف",D761)),ISNUMBER(SEARCH("تصليح",D761)))),"⚠ الصيانة بلا ورشة",IF(H761="","⚠ ناقص",IF(D761&lt;&gt;"",IF(SUMIF($D$7:$D$806,D761,$H$7:$H$806)&gt;=20,"أصل","مصروف"),IFERROR(IF(VLOOKUP(I761,'القوائم'!$A$2:$D$14,4,0)="زكاة وصدقة","زكاة وصدقة",IF(AND(VLOOKUP(I761,'القوائم'!$A$2:$D$14,3,0)&lt;&gt;"",H761&gt;=20),"أصل","مصروف")),"مصروف"))))))</f>
        <v/>
      </c>
      <c r="K761" s="21" t="n"/>
      <c r="L761" s="22" t="n"/>
      <c r="N761">
        <f>IF(B761="","",MONTH(B761))</f>
        <v/>
      </c>
      <c r="O761">
        <f>IF(B761="","",YEAR(B761))</f>
        <v/>
      </c>
      <c r="P761">
        <f>IF(AND(D761&lt;&gt;"",COUNTIF(D$7:D761,D761)=1),MAX(P$6:P760)+1,"")</f>
        <v/>
      </c>
      <c r="Q761">
        <f>IF(E761="","",IF(I761="أجور عمال","أجرة","مادة"))</f>
        <v/>
      </c>
    </row>
    <row r="762">
      <c r="A762" s="12">
        <f>IF(E762="","",ROW()-6)</f>
        <v/>
      </c>
      <c r="B762" s="13" t="n"/>
      <c r="C762" s="12">
        <f>IF(B762="","",CHOOSE(WEEKDAY(B762,1),"الأحد","الاثنين","الثلاثاء","الأربعاء","الخميس","الجمعة","السبت"))</f>
        <v/>
      </c>
      <c r="D762" s="14" t="n"/>
      <c r="E762" s="15" t="n"/>
      <c r="F762" s="16" t="n"/>
      <c r="G762" s="17" t="n"/>
      <c r="H762" s="18">
        <f>IF(OR(F762="",G762=""),"",ROUND(F762*G762,2))</f>
        <v/>
      </c>
      <c r="I762" s="19">
        <f>IF(ISNUMBER(SEARCH("ستاند",D762)),"أثاث وستاندات","")</f>
        <v/>
      </c>
      <c r="J762" s="20">
        <f>IF(E762="","",IF(I762="","⚠ عبّي الغرض",IF(AND(D762&lt;&gt;"",OR(ISNUMBER(SEARCH("صيانة",D762)),ISNUMBER(SEARCH("تعزيل",D762)),ISNUMBER(SEARCH("تنظيف",D762)),ISNUMBER(SEARCH("تصليح",D762)))),"⚠ الصيانة بلا ورشة",IF(H762="","⚠ ناقص",IF(D762&lt;&gt;"",IF(SUMIF($D$7:$D$806,D762,$H$7:$H$806)&gt;=20,"أصل","مصروف"),IFERROR(IF(VLOOKUP(I762,'القوائم'!$A$2:$D$14,4,0)="زكاة وصدقة","زكاة وصدقة",IF(AND(VLOOKUP(I762,'القوائم'!$A$2:$D$14,3,0)&lt;&gt;"",H762&gt;=20),"أصل","مصروف")),"مصروف"))))))</f>
        <v/>
      </c>
      <c r="K762" s="21" t="n"/>
      <c r="L762" s="22" t="n"/>
      <c r="N762">
        <f>IF(B762="","",MONTH(B762))</f>
        <v/>
      </c>
      <c r="O762">
        <f>IF(B762="","",YEAR(B762))</f>
        <v/>
      </c>
      <c r="P762">
        <f>IF(AND(D762&lt;&gt;"",COUNTIF(D$7:D762,D762)=1),MAX(P$6:P761)+1,"")</f>
        <v/>
      </c>
      <c r="Q762">
        <f>IF(E762="","",IF(I762="أجور عمال","أجرة","مادة"))</f>
        <v/>
      </c>
    </row>
    <row r="763">
      <c r="A763" s="12">
        <f>IF(E763="","",ROW()-6)</f>
        <v/>
      </c>
      <c r="B763" s="13" t="n"/>
      <c r="C763" s="12">
        <f>IF(B763="","",CHOOSE(WEEKDAY(B763,1),"الأحد","الاثنين","الثلاثاء","الأربعاء","الخميس","الجمعة","السبت"))</f>
        <v/>
      </c>
      <c r="D763" s="14" t="n"/>
      <c r="E763" s="15" t="n"/>
      <c r="F763" s="16" t="n"/>
      <c r="G763" s="17" t="n"/>
      <c r="H763" s="18">
        <f>IF(OR(F763="",G763=""),"",ROUND(F763*G763,2))</f>
        <v/>
      </c>
      <c r="I763" s="19">
        <f>IF(ISNUMBER(SEARCH("ستاند",D763)),"أثاث وستاندات","")</f>
        <v/>
      </c>
      <c r="J763" s="20">
        <f>IF(E763="","",IF(I763="","⚠ عبّي الغرض",IF(AND(D763&lt;&gt;"",OR(ISNUMBER(SEARCH("صيانة",D763)),ISNUMBER(SEARCH("تعزيل",D763)),ISNUMBER(SEARCH("تنظيف",D763)),ISNUMBER(SEARCH("تصليح",D763)))),"⚠ الصيانة بلا ورشة",IF(H763="","⚠ ناقص",IF(D763&lt;&gt;"",IF(SUMIF($D$7:$D$806,D763,$H$7:$H$806)&gt;=20,"أصل","مصروف"),IFERROR(IF(VLOOKUP(I763,'القوائم'!$A$2:$D$14,4,0)="زكاة وصدقة","زكاة وصدقة",IF(AND(VLOOKUP(I763,'القوائم'!$A$2:$D$14,3,0)&lt;&gt;"",H763&gt;=20),"أصل","مصروف")),"مصروف"))))))</f>
        <v/>
      </c>
      <c r="K763" s="21" t="n"/>
      <c r="L763" s="22" t="n"/>
      <c r="N763">
        <f>IF(B763="","",MONTH(B763))</f>
        <v/>
      </c>
      <c r="O763">
        <f>IF(B763="","",YEAR(B763))</f>
        <v/>
      </c>
      <c r="P763">
        <f>IF(AND(D763&lt;&gt;"",COUNTIF(D$7:D763,D763)=1),MAX(P$6:P762)+1,"")</f>
        <v/>
      </c>
      <c r="Q763">
        <f>IF(E763="","",IF(I763="أجور عمال","أجرة","مادة"))</f>
        <v/>
      </c>
    </row>
    <row r="764">
      <c r="A764" s="12">
        <f>IF(E764="","",ROW()-6)</f>
        <v/>
      </c>
      <c r="B764" s="13" t="n"/>
      <c r="C764" s="12">
        <f>IF(B764="","",CHOOSE(WEEKDAY(B764,1),"الأحد","الاثنين","الثلاثاء","الأربعاء","الخميس","الجمعة","السبت"))</f>
        <v/>
      </c>
      <c r="D764" s="14" t="n"/>
      <c r="E764" s="15" t="n"/>
      <c r="F764" s="16" t="n"/>
      <c r="G764" s="17" t="n"/>
      <c r="H764" s="18">
        <f>IF(OR(F764="",G764=""),"",ROUND(F764*G764,2))</f>
        <v/>
      </c>
      <c r="I764" s="19">
        <f>IF(ISNUMBER(SEARCH("ستاند",D764)),"أثاث وستاندات","")</f>
        <v/>
      </c>
      <c r="J764" s="20">
        <f>IF(E764="","",IF(I764="","⚠ عبّي الغرض",IF(AND(D764&lt;&gt;"",OR(ISNUMBER(SEARCH("صيانة",D764)),ISNUMBER(SEARCH("تعزيل",D764)),ISNUMBER(SEARCH("تنظيف",D764)),ISNUMBER(SEARCH("تصليح",D764)))),"⚠ الصيانة بلا ورشة",IF(H764="","⚠ ناقص",IF(D764&lt;&gt;"",IF(SUMIF($D$7:$D$806,D764,$H$7:$H$806)&gt;=20,"أصل","مصروف"),IFERROR(IF(VLOOKUP(I764,'القوائم'!$A$2:$D$14,4,0)="زكاة وصدقة","زكاة وصدقة",IF(AND(VLOOKUP(I764,'القوائم'!$A$2:$D$14,3,0)&lt;&gt;"",H764&gt;=20),"أصل","مصروف")),"مصروف"))))))</f>
        <v/>
      </c>
      <c r="K764" s="21" t="n"/>
      <c r="L764" s="22" t="n"/>
      <c r="N764">
        <f>IF(B764="","",MONTH(B764))</f>
        <v/>
      </c>
      <c r="O764">
        <f>IF(B764="","",YEAR(B764))</f>
        <v/>
      </c>
      <c r="P764">
        <f>IF(AND(D764&lt;&gt;"",COUNTIF(D$7:D764,D764)=1),MAX(P$6:P763)+1,"")</f>
        <v/>
      </c>
      <c r="Q764">
        <f>IF(E764="","",IF(I764="أجور عمال","أجرة","مادة"))</f>
        <v/>
      </c>
    </row>
    <row r="765">
      <c r="A765" s="12">
        <f>IF(E765="","",ROW()-6)</f>
        <v/>
      </c>
      <c r="B765" s="13" t="n"/>
      <c r="C765" s="12">
        <f>IF(B765="","",CHOOSE(WEEKDAY(B765,1),"الأحد","الاثنين","الثلاثاء","الأربعاء","الخميس","الجمعة","السبت"))</f>
        <v/>
      </c>
      <c r="D765" s="14" t="n"/>
      <c r="E765" s="15" t="n"/>
      <c r="F765" s="16" t="n"/>
      <c r="G765" s="17" t="n"/>
      <c r="H765" s="18">
        <f>IF(OR(F765="",G765=""),"",ROUND(F765*G765,2))</f>
        <v/>
      </c>
      <c r="I765" s="19">
        <f>IF(ISNUMBER(SEARCH("ستاند",D765)),"أثاث وستاندات","")</f>
        <v/>
      </c>
      <c r="J765" s="20">
        <f>IF(E765="","",IF(I765="","⚠ عبّي الغرض",IF(AND(D765&lt;&gt;"",OR(ISNUMBER(SEARCH("صيانة",D765)),ISNUMBER(SEARCH("تعزيل",D765)),ISNUMBER(SEARCH("تنظيف",D765)),ISNUMBER(SEARCH("تصليح",D765)))),"⚠ الصيانة بلا ورشة",IF(H765="","⚠ ناقص",IF(D765&lt;&gt;"",IF(SUMIF($D$7:$D$806,D765,$H$7:$H$806)&gt;=20,"أصل","مصروف"),IFERROR(IF(VLOOKUP(I765,'القوائم'!$A$2:$D$14,4,0)="زكاة وصدقة","زكاة وصدقة",IF(AND(VLOOKUP(I765,'القوائم'!$A$2:$D$14,3,0)&lt;&gt;"",H765&gt;=20),"أصل","مصروف")),"مصروف"))))))</f>
        <v/>
      </c>
      <c r="K765" s="21" t="n"/>
      <c r="L765" s="22" t="n"/>
      <c r="N765">
        <f>IF(B765="","",MONTH(B765))</f>
        <v/>
      </c>
      <c r="O765">
        <f>IF(B765="","",YEAR(B765))</f>
        <v/>
      </c>
      <c r="P765">
        <f>IF(AND(D765&lt;&gt;"",COUNTIF(D$7:D765,D765)=1),MAX(P$6:P764)+1,"")</f>
        <v/>
      </c>
      <c r="Q765">
        <f>IF(E765="","",IF(I765="أجور عمال","أجرة","مادة"))</f>
        <v/>
      </c>
    </row>
    <row r="766">
      <c r="A766" s="12">
        <f>IF(E766="","",ROW()-6)</f>
        <v/>
      </c>
      <c r="B766" s="13" t="n"/>
      <c r="C766" s="12">
        <f>IF(B766="","",CHOOSE(WEEKDAY(B766,1),"الأحد","الاثنين","الثلاثاء","الأربعاء","الخميس","الجمعة","السبت"))</f>
        <v/>
      </c>
      <c r="D766" s="14" t="n"/>
      <c r="E766" s="15" t="n"/>
      <c r="F766" s="16" t="n"/>
      <c r="G766" s="17" t="n"/>
      <c r="H766" s="18">
        <f>IF(OR(F766="",G766=""),"",ROUND(F766*G766,2))</f>
        <v/>
      </c>
      <c r="I766" s="19">
        <f>IF(ISNUMBER(SEARCH("ستاند",D766)),"أثاث وستاندات","")</f>
        <v/>
      </c>
      <c r="J766" s="20">
        <f>IF(E766="","",IF(I766="","⚠ عبّي الغرض",IF(AND(D766&lt;&gt;"",OR(ISNUMBER(SEARCH("صيانة",D766)),ISNUMBER(SEARCH("تعزيل",D766)),ISNUMBER(SEARCH("تنظيف",D766)),ISNUMBER(SEARCH("تصليح",D766)))),"⚠ الصيانة بلا ورشة",IF(H766="","⚠ ناقص",IF(D766&lt;&gt;"",IF(SUMIF($D$7:$D$806,D766,$H$7:$H$806)&gt;=20,"أصل","مصروف"),IFERROR(IF(VLOOKUP(I766,'القوائم'!$A$2:$D$14,4,0)="زكاة وصدقة","زكاة وصدقة",IF(AND(VLOOKUP(I766,'القوائم'!$A$2:$D$14,3,0)&lt;&gt;"",H766&gt;=20),"أصل","مصروف")),"مصروف"))))))</f>
        <v/>
      </c>
      <c r="K766" s="21" t="n"/>
      <c r="L766" s="22" t="n"/>
      <c r="N766">
        <f>IF(B766="","",MONTH(B766))</f>
        <v/>
      </c>
      <c r="O766">
        <f>IF(B766="","",YEAR(B766))</f>
        <v/>
      </c>
      <c r="P766">
        <f>IF(AND(D766&lt;&gt;"",COUNTIF(D$7:D766,D766)=1),MAX(P$6:P765)+1,"")</f>
        <v/>
      </c>
      <c r="Q766">
        <f>IF(E766="","",IF(I766="أجور عمال","أجرة","مادة"))</f>
        <v/>
      </c>
    </row>
    <row r="767">
      <c r="A767" s="12">
        <f>IF(E767="","",ROW()-6)</f>
        <v/>
      </c>
      <c r="B767" s="13" t="n"/>
      <c r="C767" s="12">
        <f>IF(B767="","",CHOOSE(WEEKDAY(B767,1),"الأحد","الاثنين","الثلاثاء","الأربعاء","الخميس","الجمعة","السبت"))</f>
        <v/>
      </c>
      <c r="D767" s="14" t="n"/>
      <c r="E767" s="15" t="n"/>
      <c r="F767" s="16" t="n"/>
      <c r="G767" s="17" t="n"/>
      <c r="H767" s="18">
        <f>IF(OR(F767="",G767=""),"",ROUND(F767*G767,2))</f>
        <v/>
      </c>
      <c r="I767" s="19">
        <f>IF(ISNUMBER(SEARCH("ستاند",D767)),"أثاث وستاندات","")</f>
        <v/>
      </c>
      <c r="J767" s="20">
        <f>IF(E767="","",IF(I767="","⚠ عبّي الغرض",IF(AND(D767&lt;&gt;"",OR(ISNUMBER(SEARCH("صيانة",D767)),ISNUMBER(SEARCH("تعزيل",D767)),ISNUMBER(SEARCH("تنظيف",D767)),ISNUMBER(SEARCH("تصليح",D767)))),"⚠ الصيانة بلا ورشة",IF(H767="","⚠ ناقص",IF(D767&lt;&gt;"",IF(SUMIF($D$7:$D$806,D767,$H$7:$H$806)&gt;=20,"أصل","مصروف"),IFERROR(IF(VLOOKUP(I767,'القوائم'!$A$2:$D$14,4,0)="زكاة وصدقة","زكاة وصدقة",IF(AND(VLOOKUP(I767,'القوائم'!$A$2:$D$14,3,0)&lt;&gt;"",H767&gt;=20),"أصل","مصروف")),"مصروف"))))))</f>
        <v/>
      </c>
      <c r="K767" s="21" t="n"/>
      <c r="L767" s="22" t="n"/>
      <c r="N767">
        <f>IF(B767="","",MONTH(B767))</f>
        <v/>
      </c>
      <c r="O767">
        <f>IF(B767="","",YEAR(B767))</f>
        <v/>
      </c>
      <c r="P767">
        <f>IF(AND(D767&lt;&gt;"",COUNTIF(D$7:D767,D767)=1),MAX(P$6:P766)+1,"")</f>
        <v/>
      </c>
      <c r="Q767">
        <f>IF(E767="","",IF(I767="أجور عمال","أجرة","مادة"))</f>
        <v/>
      </c>
    </row>
    <row r="768">
      <c r="A768" s="12">
        <f>IF(E768="","",ROW()-6)</f>
        <v/>
      </c>
      <c r="B768" s="13" t="n"/>
      <c r="C768" s="12">
        <f>IF(B768="","",CHOOSE(WEEKDAY(B768,1),"الأحد","الاثنين","الثلاثاء","الأربعاء","الخميس","الجمعة","السبت"))</f>
        <v/>
      </c>
      <c r="D768" s="14" t="n"/>
      <c r="E768" s="15" t="n"/>
      <c r="F768" s="16" t="n"/>
      <c r="G768" s="17" t="n"/>
      <c r="H768" s="18">
        <f>IF(OR(F768="",G768=""),"",ROUND(F768*G768,2))</f>
        <v/>
      </c>
      <c r="I768" s="19">
        <f>IF(ISNUMBER(SEARCH("ستاند",D768)),"أثاث وستاندات","")</f>
        <v/>
      </c>
      <c r="J768" s="20">
        <f>IF(E768="","",IF(I768="","⚠ عبّي الغرض",IF(AND(D768&lt;&gt;"",OR(ISNUMBER(SEARCH("صيانة",D768)),ISNUMBER(SEARCH("تعزيل",D768)),ISNUMBER(SEARCH("تنظيف",D768)),ISNUMBER(SEARCH("تصليح",D768)))),"⚠ الصيانة بلا ورشة",IF(H768="","⚠ ناقص",IF(D768&lt;&gt;"",IF(SUMIF($D$7:$D$806,D768,$H$7:$H$806)&gt;=20,"أصل","مصروف"),IFERROR(IF(VLOOKUP(I768,'القوائم'!$A$2:$D$14,4,0)="زكاة وصدقة","زكاة وصدقة",IF(AND(VLOOKUP(I768,'القوائم'!$A$2:$D$14,3,0)&lt;&gt;"",H768&gt;=20),"أصل","مصروف")),"مصروف"))))))</f>
        <v/>
      </c>
      <c r="K768" s="21" t="n"/>
      <c r="L768" s="22" t="n"/>
      <c r="N768">
        <f>IF(B768="","",MONTH(B768))</f>
        <v/>
      </c>
      <c r="O768">
        <f>IF(B768="","",YEAR(B768))</f>
        <v/>
      </c>
      <c r="P768">
        <f>IF(AND(D768&lt;&gt;"",COUNTIF(D$7:D768,D768)=1),MAX(P$6:P767)+1,"")</f>
        <v/>
      </c>
      <c r="Q768">
        <f>IF(E768="","",IF(I768="أجور عمال","أجرة","مادة"))</f>
        <v/>
      </c>
    </row>
    <row r="769">
      <c r="A769" s="12">
        <f>IF(E769="","",ROW()-6)</f>
        <v/>
      </c>
      <c r="B769" s="13" t="n"/>
      <c r="C769" s="12">
        <f>IF(B769="","",CHOOSE(WEEKDAY(B769,1),"الأحد","الاثنين","الثلاثاء","الأربعاء","الخميس","الجمعة","السبت"))</f>
        <v/>
      </c>
      <c r="D769" s="14" t="n"/>
      <c r="E769" s="15" t="n"/>
      <c r="F769" s="16" t="n"/>
      <c r="G769" s="17" t="n"/>
      <c r="H769" s="18">
        <f>IF(OR(F769="",G769=""),"",ROUND(F769*G769,2))</f>
        <v/>
      </c>
      <c r="I769" s="19">
        <f>IF(ISNUMBER(SEARCH("ستاند",D769)),"أثاث وستاندات","")</f>
        <v/>
      </c>
      <c r="J769" s="20">
        <f>IF(E769="","",IF(I769="","⚠ عبّي الغرض",IF(AND(D769&lt;&gt;"",OR(ISNUMBER(SEARCH("صيانة",D769)),ISNUMBER(SEARCH("تعزيل",D769)),ISNUMBER(SEARCH("تنظيف",D769)),ISNUMBER(SEARCH("تصليح",D769)))),"⚠ الصيانة بلا ورشة",IF(H769="","⚠ ناقص",IF(D769&lt;&gt;"",IF(SUMIF($D$7:$D$806,D769,$H$7:$H$806)&gt;=20,"أصل","مصروف"),IFERROR(IF(VLOOKUP(I769,'القوائم'!$A$2:$D$14,4,0)="زكاة وصدقة","زكاة وصدقة",IF(AND(VLOOKUP(I769,'القوائم'!$A$2:$D$14,3,0)&lt;&gt;"",H769&gt;=20),"أصل","مصروف")),"مصروف"))))))</f>
        <v/>
      </c>
      <c r="K769" s="21" t="n"/>
      <c r="L769" s="22" t="n"/>
      <c r="N769">
        <f>IF(B769="","",MONTH(B769))</f>
        <v/>
      </c>
      <c r="O769">
        <f>IF(B769="","",YEAR(B769))</f>
        <v/>
      </c>
      <c r="P769">
        <f>IF(AND(D769&lt;&gt;"",COUNTIF(D$7:D769,D769)=1),MAX(P$6:P768)+1,"")</f>
        <v/>
      </c>
      <c r="Q769">
        <f>IF(E769="","",IF(I769="أجور عمال","أجرة","مادة"))</f>
        <v/>
      </c>
    </row>
    <row r="770">
      <c r="A770" s="12">
        <f>IF(E770="","",ROW()-6)</f>
        <v/>
      </c>
      <c r="B770" s="13" t="n"/>
      <c r="C770" s="12">
        <f>IF(B770="","",CHOOSE(WEEKDAY(B770,1),"الأحد","الاثنين","الثلاثاء","الأربعاء","الخميس","الجمعة","السبت"))</f>
        <v/>
      </c>
      <c r="D770" s="14" t="n"/>
      <c r="E770" s="15" t="n"/>
      <c r="F770" s="16" t="n"/>
      <c r="G770" s="17" t="n"/>
      <c r="H770" s="18">
        <f>IF(OR(F770="",G770=""),"",ROUND(F770*G770,2))</f>
        <v/>
      </c>
      <c r="I770" s="19">
        <f>IF(ISNUMBER(SEARCH("ستاند",D770)),"أثاث وستاندات","")</f>
        <v/>
      </c>
      <c r="J770" s="20">
        <f>IF(E770="","",IF(I770="","⚠ عبّي الغرض",IF(AND(D770&lt;&gt;"",OR(ISNUMBER(SEARCH("صيانة",D770)),ISNUMBER(SEARCH("تعزيل",D770)),ISNUMBER(SEARCH("تنظيف",D770)),ISNUMBER(SEARCH("تصليح",D770)))),"⚠ الصيانة بلا ورشة",IF(H770="","⚠ ناقص",IF(D770&lt;&gt;"",IF(SUMIF($D$7:$D$806,D770,$H$7:$H$806)&gt;=20,"أصل","مصروف"),IFERROR(IF(VLOOKUP(I770,'القوائم'!$A$2:$D$14,4,0)="زكاة وصدقة","زكاة وصدقة",IF(AND(VLOOKUP(I770,'القوائم'!$A$2:$D$14,3,0)&lt;&gt;"",H770&gt;=20),"أصل","مصروف")),"مصروف"))))))</f>
        <v/>
      </c>
      <c r="K770" s="21" t="n"/>
      <c r="L770" s="22" t="n"/>
      <c r="N770">
        <f>IF(B770="","",MONTH(B770))</f>
        <v/>
      </c>
      <c r="O770">
        <f>IF(B770="","",YEAR(B770))</f>
        <v/>
      </c>
      <c r="P770">
        <f>IF(AND(D770&lt;&gt;"",COUNTIF(D$7:D770,D770)=1),MAX(P$6:P769)+1,"")</f>
        <v/>
      </c>
      <c r="Q770">
        <f>IF(E770="","",IF(I770="أجور عمال","أجرة","مادة"))</f>
        <v/>
      </c>
    </row>
    <row r="771">
      <c r="A771" s="12">
        <f>IF(E771="","",ROW()-6)</f>
        <v/>
      </c>
      <c r="B771" s="13" t="n"/>
      <c r="C771" s="12">
        <f>IF(B771="","",CHOOSE(WEEKDAY(B771,1),"الأحد","الاثنين","الثلاثاء","الأربعاء","الخميس","الجمعة","السبت"))</f>
        <v/>
      </c>
      <c r="D771" s="14" t="n"/>
      <c r="E771" s="15" t="n"/>
      <c r="F771" s="16" t="n"/>
      <c r="G771" s="17" t="n"/>
      <c r="H771" s="18">
        <f>IF(OR(F771="",G771=""),"",ROUND(F771*G771,2))</f>
        <v/>
      </c>
      <c r="I771" s="19">
        <f>IF(ISNUMBER(SEARCH("ستاند",D771)),"أثاث وستاندات","")</f>
        <v/>
      </c>
      <c r="J771" s="20">
        <f>IF(E771="","",IF(I771="","⚠ عبّي الغرض",IF(AND(D771&lt;&gt;"",OR(ISNUMBER(SEARCH("صيانة",D771)),ISNUMBER(SEARCH("تعزيل",D771)),ISNUMBER(SEARCH("تنظيف",D771)),ISNUMBER(SEARCH("تصليح",D771)))),"⚠ الصيانة بلا ورشة",IF(H771="","⚠ ناقص",IF(D771&lt;&gt;"",IF(SUMIF($D$7:$D$806,D771,$H$7:$H$806)&gt;=20,"أصل","مصروف"),IFERROR(IF(VLOOKUP(I771,'القوائم'!$A$2:$D$14,4,0)="زكاة وصدقة","زكاة وصدقة",IF(AND(VLOOKUP(I771,'القوائم'!$A$2:$D$14,3,0)&lt;&gt;"",H771&gt;=20),"أصل","مصروف")),"مصروف"))))))</f>
        <v/>
      </c>
      <c r="K771" s="21" t="n"/>
      <c r="L771" s="22" t="n"/>
      <c r="N771">
        <f>IF(B771="","",MONTH(B771))</f>
        <v/>
      </c>
      <c r="O771">
        <f>IF(B771="","",YEAR(B771))</f>
        <v/>
      </c>
      <c r="P771">
        <f>IF(AND(D771&lt;&gt;"",COUNTIF(D$7:D771,D771)=1),MAX(P$6:P770)+1,"")</f>
        <v/>
      </c>
      <c r="Q771">
        <f>IF(E771="","",IF(I771="أجور عمال","أجرة","مادة"))</f>
        <v/>
      </c>
    </row>
    <row r="772">
      <c r="A772" s="12">
        <f>IF(E772="","",ROW()-6)</f>
        <v/>
      </c>
      <c r="B772" s="13" t="n"/>
      <c r="C772" s="12">
        <f>IF(B772="","",CHOOSE(WEEKDAY(B772,1),"الأحد","الاثنين","الثلاثاء","الأربعاء","الخميس","الجمعة","السبت"))</f>
        <v/>
      </c>
      <c r="D772" s="14" t="n"/>
      <c r="E772" s="15" t="n"/>
      <c r="F772" s="16" t="n"/>
      <c r="G772" s="17" t="n"/>
      <c r="H772" s="18">
        <f>IF(OR(F772="",G772=""),"",ROUND(F772*G772,2))</f>
        <v/>
      </c>
      <c r="I772" s="19">
        <f>IF(ISNUMBER(SEARCH("ستاند",D772)),"أثاث وستاندات","")</f>
        <v/>
      </c>
      <c r="J772" s="20">
        <f>IF(E772="","",IF(I772="","⚠ عبّي الغرض",IF(AND(D772&lt;&gt;"",OR(ISNUMBER(SEARCH("صيانة",D772)),ISNUMBER(SEARCH("تعزيل",D772)),ISNUMBER(SEARCH("تنظيف",D772)),ISNUMBER(SEARCH("تصليح",D772)))),"⚠ الصيانة بلا ورشة",IF(H772="","⚠ ناقص",IF(D772&lt;&gt;"",IF(SUMIF($D$7:$D$806,D772,$H$7:$H$806)&gt;=20,"أصل","مصروف"),IFERROR(IF(VLOOKUP(I772,'القوائم'!$A$2:$D$14,4,0)="زكاة وصدقة","زكاة وصدقة",IF(AND(VLOOKUP(I772,'القوائم'!$A$2:$D$14,3,0)&lt;&gt;"",H772&gt;=20),"أصل","مصروف")),"مصروف"))))))</f>
        <v/>
      </c>
      <c r="K772" s="21" t="n"/>
      <c r="L772" s="22" t="n"/>
      <c r="N772">
        <f>IF(B772="","",MONTH(B772))</f>
        <v/>
      </c>
      <c r="O772">
        <f>IF(B772="","",YEAR(B772))</f>
        <v/>
      </c>
      <c r="P772">
        <f>IF(AND(D772&lt;&gt;"",COUNTIF(D$7:D772,D772)=1),MAX(P$6:P771)+1,"")</f>
        <v/>
      </c>
      <c r="Q772">
        <f>IF(E772="","",IF(I772="أجور عمال","أجرة","مادة"))</f>
        <v/>
      </c>
    </row>
    <row r="773">
      <c r="A773" s="12">
        <f>IF(E773="","",ROW()-6)</f>
        <v/>
      </c>
      <c r="B773" s="13" t="n"/>
      <c r="C773" s="12">
        <f>IF(B773="","",CHOOSE(WEEKDAY(B773,1),"الأحد","الاثنين","الثلاثاء","الأربعاء","الخميس","الجمعة","السبت"))</f>
        <v/>
      </c>
      <c r="D773" s="14" t="n"/>
      <c r="E773" s="15" t="n"/>
      <c r="F773" s="16" t="n"/>
      <c r="G773" s="17" t="n"/>
      <c r="H773" s="18">
        <f>IF(OR(F773="",G773=""),"",ROUND(F773*G773,2))</f>
        <v/>
      </c>
      <c r="I773" s="19">
        <f>IF(ISNUMBER(SEARCH("ستاند",D773)),"أثاث وستاندات","")</f>
        <v/>
      </c>
      <c r="J773" s="20">
        <f>IF(E773="","",IF(I773="","⚠ عبّي الغرض",IF(AND(D773&lt;&gt;"",OR(ISNUMBER(SEARCH("صيانة",D773)),ISNUMBER(SEARCH("تعزيل",D773)),ISNUMBER(SEARCH("تنظيف",D773)),ISNUMBER(SEARCH("تصليح",D773)))),"⚠ الصيانة بلا ورشة",IF(H773="","⚠ ناقص",IF(D773&lt;&gt;"",IF(SUMIF($D$7:$D$806,D773,$H$7:$H$806)&gt;=20,"أصل","مصروف"),IFERROR(IF(VLOOKUP(I773,'القوائم'!$A$2:$D$14,4,0)="زكاة وصدقة","زكاة وصدقة",IF(AND(VLOOKUP(I773,'القوائم'!$A$2:$D$14,3,0)&lt;&gt;"",H773&gt;=20),"أصل","مصروف")),"مصروف"))))))</f>
        <v/>
      </c>
      <c r="K773" s="21" t="n"/>
      <c r="L773" s="22" t="n"/>
      <c r="N773">
        <f>IF(B773="","",MONTH(B773))</f>
        <v/>
      </c>
      <c r="O773">
        <f>IF(B773="","",YEAR(B773))</f>
        <v/>
      </c>
      <c r="P773">
        <f>IF(AND(D773&lt;&gt;"",COUNTIF(D$7:D773,D773)=1),MAX(P$6:P772)+1,"")</f>
        <v/>
      </c>
      <c r="Q773">
        <f>IF(E773="","",IF(I773="أجور عمال","أجرة","مادة"))</f>
        <v/>
      </c>
    </row>
    <row r="774">
      <c r="A774" s="12">
        <f>IF(E774="","",ROW()-6)</f>
        <v/>
      </c>
      <c r="B774" s="13" t="n"/>
      <c r="C774" s="12">
        <f>IF(B774="","",CHOOSE(WEEKDAY(B774,1),"الأحد","الاثنين","الثلاثاء","الأربعاء","الخميس","الجمعة","السبت"))</f>
        <v/>
      </c>
      <c r="D774" s="14" t="n"/>
      <c r="E774" s="15" t="n"/>
      <c r="F774" s="16" t="n"/>
      <c r="G774" s="17" t="n"/>
      <c r="H774" s="18">
        <f>IF(OR(F774="",G774=""),"",ROUND(F774*G774,2))</f>
        <v/>
      </c>
      <c r="I774" s="19">
        <f>IF(ISNUMBER(SEARCH("ستاند",D774)),"أثاث وستاندات","")</f>
        <v/>
      </c>
      <c r="J774" s="20">
        <f>IF(E774="","",IF(I774="","⚠ عبّي الغرض",IF(AND(D774&lt;&gt;"",OR(ISNUMBER(SEARCH("صيانة",D774)),ISNUMBER(SEARCH("تعزيل",D774)),ISNUMBER(SEARCH("تنظيف",D774)),ISNUMBER(SEARCH("تصليح",D774)))),"⚠ الصيانة بلا ورشة",IF(H774="","⚠ ناقص",IF(D774&lt;&gt;"",IF(SUMIF($D$7:$D$806,D774,$H$7:$H$806)&gt;=20,"أصل","مصروف"),IFERROR(IF(VLOOKUP(I774,'القوائم'!$A$2:$D$14,4,0)="زكاة وصدقة","زكاة وصدقة",IF(AND(VLOOKUP(I774,'القوائم'!$A$2:$D$14,3,0)&lt;&gt;"",H774&gt;=20),"أصل","مصروف")),"مصروف"))))))</f>
        <v/>
      </c>
      <c r="K774" s="21" t="n"/>
      <c r="L774" s="22" t="n"/>
      <c r="N774">
        <f>IF(B774="","",MONTH(B774))</f>
        <v/>
      </c>
      <c r="O774">
        <f>IF(B774="","",YEAR(B774))</f>
        <v/>
      </c>
      <c r="P774">
        <f>IF(AND(D774&lt;&gt;"",COUNTIF(D$7:D774,D774)=1),MAX(P$6:P773)+1,"")</f>
        <v/>
      </c>
      <c r="Q774">
        <f>IF(E774="","",IF(I774="أجور عمال","أجرة","مادة"))</f>
        <v/>
      </c>
    </row>
    <row r="775">
      <c r="A775" s="12">
        <f>IF(E775="","",ROW()-6)</f>
        <v/>
      </c>
      <c r="B775" s="13" t="n"/>
      <c r="C775" s="12">
        <f>IF(B775="","",CHOOSE(WEEKDAY(B775,1),"الأحد","الاثنين","الثلاثاء","الأربعاء","الخميس","الجمعة","السبت"))</f>
        <v/>
      </c>
      <c r="D775" s="14" t="n"/>
      <c r="E775" s="15" t="n"/>
      <c r="F775" s="16" t="n"/>
      <c r="G775" s="17" t="n"/>
      <c r="H775" s="18">
        <f>IF(OR(F775="",G775=""),"",ROUND(F775*G775,2))</f>
        <v/>
      </c>
      <c r="I775" s="19">
        <f>IF(ISNUMBER(SEARCH("ستاند",D775)),"أثاث وستاندات","")</f>
        <v/>
      </c>
      <c r="J775" s="20">
        <f>IF(E775="","",IF(I775="","⚠ عبّي الغرض",IF(AND(D775&lt;&gt;"",OR(ISNUMBER(SEARCH("صيانة",D775)),ISNUMBER(SEARCH("تعزيل",D775)),ISNUMBER(SEARCH("تنظيف",D775)),ISNUMBER(SEARCH("تصليح",D775)))),"⚠ الصيانة بلا ورشة",IF(H775="","⚠ ناقص",IF(D775&lt;&gt;"",IF(SUMIF($D$7:$D$806,D775,$H$7:$H$806)&gt;=20,"أصل","مصروف"),IFERROR(IF(VLOOKUP(I775,'القوائم'!$A$2:$D$14,4,0)="زكاة وصدقة","زكاة وصدقة",IF(AND(VLOOKUP(I775,'القوائم'!$A$2:$D$14,3,0)&lt;&gt;"",H775&gt;=20),"أصل","مصروف")),"مصروف"))))))</f>
        <v/>
      </c>
      <c r="K775" s="21" t="n"/>
      <c r="L775" s="22" t="n"/>
      <c r="N775">
        <f>IF(B775="","",MONTH(B775))</f>
        <v/>
      </c>
      <c r="O775">
        <f>IF(B775="","",YEAR(B775))</f>
        <v/>
      </c>
      <c r="P775">
        <f>IF(AND(D775&lt;&gt;"",COUNTIF(D$7:D775,D775)=1),MAX(P$6:P774)+1,"")</f>
        <v/>
      </c>
      <c r="Q775">
        <f>IF(E775="","",IF(I775="أجور عمال","أجرة","مادة"))</f>
        <v/>
      </c>
    </row>
    <row r="776">
      <c r="A776" s="12">
        <f>IF(E776="","",ROW()-6)</f>
        <v/>
      </c>
      <c r="B776" s="13" t="n"/>
      <c r="C776" s="12">
        <f>IF(B776="","",CHOOSE(WEEKDAY(B776,1),"الأحد","الاثنين","الثلاثاء","الأربعاء","الخميس","الجمعة","السبت"))</f>
        <v/>
      </c>
      <c r="D776" s="14" t="n"/>
      <c r="E776" s="15" t="n"/>
      <c r="F776" s="16" t="n"/>
      <c r="G776" s="17" t="n"/>
      <c r="H776" s="18">
        <f>IF(OR(F776="",G776=""),"",ROUND(F776*G776,2))</f>
        <v/>
      </c>
      <c r="I776" s="19">
        <f>IF(ISNUMBER(SEARCH("ستاند",D776)),"أثاث وستاندات","")</f>
        <v/>
      </c>
      <c r="J776" s="20">
        <f>IF(E776="","",IF(I776="","⚠ عبّي الغرض",IF(AND(D776&lt;&gt;"",OR(ISNUMBER(SEARCH("صيانة",D776)),ISNUMBER(SEARCH("تعزيل",D776)),ISNUMBER(SEARCH("تنظيف",D776)),ISNUMBER(SEARCH("تصليح",D776)))),"⚠ الصيانة بلا ورشة",IF(H776="","⚠ ناقص",IF(D776&lt;&gt;"",IF(SUMIF($D$7:$D$806,D776,$H$7:$H$806)&gt;=20,"أصل","مصروف"),IFERROR(IF(VLOOKUP(I776,'القوائم'!$A$2:$D$14,4,0)="زكاة وصدقة","زكاة وصدقة",IF(AND(VLOOKUP(I776,'القوائم'!$A$2:$D$14,3,0)&lt;&gt;"",H776&gt;=20),"أصل","مصروف")),"مصروف"))))))</f>
        <v/>
      </c>
      <c r="K776" s="21" t="n"/>
      <c r="L776" s="22" t="n"/>
      <c r="N776">
        <f>IF(B776="","",MONTH(B776))</f>
        <v/>
      </c>
      <c r="O776">
        <f>IF(B776="","",YEAR(B776))</f>
        <v/>
      </c>
      <c r="P776">
        <f>IF(AND(D776&lt;&gt;"",COUNTIF(D$7:D776,D776)=1),MAX(P$6:P775)+1,"")</f>
        <v/>
      </c>
      <c r="Q776">
        <f>IF(E776="","",IF(I776="أجور عمال","أجرة","مادة"))</f>
        <v/>
      </c>
    </row>
    <row r="777">
      <c r="A777" s="12">
        <f>IF(E777="","",ROW()-6)</f>
        <v/>
      </c>
      <c r="B777" s="13" t="n"/>
      <c r="C777" s="12">
        <f>IF(B777="","",CHOOSE(WEEKDAY(B777,1),"الأحد","الاثنين","الثلاثاء","الأربعاء","الخميس","الجمعة","السبت"))</f>
        <v/>
      </c>
      <c r="D777" s="14" t="n"/>
      <c r="E777" s="15" t="n"/>
      <c r="F777" s="16" t="n"/>
      <c r="G777" s="17" t="n"/>
      <c r="H777" s="18">
        <f>IF(OR(F777="",G777=""),"",ROUND(F777*G777,2))</f>
        <v/>
      </c>
      <c r="I777" s="19">
        <f>IF(ISNUMBER(SEARCH("ستاند",D777)),"أثاث وستاندات","")</f>
        <v/>
      </c>
      <c r="J777" s="20">
        <f>IF(E777="","",IF(I777="","⚠ عبّي الغرض",IF(AND(D777&lt;&gt;"",OR(ISNUMBER(SEARCH("صيانة",D777)),ISNUMBER(SEARCH("تعزيل",D777)),ISNUMBER(SEARCH("تنظيف",D777)),ISNUMBER(SEARCH("تصليح",D777)))),"⚠ الصيانة بلا ورشة",IF(H777="","⚠ ناقص",IF(D777&lt;&gt;"",IF(SUMIF($D$7:$D$806,D777,$H$7:$H$806)&gt;=20,"أصل","مصروف"),IFERROR(IF(VLOOKUP(I777,'القوائم'!$A$2:$D$14,4,0)="زكاة وصدقة","زكاة وصدقة",IF(AND(VLOOKUP(I777,'القوائم'!$A$2:$D$14,3,0)&lt;&gt;"",H777&gt;=20),"أصل","مصروف")),"مصروف"))))))</f>
        <v/>
      </c>
      <c r="K777" s="21" t="n"/>
      <c r="L777" s="22" t="n"/>
      <c r="N777">
        <f>IF(B777="","",MONTH(B777))</f>
        <v/>
      </c>
      <c r="O777">
        <f>IF(B777="","",YEAR(B777))</f>
        <v/>
      </c>
      <c r="P777">
        <f>IF(AND(D777&lt;&gt;"",COUNTIF(D$7:D777,D777)=1),MAX(P$6:P776)+1,"")</f>
        <v/>
      </c>
      <c r="Q777">
        <f>IF(E777="","",IF(I777="أجور عمال","أجرة","مادة"))</f>
        <v/>
      </c>
    </row>
    <row r="778">
      <c r="A778" s="12">
        <f>IF(E778="","",ROW()-6)</f>
        <v/>
      </c>
      <c r="B778" s="13" t="n"/>
      <c r="C778" s="12">
        <f>IF(B778="","",CHOOSE(WEEKDAY(B778,1),"الأحد","الاثنين","الثلاثاء","الأربعاء","الخميس","الجمعة","السبت"))</f>
        <v/>
      </c>
      <c r="D778" s="14" t="n"/>
      <c r="E778" s="15" t="n"/>
      <c r="F778" s="16" t="n"/>
      <c r="G778" s="17" t="n"/>
      <c r="H778" s="18">
        <f>IF(OR(F778="",G778=""),"",ROUND(F778*G778,2))</f>
        <v/>
      </c>
      <c r="I778" s="19">
        <f>IF(ISNUMBER(SEARCH("ستاند",D778)),"أثاث وستاندات","")</f>
        <v/>
      </c>
      <c r="J778" s="20">
        <f>IF(E778="","",IF(I778="","⚠ عبّي الغرض",IF(AND(D778&lt;&gt;"",OR(ISNUMBER(SEARCH("صيانة",D778)),ISNUMBER(SEARCH("تعزيل",D778)),ISNUMBER(SEARCH("تنظيف",D778)),ISNUMBER(SEARCH("تصليح",D778)))),"⚠ الصيانة بلا ورشة",IF(H778="","⚠ ناقص",IF(D778&lt;&gt;"",IF(SUMIF($D$7:$D$806,D778,$H$7:$H$806)&gt;=20,"أصل","مصروف"),IFERROR(IF(VLOOKUP(I778,'القوائم'!$A$2:$D$14,4,0)="زكاة وصدقة","زكاة وصدقة",IF(AND(VLOOKUP(I778,'القوائم'!$A$2:$D$14,3,0)&lt;&gt;"",H778&gt;=20),"أصل","مصروف")),"مصروف"))))))</f>
        <v/>
      </c>
      <c r="K778" s="21" t="n"/>
      <c r="L778" s="22" t="n"/>
      <c r="N778">
        <f>IF(B778="","",MONTH(B778))</f>
        <v/>
      </c>
      <c r="O778">
        <f>IF(B778="","",YEAR(B778))</f>
        <v/>
      </c>
      <c r="P778">
        <f>IF(AND(D778&lt;&gt;"",COUNTIF(D$7:D778,D778)=1),MAX(P$6:P777)+1,"")</f>
        <v/>
      </c>
      <c r="Q778">
        <f>IF(E778="","",IF(I778="أجور عمال","أجرة","مادة"))</f>
        <v/>
      </c>
    </row>
    <row r="779">
      <c r="A779" s="12">
        <f>IF(E779="","",ROW()-6)</f>
        <v/>
      </c>
      <c r="B779" s="13" t="n"/>
      <c r="C779" s="12">
        <f>IF(B779="","",CHOOSE(WEEKDAY(B779,1),"الأحد","الاثنين","الثلاثاء","الأربعاء","الخميس","الجمعة","السبت"))</f>
        <v/>
      </c>
      <c r="D779" s="14" t="n"/>
      <c r="E779" s="15" t="n"/>
      <c r="F779" s="16" t="n"/>
      <c r="G779" s="17" t="n"/>
      <c r="H779" s="18">
        <f>IF(OR(F779="",G779=""),"",ROUND(F779*G779,2))</f>
        <v/>
      </c>
      <c r="I779" s="19">
        <f>IF(ISNUMBER(SEARCH("ستاند",D779)),"أثاث وستاندات","")</f>
        <v/>
      </c>
      <c r="J779" s="20">
        <f>IF(E779="","",IF(I779="","⚠ عبّي الغرض",IF(AND(D779&lt;&gt;"",OR(ISNUMBER(SEARCH("صيانة",D779)),ISNUMBER(SEARCH("تعزيل",D779)),ISNUMBER(SEARCH("تنظيف",D779)),ISNUMBER(SEARCH("تصليح",D779)))),"⚠ الصيانة بلا ورشة",IF(H779="","⚠ ناقص",IF(D779&lt;&gt;"",IF(SUMIF($D$7:$D$806,D779,$H$7:$H$806)&gt;=20,"أصل","مصروف"),IFERROR(IF(VLOOKUP(I779,'القوائم'!$A$2:$D$14,4,0)="زكاة وصدقة","زكاة وصدقة",IF(AND(VLOOKUP(I779,'القوائم'!$A$2:$D$14,3,0)&lt;&gt;"",H779&gt;=20),"أصل","مصروف")),"مصروف"))))))</f>
        <v/>
      </c>
      <c r="K779" s="21" t="n"/>
      <c r="L779" s="22" t="n"/>
      <c r="N779">
        <f>IF(B779="","",MONTH(B779))</f>
        <v/>
      </c>
      <c r="O779">
        <f>IF(B779="","",YEAR(B779))</f>
        <v/>
      </c>
      <c r="P779">
        <f>IF(AND(D779&lt;&gt;"",COUNTIF(D$7:D779,D779)=1),MAX(P$6:P778)+1,"")</f>
        <v/>
      </c>
      <c r="Q779">
        <f>IF(E779="","",IF(I779="أجور عمال","أجرة","مادة"))</f>
        <v/>
      </c>
    </row>
    <row r="780">
      <c r="A780" s="12">
        <f>IF(E780="","",ROW()-6)</f>
        <v/>
      </c>
      <c r="B780" s="13" t="n"/>
      <c r="C780" s="12">
        <f>IF(B780="","",CHOOSE(WEEKDAY(B780,1),"الأحد","الاثنين","الثلاثاء","الأربعاء","الخميس","الجمعة","السبت"))</f>
        <v/>
      </c>
      <c r="D780" s="14" t="n"/>
      <c r="E780" s="15" t="n"/>
      <c r="F780" s="16" t="n"/>
      <c r="G780" s="17" t="n"/>
      <c r="H780" s="18">
        <f>IF(OR(F780="",G780=""),"",ROUND(F780*G780,2))</f>
        <v/>
      </c>
      <c r="I780" s="19">
        <f>IF(ISNUMBER(SEARCH("ستاند",D780)),"أثاث وستاندات","")</f>
        <v/>
      </c>
      <c r="J780" s="20">
        <f>IF(E780="","",IF(I780="","⚠ عبّي الغرض",IF(AND(D780&lt;&gt;"",OR(ISNUMBER(SEARCH("صيانة",D780)),ISNUMBER(SEARCH("تعزيل",D780)),ISNUMBER(SEARCH("تنظيف",D780)),ISNUMBER(SEARCH("تصليح",D780)))),"⚠ الصيانة بلا ورشة",IF(H780="","⚠ ناقص",IF(D780&lt;&gt;"",IF(SUMIF($D$7:$D$806,D780,$H$7:$H$806)&gt;=20,"أصل","مصروف"),IFERROR(IF(VLOOKUP(I780,'القوائم'!$A$2:$D$14,4,0)="زكاة وصدقة","زكاة وصدقة",IF(AND(VLOOKUP(I780,'القوائم'!$A$2:$D$14,3,0)&lt;&gt;"",H780&gt;=20),"أصل","مصروف")),"مصروف"))))))</f>
        <v/>
      </c>
      <c r="K780" s="21" t="n"/>
      <c r="L780" s="22" t="n"/>
      <c r="N780">
        <f>IF(B780="","",MONTH(B780))</f>
        <v/>
      </c>
      <c r="O780">
        <f>IF(B780="","",YEAR(B780))</f>
        <v/>
      </c>
      <c r="P780">
        <f>IF(AND(D780&lt;&gt;"",COUNTIF(D$7:D780,D780)=1),MAX(P$6:P779)+1,"")</f>
        <v/>
      </c>
      <c r="Q780">
        <f>IF(E780="","",IF(I780="أجور عمال","أجرة","مادة"))</f>
        <v/>
      </c>
    </row>
    <row r="781">
      <c r="A781" s="12">
        <f>IF(E781="","",ROW()-6)</f>
        <v/>
      </c>
      <c r="B781" s="13" t="n"/>
      <c r="C781" s="12">
        <f>IF(B781="","",CHOOSE(WEEKDAY(B781,1),"الأحد","الاثنين","الثلاثاء","الأربعاء","الخميس","الجمعة","السبت"))</f>
        <v/>
      </c>
      <c r="D781" s="14" t="n"/>
      <c r="E781" s="15" t="n"/>
      <c r="F781" s="16" t="n"/>
      <c r="G781" s="17" t="n"/>
      <c r="H781" s="18">
        <f>IF(OR(F781="",G781=""),"",ROUND(F781*G781,2))</f>
        <v/>
      </c>
      <c r="I781" s="19">
        <f>IF(ISNUMBER(SEARCH("ستاند",D781)),"أثاث وستاندات","")</f>
        <v/>
      </c>
      <c r="J781" s="20">
        <f>IF(E781="","",IF(I781="","⚠ عبّي الغرض",IF(AND(D781&lt;&gt;"",OR(ISNUMBER(SEARCH("صيانة",D781)),ISNUMBER(SEARCH("تعزيل",D781)),ISNUMBER(SEARCH("تنظيف",D781)),ISNUMBER(SEARCH("تصليح",D781)))),"⚠ الصيانة بلا ورشة",IF(H781="","⚠ ناقص",IF(D781&lt;&gt;"",IF(SUMIF($D$7:$D$806,D781,$H$7:$H$806)&gt;=20,"أصل","مصروف"),IFERROR(IF(VLOOKUP(I781,'القوائم'!$A$2:$D$14,4,0)="زكاة وصدقة","زكاة وصدقة",IF(AND(VLOOKUP(I781,'القوائم'!$A$2:$D$14,3,0)&lt;&gt;"",H781&gt;=20),"أصل","مصروف")),"مصروف"))))))</f>
        <v/>
      </c>
      <c r="K781" s="21" t="n"/>
      <c r="L781" s="22" t="n"/>
      <c r="N781">
        <f>IF(B781="","",MONTH(B781))</f>
        <v/>
      </c>
      <c r="O781">
        <f>IF(B781="","",YEAR(B781))</f>
        <v/>
      </c>
      <c r="P781">
        <f>IF(AND(D781&lt;&gt;"",COUNTIF(D$7:D781,D781)=1),MAX(P$6:P780)+1,"")</f>
        <v/>
      </c>
      <c r="Q781">
        <f>IF(E781="","",IF(I781="أجور عمال","أجرة","مادة"))</f>
        <v/>
      </c>
    </row>
    <row r="782">
      <c r="A782" s="12">
        <f>IF(E782="","",ROW()-6)</f>
        <v/>
      </c>
      <c r="B782" s="13" t="n"/>
      <c r="C782" s="12">
        <f>IF(B782="","",CHOOSE(WEEKDAY(B782,1),"الأحد","الاثنين","الثلاثاء","الأربعاء","الخميس","الجمعة","السبت"))</f>
        <v/>
      </c>
      <c r="D782" s="14" t="n"/>
      <c r="E782" s="15" t="n"/>
      <c r="F782" s="16" t="n"/>
      <c r="G782" s="17" t="n"/>
      <c r="H782" s="18">
        <f>IF(OR(F782="",G782=""),"",ROUND(F782*G782,2))</f>
        <v/>
      </c>
      <c r="I782" s="19">
        <f>IF(ISNUMBER(SEARCH("ستاند",D782)),"أثاث وستاندات","")</f>
        <v/>
      </c>
      <c r="J782" s="20">
        <f>IF(E782="","",IF(I782="","⚠ عبّي الغرض",IF(AND(D782&lt;&gt;"",OR(ISNUMBER(SEARCH("صيانة",D782)),ISNUMBER(SEARCH("تعزيل",D782)),ISNUMBER(SEARCH("تنظيف",D782)),ISNUMBER(SEARCH("تصليح",D782)))),"⚠ الصيانة بلا ورشة",IF(H782="","⚠ ناقص",IF(D782&lt;&gt;"",IF(SUMIF($D$7:$D$806,D782,$H$7:$H$806)&gt;=20,"أصل","مصروف"),IFERROR(IF(VLOOKUP(I782,'القوائم'!$A$2:$D$14,4,0)="زكاة وصدقة","زكاة وصدقة",IF(AND(VLOOKUP(I782,'القوائم'!$A$2:$D$14,3,0)&lt;&gt;"",H782&gt;=20),"أصل","مصروف")),"مصروف"))))))</f>
        <v/>
      </c>
      <c r="K782" s="21" t="n"/>
      <c r="L782" s="22" t="n"/>
      <c r="N782">
        <f>IF(B782="","",MONTH(B782))</f>
        <v/>
      </c>
      <c r="O782">
        <f>IF(B782="","",YEAR(B782))</f>
        <v/>
      </c>
      <c r="P782">
        <f>IF(AND(D782&lt;&gt;"",COUNTIF(D$7:D782,D782)=1),MAX(P$6:P781)+1,"")</f>
        <v/>
      </c>
      <c r="Q782">
        <f>IF(E782="","",IF(I782="أجور عمال","أجرة","مادة"))</f>
        <v/>
      </c>
    </row>
    <row r="783">
      <c r="A783" s="12">
        <f>IF(E783="","",ROW()-6)</f>
        <v/>
      </c>
      <c r="B783" s="13" t="n"/>
      <c r="C783" s="12">
        <f>IF(B783="","",CHOOSE(WEEKDAY(B783,1),"الأحد","الاثنين","الثلاثاء","الأربعاء","الخميس","الجمعة","السبت"))</f>
        <v/>
      </c>
      <c r="D783" s="14" t="n"/>
      <c r="E783" s="15" t="n"/>
      <c r="F783" s="16" t="n"/>
      <c r="G783" s="17" t="n"/>
      <c r="H783" s="18">
        <f>IF(OR(F783="",G783=""),"",ROUND(F783*G783,2))</f>
        <v/>
      </c>
      <c r="I783" s="19">
        <f>IF(ISNUMBER(SEARCH("ستاند",D783)),"أثاث وستاندات","")</f>
        <v/>
      </c>
      <c r="J783" s="20">
        <f>IF(E783="","",IF(I783="","⚠ عبّي الغرض",IF(AND(D783&lt;&gt;"",OR(ISNUMBER(SEARCH("صيانة",D783)),ISNUMBER(SEARCH("تعزيل",D783)),ISNUMBER(SEARCH("تنظيف",D783)),ISNUMBER(SEARCH("تصليح",D783)))),"⚠ الصيانة بلا ورشة",IF(H783="","⚠ ناقص",IF(D783&lt;&gt;"",IF(SUMIF($D$7:$D$806,D783,$H$7:$H$806)&gt;=20,"أصل","مصروف"),IFERROR(IF(VLOOKUP(I783,'القوائم'!$A$2:$D$14,4,0)="زكاة وصدقة","زكاة وصدقة",IF(AND(VLOOKUP(I783,'القوائم'!$A$2:$D$14,3,0)&lt;&gt;"",H783&gt;=20),"أصل","مصروف")),"مصروف"))))))</f>
        <v/>
      </c>
      <c r="K783" s="21" t="n"/>
      <c r="L783" s="22" t="n"/>
      <c r="N783">
        <f>IF(B783="","",MONTH(B783))</f>
        <v/>
      </c>
      <c r="O783">
        <f>IF(B783="","",YEAR(B783))</f>
        <v/>
      </c>
      <c r="P783">
        <f>IF(AND(D783&lt;&gt;"",COUNTIF(D$7:D783,D783)=1),MAX(P$6:P782)+1,"")</f>
        <v/>
      </c>
      <c r="Q783">
        <f>IF(E783="","",IF(I783="أجور عمال","أجرة","مادة"))</f>
        <v/>
      </c>
    </row>
    <row r="784">
      <c r="A784" s="12">
        <f>IF(E784="","",ROW()-6)</f>
        <v/>
      </c>
      <c r="B784" s="13" t="n"/>
      <c r="C784" s="12">
        <f>IF(B784="","",CHOOSE(WEEKDAY(B784,1),"الأحد","الاثنين","الثلاثاء","الأربعاء","الخميس","الجمعة","السبت"))</f>
        <v/>
      </c>
      <c r="D784" s="14" t="n"/>
      <c r="E784" s="15" t="n"/>
      <c r="F784" s="16" t="n"/>
      <c r="G784" s="17" t="n"/>
      <c r="H784" s="18">
        <f>IF(OR(F784="",G784=""),"",ROUND(F784*G784,2))</f>
        <v/>
      </c>
      <c r="I784" s="19">
        <f>IF(ISNUMBER(SEARCH("ستاند",D784)),"أثاث وستاندات","")</f>
        <v/>
      </c>
      <c r="J784" s="20">
        <f>IF(E784="","",IF(I784="","⚠ عبّي الغرض",IF(AND(D784&lt;&gt;"",OR(ISNUMBER(SEARCH("صيانة",D784)),ISNUMBER(SEARCH("تعزيل",D784)),ISNUMBER(SEARCH("تنظيف",D784)),ISNUMBER(SEARCH("تصليح",D784)))),"⚠ الصيانة بلا ورشة",IF(H784="","⚠ ناقص",IF(D784&lt;&gt;"",IF(SUMIF($D$7:$D$806,D784,$H$7:$H$806)&gt;=20,"أصل","مصروف"),IFERROR(IF(VLOOKUP(I784,'القوائم'!$A$2:$D$14,4,0)="زكاة وصدقة","زكاة وصدقة",IF(AND(VLOOKUP(I784,'القوائم'!$A$2:$D$14,3,0)&lt;&gt;"",H784&gt;=20),"أصل","مصروف")),"مصروف"))))))</f>
        <v/>
      </c>
      <c r="K784" s="21" t="n"/>
      <c r="L784" s="22" t="n"/>
      <c r="N784">
        <f>IF(B784="","",MONTH(B784))</f>
        <v/>
      </c>
      <c r="O784">
        <f>IF(B784="","",YEAR(B784))</f>
        <v/>
      </c>
      <c r="P784">
        <f>IF(AND(D784&lt;&gt;"",COUNTIF(D$7:D784,D784)=1),MAX(P$6:P783)+1,"")</f>
        <v/>
      </c>
      <c r="Q784">
        <f>IF(E784="","",IF(I784="أجور عمال","أجرة","مادة"))</f>
        <v/>
      </c>
    </row>
    <row r="785">
      <c r="A785" s="12">
        <f>IF(E785="","",ROW()-6)</f>
        <v/>
      </c>
      <c r="B785" s="13" t="n"/>
      <c r="C785" s="12">
        <f>IF(B785="","",CHOOSE(WEEKDAY(B785,1),"الأحد","الاثنين","الثلاثاء","الأربعاء","الخميس","الجمعة","السبت"))</f>
        <v/>
      </c>
      <c r="D785" s="14" t="n"/>
      <c r="E785" s="15" t="n"/>
      <c r="F785" s="16" t="n"/>
      <c r="G785" s="17" t="n"/>
      <c r="H785" s="18">
        <f>IF(OR(F785="",G785=""),"",ROUND(F785*G785,2))</f>
        <v/>
      </c>
      <c r="I785" s="19">
        <f>IF(ISNUMBER(SEARCH("ستاند",D785)),"أثاث وستاندات","")</f>
        <v/>
      </c>
      <c r="J785" s="20">
        <f>IF(E785="","",IF(I785="","⚠ عبّي الغرض",IF(AND(D785&lt;&gt;"",OR(ISNUMBER(SEARCH("صيانة",D785)),ISNUMBER(SEARCH("تعزيل",D785)),ISNUMBER(SEARCH("تنظيف",D785)),ISNUMBER(SEARCH("تصليح",D785)))),"⚠ الصيانة بلا ورشة",IF(H785="","⚠ ناقص",IF(D785&lt;&gt;"",IF(SUMIF($D$7:$D$806,D785,$H$7:$H$806)&gt;=20,"أصل","مصروف"),IFERROR(IF(VLOOKUP(I785,'القوائم'!$A$2:$D$14,4,0)="زكاة وصدقة","زكاة وصدقة",IF(AND(VLOOKUP(I785,'القوائم'!$A$2:$D$14,3,0)&lt;&gt;"",H785&gt;=20),"أصل","مصروف")),"مصروف"))))))</f>
        <v/>
      </c>
      <c r="K785" s="21" t="n"/>
      <c r="L785" s="22" t="n"/>
      <c r="N785">
        <f>IF(B785="","",MONTH(B785))</f>
        <v/>
      </c>
      <c r="O785">
        <f>IF(B785="","",YEAR(B785))</f>
        <v/>
      </c>
      <c r="P785">
        <f>IF(AND(D785&lt;&gt;"",COUNTIF(D$7:D785,D785)=1),MAX(P$6:P784)+1,"")</f>
        <v/>
      </c>
      <c r="Q785">
        <f>IF(E785="","",IF(I785="أجور عمال","أجرة","مادة"))</f>
        <v/>
      </c>
    </row>
    <row r="786">
      <c r="A786" s="12">
        <f>IF(E786="","",ROW()-6)</f>
        <v/>
      </c>
      <c r="B786" s="13" t="n"/>
      <c r="C786" s="12">
        <f>IF(B786="","",CHOOSE(WEEKDAY(B786,1),"الأحد","الاثنين","الثلاثاء","الأربعاء","الخميس","الجمعة","السبت"))</f>
        <v/>
      </c>
      <c r="D786" s="14" t="n"/>
      <c r="E786" s="15" t="n"/>
      <c r="F786" s="16" t="n"/>
      <c r="G786" s="17" t="n"/>
      <c r="H786" s="18">
        <f>IF(OR(F786="",G786=""),"",ROUND(F786*G786,2))</f>
        <v/>
      </c>
      <c r="I786" s="19">
        <f>IF(ISNUMBER(SEARCH("ستاند",D786)),"أثاث وستاندات","")</f>
        <v/>
      </c>
      <c r="J786" s="20">
        <f>IF(E786="","",IF(I786="","⚠ عبّي الغرض",IF(AND(D786&lt;&gt;"",OR(ISNUMBER(SEARCH("صيانة",D786)),ISNUMBER(SEARCH("تعزيل",D786)),ISNUMBER(SEARCH("تنظيف",D786)),ISNUMBER(SEARCH("تصليح",D786)))),"⚠ الصيانة بلا ورشة",IF(H786="","⚠ ناقص",IF(D786&lt;&gt;"",IF(SUMIF($D$7:$D$806,D786,$H$7:$H$806)&gt;=20,"أصل","مصروف"),IFERROR(IF(VLOOKUP(I786,'القوائم'!$A$2:$D$14,4,0)="زكاة وصدقة","زكاة وصدقة",IF(AND(VLOOKUP(I786,'القوائم'!$A$2:$D$14,3,0)&lt;&gt;"",H786&gt;=20),"أصل","مصروف")),"مصروف"))))))</f>
        <v/>
      </c>
      <c r="K786" s="21" t="n"/>
      <c r="L786" s="22" t="n"/>
      <c r="N786">
        <f>IF(B786="","",MONTH(B786))</f>
        <v/>
      </c>
      <c r="O786">
        <f>IF(B786="","",YEAR(B786))</f>
        <v/>
      </c>
      <c r="P786">
        <f>IF(AND(D786&lt;&gt;"",COUNTIF(D$7:D786,D786)=1),MAX(P$6:P785)+1,"")</f>
        <v/>
      </c>
      <c r="Q786">
        <f>IF(E786="","",IF(I786="أجور عمال","أجرة","مادة"))</f>
        <v/>
      </c>
    </row>
    <row r="787">
      <c r="A787" s="12">
        <f>IF(E787="","",ROW()-6)</f>
        <v/>
      </c>
      <c r="B787" s="13" t="n"/>
      <c r="C787" s="12">
        <f>IF(B787="","",CHOOSE(WEEKDAY(B787,1),"الأحد","الاثنين","الثلاثاء","الأربعاء","الخميس","الجمعة","السبت"))</f>
        <v/>
      </c>
      <c r="D787" s="14" t="n"/>
      <c r="E787" s="15" t="n"/>
      <c r="F787" s="16" t="n"/>
      <c r="G787" s="17" t="n"/>
      <c r="H787" s="18">
        <f>IF(OR(F787="",G787=""),"",ROUND(F787*G787,2))</f>
        <v/>
      </c>
      <c r="I787" s="19">
        <f>IF(ISNUMBER(SEARCH("ستاند",D787)),"أثاث وستاندات","")</f>
        <v/>
      </c>
      <c r="J787" s="20">
        <f>IF(E787="","",IF(I787="","⚠ عبّي الغرض",IF(AND(D787&lt;&gt;"",OR(ISNUMBER(SEARCH("صيانة",D787)),ISNUMBER(SEARCH("تعزيل",D787)),ISNUMBER(SEARCH("تنظيف",D787)),ISNUMBER(SEARCH("تصليح",D787)))),"⚠ الصيانة بلا ورشة",IF(H787="","⚠ ناقص",IF(D787&lt;&gt;"",IF(SUMIF($D$7:$D$806,D787,$H$7:$H$806)&gt;=20,"أصل","مصروف"),IFERROR(IF(VLOOKUP(I787,'القوائم'!$A$2:$D$14,4,0)="زكاة وصدقة","زكاة وصدقة",IF(AND(VLOOKUP(I787,'القوائم'!$A$2:$D$14,3,0)&lt;&gt;"",H787&gt;=20),"أصل","مصروف")),"مصروف"))))))</f>
        <v/>
      </c>
      <c r="K787" s="21" t="n"/>
      <c r="L787" s="22" t="n"/>
      <c r="N787">
        <f>IF(B787="","",MONTH(B787))</f>
        <v/>
      </c>
      <c r="O787">
        <f>IF(B787="","",YEAR(B787))</f>
        <v/>
      </c>
      <c r="P787">
        <f>IF(AND(D787&lt;&gt;"",COUNTIF(D$7:D787,D787)=1),MAX(P$6:P786)+1,"")</f>
        <v/>
      </c>
      <c r="Q787">
        <f>IF(E787="","",IF(I787="أجور عمال","أجرة","مادة"))</f>
        <v/>
      </c>
    </row>
    <row r="788">
      <c r="A788" s="12">
        <f>IF(E788="","",ROW()-6)</f>
        <v/>
      </c>
      <c r="B788" s="13" t="n"/>
      <c r="C788" s="12">
        <f>IF(B788="","",CHOOSE(WEEKDAY(B788,1),"الأحد","الاثنين","الثلاثاء","الأربعاء","الخميس","الجمعة","السبت"))</f>
        <v/>
      </c>
      <c r="D788" s="14" t="n"/>
      <c r="E788" s="15" t="n"/>
      <c r="F788" s="16" t="n"/>
      <c r="G788" s="17" t="n"/>
      <c r="H788" s="18">
        <f>IF(OR(F788="",G788=""),"",ROUND(F788*G788,2))</f>
        <v/>
      </c>
      <c r="I788" s="19">
        <f>IF(ISNUMBER(SEARCH("ستاند",D788)),"أثاث وستاندات","")</f>
        <v/>
      </c>
      <c r="J788" s="20">
        <f>IF(E788="","",IF(I788="","⚠ عبّي الغرض",IF(AND(D788&lt;&gt;"",OR(ISNUMBER(SEARCH("صيانة",D788)),ISNUMBER(SEARCH("تعزيل",D788)),ISNUMBER(SEARCH("تنظيف",D788)),ISNUMBER(SEARCH("تصليح",D788)))),"⚠ الصيانة بلا ورشة",IF(H788="","⚠ ناقص",IF(D788&lt;&gt;"",IF(SUMIF($D$7:$D$806,D788,$H$7:$H$806)&gt;=20,"أصل","مصروف"),IFERROR(IF(VLOOKUP(I788,'القوائم'!$A$2:$D$14,4,0)="زكاة وصدقة","زكاة وصدقة",IF(AND(VLOOKUP(I788,'القوائم'!$A$2:$D$14,3,0)&lt;&gt;"",H788&gt;=20),"أصل","مصروف")),"مصروف"))))))</f>
        <v/>
      </c>
      <c r="K788" s="21" t="n"/>
      <c r="L788" s="22" t="n"/>
      <c r="N788">
        <f>IF(B788="","",MONTH(B788))</f>
        <v/>
      </c>
      <c r="O788">
        <f>IF(B788="","",YEAR(B788))</f>
        <v/>
      </c>
      <c r="P788">
        <f>IF(AND(D788&lt;&gt;"",COUNTIF(D$7:D788,D788)=1),MAX(P$6:P787)+1,"")</f>
        <v/>
      </c>
      <c r="Q788">
        <f>IF(E788="","",IF(I788="أجور عمال","أجرة","مادة"))</f>
        <v/>
      </c>
    </row>
    <row r="789">
      <c r="A789" s="12">
        <f>IF(E789="","",ROW()-6)</f>
        <v/>
      </c>
      <c r="B789" s="13" t="n"/>
      <c r="C789" s="12">
        <f>IF(B789="","",CHOOSE(WEEKDAY(B789,1),"الأحد","الاثنين","الثلاثاء","الأربعاء","الخميس","الجمعة","السبت"))</f>
        <v/>
      </c>
      <c r="D789" s="14" t="n"/>
      <c r="E789" s="15" t="n"/>
      <c r="F789" s="16" t="n"/>
      <c r="G789" s="17" t="n"/>
      <c r="H789" s="18">
        <f>IF(OR(F789="",G789=""),"",ROUND(F789*G789,2))</f>
        <v/>
      </c>
      <c r="I789" s="19">
        <f>IF(ISNUMBER(SEARCH("ستاند",D789)),"أثاث وستاندات","")</f>
        <v/>
      </c>
      <c r="J789" s="20">
        <f>IF(E789="","",IF(I789="","⚠ عبّي الغرض",IF(AND(D789&lt;&gt;"",OR(ISNUMBER(SEARCH("صيانة",D789)),ISNUMBER(SEARCH("تعزيل",D789)),ISNUMBER(SEARCH("تنظيف",D789)),ISNUMBER(SEARCH("تصليح",D789)))),"⚠ الصيانة بلا ورشة",IF(H789="","⚠ ناقص",IF(D789&lt;&gt;"",IF(SUMIF($D$7:$D$806,D789,$H$7:$H$806)&gt;=20,"أصل","مصروف"),IFERROR(IF(VLOOKUP(I789,'القوائم'!$A$2:$D$14,4,0)="زكاة وصدقة","زكاة وصدقة",IF(AND(VLOOKUP(I789,'القوائم'!$A$2:$D$14,3,0)&lt;&gt;"",H789&gt;=20),"أصل","مصروف")),"مصروف"))))))</f>
        <v/>
      </c>
      <c r="K789" s="21" t="n"/>
      <c r="L789" s="22" t="n"/>
      <c r="N789">
        <f>IF(B789="","",MONTH(B789))</f>
        <v/>
      </c>
      <c r="O789">
        <f>IF(B789="","",YEAR(B789))</f>
        <v/>
      </c>
      <c r="P789">
        <f>IF(AND(D789&lt;&gt;"",COUNTIF(D$7:D789,D789)=1),MAX(P$6:P788)+1,"")</f>
        <v/>
      </c>
      <c r="Q789">
        <f>IF(E789="","",IF(I789="أجور عمال","أجرة","مادة"))</f>
        <v/>
      </c>
    </row>
    <row r="790">
      <c r="A790" s="12">
        <f>IF(E790="","",ROW()-6)</f>
        <v/>
      </c>
      <c r="B790" s="13" t="n"/>
      <c r="C790" s="12">
        <f>IF(B790="","",CHOOSE(WEEKDAY(B790,1),"الأحد","الاثنين","الثلاثاء","الأربعاء","الخميس","الجمعة","السبت"))</f>
        <v/>
      </c>
      <c r="D790" s="14" t="n"/>
      <c r="E790" s="15" t="n"/>
      <c r="F790" s="16" t="n"/>
      <c r="G790" s="17" t="n"/>
      <c r="H790" s="18">
        <f>IF(OR(F790="",G790=""),"",ROUND(F790*G790,2))</f>
        <v/>
      </c>
      <c r="I790" s="19">
        <f>IF(ISNUMBER(SEARCH("ستاند",D790)),"أثاث وستاندات","")</f>
        <v/>
      </c>
      <c r="J790" s="20">
        <f>IF(E790="","",IF(I790="","⚠ عبّي الغرض",IF(AND(D790&lt;&gt;"",OR(ISNUMBER(SEARCH("صيانة",D790)),ISNUMBER(SEARCH("تعزيل",D790)),ISNUMBER(SEARCH("تنظيف",D790)),ISNUMBER(SEARCH("تصليح",D790)))),"⚠ الصيانة بلا ورشة",IF(H790="","⚠ ناقص",IF(D790&lt;&gt;"",IF(SUMIF($D$7:$D$806,D790,$H$7:$H$806)&gt;=20,"أصل","مصروف"),IFERROR(IF(VLOOKUP(I790,'القوائم'!$A$2:$D$14,4,0)="زكاة وصدقة","زكاة وصدقة",IF(AND(VLOOKUP(I790,'القوائم'!$A$2:$D$14,3,0)&lt;&gt;"",H790&gt;=20),"أصل","مصروف")),"مصروف"))))))</f>
        <v/>
      </c>
      <c r="K790" s="21" t="n"/>
      <c r="L790" s="22" t="n"/>
      <c r="N790">
        <f>IF(B790="","",MONTH(B790))</f>
        <v/>
      </c>
      <c r="O790">
        <f>IF(B790="","",YEAR(B790))</f>
        <v/>
      </c>
      <c r="P790">
        <f>IF(AND(D790&lt;&gt;"",COUNTIF(D$7:D790,D790)=1),MAX(P$6:P789)+1,"")</f>
        <v/>
      </c>
      <c r="Q790">
        <f>IF(E790="","",IF(I790="أجور عمال","أجرة","مادة"))</f>
        <v/>
      </c>
    </row>
    <row r="791">
      <c r="A791" s="12">
        <f>IF(E791="","",ROW()-6)</f>
        <v/>
      </c>
      <c r="B791" s="13" t="n"/>
      <c r="C791" s="12">
        <f>IF(B791="","",CHOOSE(WEEKDAY(B791,1),"الأحد","الاثنين","الثلاثاء","الأربعاء","الخميس","الجمعة","السبت"))</f>
        <v/>
      </c>
      <c r="D791" s="14" t="n"/>
      <c r="E791" s="15" t="n"/>
      <c r="F791" s="16" t="n"/>
      <c r="G791" s="17" t="n"/>
      <c r="H791" s="18">
        <f>IF(OR(F791="",G791=""),"",ROUND(F791*G791,2))</f>
        <v/>
      </c>
      <c r="I791" s="19">
        <f>IF(ISNUMBER(SEARCH("ستاند",D791)),"أثاث وستاندات","")</f>
        <v/>
      </c>
      <c r="J791" s="20">
        <f>IF(E791="","",IF(I791="","⚠ عبّي الغرض",IF(AND(D791&lt;&gt;"",OR(ISNUMBER(SEARCH("صيانة",D791)),ISNUMBER(SEARCH("تعزيل",D791)),ISNUMBER(SEARCH("تنظيف",D791)),ISNUMBER(SEARCH("تصليح",D791)))),"⚠ الصيانة بلا ورشة",IF(H791="","⚠ ناقص",IF(D791&lt;&gt;"",IF(SUMIF($D$7:$D$806,D791,$H$7:$H$806)&gt;=20,"أصل","مصروف"),IFERROR(IF(VLOOKUP(I791,'القوائم'!$A$2:$D$14,4,0)="زكاة وصدقة","زكاة وصدقة",IF(AND(VLOOKUP(I791,'القوائم'!$A$2:$D$14,3,0)&lt;&gt;"",H791&gt;=20),"أصل","مصروف")),"مصروف"))))))</f>
        <v/>
      </c>
      <c r="K791" s="21" t="n"/>
      <c r="L791" s="22" t="n"/>
      <c r="N791">
        <f>IF(B791="","",MONTH(B791))</f>
        <v/>
      </c>
      <c r="O791">
        <f>IF(B791="","",YEAR(B791))</f>
        <v/>
      </c>
      <c r="P791">
        <f>IF(AND(D791&lt;&gt;"",COUNTIF(D$7:D791,D791)=1),MAX(P$6:P790)+1,"")</f>
        <v/>
      </c>
      <c r="Q791">
        <f>IF(E791="","",IF(I791="أجور عمال","أجرة","مادة"))</f>
        <v/>
      </c>
    </row>
    <row r="792">
      <c r="A792" s="12">
        <f>IF(E792="","",ROW()-6)</f>
        <v/>
      </c>
      <c r="B792" s="13" t="n"/>
      <c r="C792" s="12">
        <f>IF(B792="","",CHOOSE(WEEKDAY(B792,1),"الأحد","الاثنين","الثلاثاء","الأربعاء","الخميس","الجمعة","السبت"))</f>
        <v/>
      </c>
      <c r="D792" s="14" t="n"/>
      <c r="E792" s="15" t="n"/>
      <c r="F792" s="16" t="n"/>
      <c r="G792" s="17" t="n"/>
      <c r="H792" s="18">
        <f>IF(OR(F792="",G792=""),"",ROUND(F792*G792,2))</f>
        <v/>
      </c>
      <c r="I792" s="19">
        <f>IF(ISNUMBER(SEARCH("ستاند",D792)),"أثاث وستاندات","")</f>
        <v/>
      </c>
      <c r="J792" s="20">
        <f>IF(E792="","",IF(I792="","⚠ عبّي الغرض",IF(AND(D792&lt;&gt;"",OR(ISNUMBER(SEARCH("صيانة",D792)),ISNUMBER(SEARCH("تعزيل",D792)),ISNUMBER(SEARCH("تنظيف",D792)),ISNUMBER(SEARCH("تصليح",D792)))),"⚠ الصيانة بلا ورشة",IF(H792="","⚠ ناقص",IF(D792&lt;&gt;"",IF(SUMIF($D$7:$D$806,D792,$H$7:$H$806)&gt;=20,"أصل","مصروف"),IFERROR(IF(VLOOKUP(I792,'القوائم'!$A$2:$D$14,4,0)="زكاة وصدقة","زكاة وصدقة",IF(AND(VLOOKUP(I792,'القوائم'!$A$2:$D$14,3,0)&lt;&gt;"",H792&gt;=20),"أصل","مصروف")),"مصروف"))))))</f>
        <v/>
      </c>
      <c r="K792" s="21" t="n"/>
      <c r="L792" s="22" t="n"/>
      <c r="N792">
        <f>IF(B792="","",MONTH(B792))</f>
        <v/>
      </c>
      <c r="O792">
        <f>IF(B792="","",YEAR(B792))</f>
        <v/>
      </c>
      <c r="P792">
        <f>IF(AND(D792&lt;&gt;"",COUNTIF(D$7:D792,D792)=1),MAX(P$6:P791)+1,"")</f>
        <v/>
      </c>
      <c r="Q792">
        <f>IF(E792="","",IF(I792="أجور عمال","أجرة","مادة"))</f>
        <v/>
      </c>
    </row>
    <row r="793">
      <c r="A793" s="12">
        <f>IF(E793="","",ROW()-6)</f>
        <v/>
      </c>
      <c r="B793" s="13" t="n"/>
      <c r="C793" s="12">
        <f>IF(B793="","",CHOOSE(WEEKDAY(B793,1),"الأحد","الاثنين","الثلاثاء","الأربعاء","الخميس","الجمعة","السبت"))</f>
        <v/>
      </c>
      <c r="D793" s="14" t="n"/>
      <c r="E793" s="15" t="n"/>
      <c r="F793" s="16" t="n"/>
      <c r="G793" s="17" t="n"/>
      <c r="H793" s="18">
        <f>IF(OR(F793="",G793=""),"",ROUND(F793*G793,2))</f>
        <v/>
      </c>
      <c r="I793" s="19">
        <f>IF(ISNUMBER(SEARCH("ستاند",D793)),"أثاث وستاندات","")</f>
        <v/>
      </c>
      <c r="J793" s="20">
        <f>IF(E793="","",IF(I793="","⚠ عبّي الغرض",IF(AND(D793&lt;&gt;"",OR(ISNUMBER(SEARCH("صيانة",D793)),ISNUMBER(SEARCH("تعزيل",D793)),ISNUMBER(SEARCH("تنظيف",D793)),ISNUMBER(SEARCH("تصليح",D793)))),"⚠ الصيانة بلا ورشة",IF(H793="","⚠ ناقص",IF(D793&lt;&gt;"",IF(SUMIF($D$7:$D$806,D793,$H$7:$H$806)&gt;=20,"أصل","مصروف"),IFERROR(IF(VLOOKUP(I793,'القوائم'!$A$2:$D$14,4,0)="زكاة وصدقة","زكاة وصدقة",IF(AND(VLOOKUP(I793,'القوائم'!$A$2:$D$14,3,0)&lt;&gt;"",H793&gt;=20),"أصل","مصروف")),"مصروف"))))))</f>
        <v/>
      </c>
      <c r="K793" s="21" t="n"/>
      <c r="L793" s="22" t="n"/>
      <c r="N793">
        <f>IF(B793="","",MONTH(B793))</f>
        <v/>
      </c>
      <c r="O793">
        <f>IF(B793="","",YEAR(B793))</f>
        <v/>
      </c>
      <c r="P793">
        <f>IF(AND(D793&lt;&gt;"",COUNTIF(D$7:D793,D793)=1),MAX(P$6:P792)+1,"")</f>
        <v/>
      </c>
      <c r="Q793">
        <f>IF(E793="","",IF(I793="أجور عمال","أجرة","مادة"))</f>
        <v/>
      </c>
    </row>
    <row r="794">
      <c r="A794" s="12">
        <f>IF(E794="","",ROW()-6)</f>
        <v/>
      </c>
      <c r="B794" s="13" t="n"/>
      <c r="C794" s="12">
        <f>IF(B794="","",CHOOSE(WEEKDAY(B794,1),"الأحد","الاثنين","الثلاثاء","الأربعاء","الخميس","الجمعة","السبت"))</f>
        <v/>
      </c>
      <c r="D794" s="14" t="n"/>
      <c r="E794" s="15" t="n"/>
      <c r="F794" s="16" t="n"/>
      <c r="G794" s="17" t="n"/>
      <c r="H794" s="18">
        <f>IF(OR(F794="",G794=""),"",ROUND(F794*G794,2))</f>
        <v/>
      </c>
      <c r="I794" s="19">
        <f>IF(ISNUMBER(SEARCH("ستاند",D794)),"أثاث وستاندات","")</f>
        <v/>
      </c>
      <c r="J794" s="20">
        <f>IF(E794="","",IF(I794="","⚠ عبّي الغرض",IF(AND(D794&lt;&gt;"",OR(ISNUMBER(SEARCH("صيانة",D794)),ISNUMBER(SEARCH("تعزيل",D794)),ISNUMBER(SEARCH("تنظيف",D794)),ISNUMBER(SEARCH("تصليح",D794)))),"⚠ الصيانة بلا ورشة",IF(H794="","⚠ ناقص",IF(D794&lt;&gt;"",IF(SUMIF($D$7:$D$806,D794,$H$7:$H$806)&gt;=20,"أصل","مصروف"),IFERROR(IF(VLOOKUP(I794,'القوائم'!$A$2:$D$14,4,0)="زكاة وصدقة","زكاة وصدقة",IF(AND(VLOOKUP(I794,'القوائم'!$A$2:$D$14,3,0)&lt;&gt;"",H794&gt;=20),"أصل","مصروف")),"مصروف"))))))</f>
        <v/>
      </c>
      <c r="K794" s="21" t="n"/>
      <c r="L794" s="22" t="n"/>
      <c r="N794">
        <f>IF(B794="","",MONTH(B794))</f>
        <v/>
      </c>
      <c r="O794">
        <f>IF(B794="","",YEAR(B794))</f>
        <v/>
      </c>
      <c r="P794">
        <f>IF(AND(D794&lt;&gt;"",COUNTIF(D$7:D794,D794)=1),MAX(P$6:P793)+1,"")</f>
        <v/>
      </c>
      <c r="Q794">
        <f>IF(E794="","",IF(I794="أجور عمال","أجرة","مادة"))</f>
        <v/>
      </c>
    </row>
    <row r="795">
      <c r="A795" s="12">
        <f>IF(E795="","",ROW()-6)</f>
        <v/>
      </c>
      <c r="B795" s="13" t="n"/>
      <c r="C795" s="12">
        <f>IF(B795="","",CHOOSE(WEEKDAY(B795,1),"الأحد","الاثنين","الثلاثاء","الأربعاء","الخميس","الجمعة","السبت"))</f>
        <v/>
      </c>
      <c r="D795" s="14" t="n"/>
      <c r="E795" s="15" t="n"/>
      <c r="F795" s="16" t="n"/>
      <c r="G795" s="17" t="n"/>
      <c r="H795" s="18">
        <f>IF(OR(F795="",G795=""),"",ROUND(F795*G795,2))</f>
        <v/>
      </c>
      <c r="I795" s="19">
        <f>IF(ISNUMBER(SEARCH("ستاند",D795)),"أثاث وستاندات","")</f>
        <v/>
      </c>
      <c r="J795" s="20">
        <f>IF(E795="","",IF(I795="","⚠ عبّي الغرض",IF(AND(D795&lt;&gt;"",OR(ISNUMBER(SEARCH("صيانة",D795)),ISNUMBER(SEARCH("تعزيل",D795)),ISNUMBER(SEARCH("تنظيف",D795)),ISNUMBER(SEARCH("تصليح",D795)))),"⚠ الصيانة بلا ورشة",IF(H795="","⚠ ناقص",IF(D795&lt;&gt;"",IF(SUMIF($D$7:$D$806,D795,$H$7:$H$806)&gt;=20,"أصل","مصروف"),IFERROR(IF(VLOOKUP(I795,'القوائم'!$A$2:$D$14,4,0)="زكاة وصدقة","زكاة وصدقة",IF(AND(VLOOKUP(I795,'القوائم'!$A$2:$D$14,3,0)&lt;&gt;"",H795&gt;=20),"أصل","مصروف")),"مصروف"))))))</f>
        <v/>
      </c>
      <c r="K795" s="21" t="n"/>
      <c r="L795" s="22" t="n"/>
      <c r="N795">
        <f>IF(B795="","",MONTH(B795))</f>
        <v/>
      </c>
      <c r="O795">
        <f>IF(B795="","",YEAR(B795))</f>
        <v/>
      </c>
      <c r="P795">
        <f>IF(AND(D795&lt;&gt;"",COUNTIF(D$7:D795,D795)=1),MAX(P$6:P794)+1,"")</f>
        <v/>
      </c>
      <c r="Q795">
        <f>IF(E795="","",IF(I795="أجور عمال","أجرة","مادة"))</f>
        <v/>
      </c>
    </row>
    <row r="796">
      <c r="A796" s="12">
        <f>IF(E796="","",ROW()-6)</f>
        <v/>
      </c>
      <c r="B796" s="13" t="n"/>
      <c r="C796" s="12">
        <f>IF(B796="","",CHOOSE(WEEKDAY(B796,1),"الأحد","الاثنين","الثلاثاء","الأربعاء","الخميس","الجمعة","السبت"))</f>
        <v/>
      </c>
      <c r="D796" s="14" t="n"/>
      <c r="E796" s="15" t="n"/>
      <c r="F796" s="16" t="n"/>
      <c r="G796" s="17" t="n"/>
      <c r="H796" s="18">
        <f>IF(OR(F796="",G796=""),"",ROUND(F796*G796,2))</f>
        <v/>
      </c>
      <c r="I796" s="19">
        <f>IF(ISNUMBER(SEARCH("ستاند",D796)),"أثاث وستاندات","")</f>
        <v/>
      </c>
      <c r="J796" s="20">
        <f>IF(E796="","",IF(I796="","⚠ عبّي الغرض",IF(AND(D796&lt;&gt;"",OR(ISNUMBER(SEARCH("صيانة",D796)),ISNUMBER(SEARCH("تعزيل",D796)),ISNUMBER(SEARCH("تنظيف",D796)),ISNUMBER(SEARCH("تصليح",D796)))),"⚠ الصيانة بلا ورشة",IF(H796="","⚠ ناقص",IF(D796&lt;&gt;"",IF(SUMIF($D$7:$D$806,D796,$H$7:$H$806)&gt;=20,"أصل","مصروف"),IFERROR(IF(VLOOKUP(I796,'القوائم'!$A$2:$D$14,4,0)="زكاة وصدقة","زكاة وصدقة",IF(AND(VLOOKUP(I796,'القوائم'!$A$2:$D$14,3,0)&lt;&gt;"",H796&gt;=20),"أصل","مصروف")),"مصروف"))))))</f>
        <v/>
      </c>
      <c r="K796" s="21" t="n"/>
      <c r="L796" s="22" t="n"/>
      <c r="N796">
        <f>IF(B796="","",MONTH(B796))</f>
        <v/>
      </c>
      <c r="O796">
        <f>IF(B796="","",YEAR(B796))</f>
        <v/>
      </c>
      <c r="P796">
        <f>IF(AND(D796&lt;&gt;"",COUNTIF(D$7:D796,D796)=1),MAX(P$6:P795)+1,"")</f>
        <v/>
      </c>
      <c r="Q796">
        <f>IF(E796="","",IF(I796="أجور عمال","أجرة","مادة"))</f>
        <v/>
      </c>
    </row>
    <row r="797">
      <c r="A797" s="12">
        <f>IF(E797="","",ROW()-6)</f>
        <v/>
      </c>
      <c r="B797" s="13" t="n"/>
      <c r="C797" s="12">
        <f>IF(B797="","",CHOOSE(WEEKDAY(B797,1),"الأحد","الاثنين","الثلاثاء","الأربعاء","الخميس","الجمعة","السبت"))</f>
        <v/>
      </c>
      <c r="D797" s="14" t="n"/>
      <c r="E797" s="15" t="n"/>
      <c r="F797" s="16" t="n"/>
      <c r="G797" s="17" t="n"/>
      <c r="H797" s="18">
        <f>IF(OR(F797="",G797=""),"",ROUND(F797*G797,2))</f>
        <v/>
      </c>
      <c r="I797" s="19">
        <f>IF(ISNUMBER(SEARCH("ستاند",D797)),"أثاث وستاندات","")</f>
        <v/>
      </c>
      <c r="J797" s="20">
        <f>IF(E797="","",IF(I797="","⚠ عبّي الغرض",IF(AND(D797&lt;&gt;"",OR(ISNUMBER(SEARCH("صيانة",D797)),ISNUMBER(SEARCH("تعزيل",D797)),ISNUMBER(SEARCH("تنظيف",D797)),ISNUMBER(SEARCH("تصليح",D797)))),"⚠ الصيانة بلا ورشة",IF(H797="","⚠ ناقص",IF(D797&lt;&gt;"",IF(SUMIF($D$7:$D$806,D797,$H$7:$H$806)&gt;=20,"أصل","مصروف"),IFERROR(IF(VLOOKUP(I797,'القوائم'!$A$2:$D$14,4,0)="زكاة وصدقة","زكاة وصدقة",IF(AND(VLOOKUP(I797,'القوائم'!$A$2:$D$14,3,0)&lt;&gt;"",H797&gt;=20),"أصل","مصروف")),"مصروف"))))))</f>
        <v/>
      </c>
      <c r="K797" s="21" t="n"/>
      <c r="L797" s="22" t="n"/>
      <c r="N797">
        <f>IF(B797="","",MONTH(B797))</f>
        <v/>
      </c>
      <c r="O797">
        <f>IF(B797="","",YEAR(B797))</f>
        <v/>
      </c>
      <c r="P797">
        <f>IF(AND(D797&lt;&gt;"",COUNTIF(D$7:D797,D797)=1),MAX(P$6:P796)+1,"")</f>
        <v/>
      </c>
      <c r="Q797">
        <f>IF(E797="","",IF(I797="أجور عمال","أجرة","مادة"))</f>
        <v/>
      </c>
    </row>
    <row r="798">
      <c r="A798" s="12">
        <f>IF(E798="","",ROW()-6)</f>
        <v/>
      </c>
      <c r="B798" s="13" t="n"/>
      <c r="C798" s="12">
        <f>IF(B798="","",CHOOSE(WEEKDAY(B798,1),"الأحد","الاثنين","الثلاثاء","الأربعاء","الخميس","الجمعة","السبت"))</f>
        <v/>
      </c>
      <c r="D798" s="14" t="n"/>
      <c r="E798" s="15" t="n"/>
      <c r="F798" s="16" t="n"/>
      <c r="G798" s="17" t="n"/>
      <c r="H798" s="18">
        <f>IF(OR(F798="",G798=""),"",ROUND(F798*G798,2))</f>
        <v/>
      </c>
      <c r="I798" s="19">
        <f>IF(ISNUMBER(SEARCH("ستاند",D798)),"أثاث وستاندات","")</f>
        <v/>
      </c>
      <c r="J798" s="20">
        <f>IF(E798="","",IF(I798="","⚠ عبّي الغرض",IF(AND(D798&lt;&gt;"",OR(ISNUMBER(SEARCH("صيانة",D798)),ISNUMBER(SEARCH("تعزيل",D798)),ISNUMBER(SEARCH("تنظيف",D798)),ISNUMBER(SEARCH("تصليح",D798)))),"⚠ الصيانة بلا ورشة",IF(H798="","⚠ ناقص",IF(D798&lt;&gt;"",IF(SUMIF($D$7:$D$806,D798,$H$7:$H$806)&gt;=20,"أصل","مصروف"),IFERROR(IF(VLOOKUP(I798,'القوائم'!$A$2:$D$14,4,0)="زكاة وصدقة","زكاة وصدقة",IF(AND(VLOOKUP(I798,'القوائم'!$A$2:$D$14,3,0)&lt;&gt;"",H798&gt;=20),"أصل","مصروف")),"مصروف"))))))</f>
        <v/>
      </c>
      <c r="K798" s="21" t="n"/>
      <c r="L798" s="22" t="n"/>
      <c r="N798">
        <f>IF(B798="","",MONTH(B798))</f>
        <v/>
      </c>
      <c r="O798">
        <f>IF(B798="","",YEAR(B798))</f>
        <v/>
      </c>
      <c r="P798">
        <f>IF(AND(D798&lt;&gt;"",COUNTIF(D$7:D798,D798)=1),MAX(P$6:P797)+1,"")</f>
        <v/>
      </c>
      <c r="Q798">
        <f>IF(E798="","",IF(I798="أجور عمال","أجرة","مادة"))</f>
        <v/>
      </c>
    </row>
    <row r="799">
      <c r="A799" s="12">
        <f>IF(E799="","",ROW()-6)</f>
        <v/>
      </c>
      <c r="B799" s="13" t="n"/>
      <c r="C799" s="12">
        <f>IF(B799="","",CHOOSE(WEEKDAY(B799,1),"الأحد","الاثنين","الثلاثاء","الأربعاء","الخميس","الجمعة","السبت"))</f>
        <v/>
      </c>
      <c r="D799" s="14" t="n"/>
      <c r="E799" s="15" t="n"/>
      <c r="F799" s="16" t="n"/>
      <c r="G799" s="17" t="n"/>
      <c r="H799" s="18">
        <f>IF(OR(F799="",G799=""),"",ROUND(F799*G799,2))</f>
        <v/>
      </c>
      <c r="I799" s="19">
        <f>IF(ISNUMBER(SEARCH("ستاند",D799)),"أثاث وستاندات","")</f>
        <v/>
      </c>
      <c r="J799" s="20">
        <f>IF(E799="","",IF(I799="","⚠ عبّي الغرض",IF(AND(D799&lt;&gt;"",OR(ISNUMBER(SEARCH("صيانة",D799)),ISNUMBER(SEARCH("تعزيل",D799)),ISNUMBER(SEARCH("تنظيف",D799)),ISNUMBER(SEARCH("تصليح",D799)))),"⚠ الصيانة بلا ورشة",IF(H799="","⚠ ناقص",IF(D799&lt;&gt;"",IF(SUMIF($D$7:$D$806,D799,$H$7:$H$806)&gt;=20,"أصل","مصروف"),IFERROR(IF(VLOOKUP(I799,'القوائم'!$A$2:$D$14,4,0)="زكاة وصدقة","زكاة وصدقة",IF(AND(VLOOKUP(I799,'القوائم'!$A$2:$D$14,3,0)&lt;&gt;"",H799&gt;=20),"أصل","مصروف")),"مصروف"))))))</f>
        <v/>
      </c>
      <c r="K799" s="21" t="n"/>
      <c r="L799" s="22" t="n"/>
      <c r="N799">
        <f>IF(B799="","",MONTH(B799))</f>
        <v/>
      </c>
      <c r="O799">
        <f>IF(B799="","",YEAR(B799))</f>
        <v/>
      </c>
      <c r="P799">
        <f>IF(AND(D799&lt;&gt;"",COUNTIF(D$7:D799,D799)=1),MAX(P$6:P798)+1,"")</f>
        <v/>
      </c>
      <c r="Q799">
        <f>IF(E799="","",IF(I799="أجور عمال","أجرة","مادة"))</f>
        <v/>
      </c>
    </row>
    <row r="800">
      <c r="A800" s="12">
        <f>IF(E800="","",ROW()-6)</f>
        <v/>
      </c>
      <c r="B800" s="13" t="n"/>
      <c r="C800" s="12">
        <f>IF(B800="","",CHOOSE(WEEKDAY(B800,1),"الأحد","الاثنين","الثلاثاء","الأربعاء","الخميس","الجمعة","السبت"))</f>
        <v/>
      </c>
      <c r="D800" s="14" t="n"/>
      <c r="E800" s="15" t="n"/>
      <c r="F800" s="16" t="n"/>
      <c r="G800" s="17" t="n"/>
      <c r="H800" s="18">
        <f>IF(OR(F800="",G800=""),"",ROUND(F800*G800,2))</f>
        <v/>
      </c>
      <c r="I800" s="19">
        <f>IF(ISNUMBER(SEARCH("ستاند",D800)),"أثاث وستاندات","")</f>
        <v/>
      </c>
      <c r="J800" s="20">
        <f>IF(E800="","",IF(I800="","⚠ عبّي الغرض",IF(AND(D800&lt;&gt;"",OR(ISNUMBER(SEARCH("صيانة",D800)),ISNUMBER(SEARCH("تعزيل",D800)),ISNUMBER(SEARCH("تنظيف",D800)),ISNUMBER(SEARCH("تصليح",D800)))),"⚠ الصيانة بلا ورشة",IF(H800="","⚠ ناقص",IF(D800&lt;&gt;"",IF(SUMIF($D$7:$D$806,D800,$H$7:$H$806)&gt;=20,"أصل","مصروف"),IFERROR(IF(VLOOKUP(I800,'القوائم'!$A$2:$D$14,4,0)="زكاة وصدقة","زكاة وصدقة",IF(AND(VLOOKUP(I800,'القوائم'!$A$2:$D$14,3,0)&lt;&gt;"",H800&gt;=20),"أصل","مصروف")),"مصروف"))))))</f>
        <v/>
      </c>
      <c r="K800" s="21" t="n"/>
      <c r="L800" s="22" t="n"/>
      <c r="N800">
        <f>IF(B800="","",MONTH(B800))</f>
        <v/>
      </c>
      <c r="O800">
        <f>IF(B800="","",YEAR(B800))</f>
        <v/>
      </c>
      <c r="P800">
        <f>IF(AND(D800&lt;&gt;"",COUNTIF(D$7:D800,D800)=1),MAX(P$6:P799)+1,"")</f>
        <v/>
      </c>
      <c r="Q800">
        <f>IF(E800="","",IF(I800="أجور عمال","أجرة","مادة"))</f>
        <v/>
      </c>
    </row>
    <row r="801">
      <c r="A801" s="12">
        <f>IF(E801="","",ROW()-6)</f>
        <v/>
      </c>
      <c r="B801" s="13" t="n"/>
      <c r="C801" s="12">
        <f>IF(B801="","",CHOOSE(WEEKDAY(B801,1),"الأحد","الاثنين","الثلاثاء","الأربعاء","الخميس","الجمعة","السبت"))</f>
        <v/>
      </c>
      <c r="D801" s="14" t="n"/>
      <c r="E801" s="15" t="n"/>
      <c r="F801" s="16" t="n"/>
      <c r="G801" s="17" t="n"/>
      <c r="H801" s="18">
        <f>IF(OR(F801="",G801=""),"",ROUND(F801*G801,2))</f>
        <v/>
      </c>
      <c r="I801" s="19">
        <f>IF(ISNUMBER(SEARCH("ستاند",D801)),"أثاث وستاندات","")</f>
        <v/>
      </c>
      <c r="J801" s="20">
        <f>IF(E801="","",IF(I801="","⚠ عبّي الغرض",IF(AND(D801&lt;&gt;"",OR(ISNUMBER(SEARCH("صيانة",D801)),ISNUMBER(SEARCH("تعزيل",D801)),ISNUMBER(SEARCH("تنظيف",D801)),ISNUMBER(SEARCH("تصليح",D801)))),"⚠ الصيانة بلا ورشة",IF(H801="","⚠ ناقص",IF(D801&lt;&gt;"",IF(SUMIF($D$7:$D$806,D801,$H$7:$H$806)&gt;=20,"أصل","مصروف"),IFERROR(IF(VLOOKUP(I801,'القوائم'!$A$2:$D$14,4,0)="زكاة وصدقة","زكاة وصدقة",IF(AND(VLOOKUP(I801,'القوائم'!$A$2:$D$14,3,0)&lt;&gt;"",H801&gt;=20),"أصل","مصروف")),"مصروف"))))))</f>
        <v/>
      </c>
      <c r="K801" s="21" t="n"/>
      <c r="L801" s="22" t="n"/>
      <c r="N801">
        <f>IF(B801="","",MONTH(B801))</f>
        <v/>
      </c>
      <c r="O801">
        <f>IF(B801="","",YEAR(B801))</f>
        <v/>
      </c>
      <c r="P801">
        <f>IF(AND(D801&lt;&gt;"",COUNTIF(D$7:D801,D801)=1),MAX(P$6:P800)+1,"")</f>
        <v/>
      </c>
      <c r="Q801">
        <f>IF(E801="","",IF(I801="أجور عمال","أجرة","مادة"))</f>
        <v/>
      </c>
    </row>
    <row r="802">
      <c r="A802" s="12">
        <f>IF(E802="","",ROW()-6)</f>
        <v/>
      </c>
      <c r="B802" s="13" t="n"/>
      <c r="C802" s="12">
        <f>IF(B802="","",CHOOSE(WEEKDAY(B802,1),"الأحد","الاثنين","الثلاثاء","الأربعاء","الخميس","الجمعة","السبت"))</f>
        <v/>
      </c>
      <c r="D802" s="14" t="n"/>
      <c r="E802" s="15" t="n"/>
      <c r="F802" s="16" t="n"/>
      <c r="G802" s="17" t="n"/>
      <c r="H802" s="18">
        <f>IF(OR(F802="",G802=""),"",ROUND(F802*G802,2))</f>
        <v/>
      </c>
      <c r="I802" s="19">
        <f>IF(ISNUMBER(SEARCH("ستاند",D802)),"أثاث وستاندات","")</f>
        <v/>
      </c>
      <c r="J802" s="20">
        <f>IF(E802="","",IF(I802="","⚠ عبّي الغرض",IF(AND(D802&lt;&gt;"",OR(ISNUMBER(SEARCH("صيانة",D802)),ISNUMBER(SEARCH("تعزيل",D802)),ISNUMBER(SEARCH("تنظيف",D802)),ISNUMBER(SEARCH("تصليح",D802)))),"⚠ الصيانة بلا ورشة",IF(H802="","⚠ ناقص",IF(D802&lt;&gt;"",IF(SUMIF($D$7:$D$806,D802,$H$7:$H$806)&gt;=20,"أصل","مصروف"),IFERROR(IF(VLOOKUP(I802,'القوائم'!$A$2:$D$14,4,0)="زكاة وصدقة","زكاة وصدقة",IF(AND(VLOOKUP(I802,'القوائم'!$A$2:$D$14,3,0)&lt;&gt;"",H802&gt;=20),"أصل","مصروف")),"مصروف"))))))</f>
        <v/>
      </c>
      <c r="K802" s="21" t="n"/>
      <c r="L802" s="22" t="n"/>
      <c r="N802">
        <f>IF(B802="","",MONTH(B802))</f>
        <v/>
      </c>
      <c r="O802">
        <f>IF(B802="","",YEAR(B802))</f>
        <v/>
      </c>
      <c r="P802">
        <f>IF(AND(D802&lt;&gt;"",COUNTIF(D$7:D802,D802)=1),MAX(P$6:P801)+1,"")</f>
        <v/>
      </c>
      <c r="Q802">
        <f>IF(E802="","",IF(I802="أجور عمال","أجرة","مادة"))</f>
        <v/>
      </c>
    </row>
    <row r="803">
      <c r="A803" s="12">
        <f>IF(E803="","",ROW()-6)</f>
        <v/>
      </c>
      <c r="B803" s="13" t="n"/>
      <c r="C803" s="12">
        <f>IF(B803="","",CHOOSE(WEEKDAY(B803,1),"الأحد","الاثنين","الثلاثاء","الأربعاء","الخميس","الجمعة","السبت"))</f>
        <v/>
      </c>
      <c r="D803" s="14" t="n"/>
      <c r="E803" s="15" t="n"/>
      <c r="F803" s="16" t="n"/>
      <c r="G803" s="17" t="n"/>
      <c r="H803" s="18">
        <f>IF(OR(F803="",G803=""),"",ROUND(F803*G803,2))</f>
        <v/>
      </c>
      <c r="I803" s="19">
        <f>IF(ISNUMBER(SEARCH("ستاند",D803)),"أثاث وستاندات","")</f>
        <v/>
      </c>
      <c r="J803" s="20">
        <f>IF(E803="","",IF(I803="","⚠ عبّي الغرض",IF(AND(D803&lt;&gt;"",OR(ISNUMBER(SEARCH("صيانة",D803)),ISNUMBER(SEARCH("تعزيل",D803)),ISNUMBER(SEARCH("تنظيف",D803)),ISNUMBER(SEARCH("تصليح",D803)))),"⚠ الصيانة بلا ورشة",IF(H803="","⚠ ناقص",IF(D803&lt;&gt;"",IF(SUMIF($D$7:$D$806,D803,$H$7:$H$806)&gt;=20,"أصل","مصروف"),IFERROR(IF(VLOOKUP(I803,'القوائم'!$A$2:$D$14,4,0)="زكاة وصدقة","زكاة وصدقة",IF(AND(VLOOKUP(I803,'القوائم'!$A$2:$D$14,3,0)&lt;&gt;"",H803&gt;=20),"أصل","مصروف")),"مصروف"))))))</f>
        <v/>
      </c>
      <c r="K803" s="21" t="n"/>
      <c r="L803" s="22" t="n"/>
      <c r="N803">
        <f>IF(B803="","",MONTH(B803))</f>
        <v/>
      </c>
      <c r="O803">
        <f>IF(B803="","",YEAR(B803))</f>
        <v/>
      </c>
      <c r="P803">
        <f>IF(AND(D803&lt;&gt;"",COUNTIF(D$7:D803,D803)=1),MAX(P$6:P802)+1,"")</f>
        <v/>
      </c>
      <c r="Q803">
        <f>IF(E803="","",IF(I803="أجور عمال","أجرة","مادة"))</f>
        <v/>
      </c>
    </row>
    <row r="804">
      <c r="A804" s="12">
        <f>IF(E804="","",ROW()-6)</f>
        <v/>
      </c>
      <c r="B804" s="13" t="n"/>
      <c r="C804" s="12">
        <f>IF(B804="","",CHOOSE(WEEKDAY(B804,1),"الأحد","الاثنين","الثلاثاء","الأربعاء","الخميس","الجمعة","السبت"))</f>
        <v/>
      </c>
      <c r="D804" s="14" t="n"/>
      <c r="E804" s="15" t="n"/>
      <c r="F804" s="16" t="n"/>
      <c r="G804" s="17" t="n"/>
      <c r="H804" s="18">
        <f>IF(OR(F804="",G804=""),"",ROUND(F804*G804,2))</f>
        <v/>
      </c>
      <c r="I804" s="19">
        <f>IF(ISNUMBER(SEARCH("ستاند",D804)),"أثاث وستاندات","")</f>
        <v/>
      </c>
      <c r="J804" s="20">
        <f>IF(E804="","",IF(I804="","⚠ عبّي الغرض",IF(AND(D804&lt;&gt;"",OR(ISNUMBER(SEARCH("صيانة",D804)),ISNUMBER(SEARCH("تعزيل",D804)),ISNUMBER(SEARCH("تنظيف",D804)),ISNUMBER(SEARCH("تصليح",D804)))),"⚠ الصيانة بلا ورشة",IF(H804="","⚠ ناقص",IF(D804&lt;&gt;"",IF(SUMIF($D$7:$D$806,D804,$H$7:$H$806)&gt;=20,"أصل","مصروف"),IFERROR(IF(VLOOKUP(I804,'القوائم'!$A$2:$D$14,4,0)="زكاة وصدقة","زكاة وصدقة",IF(AND(VLOOKUP(I804,'القوائم'!$A$2:$D$14,3,0)&lt;&gt;"",H804&gt;=20),"أصل","مصروف")),"مصروف"))))))</f>
        <v/>
      </c>
      <c r="K804" s="21" t="n"/>
      <c r="L804" s="22" t="n"/>
      <c r="N804">
        <f>IF(B804="","",MONTH(B804))</f>
        <v/>
      </c>
      <c r="O804">
        <f>IF(B804="","",YEAR(B804))</f>
        <v/>
      </c>
      <c r="P804">
        <f>IF(AND(D804&lt;&gt;"",COUNTIF(D$7:D804,D804)=1),MAX(P$6:P803)+1,"")</f>
        <v/>
      </c>
      <c r="Q804">
        <f>IF(E804="","",IF(I804="أجور عمال","أجرة","مادة"))</f>
        <v/>
      </c>
    </row>
    <row r="805">
      <c r="A805" s="12">
        <f>IF(E805="","",ROW()-6)</f>
        <v/>
      </c>
      <c r="B805" s="13" t="n"/>
      <c r="C805" s="12">
        <f>IF(B805="","",CHOOSE(WEEKDAY(B805,1),"الأحد","الاثنين","الثلاثاء","الأربعاء","الخميس","الجمعة","السبت"))</f>
        <v/>
      </c>
      <c r="D805" s="14" t="n"/>
      <c r="E805" s="15" t="n"/>
      <c r="F805" s="16" t="n"/>
      <c r="G805" s="17" t="n"/>
      <c r="H805" s="18">
        <f>IF(OR(F805="",G805=""),"",ROUND(F805*G805,2))</f>
        <v/>
      </c>
      <c r="I805" s="19">
        <f>IF(ISNUMBER(SEARCH("ستاند",D805)),"أثاث وستاندات","")</f>
        <v/>
      </c>
      <c r="J805" s="20">
        <f>IF(E805="","",IF(I805="","⚠ عبّي الغرض",IF(AND(D805&lt;&gt;"",OR(ISNUMBER(SEARCH("صيانة",D805)),ISNUMBER(SEARCH("تعزيل",D805)),ISNUMBER(SEARCH("تنظيف",D805)),ISNUMBER(SEARCH("تصليح",D805)))),"⚠ الصيانة بلا ورشة",IF(H805="","⚠ ناقص",IF(D805&lt;&gt;"",IF(SUMIF($D$7:$D$806,D805,$H$7:$H$806)&gt;=20,"أصل","مصروف"),IFERROR(IF(VLOOKUP(I805,'القوائم'!$A$2:$D$14,4,0)="زكاة وصدقة","زكاة وصدقة",IF(AND(VLOOKUP(I805,'القوائم'!$A$2:$D$14,3,0)&lt;&gt;"",H805&gt;=20),"أصل","مصروف")),"مصروف"))))))</f>
        <v/>
      </c>
      <c r="K805" s="21" t="n"/>
      <c r="L805" s="22" t="n"/>
      <c r="N805">
        <f>IF(B805="","",MONTH(B805))</f>
        <v/>
      </c>
      <c r="O805">
        <f>IF(B805="","",YEAR(B805))</f>
        <v/>
      </c>
      <c r="P805">
        <f>IF(AND(D805&lt;&gt;"",COUNTIF(D$7:D805,D805)=1),MAX(P$6:P804)+1,"")</f>
        <v/>
      </c>
      <c r="Q805">
        <f>IF(E805="","",IF(I805="أجور عمال","أجرة","مادة"))</f>
        <v/>
      </c>
    </row>
    <row r="806">
      <c r="A806" s="12">
        <f>IF(E806="","",ROW()-6)</f>
        <v/>
      </c>
      <c r="B806" s="13" t="n"/>
      <c r="C806" s="12">
        <f>IF(B806="","",CHOOSE(WEEKDAY(B806,1),"الأحد","الاثنين","الثلاثاء","الأربعاء","الخميس","الجمعة","السبت"))</f>
        <v/>
      </c>
      <c r="D806" s="14" t="n"/>
      <c r="E806" s="15" t="n"/>
      <c r="F806" s="16" t="n"/>
      <c r="G806" s="17" t="n"/>
      <c r="H806" s="18">
        <f>IF(OR(F806="",G806=""),"",ROUND(F806*G806,2))</f>
        <v/>
      </c>
      <c r="I806" s="19">
        <f>IF(ISNUMBER(SEARCH("ستاند",D806)),"أثاث وستاندات","")</f>
        <v/>
      </c>
      <c r="J806" s="20">
        <f>IF(E806="","",IF(I806="","⚠ عبّي الغرض",IF(AND(D806&lt;&gt;"",OR(ISNUMBER(SEARCH("صيانة",D806)),ISNUMBER(SEARCH("تعزيل",D806)),ISNUMBER(SEARCH("تنظيف",D806)),ISNUMBER(SEARCH("تصليح",D806)))),"⚠ الصيانة بلا ورشة",IF(H806="","⚠ ناقص",IF(D806&lt;&gt;"",IF(SUMIF($D$7:$D$806,D806,$H$7:$H$806)&gt;=20,"أصل","مصروف"),IFERROR(IF(VLOOKUP(I806,'القوائم'!$A$2:$D$14,4,0)="زكاة وصدقة","زكاة وصدقة",IF(AND(VLOOKUP(I806,'القوائم'!$A$2:$D$14,3,0)&lt;&gt;"",H806&gt;=20),"أصل","مصروف")),"مصروف"))))))</f>
        <v/>
      </c>
      <c r="K806" s="21" t="n"/>
      <c r="L806" s="22" t="n"/>
      <c r="N806">
        <f>IF(B806="","",MONTH(B806))</f>
        <v/>
      </c>
      <c r="O806">
        <f>IF(B806="","",YEAR(B806))</f>
        <v/>
      </c>
      <c r="P806">
        <f>IF(AND(D806&lt;&gt;"",COUNTIF(D$7:D806,D806)=1),MAX(P$6:P805)+1,"")</f>
        <v/>
      </c>
      <c r="Q806">
        <f>IF(E806="","",IF(I806="أجور عمال","أجرة","مادة"))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 password="CC4B"/>
  <autoFilter ref="A6:L806"/>
  <mergeCells count="2">
    <mergeCell ref="B2:L2"/>
    <mergeCell ref="A1:L1"/>
  </mergeCells>
  <conditionalFormatting sqref="I4:J4">
    <cfRule type="expression" priority="1" dxfId="0">
      <formula>$J$4&gt;0</formula>
    </cfRule>
  </conditionalFormatting>
  <conditionalFormatting sqref="B7:B806">
    <cfRule type="expression" priority="2" dxfId="1">
      <formula>AND($E7&lt;&gt;"",B7="")</formula>
    </cfRule>
  </conditionalFormatting>
  <conditionalFormatting sqref="F7:F806">
    <cfRule type="expression" priority="3" dxfId="1">
      <formula>AND($E7&lt;&gt;"",F7="")</formula>
    </cfRule>
  </conditionalFormatting>
  <conditionalFormatting sqref="G7:G806">
    <cfRule type="expression" priority="4" dxfId="1">
      <formula>AND($E7&lt;&gt;"",G7="")</formula>
    </cfRule>
  </conditionalFormatting>
  <conditionalFormatting sqref="I7:I806">
    <cfRule type="expression" priority="5" dxfId="1">
      <formula>AND($E7&lt;&gt;"",I7="")</formula>
    </cfRule>
  </conditionalFormatting>
  <conditionalFormatting sqref="D7:D806">
    <cfRule type="expression" priority="6" dxfId="0">
      <formula>AND(D7&lt;&gt;"",OR(ISNUMBER(SEARCH("صيانة",D7)),ISNUMBER(SEARCH("تعزيل",D7)),ISNUMBER(SEARCH("تنظيف",D7)),ISNUMBER(SEARCH("تصليح",D7))))</formula>
    </cfRule>
  </conditionalFormatting>
  <conditionalFormatting sqref="J7:J806">
    <cfRule type="expression" priority="7" dxfId="0">
      <formula>LEFT(J7,1)="⚠"</formula>
    </cfRule>
    <cfRule type="expression" priority="9" dxfId="2">
      <formula>J7="أصل"</formula>
    </cfRule>
    <cfRule type="expression" priority="10" dxfId="3">
      <formula>J7="زكاة وصدقة"</formula>
    </cfRule>
  </conditionalFormatting>
  <conditionalFormatting sqref="L7:L806">
    <cfRule type="expression" priority="8" dxfId="1">
      <formula>AND($I7="أخرى",$L7="")</formula>
    </cfRule>
  </conditionalFormatting>
  <conditionalFormatting sqref="A7:K806">
    <cfRule type="expression" priority="11" dxfId="4">
      <formula>$K7&lt;&gt;""</formula>
    </cfRule>
  </conditionalFormatting>
  <dataValidations count="5">
    <dataValidation sqref="I7:I806" showDropDown="0" showInputMessage="0" showErrorMessage="1" allowBlank="1" errorTitle="تنبيه" error="مش من القائمة — بينحسب «أخرى». تمام؟" type="list" errorStyle="information">
      <formula1>'القوائم'!$A$2:$A$14</formula1>
    </dataValidation>
    <dataValidation sqref="K7:K806" showDropDown="0" showInputMessage="0" showErrorMessage="0" allowBlank="1" errorTitle="تنبيه" type="list" errorStyle="stop">
      <formula1>"عمر المصري,ابو علي,مهندس علي"</formula1>
    </dataValidation>
    <dataValidation sqref="G7:G806" showDropDown="0" showInputMessage="0" showErrorMessage="1" allowBlank="1" errorTitle="تنبيه" error="رقم بس" type="decimal" errorStyle="stop" operator="greaterThanOrEqual">
      <formula1>0</formula1>
    </dataValidation>
    <dataValidation sqref="F7:F806" showDropDown="0" showInputMessage="0" showErrorMessage="1" allowBlank="1" errorTitle="تنبيه" error="الكمية رقم صحيح بلا فاصلة (مثلاً 3) · الأجرة: 1" type="whole" errorStyle="stop" operator="greaterThan">
      <formula1>0</formula1>
    </dataValidation>
    <dataValidation sqref="B7:B806" showDropDown="0" showInputMessage="0" showErrorMessage="1" allowBlank="1" errorTitle="تنبيه" error="اكتب التاريخ يوم/شهر/سنة (مثلاً 07/10/2026)" type="date" errorStyle="stop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58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34" customHeight="1">
      <c r="A1" s="23" t="inlineStr">
        <is>
          <t>ملخص التكاليف التشغيلية — شهر بشهر</t>
        </is>
      </c>
    </row>
    <row r="3">
      <c r="A3" s="24" t="inlineStr">
        <is>
          <t>السنة</t>
        </is>
      </c>
      <c r="B3" s="25" t="n">
        <v>2026</v>
      </c>
    </row>
    <row r="5" ht="30" customHeight="1">
      <c r="A5" s="26" t="inlineStr">
        <is>
          <t>الشهر</t>
        </is>
      </c>
      <c r="B5" s="27" t="inlineStr">
        <is>
          <t>مصروف</t>
        </is>
      </c>
      <c r="C5" s="28" t="inlineStr">
        <is>
          <t>أصول (20+)</t>
        </is>
      </c>
      <c r="D5" s="29" t="inlineStr">
        <is>
          <t>زكاة وصدقة</t>
        </is>
      </c>
      <c r="E5" s="30" t="inlineStr">
        <is>
          <t>أجور عمال</t>
        </is>
      </c>
      <c r="F5" s="31" t="inlineStr">
        <is>
          <t>المجموع</t>
        </is>
      </c>
    </row>
    <row r="6" ht="20" customHeight="1">
      <c r="A6" s="32" t="inlineStr">
        <is>
          <t>01 — كانون الثاني</t>
        </is>
      </c>
      <c r="B6" s="33">
        <f>SUMIFS('التكاليف'!$H$7:$H$806,'التكاليف'!$N$7:$N$806,1,'التكاليف'!$O$7:$O$806,$B$3,'التكاليف'!$J$7:$J$806,"مصروف",'التكاليف'!$Q$7:$Q$806,"مادة")</f>
        <v/>
      </c>
      <c r="C6" s="33">
        <f>SUMIFS('التكاليف'!$H$7:$H$806,'التكاليف'!$N$7:$N$806,1,'التكاليف'!$O$7:$O$806,$B$3,'التكاليف'!$J$7:$J$806,"أصل")</f>
        <v/>
      </c>
      <c r="D6" s="33">
        <f>SUMIFS('التكاليف'!$H$7:$H$806,'التكاليف'!$N$7:$N$806,1,'التكاليف'!$O$7:$O$806,$B$3,'التكاليف'!$J$7:$J$806,"زكاة وصدقة")</f>
        <v/>
      </c>
      <c r="E6" s="33">
        <f>SUMIFS('التكاليف'!$H$7:$H$806,'التكاليف'!$N$7:$N$806,1,'التكاليف'!$O$7:$O$806,$B$3,'التكاليف'!$J$7:$J$806,"مصروف",'التكاليف'!$Q$7:$Q$806,"أجرة")</f>
        <v/>
      </c>
      <c r="F6" s="34">
        <f>SUM(B6:E6)</f>
        <v/>
      </c>
    </row>
    <row r="7" ht="20" customHeight="1">
      <c r="A7" s="35" t="inlineStr">
        <is>
          <t>02 — شباط</t>
        </is>
      </c>
      <c r="B7" s="36">
        <f>SUMIFS('التكاليف'!$H$7:$H$806,'التكاليف'!$N$7:$N$806,2,'التكاليف'!$O$7:$O$806,$B$3,'التكاليف'!$J$7:$J$806,"مصروف",'التكاليف'!$Q$7:$Q$806,"مادة")</f>
        <v/>
      </c>
      <c r="C7" s="36">
        <f>SUMIFS('التكاليف'!$H$7:$H$806,'التكاليف'!$N$7:$N$806,2,'التكاليف'!$O$7:$O$806,$B$3,'التكاليف'!$J$7:$J$806,"أصل")</f>
        <v/>
      </c>
      <c r="D7" s="36">
        <f>SUMIFS('التكاليف'!$H$7:$H$806,'التكاليف'!$N$7:$N$806,2,'التكاليف'!$O$7:$O$806,$B$3,'التكاليف'!$J$7:$J$806,"زكاة وصدقة")</f>
        <v/>
      </c>
      <c r="E7" s="36">
        <f>SUMIFS('التكاليف'!$H$7:$H$806,'التكاليف'!$N$7:$N$806,2,'التكاليف'!$O$7:$O$806,$B$3,'التكاليف'!$J$7:$J$806,"مصروف",'التكاليف'!$Q$7:$Q$806,"أجرة")</f>
        <v/>
      </c>
      <c r="F7" s="34">
        <f>SUM(B7:E7)</f>
        <v/>
      </c>
    </row>
    <row r="8" ht="20" customHeight="1">
      <c r="A8" s="32" t="inlineStr">
        <is>
          <t>03 — آذار</t>
        </is>
      </c>
      <c r="B8" s="33">
        <f>SUMIFS('التكاليف'!$H$7:$H$806,'التكاليف'!$N$7:$N$806,3,'التكاليف'!$O$7:$O$806,$B$3,'التكاليف'!$J$7:$J$806,"مصروف",'التكاليف'!$Q$7:$Q$806,"مادة")</f>
        <v/>
      </c>
      <c r="C8" s="33">
        <f>SUMIFS('التكاليف'!$H$7:$H$806,'التكاليف'!$N$7:$N$806,3,'التكاليف'!$O$7:$O$806,$B$3,'التكاليف'!$J$7:$J$806,"أصل")</f>
        <v/>
      </c>
      <c r="D8" s="33">
        <f>SUMIFS('التكاليف'!$H$7:$H$806,'التكاليف'!$N$7:$N$806,3,'التكاليف'!$O$7:$O$806,$B$3,'التكاليف'!$J$7:$J$806,"زكاة وصدقة")</f>
        <v/>
      </c>
      <c r="E8" s="33">
        <f>SUMIFS('التكاليف'!$H$7:$H$806,'التكاليف'!$N$7:$N$806,3,'التكاليف'!$O$7:$O$806,$B$3,'التكاليف'!$J$7:$J$806,"مصروف",'التكاليف'!$Q$7:$Q$806,"أجرة")</f>
        <v/>
      </c>
      <c r="F8" s="34">
        <f>SUM(B8:E8)</f>
        <v/>
      </c>
    </row>
    <row r="9" ht="20" customHeight="1">
      <c r="A9" s="35" t="inlineStr">
        <is>
          <t>04 — نيسان</t>
        </is>
      </c>
      <c r="B9" s="36">
        <f>SUMIFS('التكاليف'!$H$7:$H$806,'التكاليف'!$N$7:$N$806,4,'التكاليف'!$O$7:$O$806,$B$3,'التكاليف'!$J$7:$J$806,"مصروف",'التكاليف'!$Q$7:$Q$806,"مادة")</f>
        <v/>
      </c>
      <c r="C9" s="36">
        <f>SUMIFS('التكاليف'!$H$7:$H$806,'التكاليف'!$N$7:$N$806,4,'التكاليف'!$O$7:$O$806,$B$3,'التكاليف'!$J$7:$J$806,"أصل")</f>
        <v/>
      </c>
      <c r="D9" s="36">
        <f>SUMIFS('التكاليف'!$H$7:$H$806,'التكاليف'!$N$7:$N$806,4,'التكاليف'!$O$7:$O$806,$B$3,'التكاليف'!$J$7:$J$806,"زكاة وصدقة")</f>
        <v/>
      </c>
      <c r="E9" s="36">
        <f>SUMIFS('التكاليف'!$H$7:$H$806,'التكاليف'!$N$7:$N$806,4,'التكاليف'!$O$7:$O$806,$B$3,'التكاليف'!$J$7:$J$806,"مصروف",'التكاليف'!$Q$7:$Q$806,"أجرة")</f>
        <v/>
      </c>
      <c r="F9" s="34">
        <f>SUM(B9:E9)</f>
        <v/>
      </c>
    </row>
    <row r="10" ht="20" customHeight="1">
      <c r="A10" s="32" t="inlineStr">
        <is>
          <t>05 — أيار</t>
        </is>
      </c>
      <c r="B10" s="33">
        <f>SUMIFS('التكاليف'!$H$7:$H$806,'التكاليف'!$N$7:$N$806,5,'التكاليف'!$O$7:$O$806,$B$3,'التكاليف'!$J$7:$J$806,"مصروف",'التكاليف'!$Q$7:$Q$806,"مادة")</f>
        <v/>
      </c>
      <c r="C10" s="33">
        <f>SUMIFS('التكاليف'!$H$7:$H$806,'التكاليف'!$N$7:$N$806,5,'التكاليف'!$O$7:$O$806,$B$3,'التكاليف'!$J$7:$J$806,"أصل")</f>
        <v/>
      </c>
      <c r="D10" s="33">
        <f>SUMIFS('التكاليف'!$H$7:$H$806,'التكاليف'!$N$7:$N$806,5,'التكاليف'!$O$7:$O$806,$B$3,'التكاليف'!$J$7:$J$806,"زكاة وصدقة")</f>
        <v/>
      </c>
      <c r="E10" s="33">
        <f>SUMIFS('التكاليف'!$H$7:$H$806,'التكاليف'!$N$7:$N$806,5,'التكاليف'!$O$7:$O$806,$B$3,'التكاليف'!$J$7:$J$806,"مصروف",'التكاليف'!$Q$7:$Q$806,"أجرة")</f>
        <v/>
      </c>
      <c r="F10" s="34">
        <f>SUM(B10:E10)</f>
        <v/>
      </c>
    </row>
    <row r="11" ht="20" customHeight="1">
      <c r="A11" s="35" t="inlineStr">
        <is>
          <t>06 — حزيران</t>
        </is>
      </c>
      <c r="B11" s="36">
        <f>SUMIFS('التكاليف'!$H$7:$H$806,'التكاليف'!$N$7:$N$806,6,'التكاليف'!$O$7:$O$806,$B$3,'التكاليف'!$J$7:$J$806,"مصروف",'التكاليف'!$Q$7:$Q$806,"مادة")</f>
        <v/>
      </c>
      <c r="C11" s="36">
        <f>SUMIFS('التكاليف'!$H$7:$H$806,'التكاليف'!$N$7:$N$806,6,'التكاليف'!$O$7:$O$806,$B$3,'التكاليف'!$J$7:$J$806,"أصل")</f>
        <v/>
      </c>
      <c r="D11" s="36">
        <f>SUMIFS('التكاليف'!$H$7:$H$806,'التكاليف'!$N$7:$N$806,6,'التكاليف'!$O$7:$O$806,$B$3,'التكاليف'!$J$7:$J$806,"زكاة وصدقة")</f>
        <v/>
      </c>
      <c r="E11" s="36">
        <f>SUMIFS('التكاليف'!$H$7:$H$806,'التكاليف'!$N$7:$N$806,6,'التكاليف'!$O$7:$O$806,$B$3,'التكاليف'!$J$7:$J$806,"مصروف",'التكاليف'!$Q$7:$Q$806,"أجرة")</f>
        <v/>
      </c>
      <c r="F11" s="34">
        <f>SUM(B11:E11)</f>
        <v/>
      </c>
    </row>
    <row r="12" ht="20" customHeight="1">
      <c r="A12" s="32" t="inlineStr">
        <is>
          <t>07 — تموز</t>
        </is>
      </c>
      <c r="B12" s="33">
        <f>SUMIFS('التكاليف'!$H$7:$H$806,'التكاليف'!$N$7:$N$806,7,'التكاليف'!$O$7:$O$806,$B$3,'التكاليف'!$J$7:$J$806,"مصروف",'التكاليف'!$Q$7:$Q$806,"مادة")</f>
        <v/>
      </c>
      <c r="C12" s="33">
        <f>SUMIFS('التكاليف'!$H$7:$H$806,'التكاليف'!$N$7:$N$806,7,'التكاليف'!$O$7:$O$806,$B$3,'التكاليف'!$J$7:$J$806,"أصل")</f>
        <v/>
      </c>
      <c r="D12" s="33">
        <f>SUMIFS('التكاليف'!$H$7:$H$806,'التكاليف'!$N$7:$N$806,7,'التكاليف'!$O$7:$O$806,$B$3,'التكاليف'!$J$7:$J$806,"زكاة وصدقة")</f>
        <v/>
      </c>
      <c r="E12" s="33">
        <f>SUMIFS('التكاليف'!$H$7:$H$806,'التكاليف'!$N$7:$N$806,7,'التكاليف'!$O$7:$O$806,$B$3,'التكاليف'!$J$7:$J$806,"مصروف",'التكاليف'!$Q$7:$Q$806,"أجرة")</f>
        <v/>
      </c>
      <c r="F12" s="34">
        <f>SUM(B12:E12)</f>
        <v/>
      </c>
    </row>
    <row r="13" ht="20" customHeight="1">
      <c r="A13" s="35" t="inlineStr">
        <is>
          <t>08 — آب</t>
        </is>
      </c>
      <c r="B13" s="36">
        <f>SUMIFS('التكاليف'!$H$7:$H$806,'التكاليف'!$N$7:$N$806,8,'التكاليف'!$O$7:$O$806,$B$3,'التكاليف'!$J$7:$J$806,"مصروف",'التكاليف'!$Q$7:$Q$806,"مادة")</f>
        <v/>
      </c>
      <c r="C13" s="36">
        <f>SUMIFS('التكاليف'!$H$7:$H$806,'التكاليف'!$N$7:$N$806,8,'التكاليف'!$O$7:$O$806,$B$3,'التكاليف'!$J$7:$J$806,"أصل")</f>
        <v/>
      </c>
      <c r="D13" s="36">
        <f>SUMIFS('التكاليف'!$H$7:$H$806,'التكاليف'!$N$7:$N$806,8,'التكاليف'!$O$7:$O$806,$B$3,'التكاليف'!$J$7:$J$806,"زكاة وصدقة")</f>
        <v/>
      </c>
      <c r="E13" s="36">
        <f>SUMIFS('التكاليف'!$H$7:$H$806,'التكاليف'!$N$7:$N$806,8,'التكاليف'!$O$7:$O$806,$B$3,'التكاليف'!$J$7:$J$806,"مصروف",'التكاليف'!$Q$7:$Q$806,"أجرة")</f>
        <v/>
      </c>
      <c r="F13" s="34">
        <f>SUM(B13:E13)</f>
        <v/>
      </c>
    </row>
    <row r="14" ht="20" customHeight="1">
      <c r="A14" s="32" t="inlineStr">
        <is>
          <t>09 — أيلول</t>
        </is>
      </c>
      <c r="B14" s="33">
        <f>SUMIFS('التكاليف'!$H$7:$H$806,'التكاليف'!$N$7:$N$806,9,'التكاليف'!$O$7:$O$806,$B$3,'التكاليف'!$J$7:$J$806,"مصروف",'التكاليف'!$Q$7:$Q$806,"مادة")</f>
        <v/>
      </c>
      <c r="C14" s="33">
        <f>SUMIFS('التكاليف'!$H$7:$H$806,'التكاليف'!$N$7:$N$806,9,'التكاليف'!$O$7:$O$806,$B$3,'التكاليف'!$J$7:$J$806,"أصل")</f>
        <v/>
      </c>
      <c r="D14" s="33">
        <f>SUMIFS('التكاليف'!$H$7:$H$806,'التكاليف'!$N$7:$N$806,9,'التكاليف'!$O$7:$O$806,$B$3,'التكاليف'!$J$7:$J$806,"زكاة وصدقة")</f>
        <v/>
      </c>
      <c r="E14" s="33">
        <f>SUMIFS('التكاليف'!$H$7:$H$806,'التكاليف'!$N$7:$N$806,9,'التكاليف'!$O$7:$O$806,$B$3,'التكاليف'!$J$7:$J$806,"مصروف",'التكاليف'!$Q$7:$Q$806,"أجرة")</f>
        <v/>
      </c>
      <c r="F14" s="34">
        <f>SUM(B14:E14)</f>
        <v/>
      </c>
    </row>
    <row r="15" ht="20" customHeight="1">
      <c r="A15" s="35" t="inlineStr">
        <is>
          <t>10 — تشرين الأول</t>
        </is>
      </c>
      <c r="B15" s="36">
        <f>SUMIFS('التكاليف'!$H$7:$H$806,'التكاليف'!$N$7:$N$806,10,'التكاليف'!$O$7:$O$806,$B$3,'التكاليف'!$J$7:$J$806,"مصروف",'التكاليف'!$Q$7:$Q$806,"مادة")</f>
        <v/>
      </c>
      <c r="C15" s="36">
        <f>SUMIFS('التكاليف'!$H$7:$H$806,'التكاليف'!$N$7:$N$806,10,'التكاليف'!$O$7:$O$806,$B$3,'التكاليف'!$J$7:$J$806,"أصل")</f>
        <v/>
      </c>
      <c r="D15" s="36">
        <f>SUMIFS('التكاليف'!$H$7:$H$806,'التكاليف'!$N$7:$N$806,10,'التكاليف'!$O$7:$O$806,$B$3,'التكاليف'!$J$7:$J$806,"زكاة وصدقة")</f>
        <v/>
      </c>
      <c r="E15" s="36">
        <f>SUMIFS('التكاليف'!$H$7:$H$806,'التكاليف'!$N$7:$N$806,10,'التكاليف'!$O$7:$O$806,$B$3,'التكاليف'!$J$7:$J$806,"مصروف",'التكاليف'!$Q$7:$Q$806,"أجرة")</f>
        <v/>
      </c>
      <c r="F15" s="34">
        <f>SUM(B15:E15)</f>
        <v/>
      </c>
    </row>
    <row r="16" ht="20" customHeight="1">
      <c r="A16" s="32" t="inlineStr">
        <is>
          <t>11 — تشرين الثاني</t>
        </is>
      </c>
      <c r="B16" s="33">
        <f>SUMIFS('التكاليف'!$H$7:$H$806,'التكاليف'!$N$7:$N$806,11,'التكاليف'!$O$7:$O$806,$B$3,'التكاليف'!$J$7:$J$806,"مصروف",'التكاليف'!$Q$7:$Q$806,"مادة")</f>
        <v/>
      </c>
      <c r="C16" s="33">
        <f>SUMIFS('التكاليف'!$H$7:$H$806,'التكاليف'!$N$7:$N$806,11,'التكاليف'!$O$7:$O$806,$B$3,'التكاليف'!$J$7:$J$806,"أصل")</f>
        <v/>
      </c>
      <c r="D16" s="33">
        <f>SUMIFS('التكاليف'!$H$7:$H$806,'التكاليف'!$N$7:$N$806,11,'التكاليف'!$O$7:$O$806,$B$3,'التكاليف'!$J$7:$J$806,"زكاة وصدقة")</f>
        <v/>
      </c>
      <c r="E16" s="33">
        <f>SUMIFS('التكاليف'!$H$7:$H$806,'التكاليف'!$N$7:$N$806,11,'التكاليف'!$O$7:$O$806,$B$3,'التكاليف'!$J$7:$J$806,"مصروف",'التكاليف'!$Q$7:$Q$806,"أجرة")</f>
        <v/>
      </c>
      <c r="F16" s="34">
        <f>SUM(B16:E16)</f>
        <v/>
      </c>
    </row>
    <row r="17" ht="20" customHeight="1">
      <c r="A17" s="35" t="inlineStr">
        <is>
          <t>12 — كانون الأول</t>
        </is>
      </c>
      <c r="B17" s="36">
        <f>SUMIFS('التكاليف'!$H$7:$H$806,'التكاليف'!$N$7:$N$806,12,'التكاليف'!$O$7:$O$806,$B$3,'التكاليف'!$J$7:$J$806,"مصروف",'التكاليف'!$Q$7:$Q$806,"مادة")</f>
        <v/>
      </c>
      <c r="C17" s="36">
        <f>SUMIFS('التكاليف'!$H$7:$H$806,'التكاليف'!$N$7:$N$806,12,'التكاليف'!$O$7:$O$806,$B$3,'التكاليف'!$J$7:$J$806,"أصل")</f>
        <v/>
      </c>
      <c r="D17" s="36">
        <f>SUMIFS('التكاليف'!$H$7:$H$806,'التكاليف'!$N$7:$N$806,12,'التكاليف'!$O$7:$O$806,$B$3,'التكاليف'!$J$7:$J$806,"زكاة وصدقة")</f>
        <v/>
      </c>
      <c r="E17" s="36">
        <f>SUMIFS('التكاليف'!$H$7:$H$806,'التكاليف'!$N$7:$N$806,12,'التكاليف'!$O$7:$O$806,$B$3,'التكاليف'!$J$7:$J$806,"مصروف",'التكاليف'!$Q$7:$Q$806,"أجرة")</f>
        <v/>
      </c>
      <c r="F17" s="34">
        <f>SUM(B17:E17)</f>
        <v/>
      </c>
    </row>
    <row r="18" ht="24" customHeight="1">
      <c r="A18" s="37" t="inlineStr">
        <is>
          <t>مجموع السنة</t>
        </is>
      </c>
      <c r="B18" s="38">
        <f>SUM(B6:B17)</f>
        <v/>
      </c>
      <c r="C18" s="38">
        <f>SUM(C6:C17)</f>
        <v/>
      </c>
      <c r="D18" s="38">
        <f>SUM(D6:D17)</f>
        <v/>
      </c>
      <c r="E18" s="38">
        <f>SUM(E6:E17)</f>
        <v/>
      </c>
      <c r="F18" s="38">
        <f>SUM(F6:F17)</f>
        <v/>
      </c>
    </row>
    <row r="19">
      <c r="A19" s="39" t="inlineStr">
        <is>
          <t>الشهر حسب التاريخ · أجور الورشات اللي صارت أصل بعمود «أصول» · الزكاة والصدقة لحالها.</t>
        </is>
      </c>
    </row>
    <row r="21" ht="26" customHeight="1">
      <c r="A21" s="26" t="inlineStr">
        <is>
          <t>الغرض (بلا الورشات)</t>
        </is>
      </c>
      <c r="B21" s="26" t="inlineStr">
        <is>
          <t>المبلغ (السنة)</t>
        </is>
      </c>
    </row>
    <row r="22">
      <c r="A22" s="35" t="inlineStr">
        <is>
          <t>ضيافة</t>
        </is>
      </c>
      <c r="B22" s="36">
        <f>SUMIFS('التكاليف'!$H$7:$H$806,'التكاليف'!$I$7:$I$806,A22,'التكاليف'!$O$7:$O$806,$B$3,'التكاليف'!$D$7:$D$806,"")</f>
        <v/>
      </c>
    </row>
    <row r="23">
      <c r="A23" s="32" t="inlineStr">
        <is>
          <t>هدايا</t>
        </is>
      </c>
      <c r="B23" s="33">
        <f>SUMIFS('التكاليف'!$H$7:$H$806,'التكاليف'!$I$7:$I$806,A23,'التكاليف'!$O$7:$O$806,$B$3,'التكاليف'!$D$7:$D$806,"")</f>
        <v/>
      </c>
    </row>
    <row r="24">
      <c r="A24" s="35" t="inlineStr">
        <is>
          <t>إيجار</t>
        </is>
      </c>
      <c r="B24" s="36">
        <f>SUMIFS('التكاليف'!$H$7:$H$806,'التكاليف'!$I$7:$I$806,A24,'التكاليف'!$O$7:$O$806,$B$3,'التكاليف'!$D$7:$D$806,"")</f>
        <v/>
      </c>
    </row>
    <row r="25">
      <c r="A25" s="32" t="inlineStr">
        <is>
          <t>فاتورة كهرباء</t>
        </is>
      </c>
      <c r="B25" s="33">
        <f>SUMIFS('التكاليف'!$H$7:$H$806,'التكاليف'!$I$7:$I$806,A25,'التكاليف'!$O$7:$O$806,$B$3,'التكاليف'!$D$7:$D$806,"")</f>
        <v/>
      </c>
    </row>
    <row r="26">
      <c r="A26" s="35" t="inlineStr">
        <is>
          <t>أثاث وستاندات</t>
        </is>
      </c>
      <c r="B26" s="36">
        <f>SUMIFS('التكاليف'!$H$7:$H$806,'التكاليف'!$I$7:$I$806,A26,'التكاليف'!$O$7:$O$806,$B$3,'التكاليف'!$D$7:$D$806,"")</f>
        <v/>
      </c>
    </row>
    <row r="27">
      <c r="A27" s="32" t="inlineStr">
        <is>
          <t>صيانة المحل</t>
        </is>
      </c>
      <c r="B27" s="33">
        <f>SUMIFS('التكاليف'!$H$7:$H$806,'التكاليف'!$I$7:$I$806,A27,'التكاليف'!$O$7:$O$806,$B$3,'التكاليف'!$D$7:$D$806,"")</f>
        <v/>
      </c>
    </row>
    <row r="28">
      <c r="A28" s="35" t="inlineStr">
        <is>
          <t>أجور عمال</t>
        </is>
      </c>
      <c r="B28" s="36">
        <f>SUMIFS('التكاليف'!$H$7:$H$806,'التكاليف'!$I$7:$I$806,A28,'التكاليف'!$O$7:$O$806,$B$3,'التكاليف'!$D$7:$D$806,"")</f>
        <v/>
      </c>
    </row>
    <row r="29">
      <c r="A29" s="32" t="inlineStr">
        <is>
          <t>أجور توصيل</t>
        </is>
      </c>
      <c r="B29" s="33">
        <f>SUMIFS('التكاليف'!$H$7:$H$806,'التكاليف'!$I$7:$I$806,A29,'التكاليف'!$O$7:$O$806,$B$3,'التكاليف'!$D$7:$D$806,"")</f>
        <v/>
      </c>
    </row>
    <row r="30">
      <c r="A30" s="35" t="inlineStr">
        <is>
          <t>صدقة</t>
        </is>
      </c>
      <c r="B30" s="36">
        <f>SUMIFS('التكاليف'!$H$7:$H$806,'التكاليف'!$I$7:$I$806,A30,'التكاليف'!$O$7:$O$806,$B$3,'التكاليف'!$D$7:$D$806,"")</f>
        <v/>
      </c>
    </row>
    <row r="31">
      <c r="A31" s="32" t="inlineStr">
        <is>
          <t>زكاة</t>
        </is>
      </c>
      <c r="B31" s="33">
        <f>SUMIFS('التكاليف'!$H$7:$H$806,'التكاليف'!$I$7:$I$806,A31,'التكاليف'!$O$7:$O$806,$B$3,'التكاليف'!$D$7:$D$806,"")</f>
        <v/>
      </c>
    </row>
    <row r="32">
      <c r="A32" s="35" t="inlineStr">
        <is>
          <t>رسوم تراخيص</t>
        </is>
      </c>
      <c r="B32" s="36">
        <f>SUMIFS('التكاليف'!$H$7:$H$806,'التكاليف'!$I$7:$I$806,A32,'التكاليف'!$O$7:$O$806,$B$3,'التكاليف'!$D$7:$D$806,"")</f>
        <v/>
      </c>
    </row>
    <row r="33">
      <c r="A33" s="32" t="inlineStr">
        <is>
          <t>توالف بضاعة</t>
        </is>
      </c>
      <c r="B33" s="33">
        <f>SUMIFS('التكاليف'!$H$7:$H$806,'التكاليف'!$I$7:$I$806,A33,'التكاليف'!$O$7:$O$806,$B$3,'التكاليف'!$D$7:$D$806,"")</f>
        <v/>
      </c>
    </row>
    <row r="34">
      <c r="A34" s="35" t="inlineStr">
        <is>
          <t>أخرى</t>
        </is>
      </c>
      <c r="B34" s="36">
        <f>SUMIFS('التكاليف'!$H$7:$H$806,'التكاليف'!$O$7:$O$806,$B$3,'التكاليف'!$D$7:$D$806,"")-SUM(B22:B33)</f>
        <v/>
      </c>
    </row>
    <row r="35">
      <c r="A35" s="40" t="inlineStr">
        <is>
          <t>المجموع</t>
        </is>
      </c>
      <c r="B35" s="41">
        <f>SUM(B22:B34)</f>
        <v/>
      </c>
    </row>
    <row r="37">
      <c r="A37" s="42" t="inlineStr">
        <is>
          <t>الورشات (شغل داخلي) — بتتعبّى لحالها</t>
        </is>
      </c>
    </row>
    <row r="38" ht="26" customHeight="1">
      <c r="A38" s="43" t="inlineStr">
        <is>
          <t>الورشة</t>
        </is>
      </c>
      <c r="B38" s="43" t="inlineStr">
        <is>
          <t>مواد</t>
        </is>
      </c>
      <c r="C38" s="43" t="inlineStr">
        <is>
          <t>أجور عمال</t>
        </is>
      </c>
      <c r="D38" s="43" t="inlineStr">
        <is>
          <t>المجموع</t>
        </is>
      </c>
      <c r="E38" s="43" t="inlineStr">
        <is>
          <t>أصل؟</t>
        </is>
      </c>
    </row>
    <row r="39">
      <c r="A39" s="32">
        <f>IFERROR(INDEX('التكاليف'!$D$7:$D$806,MATCH(1,'التكاليف'!$P$7:$P$806,0)),"")</f>
        <v/>
      </c>
      <c r="B39" s="33">
        <f>IF(A39="","",SUMIFS('التكاليف'!$H$7:$H$806,'التكاليف'!$D$7:$D$806,A39,'التكاليف'!$Q$7:$Q$806,"مادة"))</f>
        <v/>
      </c>
      <c r="C39" s="33">
        <f>IF(A39="","",SUMIFS('التكاليف'!$H$7:$H$806,'التكاليف'!$D$7:$D$806,A39,'التكاليف'!$Q$7:$Q$806,"أجرة"))</f>
        <v/>
      </c>
      <c r="D39" s="44">
        <f>IF(A39="","",B39+C39)</f>
        <v/>
      </c>
      <c r="E39" s="45">
        <f>IF(A39="","",IF(D39&gt;=20,"أصل","مصروف"))</f>
        <v/>
      </c>
    </row>
    <row r="40">
      <c r="A40" s="46">
        <f>IFERROR(INDEX('التكاليف'!$D$7:$D$806,MATCH(2,'التكاليف'!$P$7:$P$806,0)),"")</f>
        <v/>
      </c>
      <c r="B40" s="47">
        <f>IF(A40="","",SUMIFS('التكاليف'!$H$7:$H$806,'التكاليف'!$D$7:$D$806,A40,'التكاليف'!$Q$7:$Q$806,"مادة"))</f>
        <v/>
      </c>
      <c r="C40" s="47">
        <f>IF(A40="","",SUMIFS('التكاليف'!$H$7:$H$806,'التكاليف'!$D$7:$D$806,A40,'التكاليف'!$Q$7:$Q$806,"أجرة"))</f>
        <v/>
      </c>
      <c r="D40" s="44">
        <f>IF(A40="","",B40+C40)</f>
        <v/>
      </c>
      <c r="E40" s="48">
        <f>IF(A40="","",IF(D40&gt;=20,"أصل","مصروف"))</f>
        <v/>
      </c>
    </row>
    <row r="41">
      <c r="A41" s="32">
        <f>IFERROR(INDEX('التكاليف'!$D$7:$D$806,MATCH(3,'التكاليف'!$P$7:$P$806,0)),"")</f>
        <v/>
      </c>
      <c r="B41" s="33">
        <f>IF(A41="","",SUMIFS('التكاليف'!$H$7:$H$806,'التكاليف'!$D$7:$D$806,A41,'التكاليف'!$Q$7:$Q$806,"مادة"))</f>
        <v/>
      </c>
      <c r="C41" s="33">
        <f>IF(A41="","",SUMIFS('التكاليف'!$H$7:$H$806,'التكاليف'!$D$7:$D$806,A41,'التكاليف'!$Q$7:$Q$806,"أجرة"))</f>
        <v/>
      </c>
      <c r="D41" s="44">
        <f>IF(A41="","",B41+C41)</f>
        <v/>
      </c>
      <c r="E41" s="45">
        <f>IF(A41="","",IF(D41&gt;=20,"أصل","مصروف"))</f>
        <v/>
      </c>
    </row>
    <row r="42">
      <c r="A42" s="46">
        <f>IFERROR(INDEX('التكاليف'!$D$7:$D$806,MATCH(4,'التكاليف'!$P$7:$P$806,0)),"")</f>
        <v/>
      </c>
      <c r="B42" s="47">
        <f>IF(A42="","",SUMIFS('التكاليف'!$H$7:$H$806,'التكاليف'!$D$7:$D$806,A42,'التكاليف'!$Q$7:$Q$806,"مادة"))</f>
        <v/>
      </c>
      <c r="C42" s="47">
        <f>IF(A42="","",SUMIFS('التكاليف'!$H$7:$H$806,'التكاليف'!$D$7:$D$806,A42,'التكاليف'!$Q$7:$Q$806,"أجرة"))</f>
        <v/>
      </c>
      <c r="D42" s="44">
        <f>IF(A42="","",B42+C42)</f>
        <v/>
      </c>
      <c r="E42" s="48">
        <f>IF(A42="","",IF(D42&gt;=20,"أصل","مصروف"))</f>
        <v/>
      </c>
    </row>
    <row r="43">
      <c r="A43" s="32">
        <f>IFERROR(INDEX('التكاليف'!$D$7:$D$806,MATCH(5,'التكاليف'!$P$7:$P$806,0)),"")</f>
        <v/>
      </c>
      <c r="B43" s="33">
        <f>IF(A43="","",SUMIFS('التكاليف'!$H$7:$H$806,'التكاليف'!$D$7:$D$806,A43,'التكاليف'!$Q$7:$Q$806,"مادة"))</f>
        <v/>
      </c>
      <c r="C43" s="33">
        <f>IF(A43="","",SUMIFS('التكاليف'!$H$7:$H$806,'التكاليف'!$D$7:$D$806,A43,'التكاليف'!$Q$7:$Q$806,"أجرة"))</f>
        <v/>
      </c>
      <c r="D43" s="44">
        <f>IF(A43="","",B43+C43)</f>
        <v/>
      </c>
      <c r="E43" s="45">
        <f>IF(A43="","",IF(D43&gt;=20,"أصل","مصروف"))</f>
        <v/>
      </c>
    </row>
    <row r="44">
      <c r="A44" s="46">
        <f>IFERROR(INDEX('التكاليف'!$D$7:$D$806,MATCH(6,'التكاليف'!$P$7:$P$806,0)),"")</f>
        <v/>
      </c>
      <c r="B44" s="47">
        <f>IF(A44="","",SUMIFS('التكاليف'!$H$7:$H$806,'التكاليف'!$D$7:$D$806,A44,'التكاليف'!$Q$7:$Q$806,"مادة"))</f>
        <v/>
      </c>
      <c r="C44" s="47">
        <f>IF(A44="","",SUMIFS('التكاليف'!$H$7:$H$806,'التكاليف'!$D$7:$D$806,A44,'التكاليف'!$Q$7:$Q$806,"أجرة"))</f>
        <v/>
      </c>
      <c r="D44" s="44">
        <f>IF(A44="","",B44+C44)</f>
        <v/>
      </c>
      <c r="E44" s="48">
        <f>IF(A44="","",IF(D44&gt;=20,"أصل","مصروف"))</f>
        <v/>
      </c>
    </row>
    <row r="45">
      <c r="A45" s="32">
        <f>IFERROR(INDEX('التكاليف'!$D$7:$D$806,MATCH(7,'التكاليف'!$P$7:$P$806,0)),"")</f>
        <v/>
      </c>
      <c r="B45" s="33">
        <f>IF(A45="","",SUMIFS('التكاليف'!$H$7:$H$806,'التكاليف'!$D$7:$D$806,A45,'التكاليف'!$Q$7:$Q$806,"مادة"))</f>
        <v/>
      </c>
      <c r="C45" s="33">
        <f>IF(A45="","",SUMIFS('التكاليف'!$H$7:$H$806,'التكاليف'!$D$7:$D$806,A45,'التكاليف'!$Q$7:$Q$806,"أجرة"))</f>
        <v/>
      </c>
      <c r="D45" s="44">
        <f>IF(A45="","",B45+C45)</f>
        <v/>
      </c>
      <c r="E45" s="45">
        <f>IF(A45="","",IF(D45&gt;=20,"أصل","مصروف"))</f>
        <v/>
      </c>
    </row>
    <row r="46">
      <c r="A46" s="46">
        <f>IFERROR(INDEX('التكاليف'!$D$7:$D$806,MATCH(8,'التكاليف'!$P$7:$P$806,0)),"")</f>
        <v/>
      </c>
      <c r="B46" s="47">
        <f>IF(A46="","",SUMIFS('التكاليف'!$H$7:$H$806,'التكاليف'!$D$7:$D$806,A46,'التكاليف'!$Q$7:$Q$806,"مادة"))</f>
        <v/>
      </c>
      <c r="C46" s="47">
        <f>IF(A46="","",SUMIFS('التكاليف'!$H$7:$H$806,'التكاليف'!$D$7:$D$806,A46,'التكاليف'!$Q$7:$Q$806,"أجرة"))</f>
        <v/>
      </c>
      <c r="D46" s="44">
        <f>IF(A46="","",B46+C46)</f>
        <v/>
      </c>
      <c r="E46" s="48">
        <f>IF(A46="","",IF(D46&gt;=20,"أصل","مصروف"))</f>
        <v/>
      </c>
    </row>
    <row r="47">
      <c r="A47" s="32">
        <f>IFERROR(INDEX('التكاليف'!$D$7:$D$806,MATCH(9,'التكاليف'!$P$7:$P$806,0)),"")</f>
        <v/>
      </c>
      <c r="B47" s="33">
        <f>IF(A47="","",SUMIFS('التكاليف'!$H$7:$H$806,'التكاليف'!$D$7:$D$806,A47,'التكاليف'!$Q$7:$Q$806,"مادة"))</f>
        <v/>
      </c>
      <c r="C47" s="33">
        <f>IF(A47="","",SUMIFS('التكاليف'!$H$7:$H$806,'التكاليف'!$D$7:$D$806,A47,'التكاليف'!$Q$7:$Q$806,"أجرة"))</f>
        <v/>
      </c>
      <c r="D47" s="44">
        <f>IF(A47="","",B47+C47)</f>
        <v/>
      </c>
      <c r="E47" s="45">
        <f>IF(A47="","",IF(D47&gt;=20,"أصل","مصروف"))</f>
        <v/>
      </c>
    </row>
    <row r="48">
      <c r="A48" s="46">
        <f>IFERROR(INDEX('التكاليف'!$D$7:$D$806,MATCH(10,'التكاليف'!$P$7:$P$806,0)),"")</f>
        <v/>
      </c>
      <c r="B48" s="47">
        <f>IF(A48="","",SUMIFS('التكاليف'!$H$7:$H$806,'التكاليف'!$D$7:$D$806,A48,'التكاليف'!$Q$7:$Q$806,"مادة"))</f>
        <v/>
      </c>
      <c r="C48" s="47">
        <f>IF(A48="","",SUMIFS('التكاليف'!$H$7:$H$806,'التكاليف'!$D$7:$D$806,A48,'التكاليف'!$Q$7:$Q$806,"أجرة"))</f>
        <v/>
      </c>
      <c r="D48" s="44">
        <f>IF(A48="","",B48+C48)</f>
        <v/>
      </c>
      <c r="E48" s="48">
        <f>IF(A48="","",IF(D48&gt;=20,"أصل","مصروف"))</f>
        <v/>
      </c>
    </row>
    <row r="49">
      <c r="A49" s="32">
        <f>IFERROR(INDEX('التكاليف'!$D$7:$D$806,MATCH(11,'التكاليف'!$P$7:$P$806,0)),"")</f>
        <v/>
      </c>
      <c r="B49" s="33">
        <f>IF(A49="","",SUMIFS('التكاليف'!$H$7:$H$806,'التكاليف'!$D$7:$D$806,A49,'التكاليف'!$Q$7:$Q$806,"مادة"))</f>
        <v/>
      </c>
      <c r="C49" s="33">
        <f>IF(A49="","",SUMIFS('التكاليف'!$H$7:$H$806,'التكاليف'!$D$7:$D$806,A49,'التكاليف'!$Q$7:$Q$806,"أجرة"))</f>
        <v/>
      </c>
      <c r="D49" s="44">
        <f>IF(A49="","",B49+C49)</f>
        <v/>
      </c>
      <c r="E49" s="45">
        <f>IF(A49="","",IF(D49&gt;=20,"أصل","مصروف"))</f>
        <v/>
      </c>
    </row>
    <row r="50">
      <c r="A50" s="46">
        <f>IFERROR(INDEX('التكاليف'!$D$7:$D$806,MATCH(12,'التكاليف'!$P$7:$P$806,0)),"")</f>
        <v/>
      </c>
      <c r="B50" s="47">
        <f>IF(A50="","",SUMIFS('التكاليف'!$H$7:$H$806,'التكاليف'!$D$7:$D$806,A50,'التكاليف'!$Q$7:$Q$806,"مادة"))</f>
        <v/>
      </c>
      <c r="C50" s="47">
        <f>IF(A50="","",SUMIFS('التكاليف'!$H$7:$H$806,'التكاليف'!$D$7:$D$806,A50,'التكاليف'!$Q$7:$Q$806,"أجرة"))</f>
        <v/>
      </c>
      <c r="D50" s="44">
        <f>IF(A50="","",B50+C50)</f>
        <v/>
      </c>
      <c r="E50" s="48">
        <f>IF(A50="","",IF(D50&gt;=20,"أصل","مصروف"))</f>
        <v/>
      </c>
    </row>
    <row r="51">
      <c r="A51" s="32">
        <f>IFERROR(INDEX('التكاليف'!$D$7:$D$806,MATCH(13,'التكاليف'!$P$7:$P$806,0)),"")</f>
        <v/>
      </c>
      <c r="B51" s="33">
        <f>IF(A51="","",SUMIFS('التكاليف'!$H$7:$H$806,'التكاليف'!$D$7:$D$806,A51,'التكاليف'!$Q$7:$Q$806,"مادة"))</f>
        <v/>
      </c>
      <c r="C51" s="33">
        <f>IF(A51="","",SUMIFS('التكاليف'!$H$7:$H$806,'التكاليف'!$D$7:$D$806,A51,'التكاليف'!$Q$7:$Q$806,"أجرة"))</f>
        <v/>
      </c>
      <c r="D51" s="44">
        <f>IF(A51="","",B51+C51)</f>
        <v/>
      </c>
      <c r="E51" s="45">
        <f>IF(A51="","",IF(D51&gt;=20,"أصل","مصروف"))</f>
        <v/>
      </c>
    </row>
    <row r="52">
      <c r="A52" s="46">
        <f>IFERROR(INDEX('التكاليف'!$D$7:$D$806,MATCH(14,'التكاليف'!$P$7:$P$806,0)),"")</f>
        <v/>
      </c>
      <c r="B52" s="47">
        <f>IF(A52="","",SUMIFS('التكاليف'!$H$7:$H$806,'التكاليف'!$D$7:$D$806,A52,'التكاليف'!$Q$7:$Q$806,"مادة"))</f>
        <v/>
      </c>
      <c r="C52" s="47">
        <f>IF(A52="","",SUMIFS('التكاليف'!$H$7:$H$806,'التكاليف'!$D$7:$D$806,A52,'التكاليف'!$Q$7:$Q$806,"أجرة"))</f>
        <v/>
      </c>
      <c r="D52" s="44">
        <f>IF(A52="","",B52+C52)</f>
        <v/>
      </c>
      <c r="E52" s="48">
        <f>IF(A52="","",IF(D52&gt;=20,"أصل","مصروف"))</f>
        <v/>
      </c>
    </row>
    <row r="53">
      <c r="A53" s="32">
        <f>IFERROR(INDEX('التكاليف'!$D$7:$D$806,MATCH(15,'التكاليف'!$P$7:$P$806,0)),"")</f>
        <v/>
      </c>
      <c r="B53" s="33">
        <f>IF(A53="","",SUMIFS('التكاليف'!$H$7:$H$806,'التكاليف'!$D$7:$D$806,A53,'التكاليف'!$Q$7:$Q$806,"مادة"))</f>
        <v/>
      </c>
      <c r="C53" s="33">
        <f>IF(A53="","",SUMIFS('التكاليف'!$H$7:$H$806,'التكاليف'!$D$7:$D$806,A53,'التكاليف'!$Q$7:$Q$806,"أجرة"))</f>
        <v/>
      </c>
      <c r="D53" s="44">
        <f>IF(A53="","",B53+C53)</f>
        <v/>
      </c>
      <c r="E53" s="45">
        <f>IF(A53="","",IF(D53&gt;=20,"أصل","مصروف"))</f>
        <v/>
      </c>
    </row>
    <row r="54">
      <c r="A54" s="46">
        <f>IFERROR(INDEX('التكاليف'!$D$7:$D$806,MATCH(16,'التكاليف'!$P$7:$P$806,0)),"")</f>
        <v/>
      </c>
      <c r="B54" s="47">
        <f>IF(A54="","",SUMIFS('التكاليف'!$H$7:$H$806,'التكاليف'!$D$7:$D$806,A54,'التكاليف'!$Q$7:$Q$806,"مادة"))</f>
        <v/>
      </c>
      <c r="C54" s="47">
        <f>IF(A54="","",SUMIFS('التكاليف'!$H$7:$H$806,'التكاليف'!$D$7:$D$806,A54,'التكاليف'!$Q$7:$Q$806,"أجرة"))</f>
        <v/>
      </c>
      <c r="D54" s="44">
        <f>IF(A54="","",B54+C54)</f>
        <v/>
      </c>
      <c r="E54" s="48">
        <f>IF(A54="","",IF(D54&gt;=20,"أصل","مصروف"))</f>
        <v/>
      </c>
    </row>
    <row r="55">
      <c r="A55" s="32">
        <f>IFERROR(INDEX('التكاليف'!$D$7:$D$806,MATCH(17,'التكاليف'!$P$7:$P$806,0)),"")</f>
        <v/>
      </c>
      <c r="B55" s="33">
        <f>IF(A55="","",SUMIFS('التكاليف'!$H$7:$H$806,'التكاليف'!$D$7:$D$806,A55,'التكاليف'!$Q$7:$Q$806,"مادة"))</f>
        <v/>
      </c>
      <c r="C55" s="33">
        <f>IF(A55="","",SUMIFS('التكاليف'!$H$7:$H$806,'التكاليف'!$D$7:$D$806,A55,'التكاليف'!$Q$7:$Q$806,"أجرة"))</f>
        <v/>
      </c>
      <c r="D55" s="44">
        <f>IF(A55="","",B55+C55)</f>
        <v/>
      </c>
      <c r="E55" s="45">
        <f>IF(A55="","",IF(D55&gt;=20,"أصل","مصروف"))</f>
        <v/>
      </c>
    </row>
    <row r="56">
      <c r="A56" s="46">
        <f>IFERROR(INDEX('التكاليف'!$D$7:$D$806,MATCH(18,'التكاليف'!$P$7:$P$806,0)),"")</f>
        <v/>
      </c>
      <c r="B56" s="47">
        <f>IF(A56="","",SUMIFS('التكاليف'!$H$7:$H$806,'التكاليف'!$D$7:$D$806,A56,'التكاليف'!$Q$7:$Q$806,"مادة"))</f>
        <v/>
      </c>
      <c r="C56" s="47">
        <f>IF(A56="","",SUMIFS('التكاليف'!$H$7:$H$806,'التكاليف'!$D$7:$D$806,A56,'التكاليف'!$Q$7:$Q$806,"أجرة"))</f>
        <v/>
      </c>
      <c r="D56" s="44">
        <f>IF(A56="","",B56+C56)</f>
        <v/>
      </c>
      <c r="E56" s="48">
        <f>IF(A56="","",IF(D56&gt;=20,"أصل","مصروف"))</f>
        <v/>
      </c>
    </row>
    <row r="57">
      <c r="A57" s="32">
        <f>IFERROR(INDEX('التكاليف'!$D$7:$D$806,MATCH(19,'التكاليف'!$P$7:$P$806,0)),"")</f>
        <v/>
      </c>
      <c r="B57" s="33">
        <f>IF(A57="","",SUMIFS('التكاليف'!$H$7:$H$806,'التكاليف'!$D$7:$D$806,A57,'التكاليف'!$Q$7:$Q$806,"مادة"))</f>
        <v/>
      </c>
      <c r="C57" s="33">
        <f>IF(A57="","",SUMIFS('التكاليف'!$H$7:$H$806,'التكاليف'!$D$7:$D$806,A57,'التكاليف'!$Q$7:$Q$806,"أجرة"))</f>
        <v/>
      </c>
      <c r="D57" s="44">
        <f>IF(A57="","",B57+C57)</f>
        <v/>
      </c>
      <c r="E57" s="45">
        <f>IF(A57="","",IF(D57&gt;=20,"أصل","مصروف"))</f>
        <v/>
      </c>
    </row>
    <row r="58">
      <c r="A58" s="46">
        <f>IFERROR(INDEX('التكاليف'!$D$7:$D$806,MATCH(20,'التكاليف'!$P$7:$P$806,0)),"")</f>
        <v/>
      </c>
      <c r="B58" s="47">
        <f>IF(A58="","",SUMIFS('التكاليف'!$H$7:$H$806,'التكاليف'!$D$7:$D$806,A58,'التكاليف'!$Q$7:$Q$806,"مادة"))</f>
        <v/>
      </c>
      <c r="C58" s="47">
        <f>IF(A58="","",SUMIFS('التكاليف'!$H$7:$H$806,'التكاليف'!$D$7:$D$806,A58,'التكاليف'!$Q$7:$Q$806,"أجرة"))</f>
        <v/>
      </c>
      <c r="D58" s="44">
        <f>IF(A58="","",B58+C58)</f>
        <v/>
      </c>
      <c r="E58" s="48">
        <f>IF(A58="","",IF(D58&gt;=20,"أصل","مصروف"))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C4B"/>
  <mergeCells count="2">
    <mergeCell ref="A19:F19"/>
    <mergeCell ref="A1:F1"/>
  </mergeCells>
  <conditionalFormatting sqref="E39:E58">
    <cfRule type="expression" priority="1" dxfId="2">
      <formula>E39="أصل"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الغرض</t>
        </is>
      </c>
      <c r="B1" t="inlineStr">
        <is>
          <t>حساب المصروف</t>
        </is>
      </c>
      <c r="C1" t="inlineStr">
        <is>
          <t>حساب الأصل (20+)</t>
        </is>
      </c>
      <c r="D1" t="inlineStr">
        <is>
          <t>الفئة</t>
        </is>
      </c>
    </row>
    <row r="2">
      <c r="A2" t="inlineStr">
        <is>
          <t>ضيافة</t>
        </is>
      </c>
      <c r="B2" t="inlineStr">
        <is>
          <t>501106</t>
        </is>
      </c>
      <c r="C2" t="inlineStr"/>
      <c r="D2" t="inlineStr">
        <is>
          <t>مصروف</t>
        </is>
      </c>
    </row>
    <row r="3">
      <c r="A3" t="inlineStr">
        <is>
          <t>هدايا</t>
        </is>
      </c>
      <c r="B3" t="inlineStr">
        <is>
          <t>500701</t>
        </is>
      </c>
      <c r="C3" t="inlineStr"/>
      <c r="D3" t="inlineStr">
        <is>
          <t>مصروف</t>
        </is>
      </c>
    </row>
    <row r="4">
      <c r="A4" t="inlineStr">
        <is>
          <t>إيجار</t>
        </is>
      </c>
      <c r="B4" t="inlineStr">
        <is>
          <t>500402</t>
        </is>
      </c>
      <c r="C4" t="inlineStr"/>
      <c r="D4" t="inlineStr">
        <is>
          <t>مصروف</t>
        </is>
      </c>
    </row>
    <row r="5">
      <c r="A5" t="inlineStr">
        <is>
          <t>فاتورة كهرباء</t>
        </is>
      </c>
      <c r="B5" t="inlineStr">
        <is>
          <t>500403</t>
        </is>
      </c>
      <c r="C5" t="inlineStr"/>
      <c r="D5" t="inlineStr">
        <is>
          <t>مصروف</t>
        </is>
      </c>
    </row>
    <row r="6">
      <c r="A6" t="inlineStr">
        <is>
          <t>أثاث وستاندات</t>
        </is>
      </c>
      <c r="B6" t="inlineStr">
        <is>
          <t>501106</t>
        </is>
      </c>
      <c r="C6" t="inlineStr">
        <is>
          <t>100604</t>
        </is>
      </c>
      <c r="D6" t="inlineStr">
        <is>
          <t>مصروف</t>
        </is>
      </c>
    </row>
    <row r="7">
      <c r="A7" t="inlineStr">
        <is>
          <t>صيانة المحل</t>
        </is>
      </c>
      <c r="B7" t="inlineStr">
        <is>
          <t>501103</t>
        </is>
      </c>
      <c r="C7" t="inlineStr"/>
      <c r="D7" t="inlineStr">
        <is>
          <t>مصروف</t>
        </is>
      </c>
    </row>
    <row r="8">
      <c r="A8" t="inlineStr">
        <is>
          <t>أجور عمال</t>
        </is>
      </c>
      <c r="B8" t="inlineStr">
        <is>
          <t>500312</t>
        </is>
      </c>
      <c r="C8" t="inlineStr"/>
      <c r="D8" t="inlineStr">
        <is>
          <t>مصروف</t>
        </is>
      </c>
    </row>
    <row r="9">
      <c r="A9" t="inlineStr">
        <is>
          <t>أجور توصيل</t>
        </is>
      </c>
      <c r="B9" t="inlineStr">
        <is>
          <t>500802</t>
        </is>
      </c>
      <c r="C9" t="inlineStr"/>
      <c r="D9" t="inlineStr">
        <is>
          <t>مصروف</t>
        </is>
      </c>
    </row>
    <row r="10">
      <c r="A10" t="inlineStr">
        <is>
          <t>صدقة</t>
        </is>
      </c>
      <c r="B10" t="inlineStr">
        <is>
          <t>500910</t>
        </is>
      </c>
      <c r="C10" t="inlineStr"/>
      <c r="D10" t="inlineStr">
        <is>
          <t>زكاة وصدقة</t>
        </is>
      </c>
    </row>
    <row r="11">
      <c r="A11" t="inlineStr">
        <is>
          <t>زكاة</t>
        </is>
      </c>
      <c r="B11" t="inlineStr">
        <is>
          <t>500912</t>
        </is>
      </c>
      <c r="C11" t="inlineStr"/>
      <c r="D11" t="inlineStr">
        <is>
          <t>زكاة وصدقة</t>
        </is>
      </c>
    </row>
    <row r="12">
      <c r="A12" t="inlineStr">
        <is>
          <t>رسوم تراخيص</t>
        </is>
      </c>
      <c r="B12" t="inlineStr">
        <is>
          <t>500503</t>
        </is>
      </c>
      <c r="C12" t="inlineStr"/>
      <c r="D12" t="inlineStr">
        <is>
          <t>مصروف</t>
        </is>
      </c>
    </row>
    <row r="13">
      <c r="A13" t="inlineStr">
        <is>
          <t>توالف بضاعة</t>
        </is>
      </c>
      <c r="B13" t="inlineStr">
        <is>
          <t>500905</t>
        </is>
      </c>
      <c r="C13" t="inlineStr"/>
      <c r="D13" t="inlineStr">
        <is>
          <t>مصروف</t>
        </is>
      </c>
    </row>
    <row r="14">
      <c r="A14" t="inlineStr">
        <is>
          <t>أخرى</t>
        </is>
      </c>
      <c r="B14" t="inlineStr">
        <is>
          <t>500907</t>
        </is>
      </c>
      <c r="C14" t="inlineStr"/>
      <c r="D14" t="inlineStr">
        <is>
          <t>مصروف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CC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 ht="30" customHeight="1">
      <c r="A1" s="49" t="inlineStr">
        <is>
          <t>طريقة العمل</t>
        </is>
      </c>
    </row>
    <row r="3" ht="24" customHeight="1">
      <c r="A3" s="50" t="inlineStr">
        <is>
          <t>ورقة «التكاليف» — كل مصروف أو أجرة بسطر (الأعمدة: # · التاريخ · اليوم · الورشة · البند · الكمية · الإفرادي · الإجمالي · الغرض · أصل؟ · المدقق · ملاحظات)</t>
        </is>
      </c>
    </row>
    <row r="4" ht="34" customHeight="1">
      <c r="A4" s="2" t="inlineStr">
        <is>
          <t>1</t>
        </is>
      </c>
      <c r="B4" s="51" t="inlineStr">
        <is>
          <t>كل سطر: البند أو المهمة · الكمية · الإفرادي · التاريخ · الغرض · وبآخر خانة «ملاحظات إضافية»: شو هو، ليش، ولوين راح.</t>
        </is>
      </c>
      <c r="C4" s="5" t="n"/>
    </row>
    <row r="5" ht="34" customHeight="1">
      <c r="A5" s="2" t="inlineStr">
        <is>
          <t>2</t>
        </is>
      </c>
      <c r="B5" s="51" t="inlineStr">
        <is>
          <t>الإفرادي = الكلفة (من المحل) أو سعر الشراء (من برّا).</t>
        </is>
      </c>
      <c r="C5" s="5" t="n"/>
    </row>
    <row r="6" ht="34" customHeight="1">
      <c r="A6" s="2" t="inlineStr">
        <is>
          <t>3</t>
        </is>
      </c>
      <c r="B6" s="51" t="inlineStr">
        <is>
          <t>أجرة عامل: سطر زي أي بند — اكتب بالبند اسم العامل والشغلة (مثلاً «احمد النجار — خزائن خشب») · الكمية 1 والإفرادي = المبلغ · الغرض «أجور عمال» · بأي يوم حتى الجمعة.</t>
        </is>
      </c>
      <c r="C6" s="5" t="n"/>
    </row>
    <row r="7" ht="34" customHeight="1">
      <c r="A7" s="2" t="inlineStr">
        <is>
          <t>4</t>
        </is>
      </c>
      <c r="B7" s="51" t="inlineStr">
        <is>
          <t>الغرض من القائمة — وإذا مش موجود اكتبه بإيدك (مثلاً «أكياس للمحل») وبينحسب «أخرى» · الفاضي بيصير أحمر و«⚠ عبّي الغرض».</t>
        </is>
      </c>
      <c r="C7" s="5" t="n"/>
    </row>
    <row r="8" ht="34" customHeight="1">
      <c r="A8" s="2" t="inlineStr">
        <is>
          <t>5</t>
        </is>
      </c>
      <c r="B8" s="51" t="inlineStr">
        <is>
          <t>فاتورة/إيجار/زكاة: الكمية 1 والإفرادي = المبلغ · الإيجار: التحويش اليومي ما بينكتب — يوم الدفع سطر بالمبلغ كامل.</t>
        </is>
      </c>
      <c r="C8" s="5" t="n"/>
    </row>
    <row r="9" ht="34" customHeight="1">
      <c r="A9" s="2" t="inlineStr">
        <is>
          <t>6</t>
        </is>
      </c>
      <c r="B9" s="51" t="inlineStr">
        <is>
          <t>الكمية رقم صحيح بلا فاصلة · الإفرادي والإجمالي منزلتين · الدفع نقدي — إذا تحويل كليك أو شيك اكتبها بالملاحظات.</t>
        </is>
      </c>
      <c r="C9" s="5" t="n"/>
    </row>
    <row r="10" ht="24" customHeight="1">
      <c r="A10" s="50" t="inlineStr">
        <is>
          <t>الورشة (شغل داخلي) — لما نبني إشي للمحل (مثلاً ستاندات)</t>
        </is>
      </c>
    </row>
    <row r="11" ht="34" customHeight="1">
      <c r="A11" s="2" t="inlineStr">
        <is>
          <t>7</t>
        </is>
      </c>
      <c r="B11" s="51" t="inlineStr">
        <is>
          <t>اكتب اسم الورشة بأول عمود على كل مادة وكل أجرة إلها (والأجرة غرضها «أجور عمال») — نفس الاسم بالزبط كل مرة. فيها «ستاندات» ← الغرض «أثاث وستاندات» لحاله.</t>
        </is>
      </c>
      <c r="C11" s="5" t="n"/>
    </row>
    <row r="12" ht="34" customHeight="1">
      <c r="A12" s="2" t="inlineStr">
        <is>
          <t>8</t>
        </is>
      </c>
      <c r="B12" s="51" t="inlineStr">
        <is>
          <t>مجموع الورشة (مواد + أجور) 20 وفوق = كل أسطرها «أصل» · أقل = مصروف · الورشة بس لبناء أو شراء إشي جديد: التصليح والتعزيل والتنظيف بلا ورشة (اسم ورشة فيه «صيانة» أو «تعزيل» بيصير أحمر).</t>
        </is>
      </c>
      <c r="C12" s="5" t="n"/>
    </row>
    <row r="13" ht="34" customHeight="1">
      <c r="A13" s="2" t="inlineStr">
        <is>
          <t>9</t>
        </is>
      </c>
      <c r="B13" s="51" t="inlineStr">
        <is>
          <t>الفلتر على العناوين: اختار ورشة أو غرض (مثلاً «أجور عمال») وبيطلعوا أسطره لحاله.</t>
        </is>
      </c>
      <c r="C13" s="5" t="n"/>
    </row>
    <row r="14" ht="24" customHeight="1">
      <c r="A14" s="50" t="inlineStr">
        <is>
          <t>التدقيق وأودو والملخص</t>
        </is>
      </c>
    </row>
    <row r="15" ht="34" customHeight="1">
      <c r="A15" s="2" t="inlineStr">
        <is>
          <t>10</t>
        </is>
      </c>
      <c r="B15" s="51" t="inlineStr">
        <is>
          <t>الخانة الحمرا = ناقصة · المدقق بيختار اسمه بعد ما يتأكد ← السطر بيصير أخضر · بس الأسطر المدقّقة بتنزل على أودو.</t>
        </is>
      </c>
      <c r="C15" s="5" t="n"/>
    </row>
    <row r="16" ht="34" customHeight="1">
      <c r="A16" s="2" t="inlineStr">
        <is>
          <t>11</t>
        </is>
      </c>
      <c r="B16" s="51" t="inlineStr">
        <is>
          <t>آخر الشهر (بأمر صاحب المحل): كل سطر بينزل قيد لحاله على حسابه · المرحّل من قبل ما بيتكرّر.</t>
        </is>
      </c>
      <c r="C16" s="5" t="n"/>
    </row>
    <row r="17" ht="34" customHeight="1">
      <c r="A17" s="2" t="inlineStr">
        <is>
          <t>12</t>
        </is>
      </c>
      <c r="B17" s="51" t="inlineStr">
        <is>
          <t>«الملخص» شهر بشهر: مصروف · أصول · زكاة وصدقة · أجور عمال — وتحته حسب الغرض والورشات. الملخص والتعليمات مقفولين بكلمة السر.</t>
        </is>
      </c>
      <c r="C17" s="5" t="n"/>
    </row>
    <row r="19">
      <c r="A19" s="26" t="inlineStr">
        <is>
          <t>#</t>
        </is>
      </c>
      <c r="B19" s="26" t="inlineStr">
        <is>
          <t>الغرض</t>
        </is>
      </c>
      <c r="C19" s="26" t="inlineStr">
        <is>
          <t>أمثلة</t>
        </is>
      </c>
    </row>
    <row r="20" ht="22" customHeight="1">
      <c r="A20" s="52" t="n">
        <v>1</v>
      </c>
      <c r="B20" s="32" t="inlineStr">
        <is>
          <t>ضيافة</t>
        </is>
      </c>
      <c r="C20" s="53" t="inlineStr">
        <is>
          <t>شاي · قهوة · مي · سكر · غدا للعمال</t>
        </is>
      </c>
    </row>
    <row r="21" ht="22" customHeight="1">
      <c r="A21" s="54" t="n">
        <v>2</v>
      </c>
      <c r="B21" s="35" t="inlineStr">
        <is>
          <t>هدايا</t>
        </is>
      </c>
      <c r="C21" s="55" t="inlineStr">
        <is>
          <t>هدية لزبون · عيّنات · كاتالوجات</t>
        </is>
      </c>
    </row>
    <row r="22" ht="22" customHeight="1">
      <c r="A22" s="52" t="n">
        <v>3</v>
      </c>
      <c r="B22" s="32" t="inlineStr">
        <is>
          <t>إيجار</t>
        </is>
      </c>
      <c r="C22" s="53" t="inlineStr">
        <is>
          <t>إيجار المستودعات — يوم الدفع بالمبلغ كامل (التحويش اليومي ما بينكتب)</t>
        </is>
      </c>
    </row>
    <row r="23" ht="22" customHeight="1">
      <c r="A23" s="54" t="n">
        <v>4</v>
      </c>
      <c r="B23" s="35" t="inlineStr">
        <is>
          <t>فاتورة كهرباء</t>
        </is>
      </c>
      <c r="C23" s="55" t="inlineStr">
        <is>
          <t>فاتورة الكهربا (والمي) — اكتب أي ساعة بالبند</t>
        </is>
      </c>
    </row>
    <row r="24" ht="22" customHeight="1">
      <c r="A24" s="52" t="n">
        <v>5</v>
      </c>
      <c r="B24" s="32" t="inlineStr">
        <is>
          <t>أثاث وستاندات</t>
        </is>
      </c>
      <c r="C24" s="53" t="inlineStr">
        <is>
          <t>ستاند · رف · مكتب · كرسي · كمبيوتر (20 وفوق = أصل)</t>
        </is>
      </c>
    </row>
    <row r="25" ht="22" customHeight="1">
      <c r="A25" s="54" t="n">
        <v>6</v>
      </c>
      <c r="B25" s="35" t="inlineStr">
        <is>
          <t>صيانة المحل</t>
        </is>
      </c>
      <c r="C25" s="55" t="inlineStr">
        <is>
          <t>تصليح · سباكة · كهربا · دهان · لمبات · قطع غيار</t>
        </is>
      </c>
    </row>
    <row r="26" ht="22" customHeight="1">
      <c r="A26" s="52" t="n">
        <v>7</v>
      </c>
      <c r="B26" s="32" t="inlineStr">
        <is>
          <t>أجور عمال</t>
        </is>
      </c>
      <c r="C26" s="53" t="inlineStr">
        <is>
          <t>تعزيل · تنظيف · تحميل · نجّار · كهربجي من برّا — اسم العامل والشغلة بالبند</t>
        </is>
      </c>
    </row>
    <row r="27" ht="22" customHeight="1">
      <c r="A27" s="54" t="n">
        <v>8</v>
      </c>
      <c r="B27" s="35" t="inlineStr">
        <is>
          <t>أجور توصيل</t>
        </is>
      </c>
      <c r="C27" s="55" t="inlineStr">
        <is>
          <t>أجرة سيارة · توصيل · بنزين للتوصيل</t>
        </is>
      </c>
    </row>
    <row r="28" ht="22" customHeight="1">
      <c r="A28" s="52" t="n">
        <v>9</v>
      </c>
      <c r="B28" s="32" t="inlineStr">
        <is>
          <t>صدقة</t>
        </is>
      </c>
      <c r="C28" s="53" t="inlineStr">
        <is>
          <t>صدقة · تبرع لجامع أو جمعية (كاش أو بضاعة بالكلفة)</t>
        </is>
      </c>
    </row>
    <row r="29" ht="22" customHeight="1">
      <c r="A29" s="54" t="n">
        <v>10</v>
      </c>
      <c r="B29" s="35" t="inlineStr">
        <is>
          <t>زكاة</t>
        </is>
      </c>
      <c r="C29" s="55" t="inlineStr">
        <is>
          <t>زكاة المحل السنوية</t>
        </is>
      </c>
    </row>
    <row r="30" ht="22" customHeight="1">
      <c r="A30" s="52" t="n">
        <v>11</v>
      </c>
      <c r="B30" s="32" t="inlineStr">
        <is>
          <t>رسوم تراخيص</t>
        </is>
      </c>
      <c r="C30" s="53" t="inlineStr">
        <is>
          <t>رخصة المهن · البلدية · الغرفة</t>
        </is>
      </c>
    </row>
    <row r="31" ht="22" customHeight="1">
      <c r="A31" s="54" t="n">
        <v>12</v>
      </c>
      <c r="B31" s="35" t="inlineStr">
        <is>
          <t>توالف بضاعة</t>
        </is>
      </c>
      <c r="C31" s="55" t="inlineStr">
        <is>
          <t>بضاعة انكسرت أو خربت بالمحل (بالكلفة)</t>
        </is>
      </c>
    </row>
    <row r="32" ht="22" customHeight="1">
      <c r="A32" s="52" t="n">
        <v>13</v>
      </c>
      <c r="B32" s="32" t="inlineStr">
        <is>
          <t>أخرى</t>
        </is>
      </c>
      <c r="C32" s="53" t="inlineStr">
        <is>
          <t>أي إشي ثاني — أو اكتب الغرض بإيدك بالخانة (مثلاً «أكياس للمحل»)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C4B"/>
  <mergeCells count="16">
    <mergeCell ref="A10:C10"/>
    <mergeCell ref="B13:C13"/>
    <mergeCell ref="B6:C6"/>
    <mergeCell ref="B16:C16"/>
    <mergeCell ref="B15:C15"/>
    <mergeCell ref="B7:C7"/>
    <mergeCell ref="A1:C1"/>
    <mergeCell ref="B11:C11"/>
    <mergeCell ref="B5:C5"/>
    <mergeCell ref="A14:C14"/>
    <mergeCell ref="A3:C3"/>
    <mergeCell ref="B17:C17"/>
    <mergeCell ref="B9:C9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2026-10-10T21:42:58Z</dcterms:created>
  <dcterms:modified xsi:type="dcterms:W3CDTF">2026-10-10T21:42:59Z</dcterms:modified>
</cp:coreProperties>
</file>