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ذمم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<sst xmlns="http://schemas.openxmlformats.org/spreadsheetml/2006/main" count="49" uniqueCount="35">
  <si>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ذمم الزبائن — محلات العون لمواد البناء</t>
  </si>
  <si>
    <t xml:space="preserve">آخر تحديث من أودو</t>
  </si>
  <si>
    <t xml:space="preserve">المجموع عليهم</t>
  </si>
  <si>
    <t xml:space="preserve">عدد المدينين</t>
  </si>
  <si>
    <t xml:space="preserve">الشيت للقراءة فقط — أي دين أو دفعة بتنسجّل على أودو وبتطلع هون لحالها</t>
  </si>
  <si>
    <t xml:space="preserve">🟢 عادي (لحد 30 يوم)   ·   🟡 فوق 30 يوم: ذكّره بلطف   ·   🔴 فوق 60 يوم: كاش فقط لحد ما يسدّ</t>
  </si>
  <si>
    <t xml:space="preserve">#</t>
  </si>
  <si>
    <t xml:space="preserve">اسم الزبون</t>
  </si>
  <si>
    <t xml:space="preserve">النوع</t>
  </si>
  <si>
    <t xml:space="preserve">عليه (دينار)</t>
  </si>
  <si>
    <t xml:space="preserve">أقدم فاتورة مفتوحة</t>
  </si>
  <si>
    <t xml:space="preserve">عمر الدين (يوم)</t>
  </si>
  <si>
    <t xml:space="preserve">تاريخ آخر دفعة</t>
  </si>
  <si>
    <t xml:space="preserve">آخر دفعة (دينار)</t>
  </si>
  <si>
    <t xml:space="preserve">الهاتف</t>
  </si>
  <si>
    <t xml:space="preserve">الحالة</t>
  </si>
  <si>
    <t xml:space="preserve">ذمم يزيد العمري</t>
  </si>
  <si>
    <t xml:space="preserve">ورشة</t>
  </si>
  <si>
    <t xml:space="preserve">مشروع مادبا ايمن العجرمي</t>
  </si>
  <si>
    <t xml:space="preserve">مشروع فيلا ايلا</t>
  </si>
  <si>
    <t xml:space="preserve">مشروع المدرسة</t>
  </si>
  <si>
    <t xml:space="preserve">ورشة د.غالب صويص</t>
  </si>
  <si>
    <t xml:space="preserve">مشروع مسجد علاء الدين</t>
  </si>
  <si>
    <t xml:space="preserve">0790887313</t>
  </si>
  <si>
    <t xml:space="preserve">ورشة مشروع المسارات</t>
  </si>
  <si>
    <t xml:space="preserve">ورشة طارق الماضي</t>
  </si>
  <si>
    <t xml:space="preserve">ورشة ثروت المصري</t>
  </si>
  <si>
    <t xml:space="preserve">ورشة كافية دار نعمة</t>
  </si>
  <si>
    <t xml:space="preserve">ورشة دايوق ميادة</t>
  </si>
  <si>
    <t xml:space="preserve">ورشة الكابتن</t>
  </si>
  <si>
    <t xml:space="preserve">مهند خلف</t>
  </si>
  <si>
    <t xml:space="preserve">بواقي</t>
  </si>
  <si>
    <t xml:space="preserve">ورشة المكتبة الوطنية</t>
  </si>
  <si>
    <t xml:space="preserve">ورشة زياد ليبزو</t>
  </si>
  <si>
    <t xml:space="preserve">ورشة ياجوز 101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</si>
</sst>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\ hh:mm"/>
    <numFmt numFmtId="166" formatCode="#,##0.000"/>
    <numFmt numFmtId="167" formatCode="General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 val="1"/>
        <color rgb="FF1E563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5631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0" min="8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3" t="n">
        <v>46297.7266666667</v>
      </c>
      <c r="D2" s="4" t="str">
        <f aca="true">IF(NOW()-B2&gt;4/24,"⚠️ البيانات قديمة — بلّغ صاحب المحل","✔ محدّثة")</f>
        <v>✔ محدّثة</v>
      </c>
      <c r="E2" s="4"/>
      <c r="F2" s="4"/>
      <c r="G2" s="4"/>
    </row>
    <row r="3" customFormat="false" ht="15" hidden="false" customHeight="false" outlineLevel="0" collapsed="false">
      <c r="A3" s="2" t="s">
        <v>2</v>
      </c>
      <c r="B3" s="5" t="n">
        <f aca="false">SUM(D6:D1000)</f>
        <v>6259.05</v>
      </c>
      <c r="C3" s="2" t="s">
        <v>3</v>
      </c>
      <c r="D3" s="6" t="n">
        <f aca="false">COUNTA(B6:B1000)</f>
        <v>16</v>
      </c>
      <c r="F3" s="7" t="s">
        <v>4</v>
      </c>
      <c r="G3" s="7"/>
      <c r="H3" s="7"/>
      <c r="I3" s="7"/>
      <c r="J3" s="7"/>
    </row>
    <row r="4" customFormat="false" ht="12.65" hidden="false" customHeight="false" outlineLevel="0" collapsed="false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30" hidden="false" customHeight="true" outlineLevel="0" collapsed="false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9" t="s">
        <v>15</v>
      </c>
    </row>
    <row r="6" customFormat="false" ht="21.75" hidden="false" customHeight="true" outlineLevel="0" collapsed="false">
      <c r="A6" s="10" t="n">
        <v>1</v>
      </c>
      <c r="B6" s="11" t="s">
        <v>16</v>
      </c>
      <c r="C6" s="10" t="s">
        <v>17</v>
      </c>
      <c r="D6" s="12" t="n">
        <v>2778.75</v>
      </c>
      <c r="E6" s="13" t="n">
        <v>45395</v>
      </c>
      <c r="F6" s="10" t="n">
        <f aca="true">IF(E6="","",TODAY()-E6)</f>
        <v>902</v>
      </c>
      <c r="G6" s="13"/>
      <c r="H6" s="14"/>
      <c r="I6" s="10"/>
      <c r="J6" s="10" t="str">
        <f aca="false">IF(F6="","",IF(F6&gt;60,"🔴 كاش فقط",IF(F6&gt;30,"🟡 ذكّره","🟢 عادي")))</f>
        <v>🔴 كاش فقط</v>
      </c>
    </row>
    <row r="7" customFormat="false" ht="21.75" hidden="false" customHeight="true" outlineLevel="0" collapsed="false">
      <c r="A7" s="10" t="n">
        <v>2</v>
      </c>
      <c r="B7" s="11" t="s">
        <v>18</v>
      </c>
      <c r="C7" s="10" t="s">
        <v>17</v>
      </c>
      <c r="D7" s="12" t="n">
        <v>696.65</v>
      </c>
      <c r="E7" s="13" t="n">
        <v>46244</v>
      </c>
      <c r="F7" s="10" t="n">
        <f aca="true">IF(E7="","",TODAY()-E7)</f>
        <v>53</v>
      </c>
      <c r="G7" s="13" t="n">
        <v>46291</v>
      </c>
      <c r="H7" s="14" t="n">
        <v>200</v>
      </c>
      <c r="I7" s="10"/>
      <c r="J7" s="10" t="str">
        <f aca="false">IF(F7="","",IF(F7&gt;60,"🔴 كاش فقط",IF(F7&gt;30,"🟡 ذكّره","🟢 عادي")))</f>
        <v>🟡 ذكّره</v>
      </c>
    </row>
    <row r="8" customFormat="false" ht="21.75" hidden="false" customHeight="true" outlineLevel="0" collapsed="false">
      <c r="A8" s="10" t="n">
        <v>3</v>
      </c>
      <c r="B8" s="11" t="s">
        <v>19</v>
      </c>
      <c r="C8" s="10" t="s">
        <v>17</v>
      </c>
      <c r="D8" s="12" t="n">
        <v>564.95</v>
      </c>
      <c r="E8" s="13" t="n">
        <v>45009</v>
      </c>
      <c r="F8" s="10" t="n">
        <f aca="true">IF(E8="","",TODAY()-E8)</f>
        <v>1288</v>
      </c>
      <c r="G8" s="13" t="n">
        <v>45008</v>
      </c>
      <c r="H8" s="14" t="n">
        <v>3</v>
      </c>
      <c r="I8" s="10"/>
      <c r="J8" s="10" t="str">
        <f aca="false">IF(F8="","",IF(F8&gt;60,"🔴 كاش فقط",IF(F8&gt;30,"🟡 ذكّره","🟢 عادي")))</f>
        <v>🔴 كاش فقط</v>
      </c>
    </row>
    <row r="9" customFormat="false" ht="21.75" hidden="false" customHeight="true" outlineLevel="0" collapsed="false">
      <c r="A9" s="10" t="n">
        <v>4</v>
      </c>
      <c r="B9" s="11" t="s">
        <v>20</v>
      </c>
      <c r="C9" s="10" t="s">
        <v>17</v>
      </c>
      <c r="D9" s="12" t="n">
        <v>481.35</v>
      </c>
      <c r="E9" s="13" t="n">
        <v>46266</v>
      </c>
      <c r="F9" s="10" t="n">
        <f aca="true">IF(E9="","",TODAY()-E9)</f>
        <v>31</v>
      </c>
      <c r="G9" s="13" t="n">
        <v>46286</v>
      </c>
      <c r="H9" s="14" t="n">
        <v>500</v>
      </c>
      <c r="I9" s="10"/>
      <c r="J9" s="10" t="str">
        <f aca="false">IF(F9="","",IF(F9&gt;60,"🔴 كاش فقط",IF(F9&gt;30,"🟡 ذكّره","🟢 عادي")))</f>
        <v>🟡 ذكّره</v>
      </c>
    </row>
    <row r="10" customFormat="false" ht="21.75" hidden="false" customHeight="true" outlineLevel="0" collapsed="false">
      <c r="A10" s="10" t="n">
        <v>5</v>
      </c>
      <c r="B10" s="11" t="s">
        <v>21</v>
      </c>
      <c r="C10" s="10" t="s">
        <v>17</v>
      </c>
      <c r="D10" s="12" t="n">
        <v>427.7</v>
      </c>
      <c r="E10" s="13" t="n">
        <v>46291</v>
      </c>
      <c r="F10" s="10" t="n">
        <f aca="true">IF(E10="","",TODAY()-E10)</f>
        <v>6</v>
      </c>
      <c r="G10" s="13"/>
      <c r="H10" s="14"/>
      <c r="I10" s="10"/>
      <c r="J10" s="10" t="str">
        <f aca="false">IF(F10="","",IF(F10&gt;60,"🔴 كاش فقط",IF(F10&gt;30,"🟡 ذكّره","🟢 عادي")))</f>
        <v>🟢 عادي</v>
      </c>
    </row>
    <row r="11" customFormat="false" ht="21.75" hidden="false" customHeight="true" outlineLevel="0" collapsed="false">
      <c r="A11" s="10" t="n">
        <v>6</v>
      </c>
      <c r="B11" s="11" t="s">
        <v>22</v>
      </c>
      <c r="C11" s="10" t="s">
        <v>17</v>
      </c>
      <c r="D11" s="12" t="n">
        <v>311.65</v>
      </c>
      <c r="E11" s="13" t="n">
        <v>46259</v>
      </c>
      <c r="F11" s="10" t="n">
        <f aca="true">IF(E11="","",TODAY()-E11)</f>
        <v>38</v>
      </c>
      <c r="G11" s="13" t="n">
        <v>46283</v>
      </c>
      <c r="H11" s="14" t="n">
        <v>230</v>
      </c>
      <c r="I11" s="10" t="s">
        <v>23</v>
      </c>
      <c r="J11" s="10" t="str">
        <f aca="false">IF(F11="","",IF(F11&gt;60,"🔴 كاش فقط",IF(F11&gt;30,"🟡 ذكّره","🟢 عادي")))</f>
        <v>🟡 ذكّره</v>
      </c>
    </row>
    <row r="12" customFormat="false" ht="21.75" hidden="false" customHeight="true" outlineLevel="0" collapsed="false">
      <c r="A12" s="10" t="n">
        <v>7</v>
      </c>
      <c r="B12" s="11" t="s">
        <v>24</v>
      </c>
      <c r="C12" s="10" t="s">
        <v>17</v>
      </c>
      <c r="D12" s="12" t="n">
        <v>304</v>
      </c>
      <c r="E12" s="13" t="n">
        <v>46275</v>
      </c>
      <c r="F12" s="10" t="n">
        <f aca="true">IF(E12="","",TODAY()-E12)</f>
        <v>22</v>
      </c>
      <c r="G12" s="13"/>
      <c r="H12" s="14"/>
      <c r="I12" s="10"/>
      <c r="J12" s="10" t="str">
        <f aca="false">IF(F12="","",IF(F12&gt;60,"🔴 كاش فقط",IF(F12&gt;30,"🟡 ذكّره","🟢 عادي")))</f>
        <v>🟢 عادي</v>
      </c>
    </row>
    <row r="13" customFormat="false" ht="21.75" hidden="false" customHeight="true" outlineLevel="0" collapsed="false">
      <c r="A13" s="10" t="n">
        <v>8</v>
      </c>
      <c r="B13" s="11" t="s">
        <v>25</v>
      </c>
      <c r="C13" s="10" t="s">
        <v>17</v>
      </c>
      <c r="D13" s="12" t="n">
        <v>290.05</v>
      </c>
      <c r="E13" s="13" t="n">
        <v>46269</v>
      </c>
      <c r="F13" s="10" t="n">
        <f aca="true">IF(E13="","",TODAY()-E13)</f>
        <v>28</v>
      </c>
      <c r="G13" s="13" t="n">
        <v>46292</v>
      </c>
      <c r="H13" s="14" t="n">
        <v>150</v>
      </c>
      <c r="I13" s="10"/>
      <c r="J13" s="10" t="str">
        <f aca="false">IF(F13="","",IF(F13&gt;60,"🔴 كاش فقط",IF(F13&gt;30,"🟡 ذكّره","🟢 عادي")))</f>
        <v>🟢 عادي</v>
      </c>
    </row>
    <row r="14" customFormat="false" ht="21.75" hidden="false" customHeight="true" outlineLevel="0" collapsed="false">
      <c r="A14" s="10" t="n">
        <v>9</v>
      </c>
      <c r="B14" s="11" t="s">
        <v>26</v>
      </c>
      <c r="C14" s="10" t="s">
        <v>17</v>
      </c>
      <c r="D14" s="12" t="n">
        <v>221.9</v>
      </c>
      <c r="E14" s="13" t="n">
        <v>46157</v>
      </c>
      <c r="F14" s="10" t="n">
        <f aca="true">IF(E14="","",TODAY()-E14)</f>
        <v>140</v>
      </c>
      <c r="G14" s="13"/>
      <c r="H14" s="14"/>
      <c r="I14" s="10"/>
      <c r="J14" s="10" t="str">
        <f aca="false">IF(F14="","",IF(F14&gt;60,"🔴 كاش فقط",IF(F14&gt;30,"🟡 ذكّره","🟢 عادي")))</f>
        <v>🔴 كاش فقط</v>
      </c>
    </row>
    <row r="15" customFormat="false" ht="21.75" hidden="false" customHeight="true" outlineLevel="0" collapsed="false">
      <c r="A15" s="10" t="n">
        <v>10</v>
      </c>
      <c r="B15" s="11" t="s">
        <v>27</v>
      </c>
      <c r="C15" s="10" t="s">
        <v>17</v>
      </c>
      <c r="D15" s="12" t="n">
        <v>92.45</v>
      </c>
      <c r="E15" s="13" t="n">
        <v>46133</v>
      </c>
      <c r="F15" s="10" t="n">
        <f aca="true">IF(E15="","",TODAY()-E15)</f>
        <v>164</v>
      </c>
      <c r="G15" s="13"/>
      <c r="H15" s="14"/>
      <c r="I15" s="10"/>
      <c r="J15" s="10" t="str">
        <f aca="false">IF(F15="","",IF(F15&gt;60,"🔴 كاش فقط",IF(F15&gt;30,"🟡 ذكّره","🟢 عادي")))</f>
        <v>🔴 كاش فقط</v>
      </c>
    </row>
    <row r="16" customFormat="false" ht="21.75" hidden="false" customHeight="true" outlineLevel="0" collapsed="false">
      <c r="A16" s="10" t="n">
        <v>11</v>
      </c>
      <c r="B16" s="11" t="s">
        <v>28</v>
      </c>
      <c r="C16" s="10" t="s">
        <v>17</v>
      </c>
      <c r="D16" s="12" t="n">
        <v>62</v>
      </c>
      <c r="E16" s="13" t="n">
        <v>46151</v>
      </c>
      <c r="F16" s="10" t="n">
        <f aca="true">IF(E16="","",TODAY()-E16)</f>
        <v>146</v>
      </c>
      <c r="G16" s="13"/>
      <c r="H16" s="14"/>
      <c r="I16" s="10"/>
      <c r="J16" s="10" t="str">
        <f aca="false">IF(F16="","",IF(F16&gt;60,"🔴 كاش فقط",IF(F16&gt;30,"🟡 ذكّره","🟢 عادي")))</f>
        <v>🔴 كاش فقط</v>
      </c>
    </row>
    <row r="17" customFormat="false" ht="21.75" hidden="false" customHeight="true" outlineLevel="0" collapsed="false">
      <c r="A17" s="10" t="n">
        <v>12</v>
      </c>
      <c r="B17" s="11" t="s">
        <v>29</v>
      </c>
      <c r="C17" s="10" t="s">
        <v>17</v>
      </c>
      <c r="D17" s="12" t="n">
        <v>43.75</v>
      </c>
      <c r="E17" s="13" t="n">
        <v>46189</v>
      </c>
      <c r="F17" s="10" t="n">
        <f aca="true">IF(E17="","",TODAY()-E17)</f>
        <v>108</v>
      </c>
      <c r="G17" s="13"/>
      <c r="H17" s="14"/>
      <c r="I17" s="10"/>
      <c r="J17" s="10" t="str">
        <f aca="false">IF(F17="","",IF(F17&gt;60,"🔴 كاش فقط",IF(F17&gt;30,"🟡 ذكّره","🟢 عادي")))</f>
        <v>🔴 كاش فقط</v>
      </c>
    </row>
    <row r="18" customFormat="false" ht="21.75" hidden="false" customHeight="true" outlineLevel="0" collapsed="false">
      <c r="A18" s="10" t="n">
        <v>13</v>
      </c>
      <c r="B18" s="11" t="s">
        <v>30</v>
      </c>
      <c r="C18" s="10" t="s">
        <v>31</v>
      </c>
      <c r="D18" s="12" t="n">
        <v>14</v>
      </c>
      <c r="E18" s="13" t="n">
        <v>45801</v>
      </c>
      <c r="F18" s="10" t="n">
        <f aca="true">IF(E18="","",TODAY()-E18)</f>
        <v>496</v>
      </c>
      <c r="G18" s="13"/>
      <c r="H18" s="14"/>
      <c r="I18" s="10"/>
      <c r="J18" s="10" t="str">
        <f aca="false">IF(F18="","",IF(F18&gt;60,"🔴 كاش فقط",IF(F18&gt;30,"🟡 ذكّره","🟢 عادي")))</f>
        <v>🔴 كاش فقط</v>
      </c>
    </row>
    <row r="19" customFormat="false" ht="21.75" hidden="false" customHeight="true" outlineLevel="0" collapsed="false">
      <c r="A19" s="10" t="n">
        <v>14</v>
      </c>
      <c r="B19" s="11" t="s">
        <v>32</v>
      </c>
      <c r="C19" s="10" t="s">
        <v>17</v>
      </c>
      <c r="D19" s="12" t="n">
        <v>10.5</v>
      </c>
      <c r="E19" s="13" t="n">
        <v>46212</v>
      </c>
      <c r="F19" s="10" t="n">
        <f aca="true">IF(E19="","",TODAY()-E19)</f>
        <v>85</v>
      </c>
      <c r="G19" s="13"/>
      <c r="H19" s="14"/>
      <c r="I19" s="10"/>
      <c r="J19" s="10" t="str">
        <f aca="false">IF(F19="","",IF(F19&gt;60,"🔴 كاش فقط",IF(F19&gt;30,"🟡 ذكّره","🟢 عادي")))</f>
        <v>🔴 كاش فقط</v>
      </c>
    </row>
    <row r="20" customFormat="false" ht="21.75" hidden="false" customHeight="true" outlineLevel="0" collapsed="false">
      <c r="A20" s="10" t="n">
        <v>15</v>
      </c>
      <c r="B20" s="11" t="s">
        <v>33</v>
      </c>
      <c r="C20" s="10" t="s">
        <v>17</v>
      </c>
      <c r="D20" s="12" t="n">
        <v>-0.65</v>
      </c>
      <c r="E20" s="13"/>
      <c r="F20" s="10" t="str">
        <f aca="true">IF(E20="","",TODAY()-E20)</f>
        <v/>
      </c>
      <c r="G20" s="13" t="n">
        <v>46183</v>
      </c>
      <c r="H20" s="14" t="n">
        <v>136.35</v>
      </c>
      <c r="I20" s="10"/>
      <c r="J20" s="10" t="str">
        <f aca="false">IF(F20="","",IF(F20&gt;60,"🔴 كاش فقط",IF(F20&gt;30,"🟡 ذكّره","🟢 عادي")))</f>
        <v/>
      </c>
    </row>
    <row r="21" customFormat="false" ht="21.75" hidden="false" customHeight="true" outlineLevel="0" collapsed="false">
      <c r="A21" s="10" t="n">
        <v>16</v>
      </c>
      <c r="B21" s="11" t="s">
        <v>34</v>
      </c>
      <c r="C21" s="10" t="s">
        <v>17</v>
      </c>
      <c r="D21" s="12" t="n">
        <v>-40</v>
      </c>
      <c r="E21" s="13"/>
      <c r="F21" s="10" t="str">
        <f aca="true">IF(E21="","",TODAY()-E21)</f>
        <v/>
      </c>
      <c r="G21" s="13" t="n">
        <v>46109</v>
      </c>
      <c r="H21" s="14" t="n">
        <v>40</v>
      </c>
      <c r="I21" s="10"/>
      <c r="J21" s="10" t="str">
        <f aca="false">IF(F21="","",IF(F21&gt;60,"🔴 كاش فقط",IF(F21&gt;30,"🟡 ذكّره","🟢 عادي")))</f>
        <v/>
      </c>
    </row>
  </sheetData>
  <mergeCells count="4">
    <mergeCell ref="A1:J1"/>
    <mergeCell ref="D2:G2"/>
    <mergeCell ref="F3:J3"/>
    <mergeCell ref="A4:J4"/>
  </mergeCells>
  <conditionalFormatting sqref="A6:J21">
    <cfRule type="expression" priority="2" aboveAverage="0" equalAverage="0" bottom="0" percent="0" rank="0" text="" dxfId="0">
      <formula>$F6&gt;60</formula>
    </cfRule>
    <cfRule type="expression" priority="3" aboveAverage="0" equalAverage="0" bottom="0" percent="0" rank="0" text="" dxfId="1">
      <formula>AND($F6&gt;30,$F6&lt;=60)</formula>
    </cfRule>
    <cfRule type="expression" priority="4" aboveAverage="0" equalAverage="0" bottom="0" percent="0" rank="0" text="" dxfId="2">
      <formula>$D6&lt;0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2026-10-02T14:26:24Z</dcterms:created>
  <dc:creator>openpyxl</dc:creator>
  <dc:description/>
  <dc:language>en-US</dc:language>
  <cp:lastModifiedBy/>
  <dcterms:modified xsi:type="dcterms:W3CDTF">2026-10-02T14:26:24Z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